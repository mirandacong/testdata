
<file path=[Content_Types].xml><?xml version="1.0" encoding="utf-8"?>
<Types xmlns="http://schemas.openxmlformats.org/package/2006/content-types">
  <Default ContentType="application/vnd.openxmlformats-officedocument.spreadsheetml.printerSettings" Extension="bin"/>
  <Default ContentType="image/gif" Extension="gif"/>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ustomProperty" PartName="/xl/customProperty1.bin"/>
  <Override ContentType="application/vnd.openxmlformats-officedocument.drawing+xml" PartName="/xl/drawings/drawing1.xml"/>
  <Override ContentType="application/vnd.openxmlformats-officedocument.spreadsheetml.externalLink+xml" PartName="/xl/externalLinks/externalLink1.xml"/>
  <Override ContentType="application/vnd.openxmlformats-officedocument.spreadsheetml.externalLink+xml" PartName="/xl/externalLinks/externalLink10.xml"/>
  <Override ContentType="application/vnd.openxmlformats-officedocument.spreadsheetml.externalLink+xml" PartName="/xl/externalLinks/externalLink11.xml"/>
  <Override ContentType="application/vnd.openxmlformats-officedocument.spreadsheetml.externalLink+xml" PartName="/xl/externalLinks/externalLink12.xml"/>
  <Override ContentType="application/vnd.openxmlformats-officedocument.spreadsheetml.externalLink+xml" PartName="/xl/externalLinks/externalLink13.xml"/>
  <Override ContentType="application/vnd.openxmlformats-officedocument.spreadsheetml.externalLink+xml" PartName="/xl/externalLinks/externalLink14.xml"/>
  <Override ContentType="application/vnd.openxmlformats-officedocument.spreadsheetml.externalLink+xml" PartName="/xl/externalLinks/externalLink15.xml"/>
  <Override ContentType="application/vnd.openxmlformats-officedocument.spreadsheetml.externalLink+xml" PartName="/xl/externalLinks/externalLink16.xml"/>
  <Override ContentType="application/vnd.openxmlformats-officedocument.spreadsheetml.externalLink+xml" PartName="/xl/externalLinks/externalLink17.xml"/>
  <Override ContentType="application/vnd.openxmlformats-officedocument.spreadsheetml.externalLink+xml" PartName="/xl/externalLinks/externalLink18.xml"/>
  <Override ContentType="application/vnd.openxmlformats-officedocument.spreadsheetml.externalLink+xml" PartName="/xl/externalLinks/externalLink19.xml"/>
  <Override ContentType="application/vnd.openxmlformats-officedocument.spreadsheetml.externalLink+xml" PartName="/xl/externalLinks/externalLink2.xml"/>
  <Override ContentType="application/vnd.openxmlformats-officedocument.spreadsheetml.externalLink+xml" PartName="/xl/externalLinks/externalLink20.xml"/>
  <Override ContentType="application/vnd.openxmlformats-officedocument.spreadsheetml.externalLink+xml" PartName="/xl/externalLinks/externalLink21.xml"/>
  <Override ContentType="application/vnd.openxmlformats-officedocument.spreadsheetml.externalLink+xml" PartName="/xl/externalLinks/externalLink22.xml"/>
  <Override ContentType="application/vnd.openxmlformats-officedocument.spreadsheetml.externalLink+xml" PartName="/xl/externalLinks/externalLink23.xml"/>
  <Override ContentType="application/vnd.openxmlformats-officedocument.spreadsheetml.externalLink+xml" PartName="/xl/externalLinks/externalLink3.xml"/>
  <Override ContentType="application/vnd.openxmlformats-officedocument.spreadsheetml.externalLink+xml" PartName="/xl/externalLinks/externalLink4.xml"/>
  <Override ContentType="application/vnd.openxmlformats-officedocument.spreadsheetml.externalLink+xml" PartName="/xl/externalLinks/externalLink5.xml"/>
  <Override ContentType="application/vnd.openxmlformats-officedocument.spreadsheetml.externalLink+xml" PartName="/xl/externalLinks/externalLink6.xml"/>
  <Override ContentType="application/vnd.openxmlformats-officedocument.spreadsheetml.externalLink+xml" PartName="/xl/externalLinks/externalLink7.xml"/>
  <Override ContentType="application/vnd.openxmlformats-officedocument.spreadsheetml.externalLink+xml" PartName="/xl/externalLinks/externalLink8.xml"/>
  <Override ContentType="application/vnd.openxmlformats-officedocument.spreadsheetml.externalLink+xml" PartName="/xl/externalLinks/externalLink9.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15" yWindow="6690" windowWidth="28830" windowHeight="6735" firstSheet="1" activeTab="1"/>
  </bookViews>
  <sheets>
    <sheet name="MWare_Cached" sheetId="26" state="veryHidden" r:id="rId1"/>
    <sheet name="ImportantDisclosures" sheetId="157" r:id="rId2"/>
    <sheet name="Cover" sheetId="149" r:id="rId3"/>
    <sheet name="Valuation" sheetId="150" r:id="rId4"/>
    <sheet name="Model" sheetId="29" r:id="rId5"/>
    <sheet name="IndexInformation" sheetId="158" r:id="rId6"/>
    <sheet name="ModPubIndex" sheetId="159" r:id="rId7"/>
    <sheet name="__FDSCACHE__" sheetId="82" state="veryHidden" r:id="rId8"/>
    <sheet name="MW-Cache" sheetId="28" state="veryHidden" r:id="rId9"/>
    <sheet name="mStartup" sheetId="20" state="veryHidden" r:id=""/>
    <sheet name="LinkingMetadata" sheetId="106" state="veryHidden" r:id="rId10"/>
  </sheets>
  <externalReferences>
    <externalReference r:id="rId11"/>
    <externalReference r:id="rId12"/>
    <externalReference r:id="rId13"/>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s>
  <definedNames>
    <definedName name="__FDS_HYPERLINK_TOGGLE_STATE__" hidden="1">"ON"</definedName>
    <definedName name="__FDS_UNIQUE_RANGE_ID_GENERATOR_COUNTER">576</definedName>
    <definedName name="_1__FDSAUDITLINK__" hidden="1">{"fdsup://directions/FAT Viewer?action=UPDATE&amp;creator=factset&amp;DYN_ARGS=TRUE&amp;DOC_NAME=FAT:FQL_AUDITING_CLIENT_TEMPLATE.FAT&amp;display_string=Audit&amp;VAR:KEY=MNGBMHELGT&amp;VAR:QUERY=RkZfRU5UUlBSX1ZBTF9EQUlMWSgwMS8yNi8yMDExLCwsLCwnRElMJykvRUNBX01FQU5fU0FMRVMoMjAxMiwwM","S8yNi8yMDExKQ==&amp;WINDOW=FIRST_POPUP&amp;HEIGHT=450&amp;WIDTH=450&amp;START_MAXIMIZED=FALSE&amp;VAR:CALENDAR=US&amp;VAR:SYMBOL=BA&amp;VAR:INDEX=0"}</definedName>
    <definedName name="_10__123Graph_Aｸﾞﾗﾌ_2" hidden="1">[1]単独!$AR$14:$AR$18</definedName>
    <definedName name="_10__FDSAUDITLINK__" hidden="1">{"fdsup://directions/FAT Viewer?action=UPDATE&amp;creator=factset&amp;DYN_ARGS=TRUE&amp;DOC_NAME=FAT:FQL_AUDITING_CLIENT_TEMPLATE.FAT&amp;display_string=Audit&amp;VAR:KEY=YJMPYTWNIB&amp;VAR:QUERY=RkZfRU5UUlBSX1ZBTF9EQUlMWSgwMS8yNi8yMDExLCwsLCwnRElMJykvRUNBX01FQU5fU0FMRVMoMjAxMiwwM","S8yNi8yMDExKQ==&amp;WINDOW=FIRST_POPUP&amp;HEIGHT=450&amp;WIDTH=450&amp;START_MAXIMIZED=FALSE&amp;VAR:CALENDAR=US&amp;VAR:SYMBOL=GD&amp;VAR:INDEX=0"}</definedName>
    <definedName name="_100__FDSAUDITLINK__" hidden="1">{"fdsup://directions/FAT Viewer?action=UPDATE&amp;creator=factset&amp;DYN_ARGS=TRUE&amp;DOC_NAME=FAT:FQL_AUDITING_CLIENT_TEMPLATE.FAT&amp;display_string=Audit&amp;VAR:KEY=OPURKLWDYF&amp;VAR:QUERY=RkZfRU5UUlBSX1ZBTF9EQUlMWSg0MDcxMCwsLCwsJ0RJTCcp&amp;WINDOW=FIRST_POPUP&amp;HEIGHT=450&amp;WIDTH=","450&amp;START_MAXIMIZED=FALSE&amp;VAR:CALENDAR=US&amp;VAR:SYMBOL=TDG&amp;VAR:INDEX=0"}</definedName>
    <definedName name="_101__FDSAUDITLINK__" hidden="1">{"fdsup://directions/FAT Viewer?action=UPDATE&amp;creator=factset&amp;DYN_ARGS=TRUE&amp;DOC_NAME=FAT:FQL_AUDITING_CLIENT_TEMPLATE.FAT&amp;display_string=Audit&amp;VAR:KEY=ODMXGBIHWF&amp;VAR:QUERY=RkZfRU5UUlBSX1ZBTF9EQUlMWSg0MDcxMCwsLCwsJ0RJTCcp&amp;WINDOW=FIRST_POPUP&amp;HEIGHT=450&amp;WIDTH=","450&amp;START_MAXIMIZED=FALSE&amp;VAR:CALENDAR=US&amp;VAR:SYMBOL=BEAV&amp;VAR:INDEX=0"}</definedName>
    <definedName name="_102__FDSAUDITLINK__" hidden="1">{"fdsup://directions/FAT Viewer?action=UPDATE&amp;creator=factset&amp;DYN_ARGS=TRUE&amp;DOC_NAME=FAT:FQL_AUDITING_CLIENT_TEMPLATE.FAT&amp;display_string=Audit&amp;VAR:KEY=QVIRSHGNWF&amp;VAR:QUERY=RkZfRU5UUlBSX1ZBTF9EQUlMWSg0MDcxMCwsLCwsJ0RJTCcp&amp;WINDOW=FIRST_POPUP&amp;HEIGHT=450&amp;WIDTH=","450&amp;START_MAXIMIZED=FALSE&amp;VAR:CALENDAR=US&amp;VAR:SYMBOL=PCP&amp;VAR:INDEX=0"}</definedName>
    <definedName name="_103__FDSAUDITLINK__" hidden="1">{"fdsup://directions/FAT Viewer?action=UPDATE&amp;creator=factset&amp;DYN_ARGS=TRUE&amp;DOC_NAME=FAT:FQL_AUDITING_CLIENT_TEMPLATE.FAT&amp;display_string=Audit&amp;VAR:KEY=WJSDMPCDGB&amp;VAR:QUERY=RkZfRU5UUlBSX1ZBTF9EQUlMWSg0MDcxMCwsLCwsJ0RJTCcp&amp;WINDOW=FIRST_POPUP&amp;HEIGHT=450&amp;WIDTH=","450&amp;START_MAXIMIZED=FALSE&amp;VAR:CALENDAR=US&amp;VAR:SYMBOL=GR&amp;VAR:INDEX=0"}</definedName>
    <definedName name="_104__FDSAUDITLINK__" hidden="1">{"fdsup://directions/FAT Viewer?action=UPDATE&amp;creator=factset&amp;DYN_ARGS=TRUE&amp;DOC_NAME=FAT:FQL_AUDITING_CLIENT_TEMPLATE.FAT&amp;display_string=Audit&amp;VAR:KEY=OZSHQVINUL&amp;VAR:QUERY=RkZfRU5UUlBSX1ZBTF9EQUlMWSg0MDcxMCwsLCwsJ0RJTCcp&amp;WINDOW=FIRST_POPUP&amp;HEIGHT=450&amp;WIDTH=","450&amp;START_MAXIMIZED=FALSE&amp;VAR:CALENDAR=US&amp;VAR:SYMBOL=COL&amp;VAR:INDEX=0"}</definedName>
    <definedName name="_105__FDSAUDITLINK__" hidden="1">{"fdsup://directions/FAT Viewer?action=UPDATE&amp;creator=factset&amp;DYN_ARGS=TRUE&amp;DOC_NAME=FAT:FQL_AUDITING_CLIENT_TEMPLATE.FAT&amp;display_string=Audit&amp;VAR:KEY=OPURKLWDYF&amp;VAR:QUERY=RkZfRU5UUlBSX1ZBTF9EQUlMWSg0MDcxMCwsLCwsJ0RJTCcp&amp;WINDOW=FIRST_POPUP&amp;HEIGHT=450&amp;WIDTH=","450&amp;START_MAXIMIZED=FALSE&amp;VAR:CALENDAR=US&amp;VAR:SYMBOL=TDG&amp;VAR:INDEX=0"}</definedName>
    <definedName name="_106__FDSAUDITLINK__" hidden="1">{"fdsup://directions/FAT Viewer?action=UPDATE&amp;creator=factset&amp;DYN_ARGS=TRUE&amp;DOC_NAME=FAT:FQL_AUDITING_CLIENT_TEMPLATE.FAT&amp;display_string=Audit&amp;VAR:KEY=ODMXGBIHWF&amp;VAR:QUERY=RkZfRU5UUlBSX1ZBTF9EQUlMWSg0MDcxMCwsLCwsJ0RJTCcp&amp;WINDOW=FIRST_POPUP&amp;HEIGHT=450&amp;WIDTH=","450&amp;START_MAXIMIZED=FALSE&amp;VAR:CALENDAR=US&amp;VAR:SYMBOL=BEAV&amp;VAR:INDEX=0"}</definedName>
    <definedName name="_107__FDSAUDITLINK__" hidden="1">{"fdsup://directions/FAT Viewer?action=UPDATE&amp;creator=factset&amp;DYN_ARGS=TRUE&amp;DOC_NAME=FAT:FQL_AUDITING_CLIENT_TEMPLATE.FAT&amp;display_string=Audit&amp;VAR:KEY=QVIRSHGNWF&amp;VAR:QUERY=RkZfRU5UUlBSX1ZBTF9EQUlMWSg0MDcxMCwsLCwsJ0RJTCcp&amp;WINDOW=FIRST_POPUP&amp;HEIGHT=450&amp;WIDTH=","450&amp;START_MAXIMIZED=FALSE&amp;VAR:CALENDAR=US&amp;VAR:SYMBOL=PCP&amp;VAR:INDEX=0"}</definedName>
    <definedName name="_108__FDSAUDITLINK__" hidden="1">{"fdsup://directions/FAT Viewer?action=UPDATE&amp;creator=factset&amp;DYN_ARGS=TRUE&amp;DOC_NAME=FAT:FQL_AUDITING_CLIENT_TEMPLATE.FAT&amp;display_string=Audit&amp;VAR:KEY=WJSDMPCDGB&amp;VAR:QUERY=RkZfRU5UUlBSX1ZBTF9EQUlMWSg0MDcxMCwsLCwsJ0RJTCcp&amp;WINDOW=FIRST_POPUP&amp;HEIGHT=450&amp;WIDTH=","450&amp;START_MAXIMIZED=FALSE&amp;VAR:CALENDAR=US&amp;VAR:SYMBOL=GR&amp;VAR:INDEX=0"}</definedName>
    <definedName name="_109__FDSAUDITLINK__" hidden="1">{"fdsup://directions/FAT Viewer?action=UPDATE&amp;creator=factset&amp;DYN_ARGS=TRUE&amp;DOC_NAME=FAT:FQL_AUDITING_CLIENT_TEMPLATE.FAT&amp;display_string=Audit&amp;VAR:KEY=OZSHQVINUL&amp;VAR:QUERY=RkZfRU5UUlBSX1ZBTF9EQUlMWSg0MDcxMCwsLCwsJ0RJTCcp&amp;WINDOW=FIRST_POPUP&amp;HEIGHT=450&amp;WIDTH=","450&amp;START_MAXIMIZED=FALSE&amp;VAR:CALENDAR=US&amp;VAR:SYMBOL=COL&amp;VAR:INDEX=0"}</definedName>
    <definedName name="_11__FDSAUDITLINK__" hidden="1">{"fdsup://directions/FAT Viewer?action=UPDATE&amp;creator=factset&amp;DYN_ARGS=TRUE&amp;DOC_NAME=FAT:FQL_AUDITING_CLIENT_TEMPLATE.FAT&amp;display_string=Audit&amp;VAR:KEY=MZCBKVQNEH&amp;VAR:QUERY=RkZfRU5UUlBSX1ZBTF9EQUlMWSgwMS8yNi8yMDExLCwsLCwnRElMJykvRUNBX01FQU5fU0FMRVMoMjAxMSwwM","S8yNi8yMDExKQ==&amp;WINDOW=FIRST_POPUP&amp;HEIGHT=450&amp;WIDTH=450&amp;START_MAXIMIZED=FALSE&amp;VAR:CALENDAR=US&amp;VAR:SYMBOL=GD&amp;VAR:INDEX=0"}</definedName>
    <definedName name="_110__FDSAUDITLINK__" hidden="1">{"fdsup://directions/FAT Viewer?action=UPDATE&amp;creator=factset&amp;DYN_ARGS=TRUE&amp;DOC_NAME=FAT:FQL_AUDITING_CLIENT_TEMPLATE.FAT&amp;display_string=Audit&amp;VAR:KEY=OPURKLWDYF&amp;VAR:QUERY=RkZfRU5UUlBSX1ZBTF9EQUlMWSg0MDcxMCwsLCwsJ0RJTCcp&amp;WINDOW=FIRST_POPUP&amp;HEIGHT=450&amp;WIDTH=","450&amp;START_MAXIMIZED=FALSE&amp;VAR:CALENDAR=US&amp;VAR:SYMBOL=TDG&amp;VAR:INDEX=0"}</definedName>
    <definedName name="_111__FDSAUDITLINK__" hidden="1">{"fdsup://directions/FAT Viewer?action=UPDATE&amp;creator=factset&amp;DYN_ARGS=TRUE&amp;DOC_NAME=FAT:FQL_AUDITING_CLIENT_TEMPLATE.FAT&amp;display_string=Audit&amp;VAR:KEY=ODMXGBIHWF&amp;VAR:QUERY=RkZfRU5UUlBSX1ZBTF9EQUlMWSg0MDcxMCwsLCwsJ0RJTCcp&amp;WINDOW=FIRST_POPUP&amp;HEIGHT=450&amp;WIDTH=","450&amp;START_MAXIMIZED=FALSE&amp;VAR:CALENDAR=US&amp;VAR:SYMBOL=BEAV&amp;VAR:INDEX=0"}</definedName>
    <definedName name="_112__FDSAUDITLINK__" hidden="1">{"fdsup://directions/FAT Viewer?action=UPDATE&amp;creator=factset&amp;DYN_ARGS=TRUE&amp;DOC_NAME=FAT:FQL_AUDITING_CLIENT_TEMPLATE.FAT&amp;display_string=Audit&amp;VAR:KEY=QVIRSHGNWF&amp;VAR:QUERY=RkZfRU5UUlBSX1ZBTF9EQUlMWSg0MDcxMCwsLCwsJ0RJTCcp&amp;WINDOW=FIRST_POPUP&amp;HEIGHT=450&amp;WIDTH=","450&amp;START_MAXIMIZED=FALSE&amp;VAR:CALENDAR=US&amp;VAR:SYMBOL=PCP&amp;VAR:INDEX=0"}</definedName>
    <definedName name="_113__FDSAUDITLINK__" hidden="1">{"fdsup://directions/FAT Viewer?action=UPDATE&amp;creator=factset&amp;DYN_ARGS=TRUE&amp;DOC_NAME=FAT:FQL_AUDITING_CLIENT_TEMPLATE.FAT&amp;display_string=Audit&amp;VAR:KEY=WJSDMPCDGB&amp;VAR:QUERY=RkZfRU5UUlBSX1ZBTF9EQUlMWSg0MDcxMCwsLCwsJ0RJTCcp&amp;WINDOW=FIRST_POPUP&amp;HEIGHT=450&amp;WIDTH=","450&amp;START_MAXIMIZED=FALSE&amp;VAR:CALENDAR=US&amp;VAR:SYMBOL=GR&amp;VAR:INDEX=0"}</definedName>
    <definedName name="_114__FDSAUDITLINK__" hidden="1">{"fdsup://directions/FAT Viewer?action=UPDATE&amp;creator=factset&amp;DYN_ARGS=TRUE&amp;DOC_NAME=FAT:FQL_AUDITING_CLIENT_TEMPLATE.FAT&amp;display_string=Audit&amp;VAR:KEY=OZSHQVINUL&amp;VAR:QUERY=RkZfRU5UUlBSX1ZBTF9EQUlMWSg0MDcxMCwsLCwsJ0RJTCcp&amp;WINDOW=FIRST_POPUP&amp;HEIGHT=450&amp;WIDTH=","450&amp;START_MAXIMIZED=FALSE&amp;VAR:CALENDAR=US&amp;VAR:SYMBOL=COL&amp;VAR:INDEX=0"}</definedName>
    <definedName name="_115__FDSAUDITLINK__" hidden="1">{"fdsup://directions/FAT Viewer?action=UPDATE&amp;creator=factset&amp;DYN_ARGS=TRUE&amp;DOC_NAME=FAT:FQL_AUDITING_CLIENT_TEMPLATE.FAT&amp;display_string=Audit&amp;VAR:KEY=OPURKLWDYF&amp;VAR:QUERY=RkZfRU5UUlBSX1ZBTF9EQUlMWSg0MDcxMCwsLCwsJ0RJTCcp&amp;WINDOW=FIRST_POPUP&amp;HEIGHT=450&amp;WIDTH=","450&amp;START_MAXIMIZED=FALSE&amp;VAR:CALENDAR=US&amp;VAR:SYMBOL=TDG&amp;VAR:INDEX=0"}</definedName>
    <definedName name="_116__FDSAUDITLINK__" hidden="1">{"fdsup://directions/FAT Viewer?action=UPDATE&amp;creator=factset&amp;DYN_ARGS=TRUE&amp;DOC_NAME=FAT:FQL_AUDITING_CLIENT_TEMPLATE.FAT&amp;display_string=Audit&amp;VAR:KEY=ODMXGBIHWF&amp;VAR:QUERY=RkZfRU5UUlBSX1ZBTF9EQUlMWSg0MDcxMCwsLCwsJ0RJTCcp&amp;WINDOW=FIRST_POPUP&amp;HEIGHT=450&amp;WIDTH=","450&amp;START_MAXIMIZED=FALSE&amp;VAR:CALENDAR=US&amp;VAR:SYMBOL=BEAV&amp;VAR:INDEX=0"}</definedName>
    <definedName name="_117__FDSAUDITLINK__" hidden="1">{"fdsup://directions/FAT Viewer?action=UPDATE&amp;creator=factset&amp;DYN_ARGS=TRUE&amp;DOC_NAME=FAT:FQL_AUDITING_CLIENT_TEMPLATE.FAT&amp;display_string=Audit&amp;VAR:KEY=QVIRSHGNWF&amp;VAR:QUERY=RkZfRU5UUlBSX1ZBTF9EQUlMWSg0MDcxMCwsLCwsJ0RJTCcp&amp;WINDOW=FIRST_POPUP&amp;HEIGHT=450&amp;WIDTH=","450&amp;START_MAXIMIZED=FALSE&amp;VAR:CALENDAR=US&amp;VAR:SYMBOL=PCP&amp;VAR:INDEX=0"}</definedName>
    <definedName name="_118__FDSAUDITLINK__" hidden="1">{"fdsup://Directions/FactSet Auditing Viewer?action=AUDIT_VALUE&amp;DB=129&amp;ID1=38238810&amp;VALUEID=05194&amp;SDATE=201101&amp;PERIODTYPE=QTR_STD&amp;SCFT=3&amp;window=popup_no_bar&amp;width=385&amp;height=120&amp;START_MAXIMIZED=FALSE&amp;creator=factset&amp;display_string=Audit"}</definedName>
    <definedName name="_119__FDSAUDITLINK__" hidden="1">{"fdsup://Directions/FactSet Auditing Viewer?action=AUDIT_VALUE&amp;DB=129&amp;ID1=74018910&amp;VALUEID=05194&amp;SDATE=201004&amp;PERIODTYPE=QTR_STD&amp;SCFT=3&amp;window=popup_no_bar&amp;width=385&amp;height=120&amp;START_MAXIMIZED=FALSE&amp;creator=factset&amp;display_string=Audit"}</definedName>
    <definedName name="_12__FDSAUDITLINK__" hidden="1">{"fdsup://directions/FAT Viewer?action=UPDATE&amp;creator=factset&amp;DYN_ARGS=TRUE&amp;DOC_NAME=FAT:FQL_AUDITING_CLIENT_TEMPLATE.FAT&amp;display_string=Audit&amp;VAR:KEY=EJSZKPCZID&amp;VAR:QUERY=RkZfRU5UUlBSX1ZBTF9EQUlMWSgwMS8yNi8yMDExLCwsLCwnRElMJykvRUNBX01FQU5fU0FMRVMoMjAxMCwwM","S8yNi8yMDExKQ==&amp;WINDOW=FIRST_POPUP&amp;HEIGHT=450&amp;WIDTH=450&amp;START_MAXIMIZED=FALSE&amp;VAR:CALENDAR=US&amp;VAR:SYMBOL=GD&amp;VAR:INDEX=0"}</definedName>
    <definedName name="_120__FDSAUDITLINK__" hidden="1">{"fdsup://Directions/FactSet Auditing Viewer?action=AUDIT_VALUE&amp;DB=129&amp;ID1=07330210&amp;VALUEID=05194&amp;SDATE=201101&amp;PERIODTYPE=QTR_STD&amp;SCFT=3&amp;window=popup_no_bar&amp;width=385&amp;height=120&amp;START_MAXIMIZED=FALSE&amp;creator=factset&amp;display_string=Audit"}</definedName>
    <definedName name="_121__FDSAUDITLINK__" hidden="1">{"fdsup://Directions/FactSet Auditing Viewer?action=AUDIT_VALUE&amp;DB=129&amp;ID1=89364110&amp;VALUEID=05194&amp;SDATE=201102&amp;PERIODTYPE=QTR_STD&amp;SCFT=3&amp;window=popup_no_bar&amp;width=385&amp;height=120&amp;START_MAXIMIZED=FALSE&amp;creator=factset&amp;display_string=Audit"}</definedName>
    <definedName name="_122__FDSAUDITLINK__" hidden="1">{"fdsup://Directions/FactSet Auditing Viewer?action=AUDIT_VALUE&amp;DB=129&amp;ID1=77434110&amp;VALUEID=05194&amp;SDATE=201102&amp;PERIODTYPE=QTR_STD&amp;SCFT=3&amp;window=popup_no_bar&amp;width=385&amp;height=120&amp;START_MAXIMIZED=FALSE&amp;creator=factset&amp;display_string=Audit"}</definedName>
    <definedName name="_123__FDSAUDITLINK__" hidden="1">{"fdsup://Directions/FactSet Auditing Viewer?action=AUDIT_VALUE&amp;DB=129&amp;ID1=38480210&amp;VALUEID=05194&amp;SDATE=201101&amp;PERIODTYPE=QTR_STD&amp;SCFT=3&amp;window=popup_no_bar&amp;width=385&amp;height=120&amp;START_MAXIMIZED=FALSE&amp;creator=factset&amp;display_string=Audit"}</definedName>
    <definedName name="_124__FDSAUDITLINK__" hidden="1">{"fdsup://Directions/FactSet Auditing Viewer?action=AUDIT_VALUE&amp;DB=129&amp;ID1=31190010&amp;VALUEID=05194&amp;SDATE=201101&amp;PERIODTYPE=QTR_STD&amp;SCFT=3&amp;window=popup_no_bar&amp;width=385&amp;height=120&amp;START_MAXIMIZED=FALSE&amp;creator=factset&amp;display_string=Audit"}</definedName>
    <definedName name="_125__FDSAUDITLINK__" hidden="1">{"fdsup://directions/FAT Viewer?action=UPDATE&amp;creator=factset&amp;DYN_ARGS=TRUE&amp;DOC_NAME=FAT:FQL_AUDITING_CLIENT_TEMPLATE.FAT&amp;display_string=Audit&amp;VAR:KEY=WLSVKZSXYB&amp;VAR:QUERY=RkZfRU5UUlBSX1ZBTF9FQklUREFfT1BFUl9EQUlMWSg0MDgxNiw0MDgxNiwsLCwnRElMJyk=&amp;WINDOW=FIRST","_POPUP&amp;HEIGHT=450&amp;WIDTH=450&amp;START_MAXIMIZED=FALSE&amp;VAR:CALENDAR=US&amp;VAR:SYMBOL=BEAV&amp;VAR:INDEX=0"}</definedName>
    <definedName name="_126__FDSAUDITLINK__" hidden="1">{"fdsup://directions/FAT Viewer?action=UPDATE&amp;creator=factset&amp;DYN_ARGS=TRUE&amp;DOC_NAME=FAT:FQL_AUDITING_CLIENT_TEMPLATE.FAT&amp;display_string=Audit&amp;VAR:KEY=ZALMVCBKBO&amp;VAR:QUERY=RkZfRU5UUlBSX1ZBTF9FQklUREFfT1BFUl9EQUlMWSg0MDc4Niw0MDc4NiwsLCwnRElMJyk=&amp;WINDOW=FIRST","_POPUP&amp;HEIGHT=450&amp;WIDTH=450&amp;START_MAXIMIZED=FALSE&amp;VAR:CALENDAR=FIVEDAY&amp;VAR:SYMBOL=WAIR&amp;VAR:INDEX=0"}</definedName>
    <definedName name="_127__FDSAUDITLINK__" hidden="1">{"fdsup://directions/FAT Viewer?action=UPDATE&amp;creator=factset&amp;DYN_ARGS=TRUE&amp;DOC_NAME=FAT:FQL_AUDITING_CLIENT_TEMPLATE.FAT&amp;display_string=Audit&amp;VAR:KEY=RCPMJMZARU&amp;VAR:QUERY=RkZfRU5UUlBSX1ZBTF9FQklUREFfT1BFUl9EQUlMWSg0MDc1NSw0MDc1NSwsLCwnRElMJyk=&amp;WINDOW=FIRST","_POPUP&amp;HEIGHT=450&amp;WIDTH=450&amp;START_MAXIMIZED=FALSE&amp;VAR:CALENDAR=FIVEDAY&amp;VAR:SYMBOL=WAIR&amp;VAR:INDEX=0"}</definedName>
    <definedName name="_128__FDSAUDITLINK__" hidden="1">{"fdsup://directions/FAT Viewer?action=UPDATE&amp;creator=factset&amp;DYN_ARGS=TRUE&amp;DOC_NAME=FAT:FQL_AUDITING_CLIENT_TEMPLATE.FAT&amp;display_string=Audit&amp;VAR:KEY=EBIHUTIRSF&amp;VAR:QUERY=RkZfRU5UUlBSX1ZBTF9EQUlMWSg0MDc1NywsLCwsJ0RJTCcpL0VDQV9NRUFOX1NBTEVTKDIwMTEsNDA3NTcp&amp;","WINDOW=FIRST_POPUP&amp;HEIGHT=450&amp;WIDTH=450&amp;START_MAXIMIZED=FALSE&amp;VAR:CALENDAR=FIVEDAY&amp;VAR:SYMBOL=BA&amp;VAR:INDEX=0"}</definedName>
    <definedName name="_129__FDSAUDITLINK__" hidden="1">{"fdsup://directions/FAT Viewer?action=UPDATE&amp;creator=factset&amp;DYN_ARGS=TRUE&amp;DOC_NAME=FAT:FQL_AUDITING_CLIENT_TEMPLATE.FAT&amp;display_string=Audit&amp;VAR:KEY=SPITGJWREB&amp;VAR:QUERY=RkZfRU5UUlBSX1ZBTF9EQUlMWSg0MDc1NywsLCwsJ0RJTCcpL0VDQV9NRUFOX1NBTEVTKDIwMTAsNDA3NTcp&amp;","WINDOW=FIRST_POPUP&amp;HEIGHT=450&amp;WIDTH=450&amp;START_MAXIMIZED=FALSE&amp;VAR:CALENDAR=FIVEDAY&amp;VAR:SYMBOL=BA&amp;VAR:INDEX=0"}</definedName>
    <definedName name="_13__FDSAUDITLINK__" hidden="1">{"fdsup://directions/FAT Viewer?action=UPDATE&amp;creator=factset&amp;DYN_ARGS=TRUE&amp;DOC_NAME=FAT:FQL_AUDITING_CLIENT_TEMPLATE.FAT&amp;display_string=Audit&amp;VAR:KEY=MLMXWFGTAX&amp;VAR:QUERY=RkZfRU5UUlBSX1ZBTF9EQUlMWSgwMS8yNi8yMDExLCwsLCwnRElMJykvRUNBX01FQU5fRUJJVCgyMDEyLDAxL","zI2LzIwMTEp&amp;WINDOW=FIRST_POPUP&amp;HEIGHT=450&amp;WIDTH=450&amp;START_MAXIMIZED=FALSE&amp;VAR:CALENDAR=US&amp;VAR:SYMBOL=GD&amp;VAR:INDEX=0"}</definedName>
    <definedName name="_130__FDSAUDITLINK__" hidden="1">{"fdsup://directions/FAT Viewer?action=UPDATE&amp;creator=factset&amp;DYN_ARGS=TRUE&amp;DOC_NAME=FAT:FQL_AUDITING_CLIENT_TEMPLATE.FAT&amp;display_string=Audit&amp;VAR:KEY=SDQNADCHGV&amp;VAR:QUERY=RkZfRU5UUlBSX1ZBTF9EQUlMWSg0MDc1NywsLCwsJ0RJTCcpL0VDQV9NRUFOX0VCSVQoMjAxMiw0MDc1Nyk=&amp;","WINDOW=FIRST_POPUP&amp;HEIGHT=450&amp;WIDTH=450&amp;START_MAXIMIZED=FALSE&amp;VAR:CALENDAR=FIVEDAY&amp;VAR:SYMBOL=BA&amp;VAR:INDEX=0"}</definedName>
    <definedName name="_131__FDSAUDITLINK__" hidden="1">{"fdsup://directions/FAT Viewer?action=UPDATE&amp;creator=factset&amp;DYN_ARGS=TRUE&amp;DOC_NAME=FAT:FQL_AUDITING_CLIENT_TEMPLATE.FAT&amp;display_string=Audit&amp;VAR:KEY=GJEZWPMFKV&amp;VAR:QUERY=RkZfRU5UUlBSX1ZBTF9EQUlMWSg0MDc1NywsLCwsJ0RJTCcpL0VDQV9NRUFOX0VCSVQoMjAxMSw0MDc1Nyk=&amp;","WINDOW=FIRST_POPUP&amp;HEIGHT=450&amp;WIDTH=450&amp;START_MAXIMIZED=FALSE&amp;VAR:CALENDAR=FIVEDAY&amp;VAR:SYMBOL=BA&amp;VAR:INDEX=0"}</definedName>
    <definedName name="_132__FDSAUDITLINK__" hidden="1">{"fdsup://directions/FAT Viewer?action=UPDATE&amp;creator=factset&amp;DYN_ARGS=TRUE&amp;DOC_NAME=FAT:FQL_AUDITING_CLIENT_TEMPLATE.FAT&amp;display_string=Audit&amp;VAR:KEY=YTWVWJCHEZ&amp;VAR:QUERY=RkZfRU5UUlBSX1ZBTF9EQUlMWSg0MDc1NywsLCwsJ0RJTCcpL0VDQV9NRUFOX0VCSVQoMjAxMCw0MDc1Nyk=&amp;","WINDOW=FIRST_POPUP&amp;HEIGHT=450&amp;WIDTH=450&amp;START_MAXIMIZED=FALSE&amp;VAR:CALENDAR=FIVEDAY&amp;VAR:SYMBOL=BA&amp;VAR:INDEX=0"}</definedName>
    <definedName name="_133__FDSAUDITLINK__" hidden="1">{"fdsup://directions/FAT Viewer?action=UPDATE&amp;creator=factset&amp;DYN_ARGS=TRUE&amp;DOC_NAME=FAT:FQL_AUDITING_CLIENT_TEMPLATE.FAT&amp;display_string=Audit&amp;VAR:KEY=GBMNAXALGP&amp;VAR:QUERY=RkZfRU5UUlBSX1ZBTF9EQUlMWSg0MDc1NywsLCwsJ0RJTCcpL0VDQV9NRUFOX0VCSVREQSgyMDEyLDQwNzU3K","Q==&amp;WINDOW=FIRST_POPUP&amp;HEIGHT=450&amp;WIDTH=450&amp;START_MAXIMIZED=FALSE&amp;VAR:CALENDAR=FIVEDAY&amp;VAR:SYMBOL=BA&amp;VAR:INDEX=0"}</definedName>
    <definedName name="_134__FDSAUDITLINK__" hidden="1">{"fdsup://directions/FAT Viewer?action=UPDATE&amp;creator=factset&amp;DYN_ARGS=TRUE&amp;DOC_NAME=FAT:FQL_AUDITING_CLIENT_TEMPLATE.FAT&amp;display_string=Audit&amp;VAR:KEY=INMTWTMLCH&amp;VAR:QUERY=RkZfRU5UUlBSX1ZBTF9EQUlMWSg0MDc1NywsLCwsJ0RJTCcpL0VDQV9NRUFOX0VCSVREQSgyMDExLDQwNzU3K","Q==&amp;WINDOW=FIRST_POPUP&amp;HEIGHT=450&amp;WIDTH=450&amp;START_MAXIMIZED=FALSE&amp;VAR:CALENDAR=FIVEDAY&amp;VAR:SYMBOL=BA&amp;VAR:INDEX=0"}</definedName>
    <definedName name="_135__FDSAUDITLINK__" hidden="1">{"fdsup://directions/FAT Viewer?action=UPDATE&amp;creator=factset&amp;DYN_ARGS=TRUE&amp;DOC_NAME=FAT:FQL_AUDITING_CLIENT_TEMPLATE.FAT&amp;display_string=Audit&amp;VAR:KEY=QXMHWJETER&amp;VAR:QUERY=RkZfRU5UUlBSX1ZBTF9EQUlMWSg0MDc1NywsLCwsJ0RJTCcpL0VDQV9NRUFOX0VCSVREQSgyMDEwLDQwNzU3K","Q==&amp;WINDOW=FIRST_POPUP&amp;HEIGHT=450&amp;WIDTH=450&amp;START_MAXIMIZED=FALSE&amp;VAR:CALENDAR=FIVEDAY&amp;VAR:SYMBOL=BA&amp;VAR:INDEX=0"}</definedName>
    <definedName name="_136__FDSAUDITLINK__" hidden="1">{"fdsup://directions/FAT Viewer?action=UPDATE&amp;creator=factset&amp;DYN_ARGS=TRUE&amp;DOC_NAME=FAT:FQL_AUDITING_CLIENT_TEMPLATE.FAT&amp;display_string=Audit&amp;VAR:KEY=GXWJGZEVON&amp;VAR:QUERY=Q1NGX1JPQShBTk4sMENZKQ==&amp;WINDOW=FIRST_POPUP&amp;HEIGHT=450&amp;WIDTH=450&amp;START_MAXIMIZED=FALS","E&amp;VAR:CALENDAR=US&amp;VAR:SYMBOL=BEAV&amp;VAR:INDEX=0"}</definedName>
    <definedName name="_137__FDSAUDITLINK__" hidden="1">{"fdsup://directions/FAT Viewer?action=UPDATE&amp;creator=factset&amp;DYN_ARGS=TRUE&amp;DOC_NAME=FAT:FQL_AUDITING_CLIENT_TEMPLATE.FAT&amp;display_string=Audit&amp;VAR:KEY=GXIBMXUZIT&amp;VAR:QUERY=Q1NGX1JPQShBTk4sMENZKQ==&amp;WINDOW=FIRST_POPUP&amp;HEIGHT=450&amp;WIDTH=450&amp;START_MAXIMIZED=FALS","E&amp;VAR:CALENDAR=US&amp;VAR:SYMBOL=PCP&amp;VAR:INDEX=0"}</definedName>
    <definedName name="_138__FDSAUDITLINK__" hidden="1">{"fdsup://directions/FAT Viewer?action=UPDATE&amp;creator=factset&amp;DYN_ARGS=TRUE&amp;DOC_NAME=FAT:FQL_AUDITING_CLIENT_TEMPLATE.FAT&amp;display_string=Audit&amp;VAR:KEY=QXCZWBMFEX&amp;VAR:QUERY=Q1NGX1JPQShBTk4sMENZKQ==&amp;WINDOW=FIRST_POPUP&amp;HEIGHT=450&amp;WIDTH=450&amp;START_MAXIMIZED=FALS","E&amp;VAR:CALENDAR=US&amp;VAR:SYMBOL=BEAV&amp;VAR:INDEX=0"}</definedName>
    <definedName name="_139__FDSAUDITLINK__" hidden="1">{"fdsup://directions/FAT Viewer?action=UPDATE&amp;creator=factset&amp;DYN_ARGS=TRUE&amp;DOC_NAME=FAT:FQL_AUDITING_CLIENT_TEMPLATE.FAT&amp;display_string=Audit&amp;VAR:KEY=MRWZGXSPAT&amp;VAR:QUERY=Q1NGX1JPQShBTk4sMENZKQ==&amp;WINDOW=FIRST_POPUP&amp;HEIGHT=450&amp;WIDTH=450&amp;START_MAXIMIZED=FALS","E&amp;VAR:CALENDAR=US&amp;VAR:SYMBOL=TDG&amp;VAR:INDEX=0"}</definedName>
    <definedName name="_14__FDSAUDITLINK__" hidden="1">{"fdsup://directions/FAT Viewer?action=UPDATE&amp;creator=factset&amp;DYN_ARGS=TRUE&amp;DOC_NAME=FAT:FQL_AUDITING_CLIENT_TEMPLATE.FAT&amp;display_string=Audit&amp;VAR:KEY=CHUDEDKRIB&amp;VAR:QUERY=RkZfRU5UUlBSX1ZBTF9EQUlMWSgwMS8yNi8yMDExLCwsLCwnRElMJykvRUNBX01FQU5fRUJJVCgyMDExLDAxL","zI2LzIwMTEp&amp;WINDOW=FIRST_POPUP&amp;HEIGHT=450&amp;WIDTH=450&amp;START_MAXIMIZED=FALSE&amp;VAR:CALENDAR=US&amp;VAR:SYMBOL=GD&amp;VAR:INDEX=0"}</definedName>
    <definedName name="_140__FDSAUDITLINK__" hidden="1">{"fdsup://directions/FAT Viewer?action=UPDATE&amp;creator=factset&amp;DYN_ARGS=TRUE&amp;DOC_NAME=FAT:FQL_AUDITING_CLIENT_TEMPLATE.FAT&amp;display_string=Audit&amp;VAR:KEY=IXYZEFIXMN&amp;VAR:QUERY=Q1NGX1JPQShBTk4sMENZKQ==&amp;WINDOW=FIRST_POPUP&amp;HEIGHT=450&amp;WIDTH=450&amp;START_MAXIMIZED=FALS","E&amp;VAR:CALENDAR=US&amp;VAR:SYMBOL=COL&amp;VAR:INDEX=0"}</definedName>
    <definedName name="_141__FDSAUDITLINK__" hidden="1">{"fdsup://directions/FAT Viewer?action=UPDATE&amp;creator=factset&amp;DYN_ARGS=TRUE&amp;DOC_NAME=FAT:FQL_AUDITING_CLIENT_TEMPLATE.FAT&amp;display_string=Audit&amp;VAR:KEY=QNSXYLMHYF&amp;VAR:QUERY=Q1NGX1JPQShBTk4sMENZKQ==&amp;WINDOW=FIRST_POPUP&amp;HEIGHT=450&amp;WIDTH=450&amp;START_MAXIMIZED=FALS","E&amp;VAR:CALENDAR=US&amp;VAR:SYMBOL=MSM&amp;VAR:INDEX=0"}</definedName>
    <definedName name="_142__FDSAUDITLINK__" hidden="1">{"fdsup://directions/FAT Viewer?action=UPDATE&amp;creator=factset&amp;DYN_ARGS=TRUE&amp;DOC_NAME=FAT:FQL_AUDITING_CLIENT_TEMPLATE.FAT&amp;display_string=Audit&amp;VAR:KEY=ORIXQZKJIB&amp;VAR:QUERY=Q1NGX1JPQShBTk4sMENZKQ==&amp;WINDOW=FIRST_POPUP&amp;HEIGHT=450&amp;WIDTH=450&amp;START_MAXIMIZED=FALS","E&amp;VAR:CALENDAR=US&amp;VAR:SYMBOL=WSO&amp;VAR:INDEX=0"}</definedName>
    <definedName name="_143__FDSAUDITLINK__" hidden="1">{"fdsup://directions/FAT Viewer?action=UPDATE&amp;creator=factset&amp;DYN_ARGS=TRUE&amp;DOC_NAME=FAT:FQL_AUDITING_CLIENT_TEMPLATE.FAT&amp;display_string=Audit&amp;VAR:KEY=OZOBYJADCF&amp;VAR:QUERY=Q1NGX1JPQShBTk4sMENZKQ==&amp;WINDOW=FIRST_POPUP&amp;HEIGHT=450&amp;WIDTH=450&amp;START_MAXIMIZED=FALS","E&amp;VAR:CALENDAR=US&amp;VAR:SYMBOL=GWW&amp;VAR:INDEX=0"}</definedName>
    <definedName name="_144__FDSAUDITLINK__" hidden="1">{"fdsup://directions/FAT Viewer?action=UPDATE&amp;creator=factset&amp;DYN_ARGS=TRUE&amp;DOC_NAME=FAT:FQL_AUDITING_CLIENT_TEMPLATE.FAT&amp;display_string=Audit&amp;VAR:KEY=CLWLUJYFUF&amp;VAR:QUERY=Q1NGX1JPQShBTk4sMENZKQ==&amp;WINDOW=FIRST_POPUP&amp;HEIGHT=450&amp;WIDTH=450&amp;START_MAXIMIZED=FALS","E&amp;VAR:CALENDAR=US&amp;VAR:SYMBOL=FAST&amp;VAR:INDEX=0"}</definedName>
    <definedName name="_145__FDSAUDITLINK__" hidden="1">{"fdsup://directions/FAT Viewer?action=UPDATE&amp;creator=factset&amp;DYN_ARGS=TRUE&amp;DOC_NAME=FAT:FQL_AUDITING_CLIENT_TEMPLATE.FAT&amp;display_string=Audit&amp;VAR:KEY=OHEPAXUZCP&amp;VAR:QUERY=Q1NGX1JPRShBTk4sMENZKQ==&amp;WINDOW=FIRST_POPUP&amp;HEIGHT=450&amp;WIDTH=450&amp;START_MAXIMIZED=FALS","E&amp;VAR:CALENDAR=US&amp;VAR:SYMBOL=PCP&amp;VAR:INDEX=0"}</definedName>
    <definedName name="_146__FDSAUDITLINK__" hidden="1">{"fdsup://directions/FAT Viewer?action=UPDATE&amp;creator=factset&amp;DYN_ARGS=TRUE&amp;DOC_NAME=FAT:FQL_AUDITING_CLIENT_TEMPLATE.FAT&amp;display_string=Audit&amp;VAR:KEY=KHYFEBGJSX&amp;VAR:QUERY=Q1NGX1JPRShBTk4sMENZKQ==&amp;WINDOW=FIRST_POPUP&amp;HEIGHT=450&amp;WIDTH=450&amp;START_MAXIMIZED=FALS","E&amp;VAR:CALENDAR=US&amp;VAR:SYMBOL=BEAV&amp;VAR:INDEX=0"}</definedName>
    <definedName name="_147__FDSAUDITLINK__" hidden="1">{"fdsup://directions/FAT Viewer?action=UPDATE&amp;creator=factset&amp;DYN_ARGS=TRUE&amp;DOC_NAME=FAT:FQL_AUDITING_CLIENT_TEMPLATE.FAT&amp;display_string=Audit&amp;VAR:KEY=CBWNMFURWD&amp;VAR:QUERY=Q1NGX1JPRShBTk4sMENZKQ==&amp;WINDOW=FIRST_POPUP&amp;HEIGHT=450&amp;WIDTH=450&amp;START_MAXIMIZED=FALS","E&amp;VAR:CALENDAR=US&amp;VAR:SYMBOL=TDG&amp;VAR:INDEX=0"}</definedName>
    <definedName name="_148__FDSAUDITLINK__" hidden="1">{"fdsup://directions/FAT Viewer?action=UPDATE&amp;creator=factset&amp;DYN_ARGS=TRUE&amp;DOC_NAME=FAT:FQL_AUDITING_CLIENT_TEMPLATE.FAT&amp;display_string=Audit&amp;VAR:KEY=WDSTKZERIN&amp;VAR:QUERY=Q1NGX1JPRShBTk4sMENZKQ==&amp;WINDOW=FIRST_POPUP&amp;HEIGHT=450&amp;WIDTH=450&amp;START_MAXIMIZED=FALS","E&amp;VAR:CALENDAR=US&amp;VAR:SYMBOL=COL&amp;VAR:INDEX=0"}</definedName>
    <definedName name="_149__FDSAUDITLINK__" hidden="1">{"fdsup://directions/FAT Viewer?action=UPDATE&amp;creator=factset&amp;DYN_ARGS=TRUE&amp;DOC_NAME=FAT:FQL_AUDITING_CLIENT_TEMPLATE.FAT&amp;display_string=Audit&amp;VAR:KEY=OPWBQRMNOD&amp;VAR:QUERY=Q1NGX1JPRShBTk4sMENZKQ==&amp;WINDOW=FIRST_POPUP&amp;HEIGHT=450&amp;WIDTH=450&amp;START_MAXIMIZED=FALS","E&amp;VAR:CALENDAR=US&amp;VAR:SYMBOL=MSM&amp;VAR:INDEX=0"}</definedName>
    <definedName name="_15__FDSAUDITLINK__" hidden="1">{"fdsup://directions/FAT Viewer?action=UPDATE&amp;creator=factset&amp;DYN_ARGS=TRUE&amp;DOC_NAME=FAT:FQL_AUDITING_CLIENT_TEMPLATE.FAT&amp;display_string=Audit&amp;VAR:KEY=OPERMTELGT&amp;VAR:QUERY=RkZfRU5UUlBSX1ZBTF9EQUlMWSgwMS8yNi8yMDExLCwsLCwnRElMJykvRUNBX01FQU5fRUJJVCgyMDEwLDAxL","zI2LzIwMTEp&amp;WINDOW=FIRST_POPUP&amp;HEIGHT=450&amp;WIDTH=450&amp;START_MAXIMIZED=FALSE&amp;VAR:CALENDAR=US&amp;VAR:SYMBOL=GD&amp;VAR:INDEX=0"}</definedName>
    <definedName name="_150__FDSAUDITLINK__" hidden="1">{"fdsup://directions/FAT Viewer?action=UPDATE&amp;creator=factset&amp;DYN_ARGS=TRUE&amp;DOC_NAME=FAT:FQL_AUDITING_CLIENT_TEMPLATE.FAT&amp;display_string=Audit&amp;VAR:KEY=KDYRYLKPAJ&amp;VAR:QUERY=Q1NGX1JPRShBTk4sMENZKQ==&amp;WINDOW=FIRST_POPUP&amp;HEIGHT=450&amp;WIDTH=450&amp;START_MAXIMIZED=FALS","E&amp;VAR:CALENDAR=US&amp;VAR:SYMBOL=WSO&amp;VAR:INDEX=0"}</definedName>
    <definedName name="_151__FDSAUDITLINK__" hidden="1">{"fdsup://directions/FAT Viewer?action=UPDATE&amp;creator=factset&amp;DYN_ARGS=TRUE&amp;DOC_NAME=FAT:FQL_AUDITING_CLIENT_TEMPLATE.FAT&amp;display_string=Audit&amp;VAR:KEY=OHETQPQZUL&amp;VAR:QUERY=Q1NGX1JPRShBTk4sMENZKQ==&amp;WINDOW=FIRST_POPUP&amp;HEIGHT=450&amp;WIDTH=450&amp;START_MAXIMIZED=FALS","E&amp;VAR:CALENDAR=US&amp;VAR:SYMBOL=GWW&amp;VAR:INDEX=0"}</definedName>
    <definedName name="_152__FDSAUDITLINK__" hidden="1">{"fdsup://directions/FAT Viewer?action=UPDATE&amp;creator=factset&amp;DYN_ARGS=TRUE&amp;DOC_NAME=FAT:FQL_AUDITING_CLIENT_TEMPLATE.FAT&amp;display_string=Audit&amp;VAR:KEY=CHYXGZEPUF&amp;VAR:QUERY=Q1NGX1JPRShBTk4sMENZKQ==&amp;WINDOW=FIRST_POPUP&amp;HEIGHT=450&amp;WIDTH=450&amp;START_MAXIMIZED=FALS","E&amp;VAR:CALENDAR=US&amp;VAR:SYMBOL=FAST&amp;VAR:INDEX=0"}</definedName>
    <definedName name="_153__FDSAUDITLINK__" hidden="1">{"fdsup://directions/FAT Viewer?action=UPDATE&amp;creator=factset&amp;DYN_ARGS=TRUE&amp;DOC_NAME=FAT:FQL_AUDITING_CLIENT_TEMPLATE.FAT&amp;display_string=Audit&amp;VAR:KEY=MLQVQVMROF&amp;VAR:QUERY=RkZfRU5UUlBSX1ZBTF9EQUlMWSg0MDg0OCwsLCwsJ0RJTCcpIC8gRUNBX01FQU5fU0FMRVMoMjAxMiw0MDg0O","Ck=&amp;WINDOW=FIRST_POPUP&amp;HEIGHT=450&amp;WIDTH=450&amp;START_MAXIMIZED=FALSE&amp;VAR:CALENDAR=FIVEDAY&amp;VAR:SYMBOL=GR&amp;VAR:INDEX=0"}</definedName>
    <definedName name="_154__FDSAUDITLINK__" hidden="1">{"fdsup://directions/FAT Viewer?action=UPDATE&amp;creator=factset&amp;DYN_ARGS=TRUE&amp;DOC_NAME=FAT:FQL_AUDITING_CLIENT_TEMPLATE.FAT&amp;display_string=Audit&amp;VAR:KEY=DWVMZOHGNA&amp;VAR:QUERY=RkZfRU5UUlBSX1ZBTF9EQUlMWSg0MDg0OCwsLCwsJ0RJTCcpIC8gRUNBX01FQU5fU0FMRVMoMjAxMSw0MDg0O","Ck=&amp;WINDOW=FIRST_POPUP&amp;HEIGHT=450&amp;WIDTH=450&amp;START_MAXIMIZED=FALSE&amp;VAR:CALENDAR=FIVEDAY&amp;VAR:SYMBOL=GR&amp;VAR:INDEX=0"}</definedName>
    <definedName name="_155__FDSAUDITLINK__" hidden="1">{"fdsup://directions/FAT Viewer?action=UPDATE&amp;creator=factset&amp;DYN_ARGS=TRUE&amp;DOC_NAME=FAT:FQL_AUDITING_CLIENT_TEMPLATE.FAT&amp;display_string=Audit&amp;VAR:KEY=YJIHWJWFMZ&amp;VAR:QUERY=RkZfRU5UUlBSX1ZBTF9EQUlMWSg0MDg0OCwsLCwsJ0RJTCcpIC8gRUNBX01FQU5fU0FMRVMoMjAxMCw0MDg0O","Ck=&amp;WINDOW=FIRST_POPUP&amp;HEIGHT=450&amp;WIDTH=450&amp;START_MAXIMIZED=FALSE&amp;VAR:CALENDAR=FIVEDAY&amp;VAR:SYMBOL=GR&amp;VAR:INDEX=0"}</definedName>
    <definedName name="_156__FDSAUDITLINK__" hidden="1">{"fdsup://directions/FAT Viewer?action=UPDATE&amp;creator=factset&amp;DYN_ARGS=TRUE&amp;DOC_NAME=FAT:FQL_AUDITING_CLIENT_TEMPLATE.FAT&amp;display_string=Audit&amp;VAR:KEY=RYDCRKJWDO&amp;VAR:QUERY=RkZfRU5UUlBSX1ZBTF9EQUlMWSg0MDg0OCwsLCwsJ0RJTCcpIC8gRUNBX01FQU5fRUJJVCgyMDEyLDQwODQ4K","Q==&amp;WINDOW=FIRST_POPUP&amp;HEIGHT=450&amp;WIDTH=450&amp;START_MAXIMIZED=FALSE&amp;VAR:CALENDAR=FIVEDAY&amp;VAR:SYMBOL=GR&amp;VAR:INDEX=0"}</definedName>
    <definedName name="_157__FDSAUDITLINK__" hidden="1">{"fdsup://directions/FAT Viewer?action=UPDATE&amp;creator=factset&amp;DYN_ARGS=TRUE&amp;DOC_NAME=FAT:FQL_AUDITING_CLIENT_TEMPLATE.FAT&amp;display_string=Audit&amp;VAR:KEY=YVEXEXYBUV&amp;VAR:QUERY=RkZfRU5UUlBSX1ZBTF9EQUlMWSg0MDg0OCwsLCwsJ0RJTCcpIC8gRUNBX01FQU5fRUJJVCgyMDExLDQwODQ4K","Q==&amp;WINDOW=FIRST_POPUP&amp;HEIGHT=450&amp;WIDTH=450&amp;START_MAXIMIZED=FALSE&amp;VAR:CALENDAR=FIVEDAY&amp;VAR:SYMBOL=GR&amp;VAR:INDEX=0"}</definedName>
    <definedName name="_158__FDSAUDITLINK__" hidden="1">{"fdsup://directions/FAT Viewer?action=UPDATE&amp;creator=factset&amp;DYN_ARGS=TRUE&amp;DOC_NAME=FAT:FQL_AUDITING_CLIENT_TEMPLATE.FAT&amp;display_string=Audit&amp;VAR:KEY=HUZQJGBQRY&amp;VAR:QUERY=RkZfRU5UUlBSX1ZBTF9EQUlMWSg0MDg0OCwsLCwsJ0RJTCcpIC8gRUNBX01FQU5fRUJJVCgyMDEwLDQwODQ4K","Q==&amp;WINDOW=FIRST_POPUP&amp;HEIGHT=450&amp;WIDTH=450&amp;START_MAXIMIZED=FALSE&amp;VAR:CALENDAR=FIVEDAY&amp;VAR:SYMBOL=GR&amp;VAR:INDEX=0"}</definedName>
    <definedName name="_159__FDSAUDITLINK__" hidden="1">{"fdsup://directions/FAT Viewer?action=UPDATE&amp;creator=factset&amp;DYN_ARGS=TRUE&amp;DOC_NAME=FAT:FQL_AUDITING_CLIENT_TEMPLATE.FAT&amp;display_string=Audit&amp;VAR:KEY=WVKNOJQTET&amp;VAR:QUERY=RkZfRU5UUlBSX1ZBTF9EQUlMWSg0MDg0OCwsLCwsJ0RJTCcpIC8gRUNBX01FQU5fRUJJVERBKDIwMTIsNDA4N","Dgp&amp;WINDOW=FIRST_POPUP&amp;HEIGHT=450&amp;WIDTH=450&amp;START_MAXIMIZED=FALSE&amp;VAR:CALENDAR=FIVEDAY&amp;VAR:SYMBOL=GR&amp;VAR:INDEX=0"}</definedName>
    <definedName name="_16__123Graph_Bｸﾞﾗﾌ_1" hidden="1">[1]ｾｸﾞﾒﾝﾄ!$E$165:$I$165</definedName>
    <definedName name="_16__FDSAUDITLINK__" hidden="1">{"fdsup://directions/FAT Viewer?action=UPDATE&amp;creator=factset&amp;DYN_ARGS=TRUE&amp;DOC_NAME=FAT:FQL_AUDITING_CLIENT_TEMPLATE.FAT&amp;display_string=Audit&amp;VAR:KEY=MFCZOVKNWX&amp;VAR:QUERY=RkZfRU5UUlBSX1ZBTF9EQUlMWSgwMS8yNi8yMDExLCwsLCwnRElMJykvRUNBX01FQU5fRUJJVERBKDIwMTIsM","DEvMjYvMjAxMSk=&amp;WINDOW=FIRST_POPUP&amp;HEIGHT=450&amp;WIDTH=450&amp;START_MAXIMIZED=FALSE&amp;VAR:CALENDAR=US&amp;VAR:SYMBOL=GD&amp;VAR:INDEX=0"}</definedName>
    <definedName name="_160__FDSAUDITLINK__" hidden="1">{"fdsup://directions/FAT Viewer?action=UPDATE&amp;creator=factset&amp;DYN_ARGS=TRUE&amp;DOC_NAME=FAT:FQL_AUDITING_CLIENT_TEMPLATE.FAT&amp;display_string=Audit&amp;VAR:KEY=NIRGPWFKRA&amp;VAR:QUERY=RkZfRU5UUlBSX1ZBTF9EQUlMWSg0MDg0OCwsLCwsJ0RJTCcpIC8gRUNBX01FQU5fRUJJVERBKDIwMTEsNDA4N","Dgp&amp;WINDOW=FIRST_POPUP&amp;HEIGHT=450&amp;WIDTH=450&amp;START_MAXIMIZED=FALSE&amp;VAR:CALENDAR=FIVEDAY&amp;VAR:SYMBOL=GR&amp;VAR:INDEX=0"}</definedName>
    <definedName name="_161__FDSAUDITLINK__" hidden="1">{"fdsup://directions/FAT Viewer?action=UPDATE&amp;creator=factset&amp;DYN_ARGS=TRUE&amp;DOC_NAME=FAT:FQL_AUDITING_CLIENT_TEMPLATE.FAT&amp;display_string=Audit&amp;VAR:KEY=SBYDELENAT&amp;VAR:QUERY=RkZfRU5UUlBSX1ZBTF9EQUlMWSg0MDg0OCwsLCwsJ0RJTCcpIC8gRUNBX01FQU5fRUJJVERBKDIwMTAsNDA4N","Dgp&amp;WINDOW=FIRST_POPUP&amp;HEIGHT=450&amp;WIDTH=450&amp;START_MAXIMIZED=FALSE&amp;VAR:CALENDAR=FIVEDAY&amp;VAR:SYMBOL=GR&amp;VAR:INDEX=0"}</definedName>
    <definedName name="_162__FDSAUDITLINK__" hidden="1">{"fdsup://directions/FAT Viewer?action=UPDATE&amp;creator=factset&amp;DYN_ARGS=TRUE&amp;DOC_NAME=FAT:FQL_AUDITING_CLIENT_TEMPLATE.FAT&amp;display_string=Audit&amp;VAR:KEY=MTSHCHQTEV&amp;VAR:QUERY=RkZfRU5UUlBSX1ZBTF9EQUlMWSg0MDg0OCwsLCwsJ0RJTCcpIC8gRUNBX01FQU5fU0FMRVMoMjAxMiw0MDg0O","Ck=&amp;WINDOW=FIRST_POPUP&amp;HEIGHT=450&amp;WIDTH=450&amp;START_MAXIMIZED=FALSE&amp;VAR:CALENDAR=FIVEDAY&amp;VAR:SYMBOL=COL&amp;VAR:INDEX=0"}</definedName>
    <definedName name="_163__FDSAUDITLINK__" hidden="1">{"fdsup://directions/FAT Viewer?action=UPDATE&amp;creator=factset&amp;DYN_ARGS=TRUE&amp;DOC_NAME=FAT:FQL_AUDITING_CLIENT_TEMPLATE.FAT&amp;display_string=Audit&amp;VAR:KEY=RQPOVWTKDC&amp;VAR:QUERY=RkZfRU5UUlBSX1ZBTF9EQUlMWSg0MDg0OCwsLCwsJ0RJTCcpIC8gRUNBX01FQU5fU0FMRVMoMjAxMSw0MDg0O","Ck=&amp;WINDOW=FIRST_POPUP&amp;HEIGHT=450&amp;WIDTH=450&amp;START_MAXIMIZED=FALSE&amp;VAR:CALENDAR=FIVEDAY&amp;VAR:SYMBOL=COL&amp;VAR:INDEX=0"}</definedName>
    <definedName name="_164__FDSAUDITLINK__" hidden="1">{"fdsup://directions/FAT Viewer?action=UPDATE&amp;creator=factset&amp;DYN_ARGS=TRUE&amp;DOC_NAME=FAT:FQL_AUDITING_CLIENT_TEMPLATE.FAT&amp;display_string=Audit&amp;VAR:KEY=WZQLCVCFCX&amp;VAR:QUERY=RkZfRU5UUlBSX1ZBTF9EQUlMWSg0MDg0OCwsLCwsJ0RJTCcpIC8gRUNBX01FQU5fU0FMRVMoMjAxMCw0MDg0O","Ck=&amp;WINDOW=FIRST_POPUP&amp;HEIGHT=450&amp;WIDTH=450&amp;START_MAXIMIZED=FALSE&amp;VAR:CALENDAR=FIVEDAY&amp;VAR:SYMBOL=COL&amp;VAR:INDEX=0"}</definedName>
    <definedName name="_165__FDSAUDITLINK__" hidden="1">{"fdsup://directions/FAT Viewer?action=UPDATE&amp;creator=factset&amp;DYN_ARGS=TRUE&amp;DOC_NAME=FAT:FQL_AUDITING_CLIENT_TEMPLATE.FAT&amp;display_string=Audit&amp;VAR:KEY=VARGRSRWFE&amp;VAR:QUERY=RkZfRU5UUlBSX1ZBTF9EQUlMWSg0MDg0OCwsLCwsJ0RJTCcpIC8gRUNBX01FQU5fRUJJVCgyMDEyLDQwODQ4K","Q==&amp;WINDOW=FIRST_POPUP&amp;HEIGHT=450&amp;WIDTH=450&amp;START_MAXIMIZED=FALSE&amp;VAR:CALENDAR=FIVEDAY&amp;VAR:SYMBOL=COL&amp;VAR:INDEX=0"}</definedName>
    <definedName name="_166__FDSAUDITLINK__" hidden="1">{"fdsup://directions/FAT Viewer?action=UPDATE&amp;creator=factset&amp;DYN_ARGS=TRUE&amp;DOC_NAME=FAT:FQL_AUDITING_CLIENT_TEMPLATE.FAT&amp;display_string=Audit&amp;VAR:KEY=CZQPOVUPCN&amp;VAR:QUERY=RkZfRU5UUlBSX1ZBTF9EQUlMWSg0MDg0OCwsLCwsJ0RJTCcpIC8gRUNBX01FQU5fRUJJVCgyMDExLDQwODQ4K","Q==&amp;WINDOW=FIRST_POPUP&amp;HEIGHT=450&amp;WIDTH=450&amp;START_MAXIMIZED=FALSE&amp;VAR:CALENDAR=FIVEDAY&amp;VAR:SYMBOL=COL&amp;VAR:INDEX=0"}</definedName>
    <definedName name="_167__FDSAUDITLINK__" hidden="1">{"fdsup://directions/FAT Viewer?action=UPDATE&amp;creator=factset&amp;DYN_ARGS=TRUE&amp;DOC_NAME=FAT:FQL_AUDITING_CLIENT_TEMPLATE.FAT&amp;display_string=Audit&amp;VAR:KEY=HOZANCLSZG&amp;VAR:QUERY=RkZfRU5UUlBSX1ZBTF9EQUlMWSg0MDg0OCwsLCwsJ0RJTCcpIC8gRUNBX01FQU5fRUJJVCgyMDEwLDQwODQ4K","Q==&amp;WINDOW=FIRST_POPUP&amp;HEIGHT=450&amp;WIDTH=450&amp;START_MAXIMIZED=FALSE&amp;VAR:CALENDAR=FIVEDAY&amp;VAR:SYMBOL=COL&amp;VAR:INDEX=0"}</definedName>
    <definedName name="_168__FDSAUDITLINK__" hidden="1">{"fdsup://directions/FAT Viewer?action=UPDATE&amp;creator=factset&amp;DYN_ARGS=TRUE&amp;DOC_NAME=FAT:FQL_AUDITING_CLIENT_TEMPLATE.FAT&amp;display_string=Audit&amp;VAR:KEY=UZKDURAJOD&amp;VAR:QUERY=RkZfRU5UUlBSX1ZBTF9EQUlMWSg0MDg0OCwsLCwsJ0RJTCcpIC8gRUNBX01FQU5fRUJJVERBKDIwMTIsNDA4N","Dgp&amp;WINDOW=FIRST_POPUP&amp;HEIGHT=450&amp;WIDTH=450&amp;START_MAXIMIZED=FALSE&amp;VAR:CALENDAR=FIVEDAY&amp;VAR:SYMBOL=COL&amp;VAR:INDEX=0"}</definedName>
    <definedName name="_169__FDSAUDITLINK__" hidden="1">{"fdsup://directions/FAT Viewer?action=UPDATE&amp;creator=factset&amp;DYN_ARGS=TRUE&amp;DOC_NAME=FAT:FQL_AUDITING_CLIENT_TEMPLATE.FAT&amp;display_string=Audit&amp;VAR:KEY=RCVILMBYFQ&amp;VAR:QUERY=RkZfRU5UUlBSX1ZBTF9EQUlMWSg0MDg0OCwsLCwsJ0RJTCcpIC8gRUNBX01FQU5fRUJJVERBKDIwMTEsNDA4N","Dgp&amp;WINDOW=FIRST_POPUP&amp;HEIGHT=450&amp;WIDTH=450&amp;START_MAXIMIZED=FALSE&amp;VAR:CALENDAR=FIVEDAY&amp;VAR:SYMBOL=COL&amp;VAR:INDEX=0"}</definedName>
    <definedName name="_17__FDSAUDITLINK__" hidden="1">{"fdsup://directions/FAT Viewer?action=UPDATE&amp;creator=factset&amp;DYN_ARGS=TRUE&amp;DOC_NAME=FAT:FQL_AUDITING_CLIENT_TEMPLATE.FAT&amp;display_string=Audit&amp;VAR:KEY=YLOPGFYFGP&amp;VAR:QUERY=RkZfRU5UUlBSX1ZBTF9EQUlMWSgwMS8yNi8yMDExLCwsLCwnRElMJykvRUNBX01FQU5fRUJJVERBKDIwMTEsM","DEvMjYvMjAxMSk=&amp;WINDOW=FIRST_POPUP&amp;HEIGHT=450&amp;WIDTH=450&amp;START_MAXIMIZED=FALSE&amp;VAR:CALENDAR=US&amp;VAR:SYMBOL=GD&amp;VAR:INDEX=0"}</definedName>
    <definedName name="_170__FDSAUDITLINK__" hidden="1">{"fdsup://directions/FAT Viewer?action=UPDATE&amp;creator=factset&amp;DYN_ARGS=TRUE&amp;DOC_NAME=FAT:FQL_AUDITING_CLIENT_TEMPLATE.FAT&amp;display_string=Audit&amp;VAR:KEY=GDCFARABQN&amp;VAR:QUERY=RkZfRU5UUlBSX1ZBTF9EQUlMWSg0MDg0OCwsLCwsJ0RJTCcpIC8gRUNBX01FQU5fRUJJVERBKDIwMTAsNDA4N","Dgp&amp;WINDOW=FIRST_POPUP&amp;HEIGHT=450&amp;WIDTH=450&amp;START_MAXIMIZED=FALSE&amp;VAR:CALENDAR=FIVEDAY&amp;VAR:SYMBOL=COL&amp;VAR:INDEX=0"}</definedName>
    <definedName name="_171__FDSAUDITLINK__" hidden="1">{"fdsup://directions/FAT Viewer?action=UPDATE&amp;creator=factset&amp;DYN_ARGS=TRUE&amp;DOC_NAME=FAT:FQL_AUDITING_CLIENT_TEMPLATE.FAT&amp;display_string=Audit&amp;VAR:KEY=SXUXUBEJEZ&amp;VAR:QUERY=RkZfRU5UUlBSX1ZBTF9EQUlMWSg0MDg0OCwsLCwsJ0RJTCcpIC8gRUNBX01FQU5fU0FMRVMoMjAxMiw0MDg0O","Ck=&amp;WINDOW=FIRST_POPUP&amp;HEIGHT=450&amp;WIDTH=450&amp;START_MAXIMIZED=FALSE&amp;VAR:CALENDAR=FIVEDAY&amp;VAR:SYMBOL=BA&amp;VAR:INDEX=0"}</definedName>
    <definedName name="_172__FDSAUDITLINK__" hidden="1">{"fdsup://directions/FAT Viewer?action=UPDATE&amp;creator=factset&amp;DYN_ARGS=TRUE&amp;DOC_NAME=FAT:FQL_AUDITING_CLIENT_TEMPLATE.FAT&amp;display_string=Audit&amp;VAR:KEY=RIRWBCJKVI&amp;VAR:QUERY=RkZfRU5UUlBSX1ZBTF9EQUlMWSg0MDg0OCwsLCwsJ0RJTCcpIC8gRUNBX01FQU5fU0FMRVMoMjAxMSw0MDg0O","Ck=&amp;WINDOW=FIRST_POPUP&amp;HEIGHT=450&amp;WIDTH=450&amp;START_MAXIMIZED=FALSE&amp;VAR:CALENDAR=FIVEDAY&amp;VAR:SYMBOL=BA&amp;VAR:INDEX=0"}</definedName>
    <definedName name="_173__FDSAUDITLINK__" hidden="1">{"fdsup://directions/FAT Viewer?action=UPDATE&amp;creator=factset&amp;DYN_ARGS=TRUE&amp;DOC_NAME=FAT:FQL_AUDITING_CLIENT_TEMPLATE.FAT&amp;display_string=Audit&amp;VAR:KEY=SPSBCNCHIR&amp;VAR:QUERY=RkZfRU5UUlBSX1ZBTF9EQUlMWSg0MDg0OCwsLCwsJ0RJTCcpIC8gRUNBX01FQU5fU0FMRVMoMjAxMCw0MDg0O","Ck=&amp;WINDOW=FIRST_POPUP&amp;HEIGHT=450&amp;WIDTH=450&amp;START_MAXIMIZED=FALSE&amp;VAR:CALENDAR=FIVEDAY&amp;VAR:SYMBOL=BA&amp;VAR:INDEX=0"}</definedName>
    <definedName name="_174__FDSAUDITLINK__" hidden="1">{"fdsup://directions/FAT Viewer?action=UPDATE&amp;creator=factset&amp;DYN_ARGS=TRUE&amp;DOC_NAME=FAT:FQL_AUDITING_CLIENT_TEMPLATE.FAT&amp;display_string=Audit&amp;VAR:KEY=BGJIVQJUZA&amp;VAR:QUERY=RkZfRU5UUlBSX1ZBTF9EQUlMWSg0MDg0OCwsLCwsJ0RJTCcpIC8gRUNBX01FQU5fRUJJVCgyMDEyLDQwODQ4K","Q==&amp;WINDOW=FIRST_POPUP&amp;HEIGHT=450&amp;WIDTH=450&amp;START_MAXIMIZED=FALSE&amp;VAR:CALENDAR=FIVEDAY&amp;VAR:SYMBOL=BA&amp;VAR:INDEX=0"}</definedName>
    <definedName name="_175__FDSAUDITLINK__" hidden="1">{"fdsup://directions/FAT Viewer?action=UPDATE&amp;creator=factset&amp;DYN_ARGS=TRUE&amp;DOC_NAME=FAT:FQL_AUDITING_CLIENT_TEMPLATE.FAT&amp;display_string=Audit&amp;VAR:KEY=SZYZWFWPAR&amp;VAR:QUERY=RkZfRU5UUlBSX1ZBTF9EQUlMWSg0MDg0OCwsLCwsJ0RJTCcpIC8gRUNBX01FQU5fRUJJVCgyMDExLDQwODQ4K","Q==&amp;WINDOW=FIRST_POPUP&amp;HEIGHT=450&amp;WIDTH=450&amp;START_MAXIMIZED=FALSE&amp;VAR:CALENDAR=FIVEDAY&amp;VAR:SYMBOL=BA&amp;VAR:INDEX=0"}</definedName>
    <definedName name="_176__FDSAUDITLINK__" hidden="1">{"fdsup://directions/FAT Viewer?action=UPDATE&amp;creator=factset&amp;DYN_ARGS=TRUE&amp;DOC_NAME=FAT:FQL_AUDITING_CLIENT_TEMPLATE.FAT&amp;display_string=Audit&amp;VAR:KEY=XYBMLMTGZW&amp;VAR:QUERY=RkZfRU5UUlBSX1ZBTF9EQUlMWSg0MDg0OCwsLCwsJ0RJTCcpIC8gRUNBX01FQU5fRUJJVCgyMDEwLDQwODQ4K","Q==&amp;WINDOW=FIRST_POPUP&amp;HEIGHT=450&amp;WIDTH=450&amp;START_MAXIMIZED=FALSE&amp;VAR:CALENDAR=FIVEDAY&amp;VAR:SYMBOL=BA&amp;VAR:INDEX=0"}</definedName>
    <definedName name="_177__FDSAUDITLINK__" hidden="1">{"fdsup://directions/FAT Viewer?action=UPDATE&amp;creator=factset&amp;DYN_ARGS=TRUE&amp;DOC_NAME=FAT:FQL_AUDITING_CLIENT_TEMPLATE.FAT&amp;display_string=Audit&amp;VAR:KEY=MZUZURUPIB&amp;VAR:QUERY=RkZfRU5UUlBSX1ZBTF9EQUlMWSg0MDg0OCwsLCwsJ0RJTCcpIC8gRUNBX01FQU5fRUJJVERBKDIwMTIsNDA4N","Dgp&amp;WINDOW=FIRST_POPUP&amp;HEIGHT=450&amp;WIDTH=450&amp;START_MAXIMIZED=FALSE&amp;VAR:CALENDAR=FIVEDAY&amp;VAR:SYMBOL=BA&amp;VAR:INDEX=0"}</definedName>
    <definedName name="_178__FDSAUDITLINK__" hidden="1">{"fdsup://directions/FAT Viewer?action=UPDATE&amp;creator=factset&amp;DYN_ARGS=TRUE&amp;DOC_NAME=FAT:FQL_AUDITING_CLIENT_TEMPLATE.FAT&amp;display_string=Audit&amp;VAR:KEY=BWDKREJKJC&amp;VAR:QUERY=RkZfRU5UUlBSX1ZBTF9EQUlMWSg0MDg0OCwsLCwsJ0RJTCcpIC8gRUNBX01FQU5fRUJJVERBKDIwMTEsNDA4N","Dgp&amp;WINDOW=FIRST_POPUP&amp;HEIGHT=450&amp;WIDTH=450&amp;START_MAXIMIZED=FALSE&amp;VAR:CALENDAR=FIVEDAY&amp;VAR:SYMBOL=BA&amp;VAR:INDEX=0"}</definedName>
    <definedName name="_179__FDSAUDITLINK__" hidden="1">{"fdsup://directions/FAT Viewer?action=UPDATE&amp;creator=factset&amp;DYN_ARGS=TRUE&amp;DOC_NAME=FAT:FQL_AUDITING_CLIENT_TEMPLATE.FAT&amp;display_string=Audit&amp;VAR:KEY=QJMFYVARUP&amp;VAR:QUERY=RkZfRU5UUlBSX1ZBTF9EQUlMWSg0MDg0OCwsLCwsJ0RJTCcpIC8gRUNBX01FQU5fRUJJVERBKDIwMTAsNDA4N","Dgp&amp;WINDOW=FIRST_POPUP&amp;HEIGHT=450&amp;WIDTH=450&amp;START_MAXIMIZED=FALSE&amp;VAR:CALENDAR=FIVEDAY&amp;VAR:SYMBOL=BA&amp;VAR:INDEX=0"}</definedName>
    <definedName name="_18__FDSAUDITLINK__" hidden="1">{"fdsup://directions/FAT Viewer?action=UPDATE&amp;creator=factset&amp;DYN_ARGS=TRUE&amp;DOC_NAME=FAT:FQL_AUDITING_CLIENT_TEMPLATE.FAT&amp;display_string=Audit&amp;VAR:KEY=WHKLEZYJSN&amp;VAR:QUERY=RkZfRU5UUlBSX1ZBTF9EQUlMWSgwMS8yNi8yMDExLCwsLCwnRElMJykvRUNBX01FQU5fRUJJVERBKDIwMTAsM","DEvMjYvMjAxMSk=&amp;WINDOW=FIRST_POPUP&amp;HEIGHT=450&amp;WIDTH=450&amp;START_MAXIMIZED=FALSE&amp;VAR:CALENDAR=US&amp;VAR:SYMBOL=GD&amp;VAR:INDEX=0"}</definedName>
    <definedName name="_180__FDSAUDITLINK__" hidden="1">{"fdsup://directions/FAT Viewer?action=UPDATE&amp;creator=factset&amp;DYN_ARGS=TRUE&amp;DOC_NAME=FAT:FQL_AUDITING_CLIENT_TEMPLATE.FAT&amp;display_string=Audit&amp;VAR:KEY=PAJKXQRCNM&amp;VAR:QUERY=RkZfRU5UUlBSX1ZBTF9EQUlMWSgwNC8yMC8yMDEwLCwsLCwnRElMJykvRUNBX01FQU5fRUJJVERBKDIwMTAsM","DQvMjAvMjAxMCk=&amp;WINDOW=FIRST_POPUP&amp;HEIGHT=450&amp;WIDTH=450&amp;START_MAXIMIZED=FALSE&amp;VAR:CALENDAR=US&amp;VAR:SYMBOL=BEAV&amp;VAR:INDEX=0"}</definedName>
    <definedName name="_181__FDSAUDITLINK__" hidden="1">{"fdsup://directions/FAT Viewer?action=UPDATE&amp;creator=factset&amp;DYN_ARGS=TRUE&amp;DOC_NAME=FAT:FQL_AUDITING_CLIENT_TEMPLATE.FAT&amp;display_string=Audit&amp;VAR:KEY=ZWLWPOXKDI&amp;VAR:QUERY=RkZfRU5UUlBSX1ZBTF9EQUlMWSgwNC8zMC8yMDEwLCwsLCwnRElMJykvRUNBX01FQU5fU0FMRVMoMjAxMiwwN","C8zMC8yMDEwKQ==&amp;WINDOW=FIRST_POPUP&amp;HEIGHT=450&amp;WIDTH=450&amp;START_MAXIMIZED=FALSE&amp;VAR:CALENDAR=US&amp;VAR:SYMBOL=GR&amp;VAR:INDEX=0"}</definedName>
    <definedName name="_182__FDSAUDITLINK__" hidden="1">{"fdsup://directions/FAT Viewer?action=UPDATE&amp;creator=factset&amp;DYN_ARGS=TRUE&amp;DOC_NAME=FAT:FQL_AUDITING_CLIENT_TEMPLATE.FAT&amp;display_string=Audit&amp;VAR:KEY=DOFWLCFQXE&amp;VAR:QUERY=RkZfRU5UUlBSX1ZBTF9EQUlMWSgwNC8zMC8yMDEwLCwsLCwnRElMJykvRUNBX01FQU5fU0FMRVMoMjAxMSwwN","C8zMC8yMDEwKQ==&amp;WINDOW=FIRST_POPUP&amp;HEIGHT=450&amp;WIDTH=450&amp;START_MAXIMIZED=FALSE&amp;VAR:CALENDAR=US&amp;VAR:SYMBOL=GR&amp;VAR:INDEX=0"}</definedName>
    <definedName name="_183__FDSAUDITLINK__" hidden="1">{"fdsup://directions/FAT Viewer?action=UPDATE&amp;creator=factset&amp;DYN_ARGS=TRUE&amp;DOC_NAME=FAT:FQL_AUDITING_CLIENT_TEMPLATE.FAT&amp;display_string=Audit&amp;VAR:KEY=FSHIJQNQRO&amp;VAR:QUERY=RkZfRU5UUlBSX1ZBTF9EQUlMWSgwNC8zMC8yMDEwLCwsLCwnRElMJykvRUNBX01FQU5fU0FMRVMoMjAxMCwwN","C8zMC8yMDEwKQ==&amp;WINDOW=FIRST_POPUP&amp;HEIGHT=450&amp;WIDTH=450&amp;START_MAXIMIZED=FALSE&amp;VAR:CALENDAR=US&amp;VAR:SYMBOL=GR&amp;VAR:INDEX=0"}</definedName>
    <definedName name="_184__FDSAUDITLINK__" hidden="1">{"fdsup://directions/FAT Viewer?action=UPDATE&amp;creator=factset&amp;DYN_ARGS=TRUE&amp;DOC_NAME=FAT:FQL_AUDITING_CLIENT_TEMPLATE.FAT&amp;display_string=Audit&amp;VAR:KEY=TWDWTIFIFG&amp;VAR:QUERY=RkZfRU5UUlBSX1ZBTF9EQUlMWSgwNC8zMC8yMDEwLCwsLCwnRElMJykvRUNBX01FQU5fRUJJVCgyMDEyLDA0L","zMwLzIwMTAp&amp;WINDOW=FIRST_POPUP&amp;HEIGHT=450&amp;WIDTH=450&amp;START_MAXIMIZED=FALSE&amp;VAR:CALENDAR=US&amp;VAR:SYMBOL=GR&amp;VAR:INDEX=0"}</definedName>
    <definedName name="_185__FDSAUDITLINK__" hidden="1">{"fdsup://directions/FAT Viewer?action=UPDATE&amp;creator=factset&amp;DYN_ARGS=TRUE&amp;DOC_NAME=FAT:FQL_AUDITING_CLIENT_TEMPLATE.FAT&amp;display_string=Audit&amp;VAR:KEY=TOZMRUTODA&amp;VAR:QUERY=RkZfRU5UUlBSX1ZBTF9EQUlMWSgwNC8zMC8yMDEwLCwsLCwnRElMJykvRUNBX01FQU5fRUJJVCgyMDExLDA0L","zMwLzIwMTAp&amp;WINDOW=FIRST_POPUP&amp;HEIGHT=450&amp;WIDTH=450&amp;START_MAXIMIZED=FALSE&amp;VAR:CALENDAR=US&amp;VAR:SYMBOL=GR&amp;VAR:INDEX=0"}</definedName>
    <definedName name="_186__FDSAUDITLINK__" hidden="1">{"fdsup://directions/FAT Viewer?action=UPDATE&amp;creator=factset&amp;DYN_ARGS=TRUE&amp;DOC_NAME=FAT:FQL_AUDITING_CLIENT_TEMPLATE.FAT&amp;display_string=Audit&amp;VAR:KEY=VORCRGXOZI&amp;VAR:QUERY=RkZfRU5UUlBSX1ZBTF9EQUlMWSgwNC8zMC8yMDEwLCwsLCwnRElMJykvRUNBX01FQU5fRUJJVCgyMDEwLDA0L","zMwLzIwMTAp&amp;WINDOW=FIRST_POPUP&amp;HEIGHT=450&amp;WIDTH=450&amp;START_MAXIMIZED=FALSE&amp;VAR:CALENDAR=US&amp;VAR:SYMBOL=GR&amp;VAR:INDEX=0"}</definedName>
    <definedName name="_187__FDSAUDITLINK__" hidden="1">{"fdsup://directions/FAT Viewer?action=UPDATE&amp;creator=factset&amp;DYN_ARGS=TRUE&amp;DOC_NAME=FAT:FQL_AUDITING_CLIENT_TEMPLATE.FAT&amp;display_string=Audit&amp;VAR:KEY=BWXAVOHWJO&amp;VAR:QUERY=RkZfRU5UUlBSX1ZBTF9EQUlMWSgwNC8zMC8yMDEwLCwsLCwnRElMJykvRUNBX01FQU5fRUJJVERBKDIwMTIsM","DQvMzAvMjAxMCk=&amp;WINDOW=FIRST_POPUP&amp;HEIGHT=450&amp;WIDTH=450&amp;START_MAXIMIZED=FALSE&amp;VAR:CALENDAR=US&amp;VAR:SYMBOL=GR&amp;VAR:INDEX=0"}</definedName>
    <definedName name="_188__FDSAUDITLINK__" hidden="1">{"fdsup://directions/FAT Viewer?action=UPDATE&amp;creator=factset&amp;DYN_ARGS=TRUE&amp;DOC_NAME=FAT:FQL_AUDITING_CLIENT_TEMPLATE.FAT&amp;display_string=Audit&amp;VAR:KEY=HODEVOROTE&amp;VAR:QUERY=RkZfRU5UUlBSX1ZBTF9EQUlMWSgwNC8zMC8yMDEwLCwsLCwnRElMJykvRUNBX01FQU5fRUJJVERBKDIwMTEsM","DQvMzAvMjAxMCk=&amp;WINDOW=FIRST_POPUP&amp;HEIGHT=450&amp;WIDTH=450&amp;START_MAXIMIZED=FALSE&amp;VAR:CALENDAR=US&amp;VAR:SYMBOL=GR&amp;VAR:INDEX=0"}</definedName>
    <definedName name="_189__FDSAUDITLINK__" hidden="1">{"fdsup://directions/FAT Viewer?action=UPDATE&amp;creator=factset&amp;DYN_ARGS=TRUE&amp;DOC_NAME=FAT:FQL_AUDITING_CLIENT_TEMPLATE.FAT&amp;display_string=Audit&amp;VAR:KEY=NEBOFQHCXW&amp;VAR:QUERY=RkZfRU5UUlBSX1ZBTF9EQUlMWSgwNC8zMC8yMDEwLCwsLCwnRElMJykvRUNBX01FQU5fRUJJVERBKDIwMTAsM","DQvMzAvMjAxMCk=&amp;WINDOW=FIRST_POPUP&amp;HEIGHT=450&amp;WIDTH=450&amp;START_MAXIMIZED=FALSE&amp;VAR:CALENDAR=US&amp;VAR:SYMBOL=GR&amp;VAR:INDEX=0"}</definedName>
    <definedName name="_19__FDSAUDITLINK__" hidden="1">{"fdsup://directions/FAT Viewer?action=UPDATE&amp;creator=factset&amp;DYN_ARGS=TRUE&amp;DOC_NAME=FAT:FQL_AUDITING_CLIENT_TEMPLATE.FAT&amp;display_string=Audit&amp;VAR:KEY=OFGBWNQDEP&amp;VAR:QUERY=RkZfRU5UUlBSX1ZBTF9EQUlMWSgwMS8yNi8yMDExLCwsLCwnRElMJykvRUNBX01FQU5fU0FMRVMoMjAxMiwwM","S8yNi8yMDExKQ==&amp;WINDOW=FIRST_POPUP&amp;HEIGHT=450&amp;WIDTH=450&amp;START_MAXIMIZED=FALSE&amp;VAR:CALENDAR=US&amp;VAR:SYMBOL=UTX&amp;VAR:INDEX=0"}</definedName>
    <definedName name="_190__FDSAUDITLINK__" hidden="1">{"fdsup://directions/FAT Viewer?action=UPDATE&amp;creator=factset&amp;DYN_ARGS=TRUE&amp;DOC_NAME=FAT:FQL_AUDITING_CLIENT_TEMPLATE.FAT&amp;display_string=Audit&amp;VAR:KEY=VCXQVKBGHC&amp;VAR:QUERY=RkZfRU5UUlBSX1ZBTF9EQUlMWSgwNC8zMC8yMDEwLCwsLCwnRElMJykvRUNBX01FQU5fU0FMRVMoMjAxMiwwN","C8zMC8yMDEwKQ==&amp;WINDOW=FIRST_POPUP&amp;HEIGHT=450&amp;WIDTH=450&amp;START_MAXIMIZED=FALSE&amp;VAR:CALENDAR=US&amp;VAR:SYMBOL=COL&amp;VAR:INDEX=0"}</definedName>
    <definedName name="_191__FDSAUDITLINK__" hidden="1">{"fdsup://directions/FAT Viewer?action=UPDATE&amp;creator=factset&amp;DYN_ARGS=TRUE&amp;DOC_NAME=FAT:FQL_AUDITING_CLIENT_TEMPLATE.FAT&amp;display_string=Audit&amp;VAR:KEY=XYFYBSJWNW&amp;VAR:QUERY=RkZfRU5UUlBSX1ZBTF9EQUlMWSgwNC8zMC8yMDEwLCwsLCwnRElMJykvRUNBX01FQU5fU0FMRVMoMjAxMSwwN","C8zMC8yMDEwKQ==&amp;WINDOW=FIRST_POPUP&amp;HEIGHT=450&amp;WIDTH=450&amp;START_MAXIMIZED=FALSE&amp;VAR:CALENDAR=US&amp;VAR:SYMBOL=COL&amp;VAR:INDEX=0"}</definedName>
    <definedName name="_192__FDSAUDITLINK__" hidden="1">{"fdsup://directions/FAT Viewer?action=UPDATE&amp;creator=factset&amp;DYN_ARGS=TRUE&amp;DOC_NAME=FAT:FQL_AUDITING_CLIENT_TEMPLATE.FAT&amp;display_string=Audit&amp;VAR:KEY=BITCJAXQTA&amp;VAR:QUERY=RkZfRU5UUlBSX1ZBTF9EQUlMWSgwNC8zMC8yMDEwLCwsLCwnRElMJykvRUNBX01FQU5fU0FMRVMoMjAxMCwwN","C8zMC8yMDEwKQ==&amp;WINDOW=FIRST_POPUP&amp;HEIGHT=450&amp;WIDTH=450&amp;START_MAXIMIZED=FALSE&amp;VAR:CALENDAR=US&amp;VAR:SYMBOL=COL&amp;VAR:INDEX=0"}</definedName>
    <definedName name="_193__FDSAUDITLINK__" hidden="1">{"fdsup://directions/FAT Viewer?action=UPDATE&amp;creator=factset&amp;DYN_ARGS=TRUE&amp;DOC_NAME=FAT:FQL_AUDITING_CLIENT_TEMPLATE.FAT&amp;display_string=Audit&amp;VAR:KEY=XCFOBIPIHU&amp;VAR:QUERY=RkZfRU5UUlBSX1ZBTF9EQUlMWSgwNC8zMC8yMDEwLCwsLCwnRElMJykvRUNBX01FQU5fRUJJVCgyMDEyLDA0L","zMwLzIwMTAp&amp;WINDOW=FIRST_POPUP&amp;HEIGHT=450&amp;WIDTH=450&amp;START_MAXIMIZED=FALSE&amp;VAR:CALENDAR=US&amp;VAR:SYMBOL=COL&amp;VAR:INDEX=0"}</definedName>
    <definedName name="_194__FDSAUDITLINK__" hidden="1">{"fdsup://directions/FAT Viewer?action=UPDATE&amp;creator=factset&amp;DYN_ARGS=TRUE&amp;DOC_NAME=FAT:FQL_AUDITING_CLIENT_TEMPLATE.FAT&amp;display_string=Audit&amp;VAR:KEY=BAHWRULGFU&amp;VAR:QUERY=RkZfRU5UUlBSX1ZBTF9EQUlMWSgwNC8zMC8yMDEwLCwsLCwnRElMJykvRUNBX01FQU5fRUJJVCgyMDExLDA0L","zMwLzIwMTAp&amp;WINDOW=FIRST_POPUP&amp;HEIGHT=450&amp;WIDTH=450&amp;START_MAXIMIZED=FALSE&amp;VAR:CALENDAR=US&amp;VAR:SYMBOL=COL&amp;VAR:INDEX=0"}</definedName>
    <definedName name="_195__FDSAUDITLINK__" hidden="1">{"fdsup://directions/FAT Viewer?action=UPDATE&amp;creator=factset&amp;DYN_ARGS=TRUE&amp;DOC_NAME=FAT:FQL_AUDITING_CLIENT_TEMPLATE.FAT&amp;display_string=Audit&amp;VAR:KEY=DITKDYXWFM&amp;VAR:QUERY=RkZfRU5UUlBSX1ZBTF9EQUlMWSgwNC8zMC8yMDEwLCwsLCwnRElMJykvRUNBX01FQU5fRUJJVCgyMDEwLDA0L","zMwLzIwMTAp&amp;WINDOW=FIRST_POPUP&amp;HEIGHT=450&amp;WIDTH=450&amp;START_MAXIMIZED=FALSE&amp;VAR:CALENDAR=US&amp;VAR:SYMBOL=COL&amp;VAR:INDEX=0"}</definedName>
    <definedName name="_196__FDSAUDITLINK__" hidden="1">{"fdsup://directions/FAT Viewer?action=UPDATE&amp;creator=factset&amp;DYN_ARGS=TRUE&amp;DOC_NAME=FAT:FQL_AUDITING_CLIENT_TEMPLATE.FAT&amp;display_string=Audit&amp;VAR:KEY=NCLUNYHITK&amp;VAR:QUERY=RkZfRU5UUlBSX1ZBTF9EQUlMWSgwNC8zMC8yMDEwLCwsLCwnRElMJykvRUNBX01FQU5fRUJJVERBKDIwMTIsM","DQvMzAvMjAxMCk=&amp;WINDOW=FIRST_POPUP&amp;HEIGHT=450&amp;WIDTH=450&amp;START_MAXIMIZED=FALSE&amp;VAR:CALENDAR=US&amp;VAR:SYMBOL=COL&amp;VAR:INDEX=0"}</definedName>
    <definedName name="_197__FDSAUDITLINK__" hidden="1">{"fdsup://directions/FAT Viewer?action=UPDATE&amp;creator=factset&amp;DYN_ARGS=TRUE&amp;DOC_NAME=FAT:FQL_AUDITING_CLIENT_TEMPLATE.FAT&amp;display_string=Audit&amp;VAR:KEY=DONMHKBKLG&amp;VAR:QUERY=RkZfRU5UUlBSX1ZBTF9EQUlMWSgwNC8zMC8yMDEwLCwsLCwnRElMJykvRUNBX01FQU5fRUJJVERBKDIwMTEsM","DQvMzAvMjAxMCk=&amp;WINDOW=FIRST_POPUP&amp;HEIGHT=450&amp;WIDTH=450&amp;START_MAXIMIZED=FALSE&amp;VAR:CALENDAR=US&amp;VAR:SYMBOL=COL&amp;VAR:INDEX=0"}</definedName>
    <definedName name="_198__FDSAUDITLINK__" hidden="1">{"fdsup://directions/FAT Viewer?action=UPDATE&amp;creator=factset&amp;DYN_ARGS=TRUE&amp;DOC_NAME=FAT:FQL_AUDITING_CLIENT_TEMPLATE.FAT&amp;display_string=Audit&amp;VAR:KEY=VMJSHIJARG&amp;VAR:QUERY=RkZfRU5UUlBSX1ZBTF9EQUlMWSgwNC8zMC8yMDEwLCwsLCwnRElMJykvRUNBX01FQU5fRUJJVERBKDIwMTAsM","DQvMzAvMjAxMCk=&amp;WINDOW=FIRST_POPUP&amp;HEIGHT=450&amp;WIDTH=450&amp;START_MAXIMIZED=FALSE&amp;VAR:CALENDAR=US&amp;VAR:SYMBOL=COL&amp;VAR:INDEX=0"}</definedName>
    <definedName name="_199__FDSAUDITLINK__" hidden="1">{"fdsup://directions/FAT Viewer?action=UPDATE&amp;creator=factset&amp;DYN_ARGS=TRUE&amp;DOC_NAME=FAT:FQL_AUDITING_CLIENT_TEMPLATE.FAT&amp;display_string=Audit&amp;VAR:KEY=RSRSJUBWZE&amp;VAR:QUERY=RkZfRU5UUlBSX1ZBTF9EQUlMWSgwNC8zMC8yMDEwLCwsLCwnRElMJykvRUNBX01FQU5fU0FMRVMoMjAxMiwwN","C8zMC8yMDEwKQ==&amp;WINDOW=FIRST_POPUP&amp;HEIGHT=450&amp;WIDTH=450&amp;START_MAXIMIZED=FALSE&amp;VAR:CALENDAR=US&amp;VAR:SYMBOL=BA&amp;VAR:INDEX=0"}</definedName>
    <definedName name="_2__FDSAUDITLINK__" hidden="1">{"fdsup://directions/FAT Viewer?action=UPDATE&amp;creator=factset&amp;DYN_ARGS=TRUE&amp;DOC_NAME=FAT:FQL_AUDITING_CLIENT_TEMPLATE.FAT&amp;display_string=Audit&amp;VAR:KEY=GVYLYFEHIJ&amp;VAR:QUERY=RkZfRU5UUlBSX1ZBTF9EQUlMWSgwMS8yNi8yMDExLCwsLCwnRElMJykvRUNBX01FQU5fU0FMRVMoMjAxMSwwM","S8yNi8yMDExKQ==&amp;WINDOW=FIRST_POPUP&amp;HEIGHT=450&amp;WIDTH=450&amp;START_MAXIMIZED=FALSE&amp;VAR:CALENDAR=US&amp;VAR:SYMBOL=BA&amp;VAR:INDEX=0"}</definedName>
    <definedName name="_20__FDSAUDITLINK__" hidden="1">{"fdsup://directions/FAT Viewer?action=UPDATE&amp;creator=factset&amp;DYN_ARGS=TRUE&amp;DOC_NAME=FAT:FQL_AUDITING_CLIENT_TEMPLATE.FAT&amp;display_string=Audit&amp;VAR:KEY=WTGTIPWVYR&amp;VAR:QUERY=RkZfRU5UUlBSX1ZBTF9EQUlMWSgwMS8yNi8yMDExLCwsLCwnRElMJykvRUNBX01FQU5fU0FMRVMoMjAxMSwwM","S8yNi8yMDExKQ==&amp;WINDOW=FIRST_POPUP&amp;HEIGHT=450&amp;WIDTH=450&amp;START_MAXIMIZED=FALSE&amp;VAR:CALENDAR=US&amp;VAR:SYMBOL=UTX&amp;VAR:INDEX=0"}</definedName>
    <definedName name="_200__FDSAUDITLINK__" hidden="1">{"fdsup://directions/FAT Viewer?action=UPDATE&amp;creator=factset&amp;DYN_ARGS=TRUE&amp;DOC_NAME=FAT:FQL_AUDITING_CLIENT_TEMPLATE.FAT&amp;display_string=Audit&amp;VAR:KEY=BYZWREDEJC&amp;VAR:QUERY=RkZfRU5UUlBSX1ZBTF9EQUlMWSgwNC8zMC8yMDEwLCwsLCwnRElMJykvRUNBX01FQU5fU0FMRVMoMjAxMSwwN","C8zMC8yMDEwKQ==&amp;WINDOW=FIRST_POPUP&amp;HEIGHT=450&amp;WIDTH=450&amp;START_MAXIMIZED=FALSE&amp;VAR:CALENDAR=US&amp;VAR:SYMBOL=BA&amp;VAR:INDEX=0"}</definedName>
    <definedName name="_201__FDSAUDITLINK__" hidden="1">{"fdsup://directions/FAT Viewer?action=UPDATE&amp;creator=factset&amp;DYN_ARGS=TRUE&amp;DOC_NAME=FAT:FQL_AUDITING_CLIENT_TEMPLATE.FAT&amp;display_string=Audit&amp;VAR:KEY=FGZIVYLEBC&amp;VAR:QUERY=RkZfRU5UUlBSX1ZBTF9EQUlMWSgwNC8zMC8yMDEwLCwsLCwnRElMJykvRUNBX01FQU5fU0FMRVMoMjAxMCwwN","C8zMC8yMDEwKQ==&amp;WINDOW=FIRST_POPUP&amp;HEIGHT=450&amp;WIDTH=450&amp;START_MAXIMIZED=FALSE&amp;VAR:CALENDAR=US&amp;VAR:SYMBOL=BA&amp;VAR:INDEX=0"}</definedName>
    <definedName name="_202__FDSAUDITLINK__" hidden="1">{"fdsup://directions/FAT Viewer?action=UPDATE&amp;creator=factset&amp;DYN_ARGS=TRUE&amp;DOC_NAME=FAT:FQL_AUDITING_CLIENT_TEMPLATE.FAT&amp;display_string=Audit&amp;VAR:KEY=VWFCBKLWFK&amp;VAR:QUERY=RkZfRU5UUlBSX1ZBTF9EQUlMWSgwNC8zMC8yMDEwLCwsLCwnRElMJykvRUNBX01FQU5fRUJJVCgyMDEyLDA0L","zMwLzIwMTAp&amp;WINDOW=FIRST_POPUP&amp;HEIGHT=450&amp;WIDTH=450&amp;START_MAXIMIZED=FALSE&amp;VAR:CALENDAR=US&amp;VAR:SYMBOL=BA&amp;VAR:INDEX=0"}</definedName>
    <definedName name="_203__FDSAUDITLINK__" hidden="1">{"fdsup://directions/FAT Viewer?action=UPDATE&amp;creator=factset&amp;DYN_ARGS=TRUE&amp;DOC_NAME=FAT:FQL_AUDITING_CLIENT_TEMPLATE.FAT&amp;display_string=Audit&amp;VAR:KEY=NGXEBAHUZK&amp;VAR:QUERY=RkZfRU5UUlBSX1ZBTF9EQUlMWSgwNC8zMC8yMDEwLCwsLCwnRElMJykvRUNBX01FQU5fRUJJVCgyMDExLDA0L","zMwLzIwMTAp&amp;WINDOW=FIRST_POPUP&amp;HEIGHT=450&amp;WIDTH=450&amp;START_MAXIMIZED=FALSE&amp;VAR:CALENDAR=US&amp;VAR:SYMBOL=BA&amp;VAR:INDEX=0"}</definedName>
    <definedName name="_204__FDSAUDITLINK__" hidden="1">{"fdsup://directions/FAT Viewer?action=UPDATE&amp;creator=factset&amp;DYN_ARGS=TRUE&amp;DOC_NAME=FAT:FQL_AUDITING_CLIENT_TEMPLATE.FAT&amp;display_string=Audit&amp;VAR:KEY=JOBKPCLYDY&amp;VAR:QUERY=RkZfRU5UUlBSX1ZBTF9EQUlMWSgwNC8zMC8yMDEwLCwsLCwnRElMJykvRUNBX01FQU5fRUJJVCgyMDEwLDA0L","zMwLzIwMTAp&amp;WINDOW=FIRST_POPUP&amp;HEIGHT=450&amp;WIDTH=450&amp;START_MAXIMIZED=FALSE&amp;VAR:CALENDAR=US&amp;VAR:SYMBOL=BA&amp;VAR:INDEX=0"}</definedName>
    <definedName name="_205__FDSAUDITLINK__" hidden="1">{"fdsup://directions/FAT Viewer?action=UPDATE&amp;creator=factset&amp;DYN_ARGS=TRUE&amp;DOC_NAME=FAT:FQL_AUDITING_CLIENT_TEMPLATE.FAT&amp;display_string=Audit&amp;VAR:KEY=ZQXIFAXSVE&amp;VAR:QUERY=RkZfRU5UUlBSX1ZBTF9EQUlMWSgwNC8zMC8yMDEwLCwsLCwnRElMJykvRUNBX01FQU5fRUJJVERBKDIwMTIsM","DQvMzAvMjAxMCk=&amp;WINDOW=FIRST_POPUP&amp;HEIGHT=450&amp;WIDTH=450&amp;START_MAXIMIZED=FALSE&amp;VAR:CALENDAR=US&amp;VAR:SYMBOL=BA&amp;VAR:INDEX=0"}</definedName>
    <definedName name="_206__FDSAUDITLINK__" hidden="1">{"fdsup://directions/FAT Viewer?action=UPDATE&amp;creator=factset&amp;DYN_ARGS=TRUE&amp;DOC_NAME=FAT:FQL_AUDITING_CLIENT_TEMPLATE.FAT&amp;display_string=Audit&amp;VAR:KEY=BWTATWVYJI&amp;VAR:QUERY=RkZfRU5UUlBSX1ZBTF9EQUlMWSgwNC8zMC8yMDEwLCwsLCwnRElMJykvRUNBX01FQU5fRUJJVERBKDIwMTEsM","DQvMzAvMjAxMCk=&amp;WINDOW=FIRST_POPUP&amp;HEIGHT=450&amp;WIDTH=450&amp;START_MAXIMIZED=FALSE&amp;VAR:CALENDAR=US&amp;VAR:SYMBOL=BA&amp;VAR:INDEX=0"}</definedName>
    <definedName name="_207__FDSAUDITLINK__" hidden="1">{"fdsup://directions/FAT Viewer?action=UPDATE&amp;creator=factset&amp;DYN_ARGS=TRUE&amp;DOC_NAME=FAT:FQL_AUDITING_CLIENT_TEMPLATE.FAT&amp;display_string=Audit&amp;VAR:KEY=JKFQLWTIHW&amp;VAR:QUERY=RkZfRU5UUlBSX1ZBTF9EQUlMWSgwNC8zMC8yMDEwLCwsLCwnRElMJykvRUNBX01FQU5fRUJJVERBKDIwMTAsM","DQvMzAvMjAxMCk=&amp;WINDOW=FIRST_POPUP&amp;HEIGHT=450&amp;WIDTH=450&amp;START_MAXIMIZED=FALSE&amp;VAR:CALENDAR=US&amp;VAR:SYMBOL=BA&amp;VAR:INDEX=0"}</definedName>
    <definedName name="_208__FDSAUDITLINK__" hidden="1">{"fdsup://directions/FAT Viewer?action=UPDATE&amp;creator=factset&amp;DYN_ARGS=TRUE&amp;DOC_NAME=FAT:FQL_AUDITING_CLIENT_TEMPLATE.FAT&amp;display_string=Audit&amp;VAR:KEY=LGLUXOJKFE&amp;VAR:QUERY=RkZfRU5UUlBSX1ZBTF9EQUlMWSgwOS8xNC8yMDEwLCwsLCwnRElMJykvRUNBX01FQU5fU0FMRVMoMjAxMiwwO","S8xNC8yMDEwKQ==&amp;WINDOW=FIRST_POPUP&amp;HEIGHT=450&amp;WIDTH=450&amp;START_MAXIMIZED=FALSE&amp;VAR:CALENDAR=US&amp;VAR:SYMBOL=GR&amp;VAR:INDEX=0"}</definedName>
    <definedName name="_209__FDSAUDITLINK__" hidden="1">{"fdsup://directions/FAT Viewer?action=UPDATE&amp;creator=factset&amp;DYN_ARGS=TRUE&amp;DOC_NAME=FAT:FQL_AUDITING_CLIENT_TEMPLATE.FAT&amp;display_string=Audit&amp;VAR:KEY=JORQXGDUVQ&amp;VAR:QUERY=RkZfRU5UUlBSX1ZBTF9EQUlMWSgwOS8xNC8yMDEwLCwsLCwnRElMJykvRUNBX01FQU5fU0FMRVMoMjAxMSwwO","S8xNC8yMDEwKQ==&amp;WINDOW=FIRST_POPUP&amp;HEIGHT=450&amp;WIDTH=450&amp;START_MAXIMIZED=FALSE&amp;VAR:CALENDAR=US&amp;VAR:SYMBOL=GR&amp;VAR:INDEX=0"}</definedName>
    <definedName name="_21__FDSAUDITLINK__" hidden="1">{"fdsup://directions/FAT Viewer?action=UPDATE&amp;creator=factset&amp;DYN_ARGS=TRUE&amp;DOC_NAME=FAT:FQL_AUDITING_CLIENT_TEMPLATE.FAT&amp;display_string=Audit&amp;VAR:KEY=CFQHQJMPKJ&amp;VAR:QUERY=RkZfRU5UUlBSX1ZBTF9EQUlMWSgwMS8yNi8yMDExLCwsLCwnRElMJykvRUNBX01FQU5fU0FMRVMoMjAxMCwwM","S8yNi8yMDExKQ==&amp;WINDOW=FIRST_POPUP&amp;HEIGHT=450&amp;WIDTH=450&amp;START_MAXIMIZED=FALSE&amp;VAR:CALENDAR=US&amp;VAR:SYMBOL=UTX&amp;VAR:INDEX=0"}</definedName>
    <definedName name="_210__FDSAUDITLINK__" hidden="1">{"fdsup://directions/FAT Viewer?action=UPDATE&amp;creator=factset&amp;DYN_ARGS=TRUE&amp;DOC_NAME=FAT:FQL_AUDITING_CLIENT_TEMPLATE.FAT&amp;display_string=Audit&amp;VAR:KEY=BSDCDSNERG&amp;VAR:QUERY=RkZfRU5UUlBSX1ZBTF9EQUlMWSgwOS8xNC8yMDEwLCwsLCwnRElMJykvRUNBX01FQU5fU0FMRVMoMjAxMCwwO","S8xNC8yMDEwKQ==&amp;WINDOW=FIRST_POPUP&amp;HEIGHT=450&amp;WIDTH=450&amp;START_MAXIMIZED=FALSE&amp;VAR:CALENDAR=US&amp;VAR:SYMBOL=GR&amp;VAR:INDEX=0"}</definedName>
    <definedName name="_211__FDSAUDITLINK__" hidden="1">{"fdsup://directions/FAT Viewer?action=UPDATE&amp;creator=factset&amp;DYN_ARGS=TRUE&amp;DOC_NAME=FAT:FQL_AUDITING_CLIENT_TEMPLATE.FAT&amp;display_string=Audit&amp;VAR:KEY=ZGFKTYJQDC&amp;VAR:QUERY=RkZfRU5UUlBSX1ZBTF9EQUlMWSgwOS8xNC8yMDEwLCwsLCwnRElMJykvRUNBX01FQU5fRUJJVCgyMDEyLDA5L","zE0LzIwMTAp&amp;WINDOW=FIRST_POPUP&amp;HEIGHT=450&amp;WIDTH=450&amp;START_MAXIMIZED=FALSE&amp;VAR:CALENDAR=US&amp;VAR:SYMBOL=GR&amp;VAR:INDEX=0"}</definedName>
    <definedName name="_212__FDSAUDITLINK__" hidden="1">{"fdsup://directions/FAT Viewer?action=UPDATE&amp;creator=factset&amp;DYN_ARGS=TRUE&amp;DOC_NAME=FAT:FQL_AUDITING_CLIENT_TEMPLATE.FAT&amp;display_string=Audit&amp;VAR:KEY=LETORGFGVK&amp;VAR:QUERY=RkZfRU5UUlBSX1ZBTF9EQUlMWSgwOS8xNC8yMDEwLCwsLCwnRElMJykvRUNBX01FQU5fRUJJVCgyMDExLDA5L","zE0LzIwMTAp&amp;WINDOW=FIRST_POPUP&amp;HEIGHT=450&amp;WIDTH=450&amp;START_MAXIMIZED=FALSE&amp;VAR:CALENDAR=US&amp;VAR:SYMBOL=GR&amp;VAR:INDEX=0"}</definedName>
    <definedName name="_213__FDSAUDITLINK__" hidden="1">{"fdsup://directions/FAT Viewer?action=UPDATE&amp;creator=factset&amp;DYN_ARGS=TRUE&amp;DOC_NAME=FAT:FQL_AUDITING_CLIENT_TEMPLATE.FAT&amp;display_string=Audit&amp;VAR:KEY=NQJUZEHCJG&amp;VAR:QUERY=RkZfRU5UUlBSX1ZBTF9EQUlMWSgwOS8xNC8yMDEwLCwsLCwnRElMJykvRUNBX01FQU5fRUJJVCgyMDEwLDA5L","zE0LzIwMTAp&amp;WINDOW=FIRST_POPUP&amp;HEIGHT=450&amp;WIDTH=450&amp;START_MAXIMIZED=FALSE&amp;VAR:CALENDAR=US&amp;VAR:SYMBOL=GR&amp;VAR:INDEX=0"}</definedName>
    <definedName name="_214__FDSAUDITLINK__" hidden="1">{"fdsup://directions/FAT Viewer?action=UPDATE&amp;creator=factset&amp;DYN_ARGS=TRUE&amp;DOC_NAME=FAT:FQL_AUDITING_CLIENT_TEMPLATE.FAT&amp;display_string=Audit&amp;VAR:KEY=DINITEJMHG&amp;VAR:QUERY=RkZfRU5UUlBSX1ZBTF9EQUlMWSgwOS8xNC8yMDEwLCwsLCwnRElMJykvRUNBX01FQU5fRUJJVERBKDIwMTIsM","DkvMTQvMjAxMCk=&amp;WINDOW=FIRST_POPUP&amp;HEIGHT=450&amp;WIDTH=450&amp;START_MAXIMIZED=FALSE&amp;VAR:CALENDAR=US&amp;VAR:SYMBOL=GR&amp;VAR:INDEX=0"}</definedName>
    <definedName name="_215__FDSAUDITLINK__" hidden="1">{"fdsup://directions/FAT Viewer?action=UPDATE&amp;creator=factset&amp;DYN_ARGS=TRUE&amp;DOC_NAME=FAT:FQL_AUDITING_CLIENT_TEMPLATE.FAT&amp;display_string=Audit&amp;VAR:KEY=BOBWJATYHC&amp;VAR:QUERY=RkZfRU5UUlBSX1ZBTF9EQUlMWSgwOS8xNC8yMDEwLCwsLCwnRElMJykvRUNBX01FQU5fRUJJVERBKDIwMTEsM","DkvMTQvMjAxMCk=&amp;WINDOW=FIRST_POPUP&amp;HEIGHT=450&amp;WIDTH=450&amp;START_MAXIMIZED=FALSE&amp;VAR:CALENDAR=US&amp;VAR:SYMBOL=GR&amp;VAR:INDEX=0"}</definedName>
    <definedName name="_216__FDSAUDITLINK__" hidden="1">{"fdsup://directions/FAT Viewer?action=UPDATE&amp;creator=factset&amp;DYN_ARGS=TRUE&amp;DOC_NAME=FAT:FQL_AUDITING_CLIENT_TEMPLATE.FAT&amp;display_string=Audit&amp;VAR:KEY=ZQPMHKBQDA&amp;VAR:QUERY=RkZfRU5UUlBSX1ZBTF9EQUlMWSgwOS8xNC8yMDEwLCwsLCwnRElMJykvRUNBX01FQU5fRUJJVERBKDIwMTAsM","DkvMTQvMjAxMCk=&amp;WINDOW=FIRST_POPUP&amp;HEIGHT=450&amp;WIDTH=450&amp;START_MAXIMIZED=FALSE&amp;VAR:CALENDAR=US&amp;VAR:SYMBOL=GR&amp;VAR:INDEX=0"}</definedName>
    <definedName name="_217__FDSAUDITLINK__" hidden="1">{"fdsup://directions/FAT Viewer?action=UPDATE&amp;creator=factset&amp;DYN_ARGS=TRUE&amp;DOC_NAME=FAT:FQL_AUDITING_CLIENT_TEMPLATE.FAT&amp;display_string=Audit&amp;VAR:KEY=VAVILWHORE&amp;VAR:QUERY=RkZfRU5UUlBSX1ZBTF9EQUlMWSgwOS8xNC8yMDEwLCwsLCwnRElMJykvRUNBX01FQU5fU0FMRVMoMjAxMiwwO","S8xNC8yMDEwKQ==&amp;WINDOW=FIRST_POPUP&amp;HEIGHT=450&amp;WIDTH=450&amp;START_MAXIMIZED=FALSE&amp;VAR:CALENDAR=US&amp;VAR:SYMBOL=COL&amp;VAR:INDEX=0"}</definedName>
    <definedName name="_218__FDSAUDITLINK__" hidden="1">{"fdsup://directions/FAT Viewer?action=UPDATE&amp;creator=factset&amp;DYN_ARGS=TRUE&amp;DOC_NAME=FAT:FQL_AUDITING_CLIENT_TEMPLATE.FAT&amp;display_string=Audit&amp;VAR:KEY=VWZGTYLCRC&amp;VAR:QUERY=RkZfRU5UUlBSX1ZBTF9EQUlMWSgwOS8xNC8yMDEwLCwsLCwnRElMJykvRUNBX01FQU5fU0FMRVMoMjAxMSwwO","S8xNC8yMDEwKQ==&amp;WINDOW=FIRST_POPUP&amp;HEIGHT=450&amp;WIDTH=450&amp;START_MAXIMIZED=FALSE&amp;VAR:CALENDAR=US&amp;VAR:SYMBOL=COL&amp;VAR:INDEX=0"}</definedName>
    <definedName name="_219__FDSAUDITLINK__" hidden="1">{"fdsup://directions/FAT Viewer?action=UPDATE&amp;creator=factset&amp;DYN_ARGS=TRUE&amp;DOC_NAME=FAT:FQL_AUDITING_CLIENT_TEMPLATE.FAT&amp;display_string=Audit&amp;VAR:KEY=JONWZCNQRA&amp;VAR:QUERY=RkZfRU5UUlBSX1ZBTF9EQUlMWSgwOS8xNC8yMDEwLCwsLCwnRElMJykvRUNBX01FQU5fU0FMRVMoMjAxMCwwO","S8xNC8yMDEwKQ==&amp;WINDOW=FIRST_POPUP&amp;HEIGHT=450&amp;WIDTH=450&amp;START_MAXIMIZED=FALSE&amp;VAR:CALENDAR=US&amp;VAR:SYMBOL=COL&amp;VAR:INDEX=0"}</definedName>
    <definedName name="_22__FDSAUDITLINK__" hidden="1">{"fdsup://directions/FAT Viewer?action=UPDATE&amp;creator=factset&amp;DYN_ARGS=TRUE&amp;DOC_NAME=FAT:FQL_AUDITING_CLIENT_TEMPLATE.FAT&amp;display_string=Audit&amp;VAR:KEY=URQBEHWLEH&amp;VAR:QUERY=RkZfRU5UUlBSX1ZBTF9EQUlMWSgwMS8yNi8yMDExLCwsLCwnRElMJykvRUNBX01FQU5fRUJJVCgyMDEyLDAxL","zI2LzIwMTEp&amp;WINDOW=FIRST_POPUP&amp;HEIGHT=450&amp;WIDTH=450&amp;START_MAXIMIZED=FALSE&amp;VAR:CALENDAR=US&amp;VAR:SYMBOL=UTX&amp;VAR:INDEX=0"}</definedName>
    <definedName name="_220__FDSAUDITLINK__" hidden="1">{"fdsup://directions/FAT Viewer?action=UPDATE&amp;creator=factset&amp;DYN_ARGS=TRUE&amp;DOC_NAME=FAT:FQL_AUDITING_CLIENT_TEMPLATE.FAT&amp;display_string=Audit&amp;VAR:KEY=JWPWDWVSNG&amp;VAR:QUERY=RkZfRU5UUlBSX1ZBTF9EQUlMWSgwOS8xNC8yMDEwLCwsLCwnRElMJykvRUNBX01FQU5fRUJJVCgyMDEyLDA5L","zE0LzIwMTAp&amp;WINDOW=FIRST_POPUP&amp;HEIGHT=450&amp;WIDTH=450&amp;START_MAXIMIZED=FALSE&amp;VAR:CALENDAR=US&amp;VAR:SYMBOL=COL&amp;VAR:INDEX=0"}</definedName>
    <definedName name="_221__FDSAUDITLINK__" hidden="1">{"fdsup://directions/FAT Viewer?action=UPDATE&amp;creator=factset&amp;DYN_ARGS=TRUE&amp;DOC_NAME=FAT:FQL_AUDITING_CLIENT_TEMPLATE.FAT&amp;display_string=Audit&amp;VAR:KEY=DQBAFKHYPW&amp;VAR:QUERY=RkZfRU5UUlBSX1ZBTF9EQUlMWSgwOS8xNC8yMDEwLCwsLCwnRElMJykvRUNBX01FQU5fRUJJVCgyMDExLDA5L","zE0LzIwMTAp&amp;WINDOW=FIRST_POPUP&amp;HEIGHT=450&amp;WIDTH=450&amp;START_MAXIMIZED=FALSE&amp;VAR:CALENDAR=US&amp;VAR:SYMBOL=COL&amp;VAR:INDEX=0"}</definedName>
    <definedName name="_222__FDSAUDITLINK__" hidden="1">{"fdsup://directions/FAT Viewer?action=UPDATE&amp;creator=factset&amp;DYN_ARGS=TRUE&amp;DOC_NAME=FAT:FQL_AUDITING_CLIENT_TEMPLATE.FAT&amp;display_string=Audit&amp;VAR:KEY=LOHWNCFWPC&amp;VAR:QUERY=RkZfRU5UUlBSX1ZBTF9EQUlMWSgwOS8xNC8yMDEwLCwsLCwnRElMJykvRUNBX01FQU5fRUJJVCgyMDEwLDA5L","zE0LzIwMTAp&amp;WINDOW=FIRST_POPUP&amp;HEIGHT=450&amp;WIDTH=450&amp;START_MAXIMIZED=FALSE&amp;VAR:CALENDAR=US&amp;VAR:SYMBOL=COL&amp;VAR:INDEX=0"}</definedName>
    <definedName name="_223__FDSAUDITLINK__" hidden="1">{"fdsup://directions/FAT Viewer?action=UPDATE&amp;creator=factset&amp;DYN_ARGS=TRUE&amp;DOC_NAME=FAT:FQL_AUDITING_CLIENT_TEMPLATE.FAT&amp;display_string=Audit&amp;VAR:KEY=FYFWFIXIRI&amp;VAR:QUERY=RkZfRU5UUlBSX1ZBTF9EQUlMWSgwOS8xNC8yMDEwLCwsLCwnRElMJykvRUNBX01FQU5fRUJJVERBKDIwMTIsM","DkvMTQvMjAxMCk=&amp;WINDOW=FIRST_POPUP&amp;HEIGHT=450&amp;WIDTH=450&amp;START_MAXIMIZED=FALSE&amp;VAR:CALENDAR=US&amp;VAR:SYMBOL=COL&amp;VAR:INDEX=0"}</definedName>
    <definedName name="_224__FDSAUDITLINK__" hidden="1">{"fdsup://directions/FAT Viewer?action=UPDATE&amp;creator=factset&amp;DYN_ARGS=TRUE&amp;DOC_NAME=FAT:FQL_AUDITING_CLIENT_TEMPLATE.FAT&amp;display_string=Audit&amp;VAR:KEY=PIDGBIZYDI&amp;VAR:QUERY=RkZfRU5UUlBSX1ZBTF9EQUlMWSgwOS8xNC8yMDEwLCwsLCwnRElMJykvRUNBX01FQU5fRUJJVERBKDIwMTEsM","DkvMTQvMjAxMCk=&amp;WINDOW=FIRST_POPUP&amp;HEIGHT=450&amp;WIDTH=450&amp;START_MAXIMIZED=FALSE&amp;VAR:CALENDAR=US&amp;VAR:SYMBOL=COL&amp;VAR:INDEX=0"}</definedName>
    <definedName name="_225__FDSAUDITLINK__" hidden="1">{"fdsup://directions/FAT Viewer?action=UPDATE&amp;creator=factset&amp;DYN_ARGS=TRUE&amp;DOC_NAME=FAT:FQL_AUDITING_CLIENT_TEMPLATE.FAT&amp;display_string=Audit&amp;VAR:KEY=FGPWRGFUHE&amp;VAR:QUERY=RkZfRU5UUlBSX1ZBTF9EQUlMWSgwOS8xNC8yMDEwLCwsLCwnRElMJykvRUNBX01FQU5fRUJJVERBKDIwMTAsM","DkvMTQvMjAxMCk=&amp;WINDOW=FIRST_POPUP&amp;HEIGHT=450&amp;WIDTH=450&amp;START_MAXIMIZED=FALSE&amp;VAR:CALENDAR=US&amp;VAR:SYMBOL=COL&amp;VAR:INDEX=0"}</definedName>
    <definedName name="_226__FDSAUDITLINK__" hidden="1">{"fdsup://directions/FAT Viewer?action=UPDATE&amp;creator=factset&amp;DYN_ARGS=TRUE&amp;DOC_NAME=FAT:FQL_AUDITING_CLIENT_TEMPLATE.FAT&amp;display_string=Audit&amp;VAR:KEY=NEBKJWZILM&amp;VAR:QUERY=RkZfRU5UUlBSX1ZBTF9EQUlMWSgwOS8xNC8yMDEwLCwsLCwnRElMJykvRUNBX01FQU5fU0FMRVMoMjAxMiwwO","S8xNC8yMDEwKQ==&amp;WINDOW=FIRST_POPUP&amp;HEIGHT=450&amp;WIDTH=450&amp;START_MAXIMIZED=FALSE&amp;VAR:CALENDAR=US&amp;VAR:SYMBOL=BA&amp;VAR:INDEX=0"}</definedName>
    <definedName name="_227__FDSAUDITLINK__" hidden="1">{"fdsup://directions/FAT Viewer?action=UPDATE&amp;creator=factset&amp;DYN_ARGS=TRUE&amp;DOC_NAME=FAT:FQL_AUDITING_CLIENT_TEMPLATE.FAT&amp;display_string=Audit&amp;VAR:KEY=LWNKDWPOVY&amp;VAR:QUERY=RkZfRU5UUlBSX1ZBTF9EQUlMWSgwOS8xNC8yMDEwLCwsLCwnRElMJykvRUNBX01FQU5fU0FMRVMoMjAxMSwwO","S8xNC8yMDEwKQ==&amp;WINDOW=FIRST_POPUP&amp;HEIGHT=450&amp;WIDTH=450&amp;START_MAXIMIZED=FALSE&amp;VAR:CALENDAR=US&amp;VAR:SYMBOL=BA&amp;VAR:INDEX=0"}</definedName>
    <definedName name="_228__FDSAUDITLINK__" hidden="1">{"fdsup://directions/FAT Viewer?action=UPDATE&amp;creator=factset&amp;DYN_ARGS=TRUE&amp;DOC_NAME=FAT:FQL_AUDITING_CLIENT_TEMPLATE.FAT&amp;display_string=Audit&amp;VAR:KEY=DGZKHYDWFC&amp;VAR:QUERY=RkZfRU5UUlBSX1ZBTF9EQUlMWSgwOS8xNC8yMDEwLCwsLCwnRElMJykvRUNBX01FQU5fU0FMRVMoMjAxMCwwO","S8xNC8yMDEwKQ==&amp;WINDOW=FIRST_POPUP&amp;HEIGHT=450&amp;WIDTH=450&amp;START_MAXIMIZED=FALSE&amp;VAR:CALENDAR=US&amp;VAR:SYMBOL=BA&amp;VAR:INDEX=0"}</definedName>
    <definedName name="_229__FDSAUDITLINK__" hidden="1">{"fdsup://directions/FAT Viewer?action=UPDATE&amp;creator=factset&amp;DYN_ARGS=TRUE&amp;DOC_NAME=FAT:FQL_AUDITING_CLIENT_TEMPLATE.FAT&amp;display_string=Audit&amp;VAR:KEY=JCLIBIVMDM&amp;VAR:QUERY=RkZfRU5UUlBSX1ZBTF9EQUlMWSgwOS8xNC8yMDEwLCwsLCwnRElMJykvRUNBX01FQU5fRUJJVCgyMDEyLDA5L","zE0LzIwMTAp&amp;WINDOW=FIRST_POPUP&amp;HEIGHT=450&amp;WIDTH=450&amp;START_MAXIMIZED=FALSE&amp;VAR:CALENDAR=US&amp;VAR:SYMBOL=BA&amp;VAR:INDEX=0"}</definedName>
    <definedName name="_23__123Graph_Dｸﾞﾗﾌ_1" hidden="1">[1]ｾｸﾞﾒﾝﾄ!$E$167:$I$167</definedName>
    <definedName name="_23__FDSAUDITLINK__" hidden="1">{"fdsup://directions/FAT Viewer?action=UPDATE&amp;creator=factset&amp;DYN_ARGS=TRUE&amp;DOC_NAME=FAT:FQL_AUDITING_CLIENT_TEMPLATE.FAT&amp;display_string=Audit&amp;VAR:KEY=CTKFWTSXKX&amp;VAR:QUERY=RkZfRU5UUlBSX1ZBTF9EQUlMWSgwMS8yNi8yMDExLCwsLCwnRElMJykvRUNBX01FQU5fRUJJVCgyMDExLDAxL","zI2LzIwMTEp&amp;WINDOW=FIRST_POPUP&amp;HEIGHT=450&amp;WIDTH=450&amp;START_MAXIMIZED=FALSE&amp;VAR:CALENDAR=US&amp;VAR:SYMBOL=UTX&amp;VAR:INDEX=0"}</definedName>
    <definedName name="_230__FDSAUDITLINK__" hidden="1">{"fdsup://directions/FAT Viewer?action=UPDATE&amp;creator=factset&amp;DYN_ARGS=TRUE&amp;DOC_NAME=FAT:FQL_AUDITING_CLIENT_TEMPLATE.FAT&amp;display_string=Audit&amp;VAR:KEY=ZUDILMVGPA&amp;VAR:QUERY=RkZfRU5UUlBSX1ZBTF9EQUlMWSgwOS8xNC8yMDEwLCwsLCwnRElMJykvRUNBX01FQU5fRUJJVCgyMDExLDA5L","zE0LzIwMTAp&amp;WINDOW=FIRST_POPUP&amp;HEIGHT=450&amp;WIDTH=450&amp;START_MAXIMIZED=FALSE&amp;VAR:CALENDAR=US&amp;VAR:SYMBOL=BA&amp;VAR:INDEX=0"}</definedName>
    <definedName name="_231__FDSAUDITLINK__" hidden="1">{"fdsup://directions/FAT Viewer?action=UPDATE&amp;creator=factset&amp;DYN_ARGS=TRUE&amp;DOC_NAME=FAT:FQL_AUDITING_CLIENT_TEMPLATE.FAT&amp;display_string=Audit&amp;VAR:KEY=ZYNAHWTYRQ&amp;VAR:QUERY=RkZfRU5UUlBSX1ZBTF9EQUlMWSgwOS8xNC8yMDEwLCwsLCwnRElMJykvRUNBX01FQU5fRUJJVCgyMDEwLDA5L","zE0LzIwMTAp&amp;WINDOW=FIRST_POPUP&amp;HEIGHT=450&amp;WIDTH=450&amp;START_MAXIMIZED=FALSE&amp;VAR:CALENDAR=US&amp;VAR:SYMBOL=BA&amp;VAR:INDEX=0"}</definedName>
    <definedName name="_232__FDSAUDITLINK__" hidden="1">{"fdsup://directions/FAT Viewer?action=UPDATE&amp;creator=factset&amp;DYN_ARGS=TRUE&amp;DOC_NAME=FAT:FQL_AUDITING_CLIENT_TEMPLATE.FAT&amp;display_string=Audit&amp;VAR:KEY=LAPSDONOVC&amp;VAR:QUERY=RkZfRU5UUlBSX1ZBTF9EQUlMWSgwOS8xNC8yMDEwLCwsLCwnRElMJykvRUNBX01FQU5fRUJJVERBKDIwMTIsM","DkvMTQvMjAxMCk=&amp;WINDOW=FIRST_POPUP&amp;HEIGHT=450&amp;WIDTH=450&amp;START_MAXIMIZED=FALSE&amp;VAR:CALENDAR=US&amp;VAR:SYMBOL=BA&amp;VAR:INDEX=0"}</definedName>
    <definedName name="_233__FDSAUDITLINK__" hidden="1">{"fdsup://directions/FAT Viewer?action=UPDATE&amp;creator=factset&amp;DYN_ARGS=TRUE&amp;DOC_NAME=FAT:FQL_AUDITING_CLIENT_TEMPLATE.FAT&amp;display_string=Audit&amp;VAR:KEY=JUXUBGXQDM&amp;VAR:QUERY=RkZfRU5UUlBSX1ZBTF9EQUlMWSgwOS8xNC8yMDEwLCwsLCwnRElMJykvRUNBX01FQU5fRUJJVERBKDIwMTEsM","DkvMTQvMjAxMCk=&amp;WINDOW=FIRST_POPUP&amp;HEIGHT=450&amp;WIDTH=450&amp;START_MAXIMIZED=FALSE&amp;VAR:CALENDAR=US&amp;VAR:SYMBOL=BA&amp;VAR:INDEX=0"}</definedName>
    <definedName name="_234__FDSAUDITLINK__" hidden="1">{"fdsup://directions/FAT Viewer?action=UPDATE&amp;creator=factset&amp;DYN_ARGS=TRUE&amp;DOC_NAME=FAT:FQL_AUDITING_CLIENT_TEMPLATE.FAT&amp;display_string=Audit&amp;VAR:KEY=NSHOVEZEJU&amp;VAR:QUERY=RkZfRU5UUlBSX1ZBTF9EQUlMWSgwOS8xNC8yMDEwLCwsLCwnRElMJykvRUNBX01FQU5fRUJJVERBKDIwMTAsM","DkvMTQvMjAxMCk=&amp;WINDOW=FIRST_POPUP&amp;HEIGHT=450&amp;WIDTH=450&amp;START_MAXIMIZED=FALSE&amp;VAR:CALENDAR=US&amp;VAR:SYMBOL=BA&amp;VAR:INDEX=0"}</definedName>
    <definedName name="_235__FDSAUDITLINK__" hidden="1">{"fdsup://directions/FAT Viewer?action=UPDATE&amp;creator=factset&amp;DYN_ARGS=TRUE&amp;DOC_NAME=FAT:FQL_AUDITING_CLIENT_TEMPLATE.FAT&amp;display_string=Audit&amp;VAR:KEY=YDAZUJMVIV&amp;VAR:QUERY=RkZfRU5UUlBSX1ZBTF9EQUlMWSgwOS8xNC8yMDEwLCwsLCwnRElMJykvRUNBX01FQU5fU0FMRVMoMjAxMiwwO","S8xNC8yMDEwKQ==&amp;WINDOW=FIRST_POPUP&amp;HEIGHT=450&amp;WIDTH=450&amp;START_MAXIMIZED=FALSE&amp;VAR:CALENDAR=US&amp;VAR:SYMBOL=GR&amp;VAR:INDEX=0"}</definedName>
    <definedName name="_236__FDSAUDITLINK__" hidden="1">{"fdsup://directions/FAT Viewer?action=UPDATE&amp;creator=factset&amp;DYN_ARGS=TRUE&amp;DOC_NAME=FAT:FQL_AUDITING_CLIENT_TEMPLATE.FAT&amp;display_string=Audit&amp;VAR:KEY=IZKNKBYJYT&amp;VAR:QUERY=RkZfRU5UUlBSX1ZBTF9EQUlMWSgwOS8xNC8yMDEwLCwsLCwnRElMJykvRUNBX01FQU5fU0FMRVMoMjAxMSwwO","S8xNC8yMDEwKQ==&amp;WINDOW=FIRST_POPUP&amp;HEIGHT=450&amp;WIDTH=450&amp;START_MAXIMIZED=FALSE&amp;VAR:CALENDAR=US&amp;VAR:SYMBOL=GR&amp;VAR:INDEX=0"}</definedName>
    <definedName name="_237__FDSAUDITLINK__" hidden="1">{"fdsup://directions/FAT Viewer?action=UPDATE&amp;creator=factset&amp;DYN_ARGS=TRUE&amp;DOC_NAME=FAT:FQL_AUDITING_CLIENT_TEMPLATE.FAT&amp;display_string=Audit&amp;VAR:KEY=CTSFUVSFKT&amp;VAR:QUERY=RkZfRU5UUlBSX1ZBTF9EQUlMWSgwOS8xNC8yMDEwLCwsLCwnRElMJykvRUNBX01FQU5fU0FMRVMoMjAxMCwwO","S8xNC8yMDEwKQ==&amp;WINDOW=FIRST_POPUP&amp;HEIGHT=450&amp;WIDTH=450&amp;START_MAXIMIZED=FALSE&amp;VAR:CALENDAR=US&amp;VAR:SYMBOL=GR&amp;VAR:INDEX=0"}</definedName>
    <definedName name="_238__FDSAUDITLINK__" hidden="1">{"fdsup://directions/FAT Viewer?action=UPDATE&amp;creator=factset&amp;DYN_ARGS=TRUE&amp;DOC_NAME=FAT:FQL_AUDITING_CLIENT_TEMPLATE.FAT&amp;display_string=Audit&amp;VAR:KEY=GHYLGJIPAH&amp;VAR:QUERY=RkZfRU5UUlBSX1ZBTF9EQUlMWSgwOS8xNC8yMDEwLCwsLCwnRElMJykvRUNBX01FQU5fRUJJVCgyMDEyLDA5L","zE0LzIwMTAp&amp;WINDOW=FIRST_POPUP&amp;HEIGHT=450&amp;WIDTH=450&amp;START_MAXIMIZED=FALSE&amp;VAR:CALENDAR=US&amp;VAR:SYMBOL=GR&amp;VAR:INDEX=0"}</definedName>
    <definedName name="_239__FDSAUDITLINK__" hidden="1">{"fdsup://directions/FAT Viewer?action=UPDATE&amp;creator=factset&amp;DYN_ARGS=TRUE&amp;DOC_NAME=FAT:FQL_AUDITING_CLIENT_TEMPLATE.FAT&amp;display_string=Audit&amp;VAR:KEY=KTORWFKJAR&amp;VAR:QUERY=RkZfRU5UUlBSX1ZBTF9EQUlMWSgwOS8xNC8yMDEwLCwsLCwnRElMJykvRUNBX01FQU5fRUJJVCgyMDExLDA5L","zE0LzIwMTAp&amp;WINDOW=FIRST_POPUP&amp;HEIGHT=450&amp;WIDTH=450&amp;START_MAXIMIZED=FALSE&amp;VAR:CALENDAR=US&amp;VAR:SYMBOL=GR&amp;VAR:INDEX=0"}</definedName>
    <definedName name="_24__FDSAUDITLINK__" hidden="1">{"fdsup://directions/FAT Viewer?action=UPDATE&amp;creator=factset&amp;DYN_ARGS=TRUE&amp;DOC_NAME=FAT:FQL_AUDITING_CLIENT_TEMPLATE.FAT&amp;display_string=Audit&amp;VAR:KEY=SHGZAHMBOD&amp;VAR:QUERY=RkZfRU5UUlBSX1ZBTF9EQUlMWSgwMS8yNi8yMDExLCwsLCwnRElMJykvRUNBX01FQU5fRUJJVCgyMDEwLDAxL","zI2LzIwMTEp&amp;WINDOW=FIRST_POPUP&amp;HEIGHT=450&amp;WIDTH=450&amp;START_MAXIMIZED=FALSE&amp;VAR:CALENDAR=US&amp;VAR:SYMBOL=UTX&amp;VAR:INDEX=0"}</definedName>
    <definedName name="_240__FDSAUDITLINK__" hidden="1">{"fdsup://directions/FAT Viewer?action=UPDATE&amp;creator=factset&amp;DYN_ARGS=TRUE&amp;DOC_NAME=FAT:FQL_AUDITING_CLIENT_TEMPLATE.FAT&amp;display_string=Audit&amp;VAR:KEY=YLYJURQTAB&amp;VAR:QUERY=RkZfRU5UUlBSX1ZBTF9EQUlMWSgwOS8xNC8yMDEwLCwsLCwnRElMJykvRUNBX01FQU5fRUJJVCgyMDEwLDA5L","zE0LzIwMTAp&amp;WINDOW=FIRST_POPUP&amp;HEIGHT=450&amp;WIDTH=450&amp;START_MAXIMIZED=FALSE&amp;VAR:CALENDAR=US&amp;VAR:SYMBOL=GR&amp;VAR:INDEX=0"}</definedName>
    <definedName name="_241__FDSAUDITLINK__" hidden="1">{"fdsup://directions/FAT Viewer?action=UPDATE&amp;creator=factset&amp;DYN_ARGS=TRUE&amp;DOC_NAME=FAT:FQL_AUDITING_CLIENT_TEMPLATE.FAT&amp;display_string=Audit&amp;VAR:KEY=MTMXOFGXMD&amp;VAR:QUERY=RkZfRU5UUlBSX1ZBTF9EQUlMWSgwOS8xNC8yMDEwLCwsLCwnRElMJykvRUNBX01FQU5fRUJJVERBKDIwMTIsM","DkvMTQvMjAxMCk=&amp;WINDOW=FIRST_POPUP&amp;HEIGHT=450&amp;WIDTH=450&amp;START_MAXIMIZED=FALSE&amp;VAR:CALENDAR=US&amp;VAR:SYMBOL=GR&amp;VAR:INDEX=0"}</definedName>
    <definedName name="_242__FDSAUDITLINK__" hidden="1">{"fdsup://directions/FAT Viewer?action=UPDATE&amp;creator=factset&amp;DYN_ARGS=TRUE&amp;DOC_NAME=FAT:FQL_AUDITING_CLIENT_TEMPLATE.FAT&amp;display_string=Audit&amp;VAR:KEY=AHEFCHIDEH&amp;VAR:QUERY=RkZfRU5UUlBSX1ZBTF9EQUlMWSgwOS8xNC8yMDEwLCwsLCwnRElMJykvRUNBX01FQU5fRUJJVERBKDIwMTEsM","DkvMTQvMjAxMCk=&amp;WINDOW=FIRST_POPUP&amp;HEIGHT=450&amp;WIDTH=450&amp;START_MAXIMIZED=FALSE&amp;VAR:CALENDAR=US&amp;VAR:SYMBOL=GR&amp;VAR:INDEX=0"}</definedName>
    <definedName name="_243__FDSAUDITLINK__" hidden="1">{"fdsup://directions/FAT Viewer?action=UPDATE&amp;creator=factset&amp;DYN_ARGS=TRUE&amp;DOC_NAME=FAT:FQL_AUDITING_CLIENT_TEMPLATE.FAT&amp;display_string=Audit&amp;VAR:KEY=SHGPCVSZUP&amp;VAR:QUERY=RkZfRU5UUlBSX1ZBTF9EQUlMWSgwOS8xNC8yMDEwLCwsLCwnRElMJykvRUNBX01FQU5fRUJJVERBKDIwMTAsM","DkvMTQvMjAxMCk=&amp;WINDOW=FIRST_POPUP&amp;HEIGHT=450&amp;WIDTH=450&amp;START_MAXIMIZED=FALSE&amp;VAR:CALENDAR=US&amp;VAR:SYMBOL=GR&amp;VAR:INDEX=0"}</definedName>
    <definedName name="_244__FDSAUDITLINK__" hidden="1">{"fdsup://directions/FAT Viewer?action=UPDATE&amp;creator=factset&amp;DYN_ARGS=TRUE&amp;DOC_NAME=FAT:FQL_AUDITING_CLIENT_TEMPLATE.FAT&amp;display_string=Audit&amp;VAR:KEY=MFWNYLUHIV&amp;VAR:QUERY=RkZfRU5UUlBSX1ZBTF9EQUlMWSgwOS8xNC8yMDEwLCwsLCwnRElMJykvRUNBX01FQU5fU0FMRVMoMjAxMiwwO","S8xNC8yMDEwKQ==&amp;WINDOW=FIRST_POPUP&amp;HEIGHT=450&amp;WIDTH=450&amp;START_MAXIMIZED=FALSE&amp;VAR:CALENDAR=US&amp;VAR:SYMBOL=COL&amp;VAR:INDEX=0"}</definedName>
    <definedName name="_245__FDSAUDITLINK__" hidden="1">{"fdsup://directions/FAT Viewer?action=UPDATE&amp;creator=factset&amp;DYN_ARGS=TRUE&amp;DOC_NAME=FAT:FQL_AUDITING_CLIENT_TEMPLATE.FAT&amp;display_string=Audit&amp;VAR:KEY=GLCBKBCRMF&amp;VAR:QUERY=RkZfRU5UUlBSX1ZBTF9EQUlMWSgwOS8xNC8yMDEwLCwsLCwnRElMJykvRUNBX01FQU5fU0FMRVMoMjAxMSwwO","S8xNC8yMDEwKQ==&amp;WINDOW=FIRST_POPUP&amp;HEIGHT=450&amp;WIDTH=450&amp;START_MAXIMIZED=FALSE&amp;VAR:CALENDAR=US&amp;VAR:SYMBOL=COL&amp;VAR:INDEX=0"}</definedName>
    <definedName name="_246__FDSAUDITLINK__" hidden="1">{"fdsup://directions/FAT Viewer?action=UPDATE&amp;creator=factset&amp;DYN_ARGS=TRUE&amp;DOC_NAME=FAT:FQL_AUDITING_CLIENT_TEMPLATE.FAT&amp;display_string=Audit&amp;VAR:KEY=KPOBQPIZCR&amp;VAR:QUERY=RkZfRU5UUlBSX1ZBTF9EQUlMWSgwOS8xNC8yMDEwLCwsLCwnRElMJykvRUNBX01FQU5fU0FMRVMoMjAxMCwwO","S8xNC8yMDEwKQ==&amp;WINDOW=FIRST_POPUP&amp;HEIGHT=450&amp;WIDTH=450&amp;START_MAXIMIZED=FALSE&amp;VAR:CALENDAR=US&amp;VAR:SYMBOL=COL&amp;VAR:INDEX=0"}</definedName>
    <definedName name="_247__FDSAUDITLINK__" hidden="1">{"fdsup://directions/FAT Viewer?action=UPDATE&amp;creator=factset&amp;DYN_ARGS=TRUE&amp;DOC_NAME=FAT:FQL_AUDITING_CLIENT_TEMPLATE.FAT&amp;display_string=Audit&amp;VAR:KEY=CBIDITORUN&amp;VAR:QUERY=RkZfRU5UUlBSX1ZBTF9EQUlMWSgwOS8xNC8yMDEwLCwsLCwnRElMJykvRUNBX01FQU5fRUJJVCgyMDEyLDA5L","zE0LzIwMTAp&amp;WINDOW=FIRST_POPUP&amp;HEIGHT=450&amp;WIDTH=450&amp;START_MAXIMIZED=FALSE&amp;VAR:CALENDAR=US&amp;VAR:SYMBOL=COL&amp;VAR:INDEX=0"}</definedName>
    <definedName name="_248__FDSAUDITLINK__" hidden="1">{"fdsup://directions/FAT Viewer?action=UPDATE&amp;creator=factset&amp;DYN_ARGS=TRUE&amp;DOC_NAME=FAT:FQL_AUDITING_CLIENT_TEMPLATE.FAT&amp;display_string=Audit&amp;VAR:KEY=AZGTGVMVUB&amp;VAR:QUERY=RkZfRU5UUlBSX1ZBTF9EQUlMWSgwOS8xNC8yMDEwLCwsLCwnRElMJykvRUNBX01FQU5fRUJJVCgyMDExLDA5L","zE0LzIwMTAp&amp;WINDOW=FIRST_POPUP&amp;HEIGHT=450&amp;WIDTH=450&amp;START_MAXIMIZED=FALSE&amp;VAR:CALENDAR=US&amp;VAR:SYMBOL=COL&amp;VAR:INDEX=0"}</definedName>
    <definedName name="_249__FDSAUDITLINK__" hidden="1">{"fdsup://directions/FAT Viewer?action=UPDATE&amp;creator=factset&amp;DYN_ARGS=TRUE&amp;DOC_NAME=FAT:FQL_AUDITING_CLIENT_TEMPLATE.FAT&amp;display_string=Audit&amp;VAR:KEY=IXIFIDAJSH&amp;VAR:QUERY=RkZfRU5UUlBSX1ZBTF9EQUlMWSgwOS8xNC8yMDEwLCwsLCwnRElMJykvRUNBX01FQU5fRUJJVCgyMDEwLDA5L","zE0LzIwMTAp&amp;WINDOW=FIRST_POPUP&amp;HEIGHT=450&amp;WIDTH=450&amp;START_MAXIMIZED=FALSE&amp;VAR:CALENDAR=US&amp;VAR:SYMBOL=COL&amp;VAR:INDEX=0"}</definedName>
    <definedName name="_25__FDSAUDITLINK__" hidden="1">{"fdsup://directions/FAT Viewer?action=UPDATE&amp;creator=factset&amp;DYN_ARGS=TRUE&amp;DOC_NAME=FAT:FQL_AUDITING_CLIENT_TEMPLATE.FAT&amp;display_string=Audit&amp;VAR:KEY=QNUBUVELKX&amp;VAR:QUERY=RkZfRU5UUlBSX1ZBTF9EQUlMWSgwMS8yNi8yMDExLCwsLCwnRElMJykvRUNBX01FQU5fRUJJVERBKDIwMTIsM","DEvMjYvMjAxMSk=&amp;WINDOW=FIRST_POPUP&amp;HEIGHT=450&amp;WIDTH=450&amp;START_MAXIMIZED=FALSE&amp;VAR:CALENDAR=US&amp;VAR:SYMBOL=UTX&amp;VAR:INDEX=0"}</definedName>
    <definedName name="_250__FDSAUDITLINK__" hidden="1">{"fdsup://directions/FAT Viewer?action=UPDATE&amp;creator=factset&amp;DYN_ARGS=TRUE&amp;DOC_NAME=FAT:FQL_AUDITING_CLIENT_TEMPLATE.FAT&amp;display_string=Audit&amp;VAR:KEY=APCBURUXQZ&amp;VAR:QUERY=RkZfRU5UUlBSX1ZBTF9EQUlMWSgwOS8xNC8yMDEwLCwsLCwnRElMJykvRUNBX01FQU5fRUJJVERBKDIwMTIsM","DkvMTQvMjAxMCk=&amp;WINDOW=FIRST_POPUP&amp;HEIGHT=450&amp;WIDTH=450&amp;START_MAXIMIZED=FALSE&amp;VAR:CALENDAR=US&amp;VAR:SYMBOL=COL&amp;VAR:INDEX=0"}</definedName>
    <definedName name="_251__FDSAUDITLINK__" hidden="1">{"fdsup://directions/FAT Viewer?action=UPDATE&amp;creator=factset&amp;DYN_ARGS=TRUE&amp;DOC_NAME=FAT:FQL_AUDITING_CLIENT_TEMPLATE.FAT&amp;display_string=Audit&amp;VAR:KEY=IVOVCRAPKP&amp;VAR:QUERY=RkZfRU5UUlBSX1ZBTF9EQUlMWSgwOS8xNC8yMDEwLCwsLCwnRElMJykvRUNBX01FQU5fRUJJVERBKDIwMTEsM","DkvMTQvMjAxMCk=&amp;WINDOW=FIRST_POPUP&amp;HEIGHT=450&amp;WIDTH=450&amp;START_MAXIMIZED=FALSE&amp;VAR:CALENDAR=US&amp;VAR:SYMBOL=COL&amp;VAR:INDEX=0"}</definedName>
    <definedName name="_252__FDSAUDITLINK__" hidden="1">{"fdsup://directions/FAT Viewer?action=UPDATE&amp;creator=factset&amp;DYN_ARGS=TRUE&amp;DOC_NAME=FAT:FQL_AUDITING_CLIENT_TEMPLATE.FAT&amp;display_string=Audit&amp;VAR:KEY=KBKVGBIJQR&amp;VAR:QUERY=RkZfRU5UUlBSX1ZBTF9EQUlMWSgwOS8xNC8yMDEwLCwsLCwnRElMJykvRUNBX01FQU5fRUJJVERBKDIwMTAsM","DkvMTQvMjAxMCk=&amp;WINDOW=FIRST_POPUP&amp;HEIGHT=450&amp;WIDTH=450&amp;START_MAXIMIZED=FALSE&amp;VAR:CALENDAR=US&amp;VAR:SYMBOL=COL&amp;VAR:INDEX=0"}</definedName>
    <definedName name="_253__FDSAUDITLINK__" hidden="1">{"fdsup://directions/FAT Viewer?action=UPDATE&amp;creator=factset&amp;DYN_ARGS=TRUE&amp;DOC_NAME=FAT:FQL_AUDITING_CLIENT_TEMPLATE.FAT&amp;display_string=Audit&amp;VAR:KEY=YDSPEPAXSP&amp;VAR:QUERY=RkZfRU5UUlBSX1ZBTF9EQUlMWSgwOS8xNC8yMDEwLCwsLCwnRElMJykvRUNBX01FQU5fU0FMRVMoMjAxMiwwO","S8xNC8yMDEwKQ==&amp;WINDOW=FIRST_POPUP&amp;HEIGHT=450&amp;WIDTH=450&amp;START_MAXIMIZED=FALSE&amp;VAR:CALENDAR=US&amp;VAR:SYMBOL=BA&amp;VAR:INDEX=0"}</definedName>
    <definedName name="_254__FDSAUDITLINK__" hidden="1">{"fdsup://directions/FAT Viewer?action=UPDATE&amp;creator=factset&amp;DYN_ARGS=TRUE&amp;DOC_NAME=FAT:FQL_AUDITING_CLIENT_TEMPLATE.FAT&amp;display_string=Audit&amp;VAR:KEY=YZSRQVSBAF&amp;VAR:QUERY=RkZfRU5UUlBSX1ZBTF9EQUlMWSgwOS8xNC8yMDEwLCwsLCwnRElMJykvRUNBX01FQU5fU0FMRVMoMjAxMSwwO","S8xNC8yMDEwKQ==&amp;WINDOW=FIRST_POPUP&amp;HEIGHT=450&amp;WIDTH=450&amp;START_MAXIMIZED=FALSE&amp;VAR:CALENDAR=US&amp;VAR:SYMBOL=BA&amp;VAR:INDEX=0"}</definedName>
    <definedName name="_255__FDSAUDITLINK__" hidden="1">{"fdsup://directions/FAT Viewer?action=UPDATE&amp;creator=factset&amp;DYN_ARGS=TRUE&amp;DOC_NAME=FAT:FQL_AUDITING_CLIENT_TEMPLATE.FAT&amp;display_string=Audit&amp;VAR:KEY=QHOHYRSNKR&amp;VAR:QUERY=RkZfRU5UUlBSX1ZBTF9EQUlMWSgwOS8xNC8yMDEwLCwsLCwnRElMJykvRUNBX01FQU5fU0FMRVMoMjAxMCwwO","S8xNC8yMDEwKQ==&amp;WINDOW=FIRST_POPUP&amp;HEIGHT=450&amp;WIDTH=450&amp;START_MAXIMIZED=FALSE&amp;VAR:CALENDAR=US&amp;VAR:SYMBOL=BA&amp;VAR:INDEX=0"}</definedName>
    <definedName name="_256__FDSAUDITLINK__" hidden="1">{"fdsup://directions/FAT Viewer?action=UPDATE&amp;creator=factset&amp;DYN_ARGS=TRUE&amp;DOC_NAME=FAT:FQL_AUDITING_CLIENT_TEMPLATE.FAT&amp;display_string=Audit&amp;VAR:KEY=CZMTINIDMP&amp;VAR:QUERY=RkZfRU5UUlBSX1ZBTF9EQUlMWSgwOS8xNC8yMDEwLCwsLCwnRElMJykvRUNBX01FQU5fRUJJVCgyMDEyLDA5L","zE0LzIwMTAp&amp;WINDOW=FIRST_POPUP&amp;HEIGHT=450&amp;WIDTH=450&amp;START_MAXIMIZED=FALSE&amp;VAR:CALENDAR=US&amp;VAR:SYMBOL=BA&amp;VAR:INDEX=0"}</definedName>
    <definedName name="_257__FDSAUDITLINK__" hidden="1">{"fdsup://directions/FAT Viewer?action=UPDATE&amp;creator=factset&amp;DYN_ARGS=TRUE&amp;DOC_NAME=FAT:FQL_AUDITING_CLIENT_TEMPLATE.FAT&amp;display_string=Audit&amp;VAR:KEY=QPYTWHQPEP&amp;VAR:QUERY=RkZfRU5UUlBSX1ZBTF9EQUlMWSgwOS8xNC8yMDEwLCwsLCwnRElMJykvRUNBX01FQU5fRUJJVCgyMDExLDA5L","zE0LzIwMTAp&amp;WINDOW=FIRST_POPUP&amp;HEIGHT=450&amp;WIDTH=450&amp;START_MAXIMIZED=FALSE&amp;VAR:CALENDAR=US&amp;VAR:SYMBOL=BA&amp;VAR:INDEX=0"}</definedName>
    <definedName name="_258__FDSAUDITLINK__" hidden="1">{"fdsup://directions/FAT Viewer?action=UPDATE&amp;creator=factset&amp;DYN_ARGS=TRUE&amp;DOC_NAME=FAT:FQL_AUDITING_CLIENT_TEMPLATE.FAT&amp;display_string=Audit&amp;VAR:KEY=ILIHKTMJQJ&amp;VAR:QUERY=RkZfRU5UUlBSX1ZBTF9EQUlMWSgwOS8xNC8yMDEwLCwsLCwnRElMJykvRUNBX01FQU5fRUJJVCgyMDEwLDA5L","zE0LzIwMTAp&amp;WINDOW=FIRST_POPUP&amp;HEIGHT=450&amp;WIDTH=450&amp;START_MAXIMIZED=FALSE&amp;VAR:CALENDAR=US&amp;VAR:SYMBOL=BA&amp;VAR:INDEX=0"}</definedName>
    <definedName name="_259__FDSAUDITLINK__" hidden="1">{"fdsup://directions/FAT Viewer?action=UPDATE&amp;creator=factset&amp;DYN_ARGS=TRUE&amp;DOC_NAME=FAT:FQL_AUDITING_CLIENT_TEMPLATE.FAT&amp;display_string=Audit&amp;VAR:KEY=QXKXWFWFSZ&amp;VAR:QUERY=RkZfRU5UUlBSX1ZBTF9EQUlMWSgwOS8xNC8yMDEwLCwsLCwnRElMJykvRUNBX01FQU5fRUJJVERBKDIwMTIsM","DkvMTQvMjAxMCk=&amp;WINDOW=FIRST_POPUP&amp;HEIGHT=450&amp;WIDTH=450&amp;START_MAXIMIZED=FALSE&amp;VAR:CALENDAR=US&amp;VAR:SYMBOL=BA&amp;VAR:INDEX=0"}</definedName>
    <definedName name="_26__FDSAUDITLINK__" hidden="1">{"fdsup://directions/FAT Viewer?action=UPDATE&amp;creator=factset&amp;DYN_ARGS=TRUE&amp;DOC_NAME=FAT:FQL_AUDITING_CLIENT_TEMPLATE.FAT&amp;display_string=Audit&amp;VAR:KEY=EZWVADSVGN&amp;VAR:QUERY=RkZfRU5UUlBSX1ZBTF9EQUlMWSgwMS8yNi8yMDExLCwsLCwnRElMJykvRUNBX01FQU5fRUJJVERBKDIwMTEsM","DEvMjYvMjAxMSk=&amp;WINDOW=FIRST_POPUP&amp;HEIGHT=450&amp;WIDTH=450&amp;START_MAXIMIZED=FALSE&amp;VAR:CALENDAR=US&amp;VAR:SYMBOL=UTX&amp;VAR:INDEX=0"}</definedName>
    <definedName name="_260__FDSAUDITLINK__" hidden="1">{"fdsup://directions/FAT Viewer?action=UPDATE&amp;creator=factset&amp;DYN_ARGS=TRUE&amp;DOC_NAME=FAT:FQL_AUDITING_CLIENT_TEMPLATE.FAT&amp;display_string=Audit&amp;VAR:KEY=SVWDEJOPAD&amp;VAR:QUERY=RkZfRU5UUlBSX1ZBTF9EQUlMWSgwOS8xNC8yMDEwLCwsLCwnRElMJykvRUNBX01FQU5fRUJJVERBKDIwMTEsM","DkvMTQvMjAxMCk=&amp;WINDOW=FIRST_POPUP&amp;HEIGHT=450&amp;WIDTH=450&amp;START_MAXIMIZED=FALSE&amp;VAR:CALENDAR=US&amp;VAR:SYMBOL=BA&amp;VAR:INDEX=0"}</definedName>
    <definedName name="_261__FDSAUDITLINK__" hidden="1">{"fdsup://directions/FAT Viewer?action=UPDATE&amp;creator=factset&amp;DYN_ARGS=TRUE&amp;DOC_NAME=FAT:FQL_AUDITING_CLIENT_TEMPLATE.FAT&amp;display_string=Audit&amp;VAR:KEY=EZKZWZQFOX&amp;VAR:QUERY=RkZfRU5UUlBSX1ZBTF9EQUlMWSgwOS8xNC8yMDEwLCwsLCwnRElMJykvRUNBX01FQU5fRUJJVERBKDIwMTAsM","DkvMTQvMjAxMCk=&amp;WINDOW=FIRST_POPUP&amp;HEIGHT=450&amp;WIDTH=450&amp;START_MAXIMIZED=FALSE&amp;VAR:CALENDAR=US&amp;VAR:SYMBOL=BA&amp;VAR:INDEX=0"}</definedName>
    <definedName name="_262__FDSAUDITLINK__" hidden="1">{"fdsup://directions/FAT Viewer?action=UPDATE&amp;creator=factset&amp;DYN_ARGS=TRUE&amp;DOC_NAME=FAT:FQL_AUDITING_CLIENT_TEMPLATE.FAT&amp;display_string=Audit&amp;VAR:KEY=IRYHIHKTWH&amp;VAR:QUERY=RkZfRU5UUlBSX1ZBTF9EQUlMWSg0MDQ0MCwsLCwsJ0RJTCcpL0VDQV9NRUFOX1NBTEVTKDIwMTIsNDA0NDAp&amp;","WINDOW=FIRST_POPUP&amp;HEIGHT=450&amp;WIDTH=450&amp;START_MAXIMIZED=FALSE&amp;VAR:CALENDAR=US&amp;VAR:SYMBOL=GR&amp;VAR:INDEX=0"}</definedName>
    <definedName name="_263__FDSAUDITLINK__" hidden="1">{"fdsup://directions/FAT Viewer?action=UPDATE&amp;creator=factset&amp;DYN_ARGS=TRUE&amp;DOC_NAME=FAT:FQL_AUDITING_CLIENT_TEMPLATE.FAT&amp;display_string=Audit&amp;VAR:KEY=YXIRMXGLCH&amp;VAR:QUERY=RkZfRU5UUlBSX1ZBTF9EQUlMWSg0MDQ0MCwsLCwsJ0RJTCcpL0VDQV9NRUFOX1NBTEVTKDIwMTEsNDA0NDAp&amp;","WINDOW=FIRST_POPUP&amp;HEIGHT=450&amp;WIDTH=450&amp;START_MAXIMIZED=FALSE&amp;VAR:CALENDAR=US&amp;VAR:SYMBOL=GR&amp;VAR:INDEX=0"}</definedName>
    <definedName name="_264__FDSAUDITLINK__" hidden="1">{"fdsup://directions/FAT Viewer?action=UPDATE&amp;creator=factset&amp;DYN_ARGS=TRUE&amp;DOC_NAME=FAT:FQL_AUDITING_CLIENT_TEMPLATE.FAT&amp;display_string=Audit&amp;VAR:KEY=UNEVUFGFKH&amp;VAR:QUERY=RkZfRU5UUlBSX1ZBTF9EQUlMWSg0MDQ0MCwsLCwsJ0RJTCcpL0VDQV9NRUFOX1NBTEVTKDIwMTAsNDA0NDAp&amp;","WINDOW=FIRST_POPUP&amp;HEIGHT=450&amp;WIDTH=450&amp;START_MAXIMIZED=FALSE&amp;VAR:CALENDAR=US&amp;VAR:SYMBOL=GR&amp;VAR:INDEX=0"}</definedName>
    <definedName name="_265__FDSAUDITLINK__" hidden="1">{"fdsup://directions/FAT Viewer?action=UPDATE&amp;creator=factset&amp;DYN_ARGS=TRUE&amp;DOC_NAME=FAT:FQL_AUDITING_CLIENT_TEMPLATE.FAT&amp;display_string=Audit&amp;VAR:KEY=ARYDMRGHIV&amp;VAR:QUERY=RkZfRU5UUlBSX1ZBTF9EQUlMWSg0MDQ0MCwsLCwsJ0RJTCcpL0VDQV9NRUFOX0VCSVQoMjAxMiw0MDQ0MCk=&amp;","WINDOW=FIRST_POPUP&amp;HEIGHT=450&amp;WIDTH=450&amp;START_MAXIMIZED=FALSE&amp;VAR:CALENDAR=US&amp;VAR:SYMBOL=GR&amp;VAR:INDEX=0"}</definedName>
    <definedName name="_266__FDSAUDITLINK__" hidden="1">{"fdsup://directions/FAT Viewer?action=UPDATE&amp;creator=factset&amp;DYN_ARGS=TRUE&amp;DOC_NAME=FAT:FQL_AUDITING_CLIENT_TEMPLATE.FAT&amp;display_string=Audit&amp;VAR:KEY=OXONYZCFOT&amp;VAR:QUERY=RkZfRU5UUlBSX1ZBTF9EQUlMWSg0MDQ0MCwsLCwsJ0RJTCcpL0VDQV9NRUFOX0VCSVQoMjAxMSw0MDQ0MCk=&amp;","WINDOW=FIRST_POPUP&amp;HEIGHT=450&amp;WIDTH=450&amp;START_MAXIMIZED=FALSE&amp;VAR:CALENDAR=US&amp;VAR:SYMBOL=GR&amp;VAR:INDEX=0"}</definedName>
    <definedName name="_267__FDSAUDITLINK__" hidden="1">{"fdsup://directions/FAT Viewer?action=UPDATE&amp;creator=factset&amp;DYN_ARGS=TRUE&amp;DOC_NAME=FAT:FQL_AUDITING_CLIENT_TEMPLATE.FAT&amp;display_string=Audit&amp;VAR:KEY=IRQVSHSPUF&amp;VAR:QUERY=RkZfRU5UUlBSX1ZBTF9EQUlMWSg0MDQ0MCwsLCwsJ0RJTCcpL0VDQV9NRUFOX0VCSVQoMjAxMCw0MDQ0MCk=&amp;","WINDOW=FIRST_POPUP&amp;HEIGHT=450&amp;WIDTH=450&amp;START_MAXIMIZED=FALSE&amp;VAR:CALENDAR=US&amp;VAR:SYMBOL=GR&amp;VAR:INDEX=0"}</definedName>
    <definedName name="_268__FDSAUDITLINK__" hidden="1">{"fdsup://directions/FAT Viewer?action=UPDATE&amp;creator=factset&amp;DYN_ARGS=TRUE&amp;DOC_NAME=FAT:FQL_AUDITING_CLIENT_TEMPLATE.FAT&amp;display_string=Audit&amp;VAR:KEY=KVOXQVSBCL&amp;VAR:QUERY=RkZfRU5UUlBSX1ZBTF9EQUlMWSg0MDQ0MCwsLCwsJ0RJTCcpL0VDQV9NRUFOX0VCSVREQSgyMDEyLDQwNDQwK","Q==&amp;WINDOW=FIRST_POPUP&amp;HEIGHT=450&amp;WIDTH=450&amp;START_MAXIMIZED=FALSE&amp;VAR:CALENDAR=US&amp;VAR:SYMBOL=GR&amp;VAR:INDEX=0"}</definedName>
    <definedName name="_269__FDSAUDITLINK__" hidden="1">{"fdsup://directions/FAT Viewer?action=UPDATE&amp;creator=factset&amp;DYN_ARGS=TRUE&amp;DOC_NAME=FAT:FQL_AUDITING_CLIENT_TEMPLATE.FAT&amp;display_string=Audit&amp;VAR:KEY=YNOFEBGLSR&amp;VAR:QUERY=RkZfRU5UUlBSX1ZBTF9EQUlMWSg0MDQ0MCwsLCwsJ0RJTCcpL0VDQV9NRUFOX0VCSVREQSgyMDExLDQwNDQwK","Q==&amp;WINDOW=FIRST_POPUP&amp;HEIGHT=450&amp;WIDTH=450&amp;START_MAXIMIZED=FALSE&amp;VAR:CALENDAR=US&amp;VAR:SYMBOL=GR&amp;VAR:INDEX=0"}</definedName>
    <definedName name="_27__FDSAUDITLINK__" hidden="1">{"fdsup://directions/FAT Viewer?action=UPDATE&amp;creator=factset&amp;DYN_ARGS=TRUE&amp;DOC_NAME=FAT:FQL_AUDITING_CLIENT_TEMPLATE.FAT&amp;display_string=Audit&amp;VAR:KEY=WPQJONIRAD&amp;VAR:QUERY=RkZfRU5UUlBSX1ZBTF9EQUlMWSgwMS8yNi8yMDExLCwsLCwnRElMJykvRUNBX01FQU5fRUJJVERBKDIwMTAsM","DEvMjYvMjAxMSk=&amp;WINDOW=FIRST_POPUP&amp;HEIGHT=450&amp;WIDTH=450&amp;START_MAXIMIZED=FALSE&amp;VAR:CALENDAR=US&amp;VAR:SYMBOL=UTX&amp;VAR:INDEX=0"}</definedName>
    <definedName name="_270__FDSAUDITLINK__" hidden="1">{"fdsup://directions/FAT Viewer?action=UPDATE&amp;creator=factset&amp;DYN_ARGS=TRUE&amp;DOC_NAME=FAT:FQL_AUDITING_CLIENT_TEMPLATE.FAT&amp;display_string=Audit&amp;VAR:KEY=ILKZMXILUB&amp;VAR:QUERY=RkZfRU5UUlBSX1ZBTF9EQUlMWSg0MDQ0MCwsLCwsJ0RJTCcpL0VDQV9NRUFOX0VCSVREQSgyMDEwLDQwNDQwK","Q==&amp;WINDOW=FIRST_POPUP&amp;HEIGHT=450&amp;WIDTH=450&amp;START_MAXIMIZED=FALSE&amp;VAR:CALENDAR=US&amp;VAR:SYMBOL=GR&amp;VAR:INDEX=0"}</definedName>
    <definedName name="_271__FDSAUDITLINK__" hidden="1">{"fdsup://directions/FAT Viewer?action=UPDATE&amp;creator=factset&amp;DYN_ARGS=TRUE&amp;DOC_NAME=FAT:FQL_AUDITING_CLIENT_TEMPLATE.FAT&amp;display_string=Audit&amp;VAR:KEY=CNADQLGXSP&amp;VAR:QUERY=RkZfRU5UUlBSX1ZBTF9EQUlMWSg0MDQ0MCwsLCwsJ0RJTCcpL0VDQV9NRUFOX1NBTEVTKDIwMTIsNDA0NDAp&amp;","WINDOW=FIRST_POPUP&amp;HEIGHT=450&amp;WIDTH=450&amp;START_MAXIMIZED=FALSE&amp;VAR:CALENDAR=US&amp;VAR:SYMBOL=COL&amp;VAR:INDEX=0"}</definedName>
    <definedName name="_272__FDSAUDITLINK__" hidden="1">{"fdsup://directions/FAT Viewer?action=UPDATE&amp;creator=factset&amp;DYN_ARGS=TRUE&amp;DOC_NAME=FAT:FQL_AUDITING_CLIENT_TEMPLATE.FAT&amp;display_string=Audit&amp;VAR:KEY=WZCZEPIJMF&amp;VAR:QUERY=RkZfRU5UUlBSX1ZBTF9EQUlMWSg0MDQ0MCwsLCwsJ0RJTCcpL0VDQV9NRUFOX1NBTEVTKDIwMTEsNDA0NDAp&amp;","WINDOW=FIRST_POPUP&amp;HEIGHT=450&amp;WIDTH=450&amp;START_MAXIMIZED=FALSE&amp;VAR:CALENDAR=US&amp;VAR:SYMBOL=COL&amp;VAR:INDEX=0"}</definedName>
    <definedName name="_273__FDSAUDITLINK__" hidden="1">{"fdsup://directions/FAT Viewer?action=UPDATE&amp;creator=factset&amp;DYN_ARGS=TRUE&amp;DOC_NAME=FAT:FQL_AUDITING_CLIENT_TEMPLATE.FAT&amp;display_string=Audit&amp;VAR:KEY=OVAJGDMJOV&amp;VAR:QUERY=RkZfRU5UUlBSX1ZBTF9EQUlMWSg0MDQ0MCwsLCwsJ0RJTCcpL0VDQV9NRUFOX1NBTEVTKDIwMTAsNDA0NDAp&amp;","WINDOW=FIRST_POPUP&amp;HEIGHT=450&amp;WIDTH=450&amp;START_MAXIMIZED=FALSE&amp;VAR:CALENDAR=US&amp;VAR:SYMBOL=COL&amp;VAR:INDEX=0"}</definedName>
    <definedName name="_274__FDSAUDITLINK__" hidden="1">{"fdsup://directions/FAT Viewer?action=UPDATE&amp;creator=factset&amp;DYN_ARGS=TRUE&amp;DOC_NAME=FAT:FQL_AUDITING_CLIENT_TEMPLATE.FAT&amp;display_string=Audit&amp;VAR:KEY=SPSXMRUNWF&amp;VAR:QUERY=RkZfRU5UUlBSX1ZBTF9EQUlMWSg0MDQ0MCwsLCwsJ0RJTCcpL0VDQV9NRUFOX0VCSVQoMjAxMiw0MDQ0MCk=&amp;","WINDOW=FIRST_POPUP&amp;HEIGHT=450&amp;WIDTH=450&amp;START_MAXIMIZED=FALSE&amp;VAR:CALENDAR=US&amp;VAR:SYMBOL=COL&amp;VAR:INDEX=0"}</definedName>
    <definedName name="_275__FDSAUDITLINK__" hidden="1">{"fdsup://directions/FAT Viewer?action=UPDATE&amp;creator=factset&amp;DYN_ARGS=TRUE&amp;DOC_NAME=FAT:FQL_AUDITING_CLIENT_TEMPLATE.FAT&amp;display_string=Audit&amp;VAR:KEY=EFWLIXSLCR&amp;VAR:QUERY=RkZfRU5UUlBSX1ZBTF9EQUlMWSg0MDQ0MCwsLCwsJ0RJTCcpL0VDQV9NRUFOX0VCSVQoMjAxMSw0MDQ0MCk=&amp;","WINDOW=FIRST_POPUP&amp;HEIGHT=450&amp;WIDTH=450&amp;START_MAXIMIZED=FALSE&amp;VAR:CALENDAR=US&amp;VAR:SYMBOL=COL&amp;VAR:INDEX=0"}</definedName>
    <definedName name="_276__FDSAUDITLINK__" hidden="1">{"fdsup://directions/FAT Viewer?action=UPDATE&amp;creator=factset&amp;DYN_ARGS=TRUE&amp;DOC_NAME=FAT:FQL_AUDITING_CLIENT_TEMPLATE.FAT&amp;display_string=Audit&amp;VAR:KEY=AVQBKPSRYH&amp;VAR:QUERY=RkZfRU5UUlBSX1ZBTF9EQUlMWSg0MDQ0MCwsLCwsJ0RJTCcpL0VDQV9NRUFOX0VCSVQoMjAxMCw0MDQ0MCk=&amp;","WINDOW=FIRST_POPUP&amp;HEIGHT=450&amp;WIDTH=450&amp;START_MAXIMIZED=FALSE&amp;VAR:CALENDAR=US&amp;VAR:SYMBOL=COL&amp;VAR:INDEX=0"}</definedName>
    <definedName name="_277__FDSAUDITLINK__" hidden="1">{"fdsup://directions/FAT Viewer?action=UPDATE&amp;creator=factset&amp;DYN_ARGS=TRUE&amp;DOC_NAME=FAT:FQL_AUDITING_CLIENT_TEMPLATE.FAT&amp;display_string=Audit&amp;VAR:KEY=SLSNUZQZIF&amp;VAR:QUERY=RkZfRU5UUlBSX1ZBTF9EQUlMWSg0MDQ0MCwsLCwsJ0RJTCcpL0VDQV9NRUFOX0VCSVREQSgyMDEyLDQwNDQwK","Q==&amp;WINDOW=FIRST_POPUP&amp;HEIGHT=450&amp;WIDTH=450&amp;START_MAXIMIZED=FALSE&amp;VAR:CALENDAR=US&amp;VAR:SYMBOL=COL&amp;VAR:INDEX=0"}</definedName>
    <definedName name="_278__FDSAUDITLINK__" hidden="1">{"fdsup://directions/FAT Viewer?action=UPDATE&amp;creator=factset&amp;DYN_ARGS=TRUE&amp;DOC_NAME=FAT:FQL_AUDITING_CLIENT_TEMPLATE.FAT&amp;display_string=Audit&amp;VAR:KEY=YJURGBSZQT&amp;VAR:QUERY=RkZfRU5UUlBSX1ZBTF9EQUlMWSg0MDQ0MCwsLCwsJ0RJTCcpL0VDQV9NRUFOX0VCSVREQSgyMDExLDQwNDQwK","Q==&amp;WINDOW=FIRST_POPUP&amp;HEIGHT=450&amp;WIDTH=450&amp;START_MAXIMIZED=FALSE&amp;VAR:CALENDAR=US&amp;VAR:SYMBOL=COL&amp;VAR:INDEX=0"}</definedName>
    <definedName name="_279__FDSAUDITLINK__" hidden="1">{"fdsup://directions/FAT Viewer?action=UPDATE&amp;creator=factset&amp;DYN_ARGS=TRUE&amp;DOC_NAME=FAT:FQL_AUDITING_CLIENT_TEMPLATE.FAT&amp;display_string=Audit&amp;VAR:KEY=MVOHUFYTYH&amp;VAR:QUERY=RkZfRU5UUlBSX1ZBTF9EQUlMWSg0MDQ0MCwsLCwsJ0RJTCcpL0VDQV9NRUFOX0VCSVREQSgyMDEwLDQwNDQwK","Q==&amp;WINDOW=FIRST_POPUP&amp;HEIGHT=450&amp;WIDTH=450&amp;START_MAXIMIZED=FALSE&amp;VAR:CALENDAR=US&amp;VAR:SYMBOL=COL&amp;VAR:INDEX=0"}</definedName>
    <definedName name="_28__FDSAUDITLINK__" hidden="1">{"fdsup://directions/FAT Viewer?action=UPDATE&amp;creator=factset&amp;DYN_ARGS=TRUE&amp;DOC_NAME=FAT:FQL_AUDITING_CLIENT_TEMPLATE.FAT&amp;display_string=Audit&amp;VAR:KEY=WJSDMPCDGB&amp;VAR:QUERY=RkZfRU5UUlBSX1ZBTF9EQUlMWSg0MDcxMCwsLCwsJ0RJTCcp&amp;WINDOW=FIRST_POPUP&amp;HEIGHT=450&amp;WIDTH=","450&amp;START_MAXIMIZED=FALSE&amp;VAR:CALENDAR=US&amp;VAR:SYMBOL=GR&amp;VAR:INDEX=0"}</definedName>
    <definedName name="_280__FDSAUDITLINK__" hidden="1">{"fdsup://directions/FAT Viewer?action=UPDATE&amp;creator=factset&amp;DYN_ARGS=TRUE&amp;DOC_NAME=FAT:FQL_AUDITING_CLIENT_TEMPLATE.FAT&amp;display_string=Audit&amp;VAR:KEY=QBCXKTMNUN&amp;VAR:QUERY=RkZfRU5UUlBSX1ZBTF9EQUlMWSg0MDQ0MCwsLCwsJ0RJTCcpL0VDQV9NRUFOX1NBTEVTKDIwMTIsNDA0NDAp&amp;","WINDOW=FIRST_POPUP&amp;HEIGHT=450&amp;WIDTH=450&amp;START_MAXIMIZED=FALSE&amp;VAR:CALENDAR=US&amp;VAR:SYMBOL=BA&amp;VAR:INDEX=0"}</definedName>
    <definedName name="_281__FDSAUDITLINK__" hidden="1">{"fdsup://directions/FAT Viewer?action=UPDATE&amp;creator=factset&amp;DYN_ARGS=TRUE&amp;DOC_NAME=FAT:FQL_AUDITING_CLIENT_TEMPLATE.FAT&amp;display_string=Audit&amp;VAR:KEY=AJOVYZQFCL&amp;VAR:QUERY=RkZfRU5UUlBSX1ZBTF9EQUlMWSg0MDQ0MCwsLCwsJ0RJTCcpL0VDQV9NRUFOX1NBTEVTKDIwMTEsNDA0NDAp&amp;","WINDOW=FIRST_POPUP&amp;HEIGHT=450&amp;WIDTH=450&amp;START_MAXIMIZED=FALSE&amp;VAR:CALENDAR=US&amp;VAR:SYMBOL=BA&amp;VAR:INDEX=0"}</definedName>
    <definedName name="_282__FDSAUDITLINK__" hidden="1">{"fdsup://directions/FAT Viewer?action=UPDATE&amp;creator=factset&amp;DYN_ARGS=TRUE&amp;DOC_NAME=FAT:FQL_AUDITING_CLIENT_TEMPLATE.FAT&amp;display_string=Audit&amp;VAR:KEY=GXEFWXQDMJ&amp;VAR:QUERY=RkZfRU5UUlBSX1ZBTF9EQUlMWSg0MDQ0MCwsLCwsJ0RJTCcpL0VDQV9NRUFOX1NBTEVTKDIwMTAsNDA0NDAp&amp;","WINDOW=FIRST_POPUP&amp;HEIGHT=450&amp;WIDTH=450&amp;START_MAXIMIZED=FALSE&amp;VAR:CALENDAR=US&amp;VAR:SYMBOL=BA&amp;VAR:INDEX=0"}</definedName>
    <definedName name="_283__FDSAUDITLINK__" hidden="1">{"fdsup://directions/FAT Viewer?action=UPDATE&amp;creator=factset&amp;DYN_ARGS=TRUE&amp;DOC_NAME=FAT:FQL_AUDITING_CLIENT_TEMPLATE.FAT&amp;display_string=Audit&amp;VAR:KEY=MTAVOLCHOX&amp;VAR:QUERY=RkZfRU5UUlBSX1ZBTF9EQUlMWSg0MDQ0MCwsLCwsJ0RJTCcpL0VDQV9NRUFOX0VCSVQoMjAxMiw0MDQ0MCk=&amp;","WINDOW=FIRST_POPUP&amp;HEIGHT=450&amp;WIDTH=450&amp;START_MAXIMIZED=FALSE&amp;VAR:CALENDAR=US&amp;VAR:SYMBOL=BA&amp;VAR:INDEX=0"}</definedName>
    <definedName name="_284__FDSAUDITLINK__" hidden="1">{"fdsup://directions/FAT Viewer?action=UPDATE&amp;creator=factset&amp;DYN_ARGS=TRUE&amp;DOC_NAME=FAT:FQL_AUDITING_CLIENT_TEMPLATE.FAT&amp;display_string=Audit&amp;VAR:KEY=WBCPUJUTEF&amp;VAR:QUERY=RkZfRU5UUlBSX1ZBTF9EQUlMWSg0MDQ0MCwsLCwsJ0RJTCcpL0VDQV9NRUFOX0VCSVQoMjAxMSw0MDQ0MCk=&amp;","WINDOW=FIRST_POPUP&amp;HEIGHT=450&amp;WIDTH=450&amp;START_MAXIMIZED=FALSE&amp;VAR:CALENDAR=US&amp;VAR:SYMBOL=BA&amp;VAR:INDEX=0"}</definedName>
    <definedName name="_285__FDSAUDITLINK__" hidden="1">{"fdsup://directions/FAT Viewer?action=UPDATE&amp;creator=factset&amp;DYN_ARGS=TRUE&amp;DOC_NAME=FAT:FQL_AUDITING_CLIENT_TEMPLATE.FAT&amp;display_string=Audit&amp;VAR:KEY=EZUTSFUTGV&amp;VAR:QUERY=RkZfRU5UUlBSX1ZBTF9EQUlMWSg0MDQ0MCwsLCwsJ0RJTCcpL0VDQV9NRUFOX0VCSVQoMjAxMCw0MDQ0MCk=&amp;","WINDOW=FIRST_POPUP&amp;HEIGHT=450&amp;WIDTH=450&amp;START_MAXIMIZED=FALSE&amp;VAR:CALENDAR=US&amp;VAR:SYMBOL=BA&amp;VAR:INDEX=0"}</definedName>
    <definedName name="_286__FDSAUDITLINK__" hidden="1">{"fdsup://directions/FAT Viewer?action=UPDATE&amp;creator=factset&amp;DYN_ARGS=TRUE&amp;DOC_NAME=FAT:FQL_AUDITING_CLIENT_TEMPLATE.FAT&amp;display_string=Audit&amp;VAR:KEY=ARYXEVULAJ&amp;VAR:QUERY=RkZfRU5UUlBSX1ZBTF9EQUlMWSg0MDQ0MCwsLCwsJ0RJTCcpL0VDQV9NRUFOX0VCSVREQSgyMDEyLDQwNDQwK","Q==&amp;WINDOW=FIRST_POPUP&amp;HEIGHT=450&amp;WIDTH=450&amp;START_MAXIMIZED=FALSE&amp;VAR:CALENDAR=US&amp;VAR:SYMBOL=BA&amp;VAR:INDEX=0"}</definedName>
    <definedName name="_287__FDSAUDITLINK__" hidden="1">{"fdsup://directions/FAT Viewer?action=UPDATE&amp;creator=factset&amp;DYN_ARGS=TRUE&amp;DOC_NAME=FAT:FQL_AUDITING_CLIENT_TEMPLATE.FAT&amp;display_string=Audit&amp;VAR:KEY=IZUPYLEVMN&amp;VAR:QUERY=RkZfRU5UUlBSX1ZBTF9EQUlMWSg0MDQ0MCwsLCwsJ0RJTCcpL0VDQV9NRUFOX0VCSVREQSgyMDExLDQwNDQwK","Q==&amp;WINDOW=FIRST_POPUP&amp;HEIGHT=450&amp;WIDTH=450&amp;START_MAXIMIZED=FALSE&amp;VAR:CALENDAR=US&amp;VAR:SYMBOL=BA&amp;VAR:INDEX=0"}</definedName>
    <definedName name="_288__FDSAUDITLINK__" hidden="1">{"fdsup://directions/FAT Viewer?action=UPDATE&amp;creator=factset&amp;DYN_ARGS=TRUE&amp;DOC_NAME=FAT:FQL_AUDITING_CLIENT_TEMPLATE.FAT&amp;display_string=Audit&amp;VAR:KEY=MVSJYFIVWH&amp;VAR:QUERY=RkZfRU5UUlBSX1ZBTF9EQUlMWSg0MDQ0MCwsLCwsJ0RJTCcpL0VDQV9NRUFOX0VCSVREQSgyMDEwLDQwNDQwK","Q==&amp;WINDOW=FIRST_POPUP&amp;HEIGHT=450&amp;WIDTH=450&amp;START_MAXIMIZED=FALSE&amp;VAR:CALENDAR=US&amp;VAR:SYMBOL=BA&amp;VAR:INDEX=0"}</definedName>
    <definedName name="_289__FDSAUDITLINK__" hidden="1">{"fdsup://directions/FAT Viewer?action=UPDATE&amp;creator=factset&amp;DYN_ARGS=TRUE&amp;DOC_NAME=FAT:FQL_AUDITING_CLIENT_TEMPLATE.FAT&amp;display_string=Audit&amp;VAR:KEY=ETETGJYVAP&amp;VAR:QUERY=RkZfRU5UUlBSX1ZBTF9EQUlMWSg0MDQ4NiwsLCwsJ0RJTCcpL0VDQV9NRUFOX1NBTEVTKDIwMTIsNDA0ODYp&amp;","WINDOW=FIRST_POPUP&amp;HEIGHT=450&amp;WIDTH=450&amp;START_MAXIMIZED=FALSE&amp;VAR:CALENDAR=US&amp;VAR:SYMBOL=GR&amp;VAR:INDEX=0"}</definedName>
    <definedName name="_29__123Graph_XLIQUIDS" hidden="1">[2]P!$R$29:$AK$29</definedName>
    <definedName name="_29__FDSAUDITLINK__" hidden="1">{"fdsup://directions/FAT Viewer?action=UPDATE&amp;creator=factset&amp;DYN_ARGS=TRUE&amp;DOC_NAME=FAT:FQL_AUDITING_CLIENT_TEMPLATE.FAT&amp;display_string=Audit&amp;VAR:KEY=OZSHQVINUL&amp;VAR:QUERY=RkZfRU5UUlBSX1ZBTF9EQUlMWSg0MDcxMCwsLCwsJ0RJTCcp&amp;WINDOW=FIRST_POPUP&amp;HEIGHT=450&amp;WIDTH=","450&amp;START_MAXIMIZED=FALSE&amp;VAR:CALENDAR=US&amp;VAR:SYMBOL=COL&amp;VAR:INDEX=0"}</definedName>
    <definedName name="_290__FDSAUDITLINK__" hidden="1">{"fdsup://directions/FAT Viewer?action=UPDATE&amp;creator=factset&amp;DYN_ARGS=TRUE&amp;DOC_NAME=FAT:FQL_AUDITING_CLIENT_TEMPLATE.FAT&amp;display_string=Audit&amp;VAR:KEY=OTCNOBAVCD&amp;VAR:QUERY=RkZfRU5UUlBSX1ZBTF9EQUlMWSg0MDQ4NiwsLCwsJ0RJTCcpL0VDQV9NRUFOX1NBTEVTKDIwMTEsNDA0ODYp&amp;","WINDOW=FIRST_POPUP&amp;HEIGHT=450&amp;WIDTH=450&amp;START_MAXIMIZED=FALSE&amp;VAR:CALENDAR=US&amp;VAR:SYMBOL=GR&amp;VAR:INDEX=0"}</definedName>
    <definedName name="_291__FDSAUDITLINK__" hidden="1">{"fdsup://directions/FAT Viewer?action=UPDATE&amp;creator=factset&amp;DYN_ARGS=TRUE&amp;DOC_NAME=FAT:FQL_AUDITING_CLIENT_TEMPLATE.FAT&amp;display_string=Audit&amp;VAR:KEY=YBALAXIRQJ&amp;VAR:QUERY=RkZfRU5UUlBSX1ZBTF9EQUlMWSg0MDQ4NiwsLCwsJ0RJTCcpL0VDQV9NRUFOX1NBTEVTKDIwMTAsNDA0ODYp&amp;","WINDOW=FIRST_POPUP&amp;HEIGHT=450&amp;WIDTH=450&amp;START_MAXIMIZED=FALSE&amp;VAR:CALENDAR=US&amp;VAR:SYMBOL=GR&amp;VAR:INDEX=0"}</definedName>
    <definedName name="_292__FDSAUDITLINK__" hidden="1">{"fdsup://directions/FAT Viewer?action=UPDATE&amp;creator=factset&amp;DYN_ARGS=TRUE&amp;DOC_NAME=FAT:FQL_AUDITING_CLIENT_TEMPLATE.FAT&amp;display_string=Audit&amp;VAR:KEY=CJIFEVYDYX&amp;VAR:QUERY=RkZfRU5UUlBSX1ZBTF9EQUlMWSg0MDQ4NiwsLCwsJ0RJTCcpL0VDQV9NRUFOX0VCSVQoMjAxMiw0MDQ4Nik=&amp;","WINDOW=FIRST_POPUP&amp;HEIGHT=450&amp;WIDTH=450&amp;START_MAXIMIZED=FALSE&amp;VAR:CALENDAR=US&amp;VAR:SYMBOL=GR&amp;VAR:INDEX=0"}</definedName>
    <definedName name="_293__FDSAUDITLINK__" hidden="1">{"fdsup://directions/FAT Viewer?action=UPDATE&amp;creator=factset&amp;DYN_ARGS=TRUE&amp;DOC_NAME=FAT:FQL_AUDITING_CLIENT_TEMPLATE.FAT&amp;display_string=Audit&amp;VAR:KEY=KHORETWNWT&amp;VAR:QUERY=RkZfRU5UUlBSX1ZBTF9EQUlMWSg0MDQ4NiwsLCwsJ0RJTCcpL0VDQV9NRUFOX0VCSVQoMjAxMSw0MDQ4Nik=&amp;","WINDOW=FIRST_POPUP&amp;HEIGHT=450&amp;WIDTH=450&amp;START_MAXIMIZED=FALSE&amp;VAR:CALENDAR=US&amp;VAR:SYMBOL=GR&amp;VAR:INDEX=0"}</definedName>
    <definedName name="_294__FDSAUDITLINK__" hidden="1">{"fdsup://directions/FAT Viewer?action=UPDATE&amp;creator=factset&amp;DYN_ARGS=TRUE&amp;DOC_NAME=FAT:FQL_AUDITING_CLIENT_TEMPLATE.FAT&amp;display_string=Audit&amp;VAR:KEY=EJMDCTIHIX&amp;VAR:QUERY=RkZfRU5UUlBSX1ZBTF9EQUlMWSg0MDQ4NiwsLCwsJ0RJTCcpL0VDQV9NRUFOX0VCSVQoMjAxMCw0MDQ4Nik=&amp;","WINDOW=FIRST_POPUP&amp;HEIGHT=450&amp;WIDTH=450&amp;START_MAXIMIZED=FALSE&amp;VAR:CALENDAR=US&amp;VAR:SYMBOL=GR&amp;VAR:INDEX=0"}</definedName>
    <definedName name="_295__FDSAUDITLINK__" hidden="1">{"fdsup://directions/FAT Viewer?action=UPDATE&amp;creator=factset&amp;DYN_ARGS=TRUE&amp;DOC_NAME=FAT:FQL_AUDITING_CLIENT_TEMPLATE.FAT&amp;display_string=Audit&amp;VAR:KEY=KHEVGFCBSL&amp;VAR:QUERY=RkZfRU5UUlBSX1ZBTF9EQUlMWSg0MDQ4NiwsLCwsJ0RJTCcpL0VDQV9NRUFOX0VCSVREQSgyMDEyLDQwNDg2K","Q==&amp;WINDOW=FIRST_POPUP&amp;HEIGHT=450&amp;WIDTH=450&amp;START_MAXIMIZED=FALSE&amp;VAR:CALENDAR=US&amp;VAR:SYMBOL=GR&amp;VAR:INDEX=0"}</definedName>
    <definedName name="_296__FDSAUDITLINK__" hidden="1">{"fdsup://directions/FAT Viewer?action=UPDATE&amp;creator=factset&amp;DYN_ARGS=TRUE&amp;DOC_NAME=FAT:FQL_AUDITING_CLIENT_TEMPLATE.FAT&amp;display_string=Audit&amp;VAR:KEY=QVYJIZKXIZ&amp;VAR:QUERY=RkZfRU5UUlBSX1ZBTF9EQUlMWSg0MDQ4NiwsLCwsJ0RJTCcpL0VDQV9NRUFOX0VCSVREQSgyMDExLDQwNDg2K","Q==&amp;WINDOW=FIRST_POPUP&amp;HEIGHT=450&amp;WIDTH=450&amp;START_MAXIMIZED=FALSE&amp;VAR:CALENDAR=US&amp;VAR:SYMBOL=GR&amp;VAR:INDEX=0"}</definedName>
    <definedName name="_297__FDSAUDITLINK__" hidden="1">{"fdsup://directions/FAT Viewer?action=UPDATE&amp;creator=factset&amp;DYN_ARGS=TRUE&amp;DOC_NAME=FAT:FQL_AUDITING_CLIENT_TEMPLATE.FAT&amp;display_string=Audit&amp;VAR:KEY=ULSBUTGJCP&amp;VAR:QUERY=RkZfRU5UUlBSX1ZBTF9EQUlMWSg0MDQ4NiwsLCwsJ0RJTCcpL0VDQV9NRUFOX0VCSVREQSgyMDEwLDQwNDg2K","Q==&amp;WINDOW=FIRST_POPUP&amp;HEIGHT=450&amp;WIDTH=450&amp;START_MAXIMIZED=FALSE&amp;VAR:CALENDAR=US&amp;VAR:SYMBOL=GR&amp;VAR:INDEX=0"}</definedName>
    <definedName name="_298__FDSAUDITLINK__" hidden="1">{"fdsup://directions/FAT Viewer?action=UPDATE&amp;creator=factset&amp;DYN_ARGS=TRUE&amp;DOC_NAME=FAT:FQL_AUDITING_CLIENT_TEMPLATE.FAT&amp;display_string=Audit&amp;VAR:KEY=UVEHCFODAN&amp;VAR:QUERY=RkZfRU5UUlBSX1ZBTF9EQUlMWSg0MDQ4NiwsLCwsJ0RJTCcpL0VDQV9NRUFOX1NBTEVTKDIwMTIsNDA0ODYp&amp;","WINDOW=FIRST_POPUP&amp;HEIGHT=450&amp;WIDTH=450&amp;START_MAXIMIZED=FALSE&amp;VAR:CALENDAR=US&amp;VAR:SYMBOL=COL&amp;VAR:INDEX=0"}</definedName>
    <definedName name="_299__FDSAUDITLINK__" hidden="1">{"fdsup://directions/FAT Viewer?action=UPDATE&amp;creator=factset&amp;DYN_ARGS=TRUE&amp;DOC_NAME=FAT:FQL_AUDITING_CLIENT_TEMPLATE.FAT&amp;display_string=Audit&amp;VAR:KEY=IZGTCBCXGX&amp;VAR:QUERY=RkZfRU5UUlBSX1ZBTF9EQUlMWSg0MDQ4NiwsLCwsJ0RJTCcpL0VDQV9NRUFOX1NBTEVTKDIwMTEsNDA0ODYp&amp;","WINDOW=FIRST_POPUP&amp;HEIGHT=450&amp;WIDTH=450&amp;START_MAXIMIZED=FALSE&amp;VAR:CALENDAR=US&amp;VAR:SYMBOL=COL&amp;VAR:INDEX=0"}</definedName>
    <definedName name="_3__FDSAUDITLINK__" hidden="1">{"fdsup://directions/FAT Viewer?action=UPDATE&amp;creator=factset&amp;DYN_ARGS=TRUE&amp;DOC_NAME=FAT:FQL_AUDITING_CLIENT_TEMPLATE.FAT&amp;display_string=Audit&amp;VAR:KEY=MZGNIXWHSD&amp;VAR:QUERY=RkZfRU5UUlBSX1ZBTF9EQUlMWSgwMS8yNi8yMDExLCwsLCwnRElMJykvRUNBX01FQU5fU0FMRVMoMjAxMCwwM","S8yNi8yMDExKQ==&amp;WINDOW=FIRST_POPUP&amp;HEIGHT=450&amp;WIDTH=450&amp;START_MAXIMIZED=FALSE&amp;VAR:CALENDAR=US&amp;VAR:SYMBOL=BA&amp;VAR:INDEX=0"}</definedName>
    <definedName name="_30__FDSAUDITLINK__" hidden="1">{"fdsup://directions/FAT Viewer?action=UPDATE&amp;creator=factset&amp;DYN_ARGS=TRUE&amp;DOC_NAME=FAT:FQL_AUDITING_CLIENT_TEMPLATE.FAT&amp;display_string=Audit&amp;VAR:KEY=OPURKLWDYF&amp;VAR:QUERY=RkZfRU5UUlBSX1ZBTF9EQUlMWSg0MDcxMCwsLCwsJ0RJTCcp&amp;WINDOW=FIRST_POPUP&amp;HEIGHT=450&amp;WIDTH=","450&amp;START_MAXIMIZED=FALSE&amp;VAR:CALENDAR=US&amp;VAR:SYMBOL=TDG&amp;VAR:INDEX=0"}</definedName>
    <definedName name="_300__FDSAUDITLINK__" hidden="1">{"fdsup://directions/FAT Viewer?action=UPDATE&amp;creator=factset&amp;DYN_ARGS=TRUE&amp;DOC_NAME=FAT:FQL_AUDITING_CLIENT_TEMPLATE.FAT&amp;display_string=Audit&amp;VAR:KEY=EBOJUVOROF&amp;VAR:QUERY=RkZfRU5UUlBSX1ZBTF9EQUlMWSg0MDQ4NiwsLCwsJ0RJTCcpL0VDQV9NRUFOX1NBTEVTKDIwMTAsNDA0ODYp&amp;","WINDOW=FIRST_POPUP&amp;HEIGHT=450&amp;WIDTH=450&amp;START_MAXIMIZED=FALSE&amp;VAR:CALENDAR=US&amp;VAR:SYMBOL=COL&amp;VAR:INDEX=0"}</definedName>
    <definedName name="_301__FDSAUDITLINK__" hidden="1">{"fdsup://directions/FAT Viewer?action=UPDATE&amp;creator=factset&amp;DYN_ARGS=TRUE&amp;DOC_NAME=FAT:FQL_AUDITING_CLIENT_TEMPLATE.FAT&amp;display_string=Audit&amp;VAR:KEY=MTWJSNIPMP&amp;VAR:QUERY=RkZfRU5UUlBSX1ZBTF9EQUlMWSg0MDQ4NiwsLCwsJ0RJTCcpL0VDQV9NRUFOX0VCSVQoMjAxMiw0MDQ4Nik=&amp;","WINDOW=FIRST_POPUP&amp;HEIGHT=450&amp;WIDTH=450&amp;START_MAXIMIZED=FALSE&amp;VAR:CALENDAR=US&amp;VAR:SYMBOL=COL&amp;VAR:INDEX=0"}</definedName>
    <definedName name="_302__FDSAUDITLINK__" hidden="1">{"fdsup://directions/FAT Viewer?action=UPDATE&amp;creator=factset&amp;DYN_ARGS=TRUE&amp;DOC_NAME=FAT:FQL_AUDITING_CLIENT_TEMPLATE.FAT&amp;display_string=Audit&amp;VAR:KEY=CTIPSHKVWV&amp;VAR:QUERY=RkZfRU5UUlBSX1ZBTF9EQUlMWSg0MDQ4NiwsLCwsJ0RJTCcpL0VDQV9NRUFOX0VCSVQoMjAxMSw0MDQ4Nik=&amp;","WINDOW=FIRST_POPUP&amp;HEIGHT=450&amp;WIDTH=450&amp;START_MAXIMIZED=FALSE&amp;VAR:CALENDAR=US&amp;VAR:SYMBOL=COL&amp;VAR:INDEX=0"}</definedName>
    <definedName name="_303__FDSAUDITLINK__" hidden="1">{"fdsup://directions/FAT Viewer?action=UPDATE&amp;creator=factset&amp;DYN_ARGS=TRUE&amp;DOC_NAME=FAT:FQL_AUDITING_CLIENT_TEMPLATE.FAT&amp;display_string=Audit&amp;VAR:KEY=QZEXCTIVUD&amp;VAR:QUERY=RkZfRU5UUlBSX1ZBTF9EQUlMWSg0MDQ4NiwsLCwsJ0RJTCcpL0VDQV9NRUFOX0VCSVQoMjAxMCw0MDQ4Nik=&amp;","WINDOW=FIRST_POPUP&amp;HEIGHT=450&amp;WIDTH=450&amp;START_MAXIMIZED=FALSE&amp;VAR:CALENDAR=US&amp;VAR:SYMBOL=COL&amp;VAR:INDEX=0"}</definedName>
    <definedName name="_304__FDSAUDITLINK__" hidden="1">{"fdsup://directions/FAT Viewer?action=UPDATE&amp;creator=factset&amp;DYN_ARGS=TRUE&amp;DOC_NAME=FAT:FQL_AUDITING_CLIENT_TEMPLATE.FAT&amp;display_string=Audit&amp;VAR:KEY=MVUXYFYLCZ&amp;VAR:QUERY=RkZfRU5UUlBSX1ZBTF9EQUlMWSg0MDQ4NiwsLCwsJ0RJTCcpL0VDQV9NRUFOX0VCSVREQSgyMDEyLDQwNDg2K","Q==&amp;WINDOW=FIRST_POPUP&amp;HEIGHT=450&amp;WIDTH=450&amp;START_MAXIMIZED=FALSE&amp;VAR:CALENDAR=US&amp;VAR:SYMBOL=COL&amp;VAR:INDEX=0"}</definedName>
    <definedName name="_305__FDSAUDITLINK__" hidden="1">{"fdsup://directions/FAT Viewer?action=UPDATE&amp;creator=factset&amp;DYN_ARGS=TRUE&amp;DOC_NAME=FAT:FQL_AUDITING_CLIENT_TEMPLATE.FAT&amp;display_string=Audit&amp;VAR:KEY=OBYXUPMRYT&amp;VAR:QUERY=RkZfRU5UUlBSX1ZBTF9EQUlMWSg0MDQ4NiwsLCwsJ0RJTCcpL0VDQV9NRUFOX0VCSVREQSgyMDExLDQwNDg2K","Q==&amp;WINDOW=FIRST_POPUP&amp;HEIGHT=450&amp;WIDTH=450&amp;START_MAXIMIZED=FALSE&amp;VAR:CALENDAR=US&amp;VAR:SYMBOL=COL&amp;VAR:INDEX=0"}</definedName>
    <definedName name="_306__FDSAUDITLINK__" hidden="1">{"fdsup://directions/FAT Viewer?action=UPDATE&amp;creator=factset&amp;DYN_ARGS=TRUE&amp;DOC_NAME=FAT:FQL_AUDITING_CLIENT_TEMPLATE.FAT&amp;display_string=Audit&amp;VAR:KEY=EBULGXYFEB&amp;VAR:QUERY=RkZfRU5UUlBSX1ZBTF9EQUlMWSg0MDQ4NiwsLCwsJ0RJTCcpL0VDQV9NRUFOX0VCSVREQSgyMDEwLDQwNDg2K","Q==&amp;WINDOW=FIRST_POPUP&amp;HEIGHT=450&amp;WIDTH=450&amp;START_MAXIMIZED=FALSE&amp;VAR:CALENDAR=US&amp;VAR:SYMBOL=COL&amp;VAR:INDEX=0"}</definedName>
    <definedName name="_307__FDSAUDITLINK__" hidden="1">{"fdsup://directions/FAT Viewer?action=UPDATE&amp;creator=factset&amp;DYN_ARGS=TRUE&amp;DOC_NAME=FAT:FQL_AUDITING_CLIENT_TEMPLATE.FAT&amp;display_string=Audit&amp;VAR:KEY=OJITOVYFYF&amp;VAR:QUERY=RkZfRU5UUlBSX1ZBTF9EQUlMWSg0MDQ4NiwsLCwsJ0RJTCcpL0VDQV9NRUFOX1NBTEVTKDIwMTIsNDA0ODYp&amp;","WINDOW=FIRST_POPUP&amp;HEIGHT=450&amp;WIDTH=450&amp;START_MAXIMIZED=FALSE&amp;VAR:CALENDAR=US&amp;VAR:SYMBOL=BA&amp;VAR:INDEX=0"}</definedName>
    <definedName name="_308__FDSAUDITLINK__" hidden="1">{"fdsup://directions/FAT Viewer?action=UPDATE&amp;creator=factset&amp;DYN_ARGS=TRUE&amp;DOC_NAME=FAT:FQL_AUDITING_CLIENT_TEMPLATE.FAT&amp;display_string=Audit&amp;VAR:KEY=WFUPSRYDGB&amp;VAR:QUERY=RkZfRU5UUlBSX1ZBTF9EQUlMWSg0MDQ4NiwsLCwsJ0RJTCcpL0VDQV9NRUFOX1NBTEVTKDIwMTEsNDA0ODYp&amp;","WINDOW=FIRST_POPUP&amp;HEIGHT=450&amp;WIDTH=450&amp;START_MAXIMIZED=FALSE&amp;VAR:CALENDAR=US&amp;VAR:SYMBOL=BA&amp;VAR:INDEX=0"}</definedName>
    <definedName name="_309__FDSAUDITLINK__" hidden="1">{"fdsup://directions/FAT Viewer?action=UPDATE&amp;creator=factset&amp;DYN_ARGS=TRUE&amp;DOC_NAME=FAT:FQL_AUDITING_CLIENT_TEMPLATE.FAT&amp;display_string=Audit&amp;VAR:KEY=MBINYBSTAR&amp;VAR:QUERY=RkZfRU5UUlBSX1ZBTF9EQUlMWSg0MDQ4NiwsLCwsJ0RJTCcpL0VDQV9NRUFOX1NBTEVTKDIwMTAsNDA0ODYp&amp;","WINDOW=FIRST_POPUP&amp;HEIGHT=450&amp;WIDTH=450&amp;START_MAXIMIZED=FALSE&amp;VAR:CALENDAR=US&amp;VAR:SYMBOL=BA&amp;VAR:INDEX=0"}</definedName>
    <definedName name="_31__123Graph_XR_M_MARG" hidden="1">[2]P!$R$29:$AK$29</definedName>
    <definedName name="_31__FDSAUDITLINK__" hidden="1">{"fdsup://directions/FAT Viewer?action=UPDATE&amp;creator=factset&amp;DYN_ARGS=TRUE&amp;DOC_NAME=FAT:FQL_AUDITING_CLIENT_TEMPLATE.FAT&amp;display_string=Audit&amp;VAR:KEY=ODMXGBIHWF&amp;VAR:QUERY=RkZfRU5UUlBSX1ZBTF9EQUlMWSg0MDcxMCwsLCwsJ0RJTCcp&amp;WINDOW=FIRST_POPUP&amp;HEIGHT=450&amp;WIDTH=","450&amp;START_MAXIMIZED=FALSE&amp;VAR:CALENDAR=US&amp;VAR:SYMBOL=BEAV&amp;VAR:INDEX=0"}</definedName>
    <definedName name="_310__FDSAUDITLINK__" hidden="1">{"fdsup://directions/FAT Viewer?action=UPDATE&amp;creator=factset&amp;DYN_ARGS=TRUE&amp;DOC_NAME=FAT:FQL_AUDITING_CLIENT_TEMPLATE.FAT&amp;display_string=Audit&amp;VAR:KEY=GDAJITQFIR&amp;VAR:QUERY=RkZfRU5UUlBSX1ZBTF9EQUlMWSg0MDQ4NiwsLCwsJ0RJTCcpL0VDQV9NRUFOX0VCSVQoMjAxMiw0MDQ4Nik=&amp;","WINDOW=FIRST_POPUP&amp;HEIGHT=450&amp;WIDTH=450&amp;START_MAXIMIZED=FALSE&amp;VAR:CALENDAR=US&amp;VAR:SYMBOL=BA&amp;VAR:INDEX=0"}</definedName>
    <definedName name="_311__FDSAUDITLINK__" hidden="1">{"fdsup://directions/FAT Viewer?action=UPDATE&amp;creator=factset&amp;DYN_ARGS=TRUE&amp;DOC_NAME=FAT:FQL_AUDITING_CLIENT_TEMPLATE.FAT&amp;display_string=Audit&amp;VAR:KEY=UJSVMZUVGL&amp;VAR:QUERY=RkZfRU5UUlBSX1ZBTF9EQUlMWSg0MDQ4NiwsLCwsJ0RJTCcpL0VDQV9NRUFOX0VCSVQoMjAxMSw0MDQ4Nik=&amp;","WINDOW=FIRST_POPUP&amp;HEIGHT=450&amp;WIDTH=450&amp;START_MAXIMIZED=FALSE&amp;VAR:CALENDAR=US&amp;VAR:SYMBOL=BA&amp;VAR:INDEX=0"}</definedName>
    <definedName name="_312__FDSAUDITLINK__" hidden="1">{"fdsup://directions/FAT Viewer?action=UPDATE&amp;creator=factset&amp;DYN_ARGS=TRUE&amp;DOC_NAME=FAT:FQL_AUDITING_CLIENT_TEMPLATE.FAT&amp;display_string=Audit&amp;VAR:KEY=QVKXKPSDAT&amp;VAR:QUERY=RkZfRU5UUlBSX1ZBTF9EQUlMWSg0MDQ4NiwsLCwsJ0RJTCcpL0VDQV9NRUFOX0VCSVQoMjAxMCw0MDQ4Nik=&amp;","WINDOW=FIRST_POPUP&amp;HEIGHT=450&amp;WIDTH=450&amp;START_MAXIMIZED=FALSE&amp;VAR:CALENDAR=US&amp;VAR:SYMBOL=BA&amp;VAR:INDEX=0"}</definedName>
    <definedName name="_313__FDSAUDITLINK__" hidden="1">{"fdsup://directions/FAT Viewer?action=UPDATE&amp;creator=factset&amp;DYN_ARGS=TRUE&amp;DOC_NAME=FAT:FQL_AUDITING_CLIENT_TEMPLATE.FAT&amp;display_string=Audit&amp;VAR:KEY=IHULUNQHIB&amp;VAR:QUERY=RkZfRU5UUlBSX1ZBTF9EQUlMWSg0MDQ4NiwsLCwsJ0RJTCcpL0VDQV9NRUFOX0VCSVREQSgyMDEyLDQwNDg2K","Q==&amp;WINDOW=FIRST_POPUP&amp;HEIGHT=450&amp;WIDTH=450&amp;START_MAXIMIZED=FALSE&amp;VAR:CALENDAR=US&amp;VAR:SYMBOL=BA&amp;VAR:INDEX=0"}</definedName>
    <definedName name="_314__FDSAUDITLINK__" hidden="1">{"fdsup://directions/FAT Viewer?action=UPDATE&amp;creator=factset&amp;DYN_ARGS=TRUE&amp;DOC_NAME=FAT:FQL_AUDITING_CLIENT_TEMPLATE.FAT&amp;display_string=Audit&amp;VAR:KEY=EFYHCNWLUB&amp;VAR:QUERY=RkZfRU5UUlBSX1ZBTF9EQUlMWSg0MDQ4NiwsLCwsJ0RJTCcpL0VDQV9NRUFOX0VCSVREQSgyMDExLDQwNDg2K","Q==&amp;WINDOW=FIRST_POPUP&amp;HEIGHT=450&amp;WIDTH=450&amp;START_MAXIMIZED=FALSE&amp;VAR:CALENDAR=US&amp;VAR:SYMBOL=BA&amp;VAR:INDEX=0"}</definedName>
    <definedName name="_315__FDSAUDITLINK__" hidden="1">{"fdsup://directions/FAT Viewer?action=UPDATE&amp;creator=factset&amp;DYN_ARGS=TRUE&amp;DOC_NAME=FAT:FQL_AUDITING_CLIENT_TEMPLATE.FAT&amp;display_string=Audit&amp;VAR:KEY=WLWJEPEPAL&amp;VAR:QUERY=RkZfRU5UUlBSX1ZBTF9EQUlMWSg0MDQ4NiwsLCwsJ0RJTCcpL0VDQV9NRUFOX0VCSVREQSgyMDEwLDQwNDg2K","Q==&amp;WINDOW=FIRST_POPUP&amp;HEIGHT=450&amp;WIDTH=450&amp;START_MAXIMIZED=FALSE&amp;VAR:CALENDAR=US&amp;VAR:SYMBOL=BA&amp;VAR:INDEX=0"}</definedName>
    <definedName name="_316__FDSAUDITLINK__" hidden="1">{"fdsup://directions/FAT Viewer?action=UPDATE&amp;creator=factset&amp;DYN_ARGS=TRUE&amp;DOC_NAME=FAT:FQL_AUDITING_CLIENT_TEMPLATE.FAT&amp;display_string=Audit&amp;VAR:KEY=PYHGNUPORC&amp;VAR:QUERY=RkZfRU5UUlBSX1ZBTF9EQUlMWSg0MDQ4NiwsLCwsJ0RJTCcpL0VDQV9NRUFOX1NBTEVTKDIwMTIsNDA0ODYp&amp;","WINDOW=FIRST_POPUP&amp;HEIGHT=450&amp;WIDTH=450&amp;START_MAXIMIZED=FALSE&amp;VAR:CALENDAR=US&amp;VAR:SYMBOL=GR&amp;VAR:INDEX=0"}</definedName>
    <definedName name="_317__FDSAUDITLINK__" hidden="1">{"fdsup://directions/FAT Viewer?action=UPDATE&amp;creator=factset&amp;DYN_ARGS=TRUE&amp;DOC_NAME=FAT:FQL_AUDITING_CLIENT_TEMPLATE.FAT&amp;display_string=Audit&amp;VAR:KEY=ZIBONQLCVC&amp;VAR:QUERY=RkZfRU5UUlBSX1ZBTF9EQUlMWSg0MDQ4NiwsLCwsJ0RJTCcpL0VDQV9NRUFOX1NBTEVTKDIwMTEsNDA0ODYp&amp;","WINDOW=FIRST_POPUP&amp;HEIGHT=450&amp;WIDTH=450&amp;START_MAXIMIZED=FALSE&amp;VAR:CALENDAR=US&amp;VAR:SYMBOL=GR&amp;VAR:INDEX=0"}</definedName>
    <definedName name="_318__FDSAUDITLINK__" hidden="1">{"fdsup://directions/FAT Viewer?action=UPDATE&amp;creator=factset&amp;DYN_ARGS=TRUE&amp;DOC_NAME=FAT:FQL_AUDITING_CLIENT_TEMPLATE.FAT&amp;display_string=Audit&amp;VAR:KEY=NCPGHANSJU&amp;VAR:QUERY=RkZfRU5UUlBSX1ZBTF9EQUlMWSg0MDQ4NiwsLCwsJ0RJTCcpL0VDQV9NRUFOX1NBTEVTKDIwMTAsNDA0ODYp&amp;","WINDOW=FIRST_POPUP&amp;HEIGHT=450&amp;WIDTH=450&amp;START_MAXIMIZED=FALSE&amp;VAR:CALENDAR=US&amp;VAR:SYMBOL=GR&amp;VAR:INDEX=0"}</definedName>
    <definedName name="_319__FDSAUDITLINK__" hidden="1">{"fdsup://directions/FAT Viewer?action=UPDATE&amp;creator=factset&amp;DYN_ARGS=TRUE&amp;DOC_NAME=FAT:FQL_AUDITING_CLIENT_TEMPLATE.FAT&amp;display_string=Audit&amp;VAR:KEY=VYPUZIPCNU&amp;VAR:QUERY=RkZfRU5UUlBSX1ZBTF9EQUlMWSg0MDQ4NiwsLCwsJ0RJTCcpL0VDQV9NRUFOX0VCSVQoMjAxMiw0MDQ4Nik=&amp;","WINDOW=FIRST_POPUP&amp;HEIGHT=450&amp;WIDTH=450&amp;START_MAXIMIZED=FALSE&amp;VAR:CALENDAR=US&amp;VAR:SYMBOL=GR&amp;VAR:INDEX=0"}</definedName>
    <definedName name="_32__FDSAUDITLINK__" hidden="1">{"fdsup://directions/FAT Viewer?action=UPDATE&amp;creator=factset&amp;DYN_ARGS=TRUE&amp;DOC_NAME=FAT:FQL_AUDITING_CLIENT_TEMPLATE.FAT&amp;display_string=Audit&amp;VAR:KEY=QVIRSHGNWF&amp;VAR:QUERY=RkZfRU5UUlBSX1ZBTF9EQUlMWSg0MDcxMCwsLCwsJ0RJTCcp&amp;WINDOW=FIRST_POPUP&amp;HEIGHT=450&amp;WIDTH=","450&amp;START_MAXIMIZED=FALSE&amp;VAR:CALENDAR=US&amp;VAR:SYMBOL=PCP&amp;VAR:INDEX=0"}</definedName>
    <definedName name="_320__FDSAUDITLINK__" hidden="1">{"fdsup://directions/FAT Viewer?action=UPDATE&amp;creator=factset&amp;DYN_ARGS=TRUE&amp;DOC_NAME=FAT:FQL_AUDITING_CLIENT_TEMPLATE.FAT&amp;display_string=Audit&amp;VAR:KEY=PMXOPKBONE&amp;VAR:QUERY=RkZfRU5UUlBSX1ZBTF9EQUlMWSg0MDQ4NiwsLCwsJ0RJTCcpL0VDQV9NRUFOX0VCSVQoMjAxMSw0MDQ4Nik=&amp;","WINDOW=FIRST_POPUP&amp;HEIGHT=450&amp;WIDTH=450&amp;START_MAXIMIZED=FALSE&amp;VAR:CALENDAR=US&amp;VAR:SYMBOL=GR&amp;VAR:INDEX=0"}</definedName>
    <definedName name="_321__FDSAUDITLINK__" hidden="1">{"fdsup://directions/FAT Viewer?action=UPDATE&amp;creator=factset&amp;DYN_ARGS=TRUE&amp;DOC_NAME=FAT:FQL_AUDITING_CLIENT_TEMPLATE.FAT&amp;display_string=Audit&amp;VAR:KEY=TSXMRGNYNK&amp;VAR:QUERY=RkZfRU5UUlBSX1ZBTF9EQUlMWSg0MDQ4NiwsLCwsJ0RJTCcpL0VDQV9NRUFOX0VCSVQoMjAxMCw0MDQ4Nik=&amp;","WINDOW=FIRST_POPUP&amp;HEIGHT=450&amp;WIDTH=450&amp;START_MAXIMIZED=FALSE&amp;VAR:CALENDAR=US&amp;VAR:SYMBOL=GR&amp;VAR:INDEX=0"}</definedName>
    <definedName name="_322__FDSAUDITLINK__" hidden="1">{"fdsup://directions/FAT Viewer?action=UPDATE&amp;creator=factset&amp;DYN_ARGS=TRUE&amp;DOC_NAME=FAT:FQL_AUDITING_CLIENT_TEMPLATE.FAT&amp;display_string=Audit&amp;VAR:KEY=BOLUTCJKDK&amp;VAR:QUERY=RkZfRU5UUlBSX1ZBTF9EQUlMWSg0MDQ4NiwsLCwsJ0RJTCcpL0VDQV9NRUFOX0VCSVREQSgyMDEyLDQwNDg2K","Q==&amp;WINDOW=FIRST_POPUP&amp;HEIGHT=450&amp;WIDTH=450&amp;START_MAXIMIZED=FALSE&amp;VAR:CALENDAR=US&amp;VAR:SYMBOL=GR&amp;VAR:INDEX=0"}</definedName>
    <definedName name="_323__FDSAUDITLINK__" hidden="1">{"fdsup://directions/FAT Viewer?action=UPDATE&amp;creator=factset&amp;DYN_ARGS=TRUE&amp;DOC_NAME=FAT:FQL_AUDITING_CLIENT_TEMPLATE.FAT&amp;display_string=Audit&amp;VAR:KEY=PKJSHYZGTA&amp;VAR:QUERY=RkZfRU5UUlBSX1ZBTF9EQUlMWSg0MDQ4NiwsLCwsJ0RJTCcpL0VDQV9NRUFOX0VCSVREQSgyMDExLDQwNDg2K","Q==&amp;WINDOW=FIRST_POPUP&amp;HEIGHT=450&amp;WIDTH=450&amp;START_MAXIMIZED=FALSE&amp;VAR:CALENDAR=US&amp;VAR:SYMBOL=GR&amp;VAR:INDEX=0"}</definedName>
    <definedName name="_324__FDSAUDITLINK__" hidden="1">{"fdsup://directions/FAT Viewer?action=UPDATE&amp;creator=factset&amp;DYN_ARGS=TRUE&amp;DOC_NAME=FAT:FQL_AUDITING_CLIENT_TEMPLATE.FAT&amp;display_string=Audit&amp;VAR:KEY=HSBQBOTONM&amp;VAR:QUERY=RkZfRU5UUlBSX1ZBTF9EQUlMWSg0MDQ4NiwsLCwsJ0RJTCcpL0VDQV9NRUFOX0VCSVREQSgyMDEwLDQwNDg2K","Q==&amp;WINDOW=FIRST_POPUP&amp;HEIGHT=450&amp;WIDTH=450&amp;START_MAXIMIZED=FALSE&amp;VAR:CALENDAR=US&amp;VAR:SYMBOL=GR&amp;VAR:INDEX=0"}</definedName>
    <definedName name="_325__FDSAUDITLINK__" hidden="1">{"fdsup://directions/FAT Viewer?action=UPDATE&amp;creator=factset&amp;DYN_ARGS=TRUE&amp;DOC_NAME=FAT:FQL_AUDITING_CLIENT_TEMPLATE.FAT&amp;display_string=Audit&amp;VAR:KEY=XMFEJWFQPO&amp;VAR:QUERY=RkZfRU5UUlBSX1ZBTF9EQUlMWSg0MDQ4NiwsLCwsJ0RJTCcpL0VDQV9NRUFOX1NBTEVTKDIwMTIsNDA0ODYp&amp;","WINDOW=FIRST_POPUP&amp;HEIGHT=450&amp;WIDTH=450&amp;START_MAXIMIZED=FALSE&amp;VAR:CALENDAR=US&amp;VAR:SYMBOL=COL&amp;VAR:INDEX=0"}</definedName>
    <definedName name="_326__FDSAUDITLINK__" hidden="1">{"fdsup://directions/FAT Viewer?action=UPDATE&amp;creator=factset&amp;DYN_ARGS=TRUE&amp;DOC_NAME=FAT:FQL_AUDITING_CLIENT_TEMPLATE.FAT&amp;display_string=Audit&amp;VAR:KEY=PKLYLANIXI&amp;VAR:QUERY=RkZfRU5UUlBSX1ZBTF9EQUlMWSg0MDQ4NiwsLCwsJ0RJTCcpL0VDQV9NRUFOX1NBTEVTKDIwMTEsNDA0ODYp&amp;","WINDOW=FIRST_POPUP&amp;HEIGHT=450&amp;WIDTH=450&amp;START_MAXIMIZED=FALSE&amp;VAR:CALENDAR=US&amp;VAR:SYMBOL=COL&amp;VAR:INDEX=0"}</definedName>
    <definedName name="_327__FDSAUDITLINK__" hidden="1">{"fdsup://directions/FAT Viewer?action=UPDATE&amp;creator=factset&amp;DYN_ARGS=TRUE&amp;DOC_NAME=FAT:FQL_AUDITING_CLIENT_TEMPLATE.FAT&amp;display_string=Audit&amp;VAR:KEY=LUJAZUPWTE&amp;VAR:QUERY=RkZfRU5UUlBSX1ZBTF9EQUlMWSg0MDQ4NiwsLCwsJ0RJTCcpL0VDQV9NRUFOX1NBTEVTKDIwMTAsNDA0ODYp&amp;","WINDOW=FIRST_POPUP&amp;HEIGHT=450&amp;WIDTH=450&amp;START_MAXIMIZED=FALSE&amp;VAR:CALENDAR=US&amp;VAR:SYMBOL=COL&amp;VAR:INDEX=0"}</definedName>
    <definedName name="_328__FDSAUDITLINK__" hidden="1">{"fdsup://directions/FAT Viewer?action=UPDATE&amp;creator=factset&amp;DYN_ARGS=TRUE&amp;DOC_NAME=FAT:FQL_AUDITING_CLIENT_TEMPLATE.FAT&amp;display_string=Audit&amp;VAR:KEY=BWPKZOVSXK&amp;VAR:QUERY=RkZfRU5UUlBSX1ZBTF9EQUlMWSg0MDQ4NiwsLCwsJ0RJTCcpL0VDQV9NRUFOX0VCSVQoMjAxMiw0MDQ4Nik=&amp;","WINDOW=FIRST_POPUP&amp;HEIGHT=450&amp;WIDTH=450&amp;START_MAXIMIZED=FALSE&amp;VAR:CALENDAR=US&amp;VAR:SYMBOL=COL&amp;VAR:INDEX=0"}</definedName>
    <definedName name="_329__FDSAUDITLINK__" hidden="1">{"fdsup://directions/FAT Viewer?action=UPDATE&amp;creator=factset&amp;DYN_ARGS=TRUE&amp;DOC_NAME=FAT:FQL_AUDITING_CLIENT_TEMPLATE.FAT&amp;display_string=Audit&amp;VAR:KEY=VKPQTATADG&amp;VAR:QUERY=RkZfRU5UUlBSX1ZBTF9EQUlMWSg0MDQ4NiwsLCwsJ0RJTCcpL0VDQV9NRUFOX0VCSVQoMjAxMSw0MDQ4Nik=&amp;","WINDOW=FIRST_POPUP&amp;HEIGHT=450&amp;WIDTH=450&amp;START_MAXIMIZED=FALSE&amp;VAR:CALENDAR=US&amp;VAR:SYMBOL=COL&amp;VAR:INDEX=0"}</definedName>
    <definedName name="_33__FDSAUDITLINK__" hidden="1">{"fdsup://directions/FAT Viewer?action=UPDATE&amp;creator=factset&amp;DYN_ARGS=TRUE&amp;DOC_NAME=FAT:FQL_AUDITING_CLIENT_TEMPLATE.FAT&amp;display_string=Audit&amp;VAR:KEY=CPCTODUREJ&amp;VAR:QUERY=Q1NGX0RFQlQoQU5OLDQwNzEwKQ==&amp;WINDOW=FIRST_POPUP&amp;HEIGHT=450&amp;WIDTH=450&amp;START_MAXIMIZED=","FALSE&amp;VAR:CALENDAR=US&amp;VAR:SYMBOL=GR&amp;VAR:INDEX=0"}</definedName>
    <definedName name="_330__FDSAUDITLINK__" hidden="1">{"fdsup://directions/FAT Viewer?action=UPDATE&amp;creator=factset&amp;DYN_ARGS=TRUE&amp;DOC_NAME=FAT:FQL_AUDITING_CLIENT_TEMPLATE.FAT&amp;display_string=Audit&amp;VAR:KEY=FWXGRQFYZY&amp;VAR:QUERY=RkZfRU5UUlBSX1ZBTF9EQUlMWSg0MDQ4NiwsLCwsJ0RJTCcpL0VDQV9NRUFOX0VCSVQoMjAxMCw0MDQ4Nik=&amp;","WINDOW=FIRST_POPUP&amp;HEIGHT=450&amp;WIDTH=450&amp;START_MAXIMIZED=FALSE&amp;VAR:CALENDAR=US&amp;VAR:SYMBOL=COL&amp;VAR:INDEX=0"}</definedName>
    <definedName name="_331__FDSAUDITLINK__" hidden="1">{"fdsup://directions/FAT Viewer?action=UPDATE&amp;creator=factset&amp;DYN_ARGS=TRUE&amp;DOC_NAME=FAT:FQL_AUDITING_CLIENT_TEMPLATE.FAT&amp;display_string=Audit&amp;VAR:KEY=RSJARUFMFQ&amp;VAR:QUERY=RkZfRU5UUlBSX1ZBTF9EQUlMWSg0MDQ4NiwsLCwsJ0RJTCcpL0VDQV9NRUFOX0VCSVREQSgyMDEyLDQwNDg2K","Q==&amp;WINDOW=FIRST_POPUP&amp;HEIGHT=450&amp;WIDTH=450&amp;START_MAXIMIZED=FALSE&amp;VAR:CALENDAR=US&amp;VAR:SYMBOL=COL&amp;VAR:INDEX=0"}</definedName>
    <definedName name="_332__FDSAUDITLINK__" hidden="1">{"fdsup://directions/FAT Viewer?action=UPDATE&amp;creator=factset&amp;DYN_ARGS=TRUE&amp;DOC_NAME=FAT:FQL_AUDITING_CLIENT_TEMPLATE.FAT&amp;display_string=Audit&amp;VAR:KEY=BYPOXSPUVM&amp;VAR:QUERY=RkZfRU5UUlBSX1ZBTF9EQUlMWSg0MDQ4NiwsLCwsJ0RJTCcpL0VDQV9NRUFOX0VCSVREQSgyMDExLDQwNDg2K","Q==&amp;WINDOW=FIRST_POPUP&amp;HEIGHT=450&amp;WIDTH=450&amp;START_MAXIMIZED=FALSE&amp;VAR:CALENDAR=US&amp;VAR:SYMBOL=COL&amp;VAR:INDEX=0"}</definedName>
    <definedName name="_333__FDSAUDITLINK__" hidden="1">{"fdsup://directions/FAT Viewer?action=UPDATE&amp;creator=factset&amp;DYN_ARGS=TRUE&amp;DOC_NAME=FAT:FQL_AUDITING_CLIENT_TEMPLATE.FAT&amp;display_string=Audit&amp;VAR:KEY=TUJKFQTWJG&amp;VAR:QUERY=RkZfRU5UUlBSX1ZBTF9EQUlMWSg0MDQ4NiwsLCwsJ0RJTCcpL0VDQV9NRUFOX0VCSVREQSgyMDEwLDQwNDg2K","Q==&amp;WINDOW=FIRST_POPUP&amp;HEIGHT=450&amp;WIDTH=450&amp;START_MAXIMIZED=FALSE&amp;VAR:CALENDAR=US&amp;VAR:SYMBOL=COL&amp;VAR:INDEX=0"}</definedName>
    <definedName name="_334__FDSAUDITLINK__" hidden="1">{"fdsup://directions/FAT Viewer?action=UPDATE&amp;creator=factset&amp;DYN_ARGS=TRUE&amp;DOC_NAME=FAT:FQL_AUDITING_CLIENT_TEMPLATE.FAT&amp;display_string=Audit&amp;VAR:KEY=HCLYBEJCRM&amp;VAR:QUERY=RkZfRU5UUlBSX1ZBTF9EQUlMWSg0MDQ4NiwsLCwsJ0RJTCcpL0VDQV9NRUFOX1NBTEVTKDIwMTIsNDA0ODYp&amp;","WINDOW=FIRST_POPUP&amp;HEIGHT=450&amp;WIDTH=450&amp;START_MAXIMIZED=FALSE&amp;VAR:CALENDAR=US&amp;VAR:SYMBOL=BA&amp;VAR:INDEX=0"}</definedName>
    <definedName name="_335__FDSAUDITLINK__" hidden="1">{"fdsup://directions/FAT Viewer?action=UPDATE&amp;creator=factset&amp;DYN_ARGS=TRUE&amp;DOC_NAME=FAT:FQL_AUDITING_CLIENT_TEMPLATE.FAT&amp;display_string=Audit&amp;VAR:KEY=PMVAXWRMNE&amp;VAR:QUERY=RkZfRU5UUlBSX1ZBTF9EQUlMWSg0MDQ4NiwsLCwsJ0RJTCcpL0VDQV9NRUFOX1NBTEVTKDIwMTEsNDA0ODYp&amp;","WINDOW=FIRST_POPUP&amp;HEIGHT=450&amp;WIDTH=450&amp;START_MAXIMIZED=FALSE&amp;VAR:CALENDAR=US&amp;VAR:SYMBOL=BA&amp;VAR:INDEX=0"}</definedName>
    <definedName name="_336__FDSAUDITLINK__" hidden="1">{"fdsup://directions/FAT Viewer?action=UPDATE&amp;creator=factset&amp;DYN_ARGS=TRUE&amp;DOC_NAME=FAT:FQL_AUDITING_CLIENT_TEMPLATE.FAT&amp;display_string=Audit&amp;VAR:KEY=XUTUBWDCJO&amp;VAR:QUERY=RkZfRU5UUlBSX1ZBTF9EQUlMWSg0MDQ4NiwsLCwsJ0RJTCcpL0VDQV9NRUFOX1NBTEVTKDIwMTAsNDA0ODYp&amp;","WINDOW=FIRST_POPUP&amp;HEIGHT=450&amp;WIDTH=450&amp;START_MAXIMIZED=FALSE&amp;VAR:CALENDAR=US&amp;VAR:SYMBOL=BA&amp;VAR:INDEX=0"}</definedName>
    <definedName name="_337__FDSAUDITLINK__" hidden="1">{"fdsup://directions/FAT Viewer?action=UPDATE&amp;creator=factset&amp;DYN_ARGS=TRUE&amp;DOC_NAME=FAT:FQL_AUDITING_CLIENT_TEMPLATE.FAT&amp;display_string=Audit&amp;VAR:KEY=HAPKHWHENK&amp;VAR:QUERY=RkZfRU5UUlBSX1ZBTF9EQUlMWSg0MDQ4NiwsLCwsJ0RJTCcpL0VDQV9NRUFOX0VCSVQoMjAxMiw0MDQ4Nik=&amp;","WINDOW=FIRST_POPUP&amp;HEIGHT=450&amp;WIDTH=450&amp;START_MAXIMIZED=FALSE&amp;VAR:CALENDAR=US&amp;VAR:SYMBOL=BA&amp;VAR:INDEX=0"}</definedName>
    <definedName name="_338__FDSAUDITLINK__" hidden="1">{"fdsup://directions/FAT Viewer?action=UPDATE&amp;creator=factset&amp;DYN_ARGS=TRUE&amp;DOC_NAME=FAT:FQL_AUDITING_CLIENT_TEMPLATE.FAT&amp;display_string=Audit&amp;VAR:KEY=XKNYPKJMJY&amp;VAR:QUERY=RkZfRU5UUlBSX1ZBTF9EQUlMWSg0MDQ4NiwsLCwsJ0RJTCcpL0VDQV9NRUFOX0VCSVQoMjAxMSw0MDQ4Nik=&amp;","WINDOW=FIRST_POPUP&amp;HEIGHT=450&amp;WIDTH=450&amp;START_MAXIMIZED=FALSE&amp;VAR:CALENDAR=US&amp;VAR:SYMBOL=BA&amp;VAR:INDEX=0"}</definedName>
    <definedName name="_339__FDSAUDITLINK__" hidden="1">{"fdsup://directions/FAT Viewer?action=UPDATE&amp;creator=factset&amp;DYN_ARGS=TRUE&amp;DOC_NAME=FAT:FQL_AUDITING_CLIENT_TEMPLATE.FAT&amp;display_string=Audit&amp;VAR:KEY=JQBUXGBITC&amp;VAR:QUERY=RkZfRU5UUlBSX1ZBTF9EQUlMWSg0MDQ4NiwsLCwsJ0RJTCcpL0VDQV9NRUFOX0VCSVQoMjAxMCw0MDQ4Nik=&amp;","WINDOW=FIRST_POPUP&amp;HEIGHT=450&amp;WIDTH=450&amp;START_MAXIMIZED=FALSE&amp;VAR:CALENDAR=US&amp;VAR:SYMBOL=BA&amp;VAR:INDEX=0"}</definedName>
    <definedName name="_34__FDSAUDITLINK__" hidden="1">{"fdsup://directions/FAT Viewer?action=UPDATE&amp;creator=factset&amp;DYN_ARGS=TRUE&amp;DOC_NAME=FAT:FQL_AUDITING_CLIENT_TEMPLATE.FAT&amp;display_string=Audit&amp;VAR:KEY=CPCTODUREJ&amp;VAR:QUERY=Q1NGX0RFQlQoQU5OLDQwNzEwKQ==&amp;WINDOW=FIRST_POPUP&amp;HEIGHT=450&amp;WIDTH=450&amp;START_MAXIMIZED=","FALSE&amp;VAR:CALENDAR=US&amp;VAR:SYMBOL=GR&amp;VAR:INDEX=0"}</definedName>
    <definedName name="_340__FDSAUDITLINK__" hidden="1">{"fdsup://directions/FAT Viewer?action=UPDATE&amp;creator=factset&amp;DYN_ARGS=TRUE&amp;DOC_NAME=FAT:FQL_AUDITING_CLIENT_TEMPLATE.FAT&amp;display_string=Audit&amp;VAR:KEY=JUXAXQVAPY&amp;VAR:QUERY=RkZfRU5UUlBSX1ZBTF9EQUlMWSg0MDQ4NiwsLCwsJ0RJTCcpL0VDQV9NRUFOX0VCSVREQSgyMDEyLDQwNDg2K","Q==&amp;WINDOW=FIRST_POPUP&amp;HEIGHT=450&amp;WIDTH=450&amp;START_MAXIMIZED=FALSE&amp;VAR:CALENDAR=US&amp;VAR:SYMBOL=BA&amp;VAR:INDEX=0"}</definedName>
    <definedName name="_341__FDSAUDITLINK__" hidden="1">{"fdsup://directions/FAT Viewer?action=UPDATE&amp;creator=factset&amp;DYN_ARGS=TRUE&amp;DOC_NAME=FAT:FQL_AUDITING_CLIENT_TEMPLATE.FAT&amp;display_string=Audit&amp;VAR:KEY=JSVOFWXILC&amp;VAR:QUERY=RkZfRU5UUlBSX1ZBTF9EQUlMWSg0MDQ4NiwsLCwsJ0RJTCcpL0VDQV9NRUFOX0VCSVREQSgyMDExLDQwNDg2K","Q==&amp;WINDOW=FIRST_POPUP&amp;HEIGHT=450&amp;WIDTH=450&amp;START_MAXIMIZED=FALSE&amp;VAR:CALENDAR=US&amp;VAR:SYMBOL=BA&amp;VAR:INDEX=0"}</definedName>
    <definedName name="_342__FDSAUDITLINK__" hidden="1">{"fdsup://directions/FAT Viewer?action=UPDATE&amp;creator=factset&amp;DYN_ARGS=TRUE&amp;DOC_NAME=FAT:FQL_AUDITING_CLIENT_TEMPLATE.FAT&amp;display_string=Audit&amp;VAR:KEY=BOZWLCZGXI&amp;VAR:QUERY=RkZfRU5UUlBSX1ZBTF9EQUlMWSg0MDQ4NiwsLCwsJ0RJTCcpL0VDQV9NRUFOX0VCSVREQSgyMDEwLDQwNDg2K","Q==&amp;WINDOW=FIRST_POPUP&amp;HEIGHT=450&amp;WIDTH=450&amp;START_MAXIMIZED=FALSE&amp;VAR:CALENDAR=US&amp;VAR:SYMBOL=BA&amp;VAR:INDEX=0"}</definedName>
    <definedName name="_343__FDSAUDITLINK__" hidden="1">{"fdsup://directions/FAT Viewer?action=UPDATE&amp;creator=factset&amp;DYN_ARGS=TRUE&amp;DOC_NAME=FAT:FQL_AUDITING_CLIENT_TEMPLATE.FAT&amp;display_string=Audit&amp;VAR:KEY=ZGNGRMBSXA&amp;VAR:QUERY=RkZfRU5UUlBSX1ZBTF9EQUlMWSg0MDUwMywsLCwsJ0RJTCcpL0VDQV9NRUFOX1NBTEVTKDIwMTIsNDA1MDMp&amp;","WINDOW=FIRST_POPUP&amp;HEIGHT=450&amp;WIDTH=450&amp;START_MAXIMIZED=FALSE&amp;VAR:CALENDAR=US&amp;VAR:SYMBOL=GR&amp;VAR:INDEX=0"}</definedName>
    <definedName name="_344__FDSAUDITLINK__" hidden="1">{"fdsup://directions/FAT Viewer?action=UPDATE&amp;creator=factset&amp;DYN_ARGS=TRUE&amp;DOC_NAME=FAT:FQL_AUDITING_CLIENT_TEMPLATE.FAT&amp;display_string=Audit&amp;VAR:KEY=HQNGZCBSZA&amp;VAR:QUERY=RkZfRU5UUlBSX1ZBTF9EQUlMWSg0MDUwMywsLCwsJ0RJTCcpL0VDQV9NRUFOX1NBTEVTKDIwMTEsNDA1MDMp&amp;","WINDOW=FIRST_POPUP&amp;HEIGHT=450&amp;WIDTH=450&amp;START_MAXIMIZED=FALSE&amp;VAR:CALENDAR=US&amp;VAR:SYMBOL=GR&amp;VAR:INDEX=0"}</definedName>
    <definedName name="_345__FDSAUDITLINK__" hidden="1">{"fdsup://directions/FAT Viewer?action=UPDATE&amp;creator=factset&amp;DYN_ARGS=TRUE&amp;DOC_NAME=FAT:FQL_AUDITING_CLIENT_TEMPLATE.FAT&amp;display_string=Audit&amp;VAR:KEY=POFMTWJKVM&amp;VAR:QUERY=RkZfRU5UUlBSX1ZBTF9EQUlMWSg0MDUwMywsLCwsJ0RJTCcpL0VDQV9NRUFOX1NBTEVTKDIwMTAsNDA1MDMp&amp;","WINDOW=FIRST_POPUP&amp;HEIGHT=450&amp;WIDTH=450&amp;START_MAXIMIZED=FALSE&amp;VAR:CALENDAR=US&amp;VAR:SYMBOL=GR&amp;VAR:INDEX=0"}</definedName>
    <definedName name="_346__FDSAUDITLINK__" hidden="1">{"fdsup://directions/FAT Viewer?action=UPDATE&amp;creator=factset&amp;DYN_ARGS=TRUE&amp;DOC_NAME=FAT:FQL_AUDITING_CLIENT_TEMPLATE.FAT&amp;display_string=Audit&amp;VAR:KEY=LSVIHYNKNA&amp;VAR:QUERY=RkZfRU5UUlBSX1ZBTF9EQUlMWSg0MDUwMywsLCwsJ0RJTCcpL0VDQV9NRUFOX0VCSVQoMjAxMiw0MDUwMyk=&amp;","WINDOW=FIRST_POPUP&amp;HEIGHT=450&amp;WIDTH=450&amp;START_MAXIMIZED=FALSE&amp;VAR:CALENDAR=US&amp;VAR:SYMBOL=GR&amp;VAR:INDEX=0"}</definedName>
    <definedName name="_347__FDSAUDITLINK__" hidden="1">{"fdsup://directions/FAT Viewer?action=UPDATE&amp;creator=factset&amp;DYN_ARGS=TRUE&amp;DOC_NAME=FAT:FQL_AUDITING_CLIENT_TEMPLATE.FAT&amp;display_string=Audit&amp;VAR:KEY=TUHGBGVCXY&amp;VAR:QUERY=RkZfRU5UUlBSX1ZBTF9EQUlMWSg0MDUwMywsLCwsJ0RJTCcpL0VDQV9NRUFOX0VCSVQoMjAxMSw0MDUwMyk=&amp;","WINDOW=FIRST_POPUP&amp;HEIGHT=450&amp;WIDTH=450&amp;START_MAXIMIZED=FALSE&amp;VAR:CALENDAR=US&amp;VAR:SYMBOL=GR&amp;VAR:INDEX=0"}</definedName>
    <definedName name="_348__FDSAUDITLINK__" hidden="1">{"fdsup://directions/FAT Viewer?action=UPDATE&amp;creator=factset&amp;DYN_ARGS=TRUE&amp;DOC_NAME=FAT:FQL_AUDITING_CLIENT_TEMPLATE.FAT&amp;display_string=Audit&amp;VAR:KEY=FUFMPILEZM&amp;VAR:QUERY=RkZfRU5UUlBSX1ZBTF9EQUlMWSg0MDUwMywsLCwsJ0RJTCcpL0VDQV9NRUFOX0VCSVQoMjAxMCw0MDUwMyk=&amp;","WINDOW=FIRST_POPUP&amp;HEIGHT=450&amp;WIDTH=450&amp;START_MAXIMIZED=FALSE&amp;VAR:CALENDAR=US&amp;VAR:SYMBOL=GR&amp;VAR:INDEX=0"}</definedName>
    <definedName name="_349__FDSAUDITLINK__" hidden="1">{"fdsup://directions/FAT Viewer?action=UPDATE&amp;creator=factset&amp;DYN_ARGS=TRUE&amp;DOC_NAME=FAT:FQL_AUDITING_CLIENT_TEMPLATE.FAT&amp;display_string=Audit&amp;VAR:KEY=XQVWVUBMVI&amp;VAR:QUERY=RkZfRU5UUlBSX1ZBTF9EQUlMWSg0MDUwMywsLCwsJ0RJTCcpL0VDQV9NRUFOX0VCSVREQSgyMDEyLDQwNTAzK","Q==&amp;WINDOW=FIRST_POPUP&amp;HEIGHT=450&amp;WIDTH=450&amp;START_MAXIMIZED=FALSE&amp;VAR:CALENDAR=US&amp;VAR:SYMBOL=GR&amp;VAR:INDEX=0"}</definedName>
    <definedName name="_35__FDSAUDITLINK__" hidden="1">{"fdsup://directions/FAT Viewer?action=UPDATE&amp;creator=factset&amp;DYN_ARGS=TRUE&amp;DOC_NAME=FAT:FQL_AUDITING_CLIENT_TEMPLATE.FAT&amp;display_string=Audit&amp;VAR:KEY=WJSDMPCDGB&amp;VAR:QUERY=RkZfRU5UUlBSX1ZBTF9EQUlMWSg0MDcxMCwsLCwsJ0RJTCcp&amp;WINDOW=FIRST_POPUP&amp;HEIGHT=450&amp;WIDTH=","450&amp;START_MAXIMIZED=FALSE&amp;VAR:CALENDAR=US&amp;VAR:SYMBOL=GR&amp;VAR:INDEX=0"}</definedName>
    <definedName name="_350__FDSAUDITLINK__" hidden="1">{"fdsup://directions/FAT Viewer?action=UPDATE&amp;creator=factset&amp;DYN_ARGS=TRUE&amp;DOC_NAME=FAT:FQL_AUDITING_CLIENT_TEMPLATE.FAT&amp;display_string=Audit&amp;VAR:KEY=HAZUHSJAXU&amp;VAR:QUERY=RkZfRU5UUlBSX1ZBTF9EQUlMWSg0MDUwMywsLCwsJ0RJTCcpL0VDQV9NRUFOX0VCSVREQSgyMDExLDQwNTAzK","Q==&amp;WINDOW=FIRST_POPUP&amp;HEIGHT=450&amp;WIDTH=450&amp;START_MAXIMIZED=FALSE&amp;VAR:CALENDAR=US&amp;VAR:SYMBOL=GR&amp;VAR:INDEX=0"}</definedName>
    <definedName name="_351__FDSAUDITLINK__" hidden="1">{"fdsup://directions/FAT Viewer?action=UPDATE&amp;creator=factset&amp;DYN_ARGS=TRUE&amp;DOC_NAME=FAT:FQL_AUDITING_CLIENT_TEMPLATE.FAT&amp;display_string=Audit&amp;VAR:KEY=LWVMDUPOVU&amp;VAR:QUERY=RkZfRU5UUlBSX1ZBTF9EQUlMWSg0MDUwMywsLCwsJ0RJTCcpL0VDQV9NRUFOX0VCSVREQSgyMDEwLDQwNTAzK","Q==&amp;WINDOW=FIRST_POPUP&amp;HEIGHT=450&amp;WIDTH=450&amp;START_MAXIMIZED=FALSE&amp;VAR:CALENDAR=US&amp;VAR:SYMBOL=GR&amp;VAR:INDEX=0"}</definedName>
    <definedName name="_352__FDSAUDITLINK__" hidden="1">{"fdsup://directions/FAT Viewer?action=UPDATE&amp;creator=factset&amp;DYN_ARGS=TRUE&amp;DOC_NAME=FAT:FQL_AUDITING_CLIENT_TEMPLATE.FAT&amp;display_string=Audit&amp;VAR:KEY=BMPITYBGXI&amp;VAR:QUERY=RkZfRU5UUlBSX1ZBTF9EQUlMWSg0MDUwMywsLCwsJ0RJTCcpL0VDQV9NRUFOX1NBTEVTKDIwMTIsNDA1MDMp&amp;","WINDOW=FIRST_POPUP&amp;HEIGHT=450&amp;WIDTH=450&amp;START_MAXIMIZED=FALSE&amp;VAR:CALENDAR=US&amp;VAR:SYMBOL=COL&amp;VAR:INDEX=0"}</definedName>
    <definedName name="_353__FDSAUDITLINK__" hidden="1">{"fdsup://directions/FAT Viewer?action=UPDATE&amp;creator=factset&amp;DYN_ARGS=TRUE&amp;DOC_NAME=FAT:FQL_AUDITING_CLIENT_TEMPLATE.FAT&amp;display_string=Audit&amp;VAR:KEY=JIRQLALAPY&amp;VAR:QUERY=RkZfRU5UUlBSX1ZBTF9EQUlMWSg0MDUwMywsLCwsJ0RJTCcpL0VDQV9NRUFOX1NBTEVTKDIwMTEsNDA1MDMp&amp;","WINDOW=FIRST_POPUP&amp;HEIGHT=450&amp;WIDTH=450&amp;START_MAXIMIZED=FALSE&amp;VAR:CALENDAR=US&amp;VAR:SYMBOL=COL&amp;VAR:INDEX=0"}</definedName>
    <definedName name="_354__FDSAUDITLINK__" hidden="1">{"fdsup://directions/FAT Viewer?action=UPDATE&amp;creator=factset&amp;DYN_ARGS=TRUE&amp;DOC_NAME=FAT:FQL_AUDITING_CLIENT_TEMPLATE.FAT&amp;display_string=Audit&amp;VAR:KEY=JKHGHORWXK&amp;VAR:QUERY=RkZfRU5UUlBSX1ZBTF9EQUlMWSg0MDUwMywsLCwsJ0RJTCcpL0VDQV9NRUFOX1NBTEVTKDIwMTAsNDA1MDMp&amp;","WINDOW=FIRST_POPUP&amp;HEIGHT=450&amp;WIDTH=450&amp;START_MAXIMIZED=FALSE&amp;VAR:CALENDAR=US&amp;VAR:SYMBOL=COL&amp;VAR:INDEX=0"}</definedName>
    <definedName name="_355__FDSAUDITLINK__" hidden="1">{"fdsup://directions/FAT Viewer?action=UPDATE&amp;creator=factset&amp;DYN_ARGS=TRUE&amp;DOC_NAME=FAT:FQL_AUDITING_CLIENT_TEMPLATE.FAT&amp;display_string=Audit&amp;VAR:KEY=RYRSZQRWBI&amp;VAR:QUERY=RkZfRU5UUlBSX1ZBTF9EQUlMWSg0MDUwMywsLCwsJ0RJTCcpL0VDQV9NRUFOX0VCSVQoMjAxMiw0MDUwMyk=&amp;","WINDOW=FIRST_POPUP&amp;HEIGHT=450&amp;WIDTH=450&amp;START_MAXIMIZED=FALSE&amp;VAR:CALENDAR=US&amp;VAR:SYMBOL=COL&amp;VAR:INDEX=0"}</definedName>
    <definedName name="_356__FDSAUDITLINK__" hidden="1">{"fdsup://directions/FAT Viewer?action=UPDATE&amp;creator=factset&amp;DYN_ARGS=TRUE&amp;DOC_NAME=FAT:FQL_AUDITING_CLIENT_TEMPLATE.FAT&amp;display_string=Audit&amp;VAR:KEY=VYBGBGHSTO&amp;VAR:QUERY=RkZfRU5UUlBSX1ZBTF9EQUlMWSg0MDUwMywsLCwsJ0RJTCcpL0VDQV9NRUFOX0VCSVQoMjAxMSw0MDUwMyk=&amp;","WINDOW=FIRST_POPUP&amp;HEIGHT=450&amp;WIDTH=450&amp;START_MAXIMIZED=FALSE&amp;VAR:CALENDAR=US&amp;VAR:SYMBOL=COL&amp;VAR:INDEX=0"}</definedName>
    <definedName name="_357__FDSAUDITLINK__" hidden="1">{"fdsup://directions/FAT Viewer?action=UPDATE&amp;creator=factset&amp;DYN_ARGS=TRUE&amp;DOC_NAME=FAT:FQL_AUDITING_CLIENT_TEMPLATE.FAT&amp;display_string=Audit&amp;VAR:KEY=NATWXWFEDA&amp;VAR:QUERY=RkZfRU5UUlBSX1ZBTF9EQUlMWSg0MDUwMywsLCwsJ0RJTCcpL0VDQV9NRUFOX0VCSVQoMjAxMCw0MDUwMyk=&amp;","WINDOW=FIRST_POPUP&amp;HEIGHT=450&amp;WIDTH=450&amp;START_MAXIMIZED=FALSE&amp;VAR:CALENDAR=US&amp;VAR:SYMBOL=COL&amp;VAR:INDEX=0"}</definedName>
    <definedName name="_358__FDSAUDITLINK__" hidden="1">{"fdsup://directions/FAT Viewer?action=UPDATE&amp;creator=factset&amp;DYN_ARGS=TRUE&amp;DOC_NAME=FAT:FQL_AUDITING_CLIENT_TEMPLATE.FAT&amp;display_string=Audit&amp;VAR:KEY=HIVSDYLKDK&amp;VAR:QUERY=RkZfRU5UUlBSX1ZBTF9EQUlMWSg0MDUwMywsLCwsJ0RJTCcpL0VDQV9NRUFOX0VCSVREQSgyMDEyLDQwNTAzK","Q==&amp;WINDOW=FIRST_POPUP&amp;HEIGHT=450&amp;WIDTH=450&amp;START_MAXIMIZED=FALSE&amp;VAR:CALENDAR=US&amp;VAR:SYMBOL=COL&amp;VAR:INDEX=0"}</definedName>
    <definedName name="_359__FDSAUDITLINK__" hidden="1">{"fdsup://directions/FAT Viewer?action=UPDATE&amp;creator=factset&amp;DYN_ARGS=TRUE&amp;DOC_NAME=FAT:FQL_AUDITING_CLIENT_TEMPLATE.FAT&amp;display_string=Audit&amp;VAR:KEY=PWXMNUXYBE&amp;VAR:QUERY=RkZfRU5UUlBSX1ZBTF9EQUlMWSg0MDUwMywsLCwsJ0RJTCcpL0VDQV9NRUFOX0VCSVREQSgyMDExLDQwNTAzK","Q==&amp;WINDOW=FIRST_POPUP&amp;HEIGHT=450&amp;WIDTH=450&amp;START_MAXIMIZED=FALSE&amp;VAR:CALENDAR=US&amp;VAR:SYMBOL=COL&amp;VAR:INDEX=0"}</definedName>
    <definedName name="_36__FDSAUDITLINK__" hidden="1">{"fdsup://directions/FAT Viewer?action=UPDATE&amp;creator=factset&amp;DYN_ARGS=TRUE&amp;DOC_NAME=FAT:FQL_AUDITING_CLIENT_TEMPLATE.FAT&amp;display_string=Audit&amp;VAR:KEY=OZSHQVINUL&amp;VAR:QUERY=RkZfRU5UUlBSX1ZBTF9EQUlMWSg0MDcxMCwsLCwsJ0RJTCcp&amp;WINDOW=FIRST_POPUP&amp;HEIGHT=450&amp;WIDTH=","450&amp;START_MAXIMIZED=FALSE&amp;VAR:CALENDAR=US&amp;VAR:SYMBOL=COL&amp;VAR:INDEX=0"}</definedName>
    <definedName name="_360__FDSAUDITLINK__" hidden="1">{"fdsup://directions/FAT Viewer?action=UPDATE&amp;creator=factset&amp;DYN_ARGS=TRUE&amp;DOC_NAME=FAT:FQL_AUDITING_CLIENT_TEMPLATE.FAT&amp;display_string=Audit&amp;VAR:KEY=XAZAPQHQZM&amp;VAR:QUERY=RkZfRU5UUlBSX1ZBTF9EQUlMWSg0MDUwMywsLCwsJ0RJTCcpL0VDQV9NRUFOX0VCSVREQSgyMDEwLDQwNTAzK","Q==&amp;WINDOW=FIRST_POPUP&amp;HEIGHT=450&amp;WIDTH=450&amp;START_MAXIMIZED=FALSE&amp;VAR:CALENDAR=US&amp;VAR:SYMBOL=COL&amp;VAR:INDEX=0"}</definedName>
    <definedName name="_361__FDSAUDITLINK__" hidden="1">{"fdsup://directions/FAT Viewer?action=UPDATE&amp;creator=factset&amp;DYN_ARGS=TRUE&amp;DOC_NAME=FAT:FQL_AUDITING_CLIENT_TEMPLATE.FAT&amp;display_string=Audit&amp;VAR:KEY=TYPCPGDSTU&amp;VAR:QUERY=RkZfRU5UUlBSX1ZBTF9EQUlMWSg0MDUwMywsLCwsJ0RJTCcpL0VDQV9NRUFOX1NBTEVTKDIwMTIsNDA1MDMp&amp;","WINDOW=FIRST_POPUP&amp;HEIGHT=450&amp;WIDTH=450&amp;START_MAXIMIZED=FALSE&amp;VAR:CALENDAR=US&amp;VAR:SYMBOL=BA&amp;VAR:INDEX=0"}</definedName>
    <definedName name="_362__FDSAUDITLINK__" hidden="1">{"fdsup://directions/FAT Viewer?action=UPDATE&amp;creator=factset&amp;DYN_ARGS=TRUE&amp;DOC_NAME=FAT:FQL_AUDITING_CLIENT_TEMPLATE.FAT&amp;display_string=Audit&amp;VAR:KEY=LSRUZKRKRE&amp;VAR:QUERY=RkZfRU5UUlBSX1ZBTF9EQUlMWSg0MDUwMywsLCwsJ0RJTCcpL0VDQV9NRUFOX1NBTEVTKDIwMTEsNDA1MDMp&amp;","WINDOW=FIRST_POPUP&amp;HEIGHT=450&amp;WIDTH=450&amp;START_MAXIMIZED=FALSE&amp;VAR:CALENDAR=US&amp;VAR:SYMBOL=BA&amp;VAR:INDEX=0"}</definedName>
    <definedName name="_363__FDSAUDITLINK__" hidden="1">{"fdsup://directions/FAT Viewer?action=UPDATE&amp;creator=factset&amp;DYN_ARGS=TRUE&amp;DOC_NAME=FAT:FQL_AUDITING_CLIENT_TEMPLATE.FAT&amp;display_string=Audit&amp;VAR:KEY=ZMFMXWFSBO&amp;VAR:QUERY=RkZfRU5UUlBSX1ZBTF9EQUlMWSg0MDUwMywsLCwsJ0RJTCcpL0VDQV9NRUFOX1NBTEVTKDIwMTAsNDA1MDMp&amp;","WINDOW=FIRST_POPUP&amp;HEIGHT=450&amp;WIDTH=450&amp;START_MAXIMIZED=FALSE&amp;VAR:CALENDAR=US&amp;VAR:SYMBOL=BA&amp;VAR:INDEX=0"}</definedName>
    <definedName name="_364__FDSAUDITLINK__" hidden="1">{"fdsup://directions/FAT Viewer?action=UPDATE&amp;creator=factset&amp;DYN_ARGS=TRUE&amp;DOC_NAME=FAT:FQL_AUDITING_CLIENT_TEMPLATE.FAT&amp;display_string=Audit&amp;VAR:KEY=VGNSLMRGZU&amp;VAR:QUERY=RkZfRU5UUlBSX1ZBTF9EQUlMWSg0MDUwMywsLCwsJ0RJTCcpL0VDQV9NRUFOX0VCSVQoMjAxMiw0MDUwMyk=&amp;","WINDOW=FIRST_POPUP&amp;HEIGHT=450&amp;WIDTH=450&amp;START_MAXIMIZED=FALSE&amp;VAR:CALENDAR=US&amp;VAR:SYMBOL=BA&amp;VAR:INDEX=0"}</definedName>
    <definedName name="_365__FDSAUDITLINK__" hidden="1">{"fdsup://directions/FAT Viewer?action=UPDATE&amp;creator=factset&amp;DYN_ARGS=TRUE&amp;DOC_NAME=FAT:FQL_AUDITING_CLIENT_TEMPLATE.FAT&amp;display_string=Audit&amp;VAR:KEY=VUTGDCROVG&amp;VAR:QUERY=RkZfRU5UUlBSX1ZBTF9EQUlMWSg0MDUwMywsLCwsJ0RJTCcpL0VDQV9NRUFOX0VCSVQoMjAxMSw0MDUwMyk=&amp;","WINDOW=FIRST_POPUP&amp;HEIGHT=450&amp;WIDTH=450&amp;START_MAXIMIZED=FALSE&amp;VAR:CALENDAR=US&amp;VAR:SYMBOL=BA&amp;VAR:INDEX=0"}</definedName>
    <definedName name="_366__FDSAUDITLINK__" hidden="1">{"fdsup://directions/FAT Viewer?action=UPDATE&amp;creator=factset&amp;DYN_ARGS=TRUE&amp;DOC_NAME=FAT:FQL_AUDITING_CLIENT_TEMPLATE.FAT&amp;display_string=Audit&amp;VAR:KEY=RQHYRUNILC&amp;VAR:QUERY=RkZfRU5UUlBSX1ZBTF9EQUlMWSg0MDUwMywsLCwsJ0RJTCcpL0VDQV9NRUFOX0VCSVQoMjAxMCw0MDUwMyk=&amp;","WINDOW=FIRST_POPUP&amp;HEIGHT=450&amp;WIDTH=450&amp;START_MAXIMIZED=FALSE&amp;VAR:CALENDAR=US&amp;VAR:SYMBOL=BA&amp;VAR:INDEX=0"}</definedName>
    <definedName name="_367__FDSAUDITLINK__" hidden="1">{"fdsup://directions/FAT Viewer?action=UPDATE&amp;creator=factset&amp;DYN_ARGS=TRUE&amp;DOC_NAME=FAT:FQL_AUDITING_CLIENT_TEMPLATE.FAT&amp;display_string=Audit&amp;VAR:KEY=PEDSTGTOXK&amp;VAR:QUERY=RkZfRU5UUlBSX1ZBTF9EQUlMWSg0MDUwMywsLCwsJ0RJTCcpL0VDQV9NRUFOX0VCSVREQSgyMDEyLDQwNTAzK","Q==&amp;WINDOW=FIRST_POPUP&amp;HEIGHT=450&amp;WIDTH=450&amp;START_MAXIMIZED=FALSE&amp;VAR:CALENDAR=US&amp;VAR:SYMBOL=BA&amp;VAR:INDEX=0"}</definedName>
    <definedName name="_368__FDSAUDITLINK__" hidden="1">{"fdsup://directions/FAT Viewer?action=UPDATE&amp;creator=factset&amp;DYN_ARGS=TRUE&amp;DOC_NAME=FAT:FQL_AUDITING_CLIENT_TEMPLATE.FAT&amp;display_string=Audit&amp;VAR:KEY=VCJWBKVEPK&amp;VAR:QUERY=RkZfRU5UUlBSX1ZBTF9EQUlMWSg0MDUwMywsLCwsJ0RJTCcpL0VDQV9NRUFOX0VCSVREQSgyMDExLDQwNTAzK","Q==&amp;WINDOW=FIRST_POPUP&amp;HEIGHT=450&amp;WIDTH=450&amp;START_MAXIMIZED=FALSE&amp;VAR:CALENDAR=US&amp;VAR:SYMBOL=BA&amp;VAR:INDEX=0"}</definedName>
    <definedName name="_369__FDSAUDITLINK__" hidden="1">{"fdsup://directions/FAT Viewer?action=UPDATE&amp;creator=factset&amp;DYN_ARGS=TRUE&amp;DOC_NAME=FAT:FQL_AUDITING_CLIENT_TEMPLATE.FAT&amp;display_string=Audit&amp;VAR:KEY=JEBUFULIVQ&amp;VAR:QUERY=RkZfRU5UUlBSX1ZBTF9EQUlMWSg0MDUwMywsLCwsJ0RJTCcpL0VDQV9NRUFOX0VCSVREQSgyMDEwLDQwNTAzK","Q==&amp;WINDOW=FIRST_POPUP&amp;HEIGHT=450&amp;WIDTH=450&amp;START_MAXIMIZED=FALSE&amp;VAR:CALENDAR=US&amp;VAR:SYMBOL=BA&amp;VAR:INDEX=0"}</definedName>
    <definedName name="_37__FDSAUDITLINK__" hidden="1">{"fdsup://directions/FAT Viewer?action=UPDATE&amp;creator=factset&amp;DYN_ARGS=TRUE&amp;DOC_NAME=FAT:FQL_AUDITING_CLIENT_TEMPLATE.FAT&amp;display_string=Audit&amp;VAR:KEY=OPURKLWDYF&amp;VAR:QUERY=RkZfRU5UUlBSX1ZBTF9EQUlMWSg0MDcxMCwsLCwsJ0RJTCcp&amp;WINDOW=FIRST_POPUP&amp;HEIGHT=450&amp;WIDTH=","450&amp;START_MAXIMIZED=FALSE&amp;VAR:CALENDAR=US&amp;VAR:SYMBOL=TDG&amp;VAR:INDEX=0"}</definedName>
    <definedName name="_370__FDSAUDITLINK__" hidden="1">{"fdsup://directions/FAT Viewer?action=UPDATE&amp;creator=factset&amp;DYN_ARGS=TRUE&amp;DOC_NAME=FAT:FQL_AUDITING_CLIENT_TEMPLATE.FAT&amp;display_string=Audit&amp;VAR:KEY=MNUBKXSLEB&amp;VAR:QUERY=RkZfRU5UUlBSX1ZBTF9EQUlMWSg0MDUwMywsLCwsJ0RJTCcpL0VDQV9NRUFOX1NBTEVTKDIwMTIsNDA1MDMp&amp;","WINDOW=FIRST_POPUP&amp;HEIGHT=450&amp;WIDTH=450&amp;START_MAXIMIZED=FALSE&amp;VAR:CALENDAR=US&amp;VAR:SYMBOL=GR&amp;VAR:INDEX=0"}</definedName>
    <definedName name="_371__FDSAUDITLINK__" hidden="1">{"fdsup://directions/FAT Viewer?action=UPDATE&amp;creator=factset&amp;DYN_ARGS=TRUE&amp;DOC_NAME=FAT:FQL_AUDITING_CLIENT_TEMPLATE.FAT&amp;display_string=Audit&amp;VAR:KEY=KJUVYRYFSZ&amp;VAR:QUERY=RkZfRU5UUlBSX1ZBTF9EQUlMWSg0MDUwMywsLCwsJ0RJTCcpL0VDQV9NRUFOX1NBTEVTKDIwMTEsNDA1MDMp&amp;","WINDOW=FIRST_POPUP&amp;HEIGHT=450&amp;WIDTH=450&amp;START_MAXIMIZED=FALSE&amp;VAR:CALENDAR=US&amp;VAR:SYMBOL=GR&amp;VAR:INDEX=0"}</definedName>
    <definedName name="_372__FDSAUDITLINK__" hidden="1">{"fdsup://directions/FAT Viewer?action=UPDATE&amp;creator=factset&amp;DYN_ARGS=TRUE&amp;DOC_NAME=FAT:FQL_AUDITING_CLIENT_TEMPLATE.FAT&amp;display_string=Audit&amp;VAR:KEY=MJWBALOHCR&amp;VAR:QUERY=RkZfRU5UUlBSX1ZBTF9EQUlMWSg0MDUwMywsLCwsJ0RJTCcpL0VDQV9NRUFOX1NBTEVTKDIwMTAsNDA1MDMp&amp;","WINDOW=FIRST_POPUP&amp;HEIGHT=450&amp;WIDTH=450&amp;START_MAXIMIZED=FALSE&amp;VAR:CALENDAR=US&amp;VAR:SYMBOL=GR&amp;VAR:INDEX=0"}</definedName>
    <definedName name="_373__FDSAUDITLINK__" hidden="1">{"fdsup://directions/FAT Viewer?action=UPDATE&amp;creator=factset&amp;DYN_ARGS=TRUE&amp;DOC_NAME=FAT:FQL_AUDITING_CLIENT_TEMPLATE.FAT&amp;display_string=Audit&amp;VAR:KEY=KTEFKHQBSP&amp;VAR:QUERY=RkZfRU5UUlBSX1ZBTF9EQUlMWSg0MDUwMywsLCwsJ0RJTCcpL0VDQV9NRUFOX0VCSVQoMjAxMiw0MDUwMyk=&amp;","WINDOW=FIRST_POPUP&amp;HEIGHT=450&amp;WIDTH=450&amp;START_MAXIMIZED=FALSE&amp;VAR:CALENDAR=US&amp;VAR:SYMBOL=GR&amp;VAR:INDEX=0"}</definedName>
    <definedName name="_374__FDSAUDITLINK__" hidden="1">{"fdsup://directions/FAT Viewer?action=UPDATE&amp;creator=factset&amp;DYN_ARGS=TRUE&amp;DOC_NAME=FAT:FQL_AUDITING_CLIENT_TEMPLATE.FAT&amp;display_string=Audit&amp;VAR:KEY=EVYRETOPCV&amp;VAR:QUERY=RkZfRU5UUlBSX1ZBTF9EQUlMWSg0MDUwMywsLCwsJ0RJTCcpL0VDQV9NRUFOX0VCSVQoMjAxMSw0MDUwMyk=&amp;","WINDOW=FIRST_POPUP&amp;HEIGHT=450&amp;WIDTH=450&amp;START_MAXIMIZED=FALSE&amp;VAR:CALENDAR=US&amp;VAR:SYMBOL=GR&amp;VAR:INDEX=0"}</definedName>
    <definedName name="_375__FDSAUDITLINK__" hidden="1">{"fdsup://directions/FAT Viewer?action=UPDATE&amp;creator=factset&amp;DYN_ARGS=TRUE&amp;DOC_NAME=FAT:FQL_AUDITING_CLIENT_TEMPLATE.FAT&amp;display_string=Audit&amp;VAR:KEY=STKDEZWXED&amp;VAR:QUERY=RkZfRU5UUlBSX1ZBTF9EQUlMWSg0MDUwMywsLCwsJ0RJTCcpL0VDQV9NRUFOX0VCSVQoMjAxMCw0MDUwMyk=&amp;","WINDOW=FIRST_POPUP&amp;HEIGHT=450&amp;WIDTH=450&amp;START_MAXIMIZED=FALSE&amp;VAR:CALENDAR=US&amp;VAR:SYMBOL=GR&amp;VAR:INDEX=0"}</definedName>
    <definedName name="_376__FDSAUDITLINK__" hidden="1">{"fdsup://directions/FAT Viewer?action=UPDATE&amp;creator=factset&amp;DYN_ARGS=TRUE&amp;DOC_NAME=FAT:FQL_AUDITING_CLIENT_TEMPLATE.FAT&amp;display_string=Audit&amp;VAR:KEY=CZSPYFWXGR&amp;VAR:QUERY=RkZfRU5UUlBSX1ZBTF9EQUlMWSg0MDUwMywsLCwsJ0RJTCcpL0VDQV9NRUFOX0VCSVREQSgyMDEyLDQwNTAzK","Q==&amp;WINDOW=FIRST_POPUP&amp;HEIGHT=450&amp;WIDTH=450&amp;START_MAXIMIZED=FALSE&amp;VAR:CALENDAR=US&amp;VAR:SYMBOL=GR&amp;VAR:INDEX=0"}</definedName>
    <definedName name="_377__FDSAUDITLINK__" hidden="1">{"fdsup://directions/FAT Viewer?action=UPDATE&amp;creator=factset&amp;DYN_ARGS=TRUE&amp;DOC_NAME=FAT:FQL_AUDITING_CLIENT_TEMPLATE.FAT&amp;display_string=Audit&amp;VAR:KEY=YJKTQXQLMX&amp;VAR:QUERY=RkZfRU5UUlBSX1ZBTF9EQUlMWSg0MDUwMywsLCwsJ0RJTCcpL0VDQV9NRUFOX0VCSVREQSgyMDExLDQwNTAzK","Q==&amp;WINDOW=FIRST_POPUP&amp;HEIGHT=450&amp;WIDTH=450&amp;START_MAXIMIZED=FALSE&amp;VAR:CALENDAR=US&amp;VAR:SYMBOL=GR&amp;VAR:INDEX=0"}</definedName>
    <definedName name="_378__FDSAUDITLINK__" hidden="1">{"fdsup://directions/FAT Viewer?action=UPDATE&amp;creator=factset&amp;DYN_ARGS=TRUE&amp;DOC_NAME=FAT:FQL_AUDITING_CLIENT_TEMPLATE.FAT&amp;display_string=Audit&amp;VAR:KEY=QPUNKHIXGT&amp;VAR:QUERY=RkZfRU5UUlBSX1ZBTF9EQUlMWSg0MDUwMywsLCwsJ0RJTCcpL0VDQV9NRUFOX0VCSVREQSgyMDEwLDQwNTAzK","Q==&amp;WINDOW=FIRST_POPUP&amp;HEIGHT=450&amp;WIDTH=450&amp;START_MAXIMIZED=FALSE&amp;VAR:CALENDAR=US&amp;VAR:SYMBOL=GR&amp;VAR:INDEX=0"}</definedName>
    <definedName name="_379__FDSAUDITLINK__" hidden="1">{"fdsup://directions/FAT Viewer?action=UPDATE&amp;creator=factset&amp;DYN_ARGS=TRUE&amp;DOC_NAME=FAT:FQL_AUDITING_CLIENT_TEMPLATE.FAT&amp;display_string=Audit&amp;VAR:KEY=QPATORIDIT&amp;VAR:QUERY=RkZfRU5UUlBSX1ZBTF9EQUlMWSg0MDUwMywsLCwsJ0RJTCcpL0VDQV9NRUFOX1NBTEVTKDIwMTIsNDA1MDMp&amp;","WINDOW=FIRST_POPUP&amp;HEIGHT=450&amp;WIDTH=450&amp;START_MAXIMIZED=FALSE&amp;VAR:CALENDAR=US&amp;VAR:SYMBOL=COL&amp;VAR:INDEX=0"}</definedName>
    <definedName name="_38__FDSAUDITLINK__" hidden="1">{"fdsup://directions/FAT Viewer?action=UPDATE&amp;creator=factset&amp;DYN_ARGS=TRUE&amp;DOC_NAME=FAT:FQL_AUDITING_CLIENT_TEMPLATE.FAT&amp;display_string=Audit&amp;VAR:KEY=ODMXGBIHWF&amp;VAR:QUERY=RkZfRU5UUlBSX1ZBTF9EQUlMWSg0MDcxMCwsLCwsJ0RJTCcp&amp;WINDOW=FIRST_POPUP&amp;HEIGHT=450&amp;WIDTH=","450&amp;START_MAXIMIZED=FALSE&amp;VAR:CALENDAR=US&amp;VAR:SYMBOL=BEAV&amp;VAR:INDEX=0"}</definedName>
    <definedName name="_380__FDSAUDITLINK__" hidden="1">{"fdsup://directions/FAT Viewer?action=UPDATE&amp;creator=factset&amp;DYN_ARGS=TRUE&amp;DOC_NAME=FAT:FQL_AUDITING_CLIENT_TEMPLATE.FAT&amp;display_string=Audit&amp;VAR:KEY=OVKFIBMHGD&amp;VAR:QUERY=RkZfRU5UUlBSX1ZBTF9EQUlMWSg0MDUwMywsLCwsJ0RJTCcpL0VDQV9NRUFOX1NBTEVTKDIwMTEsNDA1MDMp&amp;","WINDOW=FIRST_POPUP&amp;HEIGHT=450&amp;WIDTH=450&amp;START_MAXIMIZED=FALSE&amp;VAR:CALENDAR=US&amp;VAR:SYMBOL=COL&amp;VAR:INDEX=0"}</definedName>
    <definedName name="_381__FDSAUDITLINK__" hidden="1">{"fdsup://directions/FAT Viewer?action=UPDATE&amp;creator=factset&amp;DYN_ARGS=TRUE&amp;DOC_NAME=FAT:FQL_AUDITING_CLIENT_TEMPLATE.FAT&amp;display_string=Audit&amp;VAR:KEY=GTEPEFWTYR&amp;VAR:QUERY=RkZfRU5UUlBSX1ZBTF9EQUlMWSg0MDUwMywsLCwsJ0RJTCcpL0VDQV9NRUFOX1NBTEVTKDIwMTAsNDA1MDMp&amp;","WINDOW=FIRST_POPUP&amp;HEIGHT=450&amp;WIDTH=450&amp;START_MAXIMIZED=FALSE&amp;VAR:CALENDAR=US&amp;VAR:SYMBOL=COL&amp;VAR:INDEX=0"}</definedName>
    <definedName name="_382__FDSAUDITLINK__" hidden="1">{"fdsup://directions/FAT Viewer?action=UPDATE&amp;creator=factset&amp;DYN_ARGS=TRUE&amp;DOC_NAME=FAT:FQL_AUDITING_CLIENT_TEMPLATE.FAT&amp;display_string=Audit&amp;VAR:KEY=WJSPIJQXEX&amp;VAR:QUERY=RkZfRU5UUlBSX1ZBTF9EQUlMWSg0MDUwMywsLCwsJ0RJTCcpL0VDQV9NRUFOX0VCSVQoMjAxMiw0MDUwMyk=&amp;","WINDOW=FIRST_POPUP&amp;HEIGHT=450&amp;WIDTH=450&amp;START_MAXIMIZED=FALSE&amp;VAR:CALENDAR=US&amp;VAR:SYMBOL=COL&amp;VAR:INDEX=0"}</definedName>
    <definedName name="_383__FDSAUDITLINK__" hidden="1">{"fdsup://directions/FAT Viewer?action=UPDATE&amp;creator=factset&amp;DYN_ARGS=TRUE&amp;DOC_NAME=FAT:FQL_AUDITING_CLIENT_TEMPLATE.FAT&amp;display_string=Audit&amp;VAR:KEY=MFUZWFCNUV&amp;VAR:QUERY=RkZfRU5UUlBSX1ZBTF9EQUlMWSg0MDUwMywsLCwsJ0RJTCcpL0VDQV9NRUFOX0VCSVQoMjAxMSw0MDUwMyk=&amp;","WINDOW=FIRST_POPUP&amp;HEIGHT=450&amp;WIDTH=450&amp;START_MAXIMIZED=FALSE&amp;VAR:CALENDAR=US&amp;VAR:SYMBOL=COL&amp;VAR:INDEX=0"}</definedName>
    <definedName name="_384__FDSAUDITLINK__" hidden="1">{"fdsup://directions/FAT Viewer?action=UPDATE&amp;creator=factset&amp;DYN_ARGS=TRUE&amp;DOC_NAME=FAT:FQL_AUDITING_CLIENT_TEMPLATE.FAT&amp;display_string=Audit&amp;VAR:KEY=IVWHMREPIJ&amp;VAR:QUERY=RkZfRU5UUlBSX1ZBTF9EQUlMWSg0MDUwMywsLCwsJ0RJTCcpL0VDQV9NRUFOX0VCSVQoMjAxMCw0MDUwMyk=&amp;","WINDOW=FIRST_POPUP&amp;HEIGHT=450&amp;WIDTH=450&amp;START_MAXIMIZED=FALSE&amp;VAR:CALENDAR=US&amp;VAR:SYMBOL=COL&amp;VAR:INDEX=0"}</definedName>
    <definedName name="_385__FDSAUDITLINK__" hidden="1">{"fdsup://directions/FAT Viewer?action=UPDATE&amp;creator=factset&amp;DYN_ARGS=TRUE&amp;DOC_NAME=FAT:FQL_AUDITING_CLIENT_TEMPLATE.FAT&amp;display_string=Audit&amp;VAR:KEY=GRYFIZELWT&amp;VAR:QUERY=RkZfRU5UUlBSX1ZBTF9EQUlMWSg0MDUwMywsLCwsJ0RJTCcpL0VDQV9NRUFOX0VCSVREQSgyMDEyLDQwNTAzK","Q==&amp;WINDOW=FIRST_POPUP&amp;HEIGHT=450&amp;WIDTH=450&amp;START_MAXIMIZED=FALSE&amp;VAR:CALENDAR=US&amp;VAR:SYMBOL=COL&amp;VAR:INDEX=0"}</definedName>
    <definedName name="_386__FDSAUDITLINK__" hidden="1">{"fdsup://directions/FAT Viewer?action=UPDATE&amp;creator=factset&amp;DYN_ARGS=TRUE&amp;DOC_NAME=FAT:FQL_AUDITING_CLIENT_TEMPLATE.FAT&amp;display_string=Audit&amp;VAR:KEY=QZYFERWROF&amp;VAR:QUERY=RkZfRU5UUlBSX1ZBTF9EQUlMWSg0MDUwMywsLCwsJ0RJTCcpL0VDQV9NRUFOX0VCSVREQSgyMDExLDQwNTAzK","Q==&amp;WINDOW=FIRST_POPUP&amp;HEIGHT=450&amp;WIDTH=450&amp;START_MAXIMIZED=FALSE&amp;VAR:CALENDAR=US&amp;VAR:SYMBOL=COL&amp;VAR:INDEX=0"}</definedName>
    <definedName name="_387__FDSAUDITLINK__" hidden="1">{"fdsup://directions/FAT Viewer?action=UPDATE&amp;creator=factset&amp;DYN_ARGS=TRUE&amp;DOC_NAME=FAT:FQL_AUDITING_CLIENT_TEMPLATE.FAT&amp;display_string=Audit&amp;VAR:KEY=MZSRIZYZMD&amp;VAR:QUERY=RkZfRU5UUlBSX1ZBTF9EQUlMWSg0MDUwMywsLCwsJ0RJTCcpL0VDQV9NRUFOX0VCSVREQSgyMDEwLDQwNTAzK","Q==&amp;WINDOW=FIRST_POPUP&amp;HEIGHT=450&amp;WIDTH=450&amp;START_MAXIMIZED=FALSE&amp;VAR:CALENDAR=US&amp;VAR:SYMBOL=COL&amp;VAR:INDEX=0"}</definedName>
    <definedName name="_388__FDSAUDITLINK__" hidden="1">{"fdsup://directions/FAT Viewer?action=UPDATE&amp;creator=factset&amp;DYN_ARGS=TRUE&amp;DOC_NAME=FAT:FQL_AUDITING_CLIENT_TEMPLATE.FAT&amp;display_string=Audit&amp;VAR:KEY=ULUVUTUDQJ&amp;VAR:QUERY=RkZfRU5UUlBSX1ZBTF9EQUlMWSg0MDUwMywsLCwsJ0RJTCcpL0VDQV9NRUFOX1NBTEVTKDIwMTIsNDA1MDMp&amp;","WINDOW=FIRST_POPUP&amp;HEIGHT=450&amp;WIDTH=450&amp;START_MAXIMIZED=FALSE&amp;VAR:CALENDAR=US&amp;VAR:SYMBOL=BA&amp;VAR:INDEX=0"}</definedName>
    <definedName name="_389__FDSAUDITLINK__" hidden="1">{"fdsup://directions/FAT Viewer?action=UPDATE&amp;creator=factset&amp;DYN_ARGS=TRUE&amp;DOC_NAME=FAT:FQL_AUDITING_CLIENT_TEMPLATE.FAT&amp;display_string=Audit&amp;VAR:KEY=ITATMRAVKV&amp;VAR:QUERY=RkZfRU5UUlBSX1ZBTF9EQUlMWSg0MDUwMywsLCwsJ0RJTCcpL0VDQV9NRUFOX1NBTEVTKDIwMTEsNDA1MDMp&amp;","WINDOW=FIRST_POPUP&amp;HEIGHT=450&amp;WIDTH=450&amp;START_MAXIMIZED=FALSE&amp;VAR:CALENDAR=US&amp;VAR:SYMBOL=BA&amp;VAR:INDEX=0"}</definedName>
    <definedName name="_39__FDSAUDITLINK__" hidden="1">{"fdsup://directions/FAT Viewer?action=UPDATE&amp;creator=factset&amp;DYN_ARGS=TRUE&amp;DOC_NAME=FAT:FQL_AUDITING_CLIENT_TEMPLATE.FAT&amp;display_string=Audit&amp;VAR:KEY=QVIRSHGNWF&amp;VAR:QUERY=RkZfRU5UUlBSX1ZBTF9EQUlMWSg0MDcxMCwsLCwsJ0RJTCcp&amp;WINDOW=FIRST_POPUP&amp;HEIGHT=450&amp;WIDTH=","450&amp;START_MAXIMIZED=FALSE&amp;VAR:CALENDAR=US&amp;VAR:SYMBOL=PCP&amp;VAR:INDEX=0"}</definedName>
    <definedName name="_390__FDSAUDITLINK__" hidden="1">{"fdsup://directions/FAT Viewer?action=UPDATE&amp;creator=factset&amp;DYN_ARGS=TRUE&amp;DOC_NAME=FAT:FQL_AUDITING_CLIENT_TEMPLATE.FAT&amp;display_string=Audit&amp;VAR:KEY=WZSNWZYDOH&amp;VAR:QUERY=RkZfRU5UUlBSX1ZBTF9EQUlMWSg0MDUwMywsLCwsJ0RJTCcpL0VDQV9NRUFOX1NBTEVTKDIwMTAsNDA1MDMp&amp;","WINDOW=FIRST_POPUP&amp;HEIGHT=450&amp;WIDTH=450&amp;START_MAXIMIZED=FALSE&amp;VAR:CALENDAR=US&amp;VAR:SYMBOL=BA&amp;VAR:INDEX=0"}</definedName>
    <definedName name="_391__FDSAUDITLINK__" hidden="1">{"fdsup://directions/FAT Viewer?action=UPDATE&amp;creator=factset&amp;DYN_ARGS=TRUE&amp;DOC_NAME=FAT:FQL_AUDITING_CLIENT_TEMPLATE.FAT&amp;display_string=Audit&amp;VAR:KEY=OTSLELWRWP&amp;VAR:QUERY=RkZfRU5UUlBSX1ZBTF9EQUlMWSg0MDUwMywsLCwsJ0RJTCcpL0VDQV9NRUFOX0VCSVQoMjAxMiw0MDUwMyk=&amp;","WINDOW=FIRST_POPUP&amp;HEIGHT=450&amp;WIDTH=450&amp;START_MAXIMIZED=FALSE&amp;VAR:CALENDAR=US&amp;VAR:SYMBOL=BA&amp;VAR:INDEX=0"}</definedName>
    <definedName name="_392__FDSAUDITLINK__" hidden="1">{"fdsup://directions/FAT Viewer?action=UPDATE&amp;creator=factset&amp;DYN_ARGS=TRUE&amp;DOC_NAME=FAT:FQL_AUDITING_CLIENT_TEMPLATE.FAT&amp;display_string=Audit&amp;VAR:KEY=AFGXGHOVUL&amp;VAR:QUERY=RkZfRU5UUlBSX1ZBTF9EQUlMWSg0MDUwMywsLCwsJ0RJTCcpL0VDQV9NRUFOX0VCSVQoMjAxMSw0MDUwMyk=&amp;","WINDOW=FIRST_POPUP&amp;HEIGHT=450&amp;WIDTH=450&amp;START_MAXIMIZED=FALSE&amp;VAR:CALENDAR=US&amp;VAR:SYMBOL=BA&amp;VAR:INDEX=0"}</definedName>
    <definedName name="_393__FDSAUDITLINK__" hidden="1">{"fdsup://directions/FAT Viewer?action=UPDATE&amp;creator=factset&amp;DYN_ARGS=TRUE&amp;DOC_NAME=FAT:FQL_AUDITING_CLIENT_TEMPLATE.FAT&amp;display_string=Audit&amp;VAR:KEY=WZEZAHUNKP&amp;VAR:QUERY=RkZfRU5UUlBSX1ZBTF9EQUlMWSg0MDUwMywsLCwsJ0RJTCcpL0VDQV9NRUFOX0VCSVQoMjAxMCw0MDUwMyk=&amp;","WINDOW=FIRST_POPUP&amp;HEIGHT=450&amp;WIDTH=450&amp;START_MAXIMIZED=FALSE&amp;VAR:CALENDAR=US&amp;VAR:SYMBOL=BA&amp;VAR:INDEX=0"}</definedName>
    <definedName name="_394__FDSAUDITLINK__" hidden="1">{"fdsup://directions/FAT Viewer?action=UPDATE&amp;creator=factset&amp;DYN_ARGS=TRUE&amp;DOC_NAME=FAT:FQL_AUDITING_CLIENT_TEMPLATE.FAT&amp;display_string=Audit&amp;VAR:KEY=CJGFEPSBIZ&amp;VAR:QUERY=RkZfRU5UUlBSX1ZBTF9EQUlMWSg0MDUwMywsLCwsJ0RJTCcpL0VDQV9NRUFOX0VCSVREQSgyMDEyLDQwNTAzK","Q==&amp;WINDOW=FIRST_POPUP&amp;HEIGHT=450&amp;WIDTH=450&amp;START_MAXIMIZED=FALSE&amp;VAR:CALENDAR=US&amp;VAR:SYMBOL=BA&amp;VAR:INDEX=0"}</definedName>
    <definedName name="_395__FDSAUDITLINK__" hidden="1">{"fdsup://directions/FAT Viewer?action=UPDATE&amp;creator=factset&amp;DYN_ARGS=TRUE&amp;DOC_NAME=FAT:FQL_AUDITING_CLIENT_TEMPLATE.FAT&amp;display_string=Audit&amp;VAR:KEY=YHGJMFMDAH&amp;VAR:QUERY=RkZfRU5UUlBSX1ZBTF9EQUlMWSg0MDUwMywsLCwsJ0RJTCcpL0VDQV9NRUFOX0VCSVREQSgyMDExLDQwNTAzK","Q==&amp;WINDOW=FIRST_POPUP&amp;HEIGHT=450&amp;WIDTH=450&amp;START_MAXIMIZED=FALSE&amp;VAR:CALENDAR=US&amp;VAR:SYMBOL=BA&amp;VAR:INDEX=0"}</definedName>
    <definedName name="_396__FDSAUDITLINK__" hidden="1">{"fdsup://directions/FAT Viewer?action=UPDATE&amp;creator=factset&amp;DYN_ARGS=TRUE&amp;DOC_NAME=FAT:FQL_AUDITING_CLIENT_TEMPLATE.FAT&amp;display_string=Audit&amp;VAR:KEY=WZWNYXQPQD&amp;VAR:QUERY=RkZfRU5UUlBSX1ZBTF9EQUlMWSg0MDUwMywsLCwsJ0RJTCcpL0VDQV9NRUFOX0VCSVREQSgyMDEwLDQwNTAzK","Q==&amp;WINDOW=FIRST_POPUP&amp;HEIGHT=450&amp;WIDTH=450&amp;START_MAXIMIZED=FALSE&amp;VAR:CALENDAR=US&amp;VAR:SYMBOL=BA&amp;VAR:INDEX=0"}</definedName>
    <definedName name="_397__FDSAUDITLINK__" hidden="1">{"fdsup://directions/FAT Viewer?action=UPDATE&amp;creator=factset&amp;DYN_ARGS=TRUE&amp;DOC_NAME=FAT:FQL_AUDITING_CLIENT_TEMPLATE.FAT&amp;display_string=Audit&amp;VAR:KEY=KNODWNYTEF&amp;VAR:QUERY=RkZfRU5UUlBSX1ZBTF9EQUlMWSg0MDU2MSwsLCwsJ0RJTCcpL0VDQV9NRUFOX1NBTEVTKDIwMTIsNDA1NjEp&amp;","WINDOW=FIRST_POPUP&amp;HEIGHT=450&amp;WIDTH=450&amp;START_MAXIMIZED=FALSE&amp;VAR:CALENDAR=US&amp;VAR:SYMBOL=GR&amp;VAR:INDEX=0"}</definedName>
    <definedName name="_398__FDSAUDITLINK__" hidden="1">{"fdsup://directions/FAT Viewer?action=UPDATE&amp;creator=factset&amp;DYN_ARGS=TRUE&amp;DOC_NAME=FAT:FQL_AUDITING_CLIENT_TEMPLATE.FAT&amp;display_string=Audit&amp;VAR:KEY=CJITQLSHIH&amp;VAR:QUERY=RkZfRU5UUlBSX1ZBTF9EQUlMWSg0MDU2MSwsLCwsJ0RJTCcpL0VDQV9NRUFOX1NBTEVTKDIwMTEsNDA1NjEp&amp;","WINDOW=FIRST_POPUP&amp;HEIGHT=450&amp;WIDTH=450&amp;START_MAXIMIZED=FALSE&amp;VAR:CALENDAR=US&amp;VAR:SYMBOL=GR&amp;VAR:INDEX=0"}</definedName>
    <definedName name="_399__FDSAUDITLINK__" hidden="1">{"fdsup://directions/FAT Viewer?action=UPDATE&amp;creator=factset&amp;DYN_ARGS=TRUE&amp;DOC_NAME=FAT:FQL_AUDITING_CLIENT_TEMPLATE.FAT&amp;display_string=Audit&amp;VAR:KEY=ILMXORYZCB&amp;VAR:QUERY=RkZfRU5UUlBSX1ZBTF9EQUlMWSg0MDU2MSwsLCwsJ0RJTCcpL0VDQV9NRUFOX1NBTEVTKDIwMTAsNDA1NjEp&amp;","WINDOW=FIRST_POPUP&amp;HEIGHT=450&amp;WIDTH=450&amp;START_MAXIMIZED=FALSE&amp;VAR:CALENDAR=US&amp;VAR:SYMBOL=GR&amp;VAR:INDEX=0"}</definedName>
    <definedName name="_4__FDSAUDITLINK__" hidden="1">{"fdsup://directions/FAT Viewer?action=UPDATE&amp;creator=factset&amp;DYN_ARGS=TRUE&amp;DOC_NAME=FAT:FQL_AUDITING_CLIENT_TEMPLATE.FAT&amp;display_string=Audit&amp;VAR:KEY=KVKDARKLGJ&amp;VAR:QUERY=RkZfRU5UUlBSX1ZBTF9EQUlMWSgwMS8yNi8yMDExLCwsLCwnRElMJykvRUNBX01FQU5fRUJJVCgyMDEyLDAxL","zI2LzIwMTEp&amp;WINDOW=FIRST_POPUP&amp;HEIGHT=450&amp;WIDTH=450&amp;START_MAXIMIZED=FALSE&amp;VAR:CALENDAR=US&amp;VAR:SYMBOL=BA&amp;VAR:INDEX=0"}</definedName>
    <definedName name="_40__FDSAUDITLINK__" hidden="1">{"fdsup://directions/FAT Viewer?action=UPDATE&amp;creator=factset&amp;DYN_ARGS=TRUE&amp;DOC_NAME=FAT:FQL_AUDITING_CLIENT_TEMPLATE.FAT&amp;display_string=Audit&amp;VAR:KEY=CPCTODUREJ&amp;VAR:QUERY=Q1NGX0RFQlQoQU5OLDQwNzEwKQ==&amp;WINDOW=FIRST_POPUP&amp;HEIGHT=450&amp;WIDTH=450&amp;START_MAXIMIZED=","FALSE&amp;VAR:CALENDAR=US&amp;VAR:SYMBOL=GR&amp;VAR:INDEX=0"}</definedName>
    <definedName name="_400__FDSAUDITLINK__" hidden="1">{"fdsup://directions/FAT Viewer?action=UPDATE&amp;creator=factset&amp;DYN_ARGS=TRUE&amp;DOC_NAME=FAT:FQL_AUDITING_CLIENT_TEMPLATE.FAT&amp;display_string=Audit&amp;VAR:KEY=MBYFMLMXSP&amp;VAR:QUERY=RkZfRU5UUlBSX1ZBTF9EQUlMWSg0MDU2MSwsLCwsJ0RJTCcpL0VDQV9NRUFOX0VCSVQoMjAxMiw0MDU2MSk=&amp;","WINDOW=FIRST_POPUP&amp;HEIGHT=450&amp;WIDTH=450&amp;START_MAXIMIZED=FALSE&amp;VAR:CALENDAR=US&amp;VAR:SYMBOL=GR&amp;VAR:INDEX=0"}</definedName>
    <definedName name="_401__FDSAUDITLINK__" hidden="1">{"fdsup://directions/FAT Viewer?action=UPDATE&amp;creator=factset&amp;DYN_ARGS=TRUE&amp;DOC_NAME=FAT:FQL_AUDITING_CLIENT_TEMPLATE.FAT&amp;display_string=Audit&amp;VAR:KEY=MZGLCVOFUD&amp;VAR:QUERY=RkZfRU5UUlBSX1ZBTF9EQUlMWSg0MDU2MSwsLCwsJ0RJTCcpL0VDQV9NRUFOX0VCSVQoMjAxMSw0MDU2MSk=&amp;","WINDOW=FIRST_POPUP&amp;HEIGHT=450&amp;WIDTH=450&amp;START_MAXIMIZED=FALSE&amp;VAR:CALENDAR=US&amp;VAR:SYMBOL=GR&amp;VAR:INDEX=0"}</definedName>
    <definedName name="_402__FDSAUDITLINK__" hidden="1">{"fdsup://directions/FAT Viewer?action=UPDATE&amp;creator=factset&amp;DYN_ARGS=TRUE&amp;DOC_NAME=FAT:FQL_AUDITING_CLIENT_TEMPLATE.FAT&amp;display_string=Audit&amp;VAR:KEY=ULCNSVSBYL&amp;VAR:QUERY=RkZfRU5UUlBSX1ZBTF9EQUlMWSg0MDU2MSwsLCwsJ0RJTCcpL0VDQV9NRUFOX0VCSVQoMjAxMCw0MDU2MSk=&amp;","WINDOW=FIRST_POPUP&amp;HEIGHT=450&amp;WIDTH=450&amp;START_MAXIMIZED=FALSE&amp;VAR:CALENDAR=US&amp;VAR:SYMBOL=GR&amp;VAR:INDEX=0"}</definedName>
    <definedName name="_403__FDSAUDITLINK__" hidden="1">{"fdsup://directions/FAT Viewer?action=UPDATE&amp;creator=factset&amp;DYN_ARGS=TRUE&amp;DOC_NAME=FAT:FQL_AUDITING_CLIENT_TEMPLATE.FAT&amp;display_string=Audit&amp;VAR:KEY=QNSZGZMLYT&amp;VAR:QUERY=RkZfRU5UUlBSX1ZBTF9EQUlMWSg0MDU2MSwsLCwsJ0RJTCcpL0VDQV9NRUFOX0VCSVREQSgyMDEyLDQwNTYxK","Q==&amp;WINDOW=FIRST_POPUP&amp;HEIGHT=450&amp;WIDTH=450&amp;START_MAXIMIZED=FALSE&amp;VAR:CALENDAR=US&amp;VAR:SYMBOL=GR&amp;VAR:INDEX=0"}</definedName>
    <definedName name="_404__FDSAUDITLINK__" hidden="1">{"fdsup://directions/FAT Viewer?action=UPDATE&amp;creator=factset&amp;DYN_ARGS=TRUE&amp;DOC_NAME=FAT:FQL_AUDITING_CLIENT_TEMPLATE.FAT&amp;display_string=Audit&amp;VAR:KEY=QNGRIZQPOP&amp;VAR:QUERY=RkZfRU5UUlBSX1ZBTF9EQUlMWSg0MDU2MSwsLCwsJ0RJTCcpL0VDQV9NRUFOX0VCSVREQSgyMDExLDQwNTYxK","Q==&amp;WINDOW=FIRST_POPUP&amp;HEIGHT=450&amp;WIDTH=450&amp;START_MAXIMIZED=FALSE&amp;VAR:CALENDAR=US&amp;VAR:SYMBOL=GR&amp;VAR:INDEX=0"}</definedName>
    <definedName name="_405__FDSAUDITLINK__" hidden="1">{"fdsup://directions/FAT Viewer?action=UPDATE&amp;creator=factset&amp;DYN_ARGS=TRUE&amp;DOC_NAME=FAT:FQL_AUDITING_CLIENT_TEMPLATE.FAT&amp;display_string=Audit&amp;VAR:KEY=YJCFQFMVEX&amp;VAR:QUERY=RkZfRU5UUlBSX1ZBTF9EQUlMWSg0MDU2MSwsLCwsJ0RJTCcpL0VDQV9NRUFOX0VCSVREQSgyMDEwLDQwNTYxK","Q==&amp;WINDOW=FIRST_POPUP&amp;HEIGHT=450&amp;WIDTH=450&amp;START_MAXIMIZED=FALSE&amp;VAR:CALENDAR=US&amp;VAR:SYMBOL=GR&amp;VAR:INDEX=0"}</definedName>
    <definedName name="_406__FDSAUDITLINK__" hidden="1">{"fdsup://directions/FAT Viewer?action=UPDATE&amp;creator=factset&amp;DYN_ARGS=TRUE&amp;DOC_NAME=FAT:FQL_AUDITING_CLIENT_TEMPLATE.FAT&amp;display_string=Audit&amp;VAR:KEY=SFYBAVOHUT&amp;VAR:QUERY=RkZfRU5UUlBSX1ZBTF9EQUlMWSg0MDU2MSwsLCwsJ0RJTCcpL0VDQV9NRUFOX1NBTEVTKDIwMTIsNDA1NjEp&amp;","WINDOW=FIRST_POPUP&amp;HEIGHT=450&amp;WIDTH=450&amp;START_MAXIMIZED=FALSE&amp;VAR:CALENDAR=US&amp;VAR:SYMBOL=COL&amp;VAR:INDEX=0"}</definedName>
    <definedName name="_407__FDSAUDITLINK__" hidden="1">{"fdsup://directions/FAT Viewer?action=UPDATE&amp;creator=factset&amp;DYN_ARGS=TRUE&amp;DOC_NAME=FAT:FQL_AUDITING_CLIENT_TEMPLATE.FAT&amp;display_string=Audit&amp;VAR:KEY=IDGFYPAPGR&amp;VAR:QUERY=RkZfRU5UUlBSX1ZBTF9EQUlMWSg0MDU2MSwsLCwsJ0RJTCcpL0VDQV9NRUFOX1NBTEVTKDIwMTEsNDA1NjEp&amp;","WINDOW=FIRST_POPUP&amp;HEIGHT=450&amp;WIDTH=450&amp;START_MAXIMIZED=FALSE&amp;VAR:CALENDAR=US&amp;VAR:SYMBOL=COL&amp;VAR:INDEX=0"}</definedName>
    <definedName name="_408__FDSAUDITLINK__" hidden="1">{"fdsup://directions/FAT Viewer?action=UPDATE&amp;creator=factset&amp;DYN_ARGS=TRUE&amp;DOC_NAME=FAT:FQL_AUDITING_CLIENT_TEMPLATE.FAT&amp;display_string=Audit&amp;VAR:KEY=WDUDMXIRSR&amp;VAR:QUERY=RkZfRU5UUlBSX1ZBTF9EQUlMWSg0MDU2MSwsLCwsJ0RJTCcpL0VDQV9NRUFOX1NBTEVTKDIwMTAsNDA1NjEp&amp;","WINDOW=FIRST_POPUP&amp;HEIGHT=450&amp;WIDTH=450&amp;START_MAXIMIZED=FALSE&amp;VAR:CALENDAR=US&amp;VAR:SYMBOL=COL&amp;VAR:INDEX=0"}</definedName>
    <definedName name="_409__FDSAUDITLINK__" hidden="1">{"fdsup://directions/FAT Viewer?action=UPDATE&amp;creator=factset&amp;DYN_ARGS=TRUE&amp;DOC_NAME=FAT:FQL_AUDITING_CLIENT_TEMPLATE.FAT&amp;display_string=Audit&amp;VAR:KEY=KDSNIVEHGF&amp;VAR:QUERY=RkZfRU5UUlBSX1ZBTF9EQUlMWSg0MDU2MSwsLCwsJ0RJTCcpL0VDQV9NRUFOX0VCSVQoMjAxMiw0MDU2MSk=&amp;","WINDOW=FIRST_POPUP&amp;HEIGHT=450&amp;WIDTH=450&amp;START_MAXIMIZED=FALSE&amp;VAR:CALENDAR=US&amp;VAR:SYMBOL=COL&amp;VAR:INDEX=0"}</definedName>
    <definedName name="_41__FDSAUDITLINK__" hidden="1">{"fdsup://directions/FAT Viewer?action=UPDATE&amp;creator=factset&amp;DYN_ARGS=TRUE&amp;DOC_NAME=FAT:FQL_AUDITING_CLIENT_TEMPLATE.FAT&amp;display_string=Audit&amp;VAR:KEY=CPCTODUREJ&amp;VAR:QUERY=Q1NGX0RFQlQoQU5OLDQwNzEwKQ==&amp;WINDOW=FIRST_POPUP&amp;HEIGHT=450&amp;WIDTH=450&amp;START_MAXIMIZED=","FALSE&amp;VAR:CALENDAR=US&amp;VAR:SYMBOL=GR&amp;VAR:INDEX=0"}</definedName>
    <definedName name="_410__FDSAUDITLINK__" hidden="1">{"fdsup://directions/FAT Viewer?action=UPDATE&amp;creator=factset&amp;DYN_ARGS=TRUE&amp;DOC_NAME=FAT:FQL_AUDITING_CLIENT_TEMPLATE.FAT&amp;display_string=Audit&amp;VAR:KEY=GNCHONGHSV&amp;VAR:QUERY=RkZfRU5UUlBSX1ZBTF9EQUlMWSg0MDU2MSwsLCwsJ0RJTCcpL0VDQV9NRUFOX0VCSVQoMjAxMSw0MDU2MSk=&amp;","WINDOW=FIRST_POPUP&amp;HEIGHT=450&amp;WIDTH=450&amp;START_MAXIMIZED=FALSE&amp;VAR:CALENDAR=US&amp;VAR:SYMBOL=COL&amp;VAR:INDEX=0"}</definedName>
    <definedName name="_411__FDSAUDITLINK__" hidden="1">{"fdsup://directions/FAT Viewer?action=UPDATE&amp;creator=factset&amp;DYN_ARGS=TRUE&amp;DOC_NAME=FAT:FQL_AUDITING_CLIENT_TEMPLATE.FAT&amp;display_string=Audit&amp;VAR:KEY=QZQLULWZMD&amp;VAR:QUERY=RkZfRU5UUlBSX1ZBTF9EQUlMWSg0MDU2MSwsLCwsJ0RJTCcpL0VDQV9NRUFOX0VCSVQoMjAxMCw0MDU2MSk=&amp;","WINDOW=FIRST_POPUP&amp;HEIGHT=450&amp;WIDTH=450&amp;START_MAXIMIZED=FALSE&amp;VAR:CALENDAR=US&amp;VAR:SYMBOL=COL&amp;VAR:INDEX=0"}</definedName>
    <definedName name="_412__FDSAUDITLINK__" hidden="1">{"fdsup://directions/FAT Viewer?action=UPDATE&amp;creator=factset&amp;DYN_ARGS=TRUE&amp;DOC_NAME=FAT:FQL_AUDITING_CLIENT_TEMPLATE.FAT&amp;display_string=Audit&amp;VAR:KEY=CPQJAVMBCF&amp;VAR:QUERY=RkZfRU5UUlBSX1ZBTF9EQUlMWSg0MDU2MSwsLCwsJ0RJTCcpL0VDQV9NRUFOX0VCSVREQSgyMDEyLDQwNTYxK","Q==&amp;WINDOW=FIRST_POPUP&amp;HEIGHT=450&amp;WIDTH=450&amp;START_MAXIMIZED=FALSE&amp;VAR:CALENDAR=US&amp;VAR:SYMBOL=COL&amp;VAR:INDEX=0"}</definedName>
    <definedName name="_413__FDSAUDITLINK__" hidden="1">{"fdsup://directions/FAT Viewer?action=UPDATE&amp;creator=factset&amp;DYN_ARGS=TRUE&amp;DOC_NAME=FAT:FQL_AUDITING_CLIENT_TEMPLATE.FAT&amp;display_string=Audit&amp;VAR:KEY=EVQLQNKHUN&amp;VAR:QUERY=RkZfRU5UUlBSX1ZBTF9EQUlMWSg0MDU2MSwsLCwsJ0RJTCcpL0VDQV9NRUFOX0VCSVREQSgyMDExLDQwNTYxK","Q==&amp;WINDOW=FIRST_POPUP&amp;HEIGHT=450&amp;WIDTH=450&amp;START_MAXIMIZED=FALSE&amp;VAR:CALENDAR=US&amp;VAR:SYMBOL=COL&amp;VAR:INDEX=0"}</definedName>
    <definedName name="_414__FDSAUDITLINK__" hidden="1">{"fdsup://directions/FAT Viewer?action=UPDATE&amp;creator=factset&amp;DYN_ARGS=TRUE&amp;DOC_NAME=FAT:FQL_AUDITING_CLIENT_TEMPLATE.FAT&amp;display_string=Audit&amp;VAR:KEY=EVGVUBCBWR&amp;VAR:QUERY=RkZfRU5UUlBSX1ZBTF9EQUlMWSg0MDU2MSwsLCwsJ0RJTCcpL0VDQV9NRUFOX0VCSVREQSgyMDEwLDQwNTYxK","Q==&amp;WINDOW=FIRST_POPUP&amp;HEIGHT=450&amp;WIDTH=450&amp;START_MAXIMIZED=FALSE&amp;VAR:CALENDAR=US&amp;VAR:SYMBOL=COL&amp;VAR:INDEX=0"}</definedName>
    <definedName name="_415__FDSAUDITLINK__" hidden="1">{"fdsup://directions/FAT Viewer?action=UPDATE&amp;creator=factset&amp;DYN_ARGS=TRUE&amp;DOC_NAME=FAT:FQL_AUDITING_CLIENT_TEMPLATE.FAT&amp;display_string=Audit&amp;VAR:KEY=OBEJKRKNAJ&amp;VAR:QUERY=RkZfRU5UUlBSX1ZBTF9EQUlMWSg0MDU2MSwsLCwsJ0RJTCcpL0VDQV9NRUFOX1NBTEVTKDIwMTIsNDA1NjEp&amp;","WINDOW=FIRST_POPUP&amp;HEIGHT=450&amp;WIDTH=450&amp;START_MAXIMIZED=FALSE&amp;VAR:CALENDAR=US&amp;VAR:SYMBOL=BA&amp;VAR:INDEX=0"}</definedName>
    <definedName name="_416__FDSAUDITLINK__" hidden="1">{"fdsup://directions/FAT Viewer?action=UPDATE&amp;creator=factset&amp;DYN_ARGS=TRUE&amp;DOC_NAME=FAT:FQL_AUDITING_CLIENT_TEMPLATE.FAT&amp;display_string=Audit&amp;VAR:KEY=IJYRKBMNSP&amp;VAR:QUERY=RkZfRU5UUlBSX1ZBTF9EQUlMWSg0MDU2MSwsLCwsJ0RJTCcpL0VDQV9NRUFOX1NBTEVTKDIwMTEsNDA1NjEp&amp;","WINDOW=FIRST_POPUP&amp;HEIGHT=450&amp;WIDTH=450&amp;START_MAXIMIZED=FALSE&amp;VAR:CALENDAR=US&amp;VAR:SYMBOL=BA&amp;VAR:INDEX=0"}</definedName>
    <definedName name="_417__FDSAUDITLINK__" hidden="1">{"fdsup://directions/FAT Viewer?action=UPDATE&amp;creator=factset&amp;DYN_ARGS=TRUE&amp;DOC_NAME=FAT:FQL_AUDITING_CLIENT_TEMPLATE.FAT&amp;display_string=Audit&amp;VAR:KEY=KPIRYLSTMZ&amp;VAR:QUERY=RkZfRU5UUlBSX1ZBTF9EQUlMWSg0MDU2MSwsLCwsJ0RJTCcpL0VDQV9NRUFOX1NBTEVTKDIwMTAsNDA1NjEp&amp;","WINDOW=FIRST_POPUP&amp;HEIGHT=450&amp;WIDTH=450&amp;START_MAXIMIZED=FALSE&amp;VAR:CALENDAR=US&amp;VAR:SYMBOL=BA&amp;VAR:INDEX=0"}</definedName>
    <definedName name="_418__FDSAUDITLINK__" hidden="1">{"fdsup://directions/FAT Viewer?action=UPDATE&amp;creator=factset&amp;DYN_ARGS=TRUE&amp;DOC_NAME=FAT:FQL_AUDITING_CLIENT_TEMPLATE.FAT&amp;display_string=Audit&amp;VAR:KEY=CNAXWHYHAH&amp;VAR:QUERY=RkZfRU5UUlBSX1ZBTF9EQUlMWSg0MDU2MSwsLCwsJ0RJTCcpL0VDQV9NRUFOX0VCSVQoMjAxMiw0MDU2MSk=&amp;","WINDOW=FIRST_POPUP&amp;HEIGHT=450&amp;WIDTH=450&amp;START_MAXIMIZED=FALSE&amp;VAR:CALENDAR=US&amp;VAR:SYMBOL=BA&amp;VAR:INDEX=0"}</definedName>
    <definedName name="_419__FDSAUDITLINK__" hidden="1">{"fdsup://directions/FAT Viewer?action=UPDATE&amp;creator=factset&amp;DYN_ARGS=TRUE&amp;DOC_NAME=FAT:FQL_AUDITING_CLIENT_TEMPLATE.FAT&amp;display_string=Audit&amp;VAR:KEY=OFKVEBQFGJ&amp;VAR:QUERY=RkZfRU5UUlBSX1ZBTF9EQUlMWSg0MDU2MSwsLCwsJ0RJTCcpL0VDQV9NRUFOX0VCSVQoMjAxMSw0MDU2MSk=&amp;","WINDOW=FIRST_POPUP&amp;HEIGHT=450&amp;WIDTH=450&amp;START_MAXIMIZED=FALSE&amp;VAR:CALENDAR=US&amp;VAR:SYMBOL=BA&amp;VAR:INDEX=0"}</definedName>
    <definedName name="_42__FDSAUDITLINK__" hidden="1">{"fdsup://directions/FAT Viewer?action=UPDATE&amp;creator=factset&amp;DYN_ARGS=TRUE&amp;DOC_NAME=FAT:FQL_AUDITING_CLIENT_TEMPLATE.FAT&amp;display_string=Audit&amp;VAR:KEY=WJSDMPCDGB&amp;VAR:QUERY=RkZfRU5UUlBSX1ZBTF9EQUlMWSg0MDcxMCwsLCwsJ0RJTCcp&amp;WINDOW=FIRST_POPUP&amp;HEIGHT=450&amp;WIDTH=","450&amp;START_MAXIMIZED=FALSE&amp;VAR:CALENDAR=US&amp;VAR:SYMBOL=GR&amp;VAR:INDEX=0"}</definedName>
    <definedName name="_420__FDSAUDITLINK__" hidden="1">{"fdsup://directions/FAT Viewer?action=UPDATE&amp;creator=factset&amp;DYN_ARGS=TRUE&amp;DOC_NAME=FAT:FQL_AUDITING_CLIENT_TEMPLATE.FAT&amp;display_string=Audit&amp;VAR:KEY=KJCLQRCPAD&amp;VAR:QUERY=RkZfRU5UUlBSX1ZBTF9EQUlMWSg0MDU2MSwsLCwsJ0RJTCcpL0VDQV9NRUFOX0VCSVQoMjAxMCw0MDU2MSk=&amp;","WINDOW=FIRST_POPUP&amp;HEIGHT=450&amp;WIDTH=450&amp;START_MAXIMIZED=FALSE&amp;VAR:CALENDAR=US&amp;VAR:SYMBOL=BA&amp;VAR:INDEX=0"}</definedName>
    <definedName name="_421__FDSAUDITLINK__" hidden="1">{"fdsup://directions/FAT Viewer?action=UPDATE&amp;creator=factset&amp;DYN_ARGS=TRUE&amp;DOC_NAME=FAT:FQL_AUDITING_CLIENT_TEMPLATE.FAT&amp;display_string=Audit&amp;VAR:KEY=ABAJGJOTKX&amp;VAR:QUERY=RkZfRU5UUlBSX1ZBTF9EQUlMWSg0MDU2MSwsLCwsJ0RJTCcpL0VDQV9NRUFOX0VCSVREQSgyMDEyLDQwNTYxK","Q==&amp;WINDOW=FIRST_POPUP&amp;HEIGHT=450&amp;WIDTH=450&amp;START_MAXIMIZED=FALSE&amp;VAR:CALENDAR=US&amp;VAR:SYMBOL=BA&amp;VAR:INDEX=0"}</definedName>
    <definedName name="_422__FDSAUDITLINK__" hidden="1">{"fdsup://directions/FAT Viewer?action=UPDATE&amp;creator=factset&amp;DYN_ARGS=TRUE&amp;DOC_NAME=FAT:FQL_AUDITING_CLIENT_TEMPLATE.FAT&amp;display_string=Audit&amp;VAR:KEY=CFKDCXYPEL&amp;VAR:QUERY=RkZfRU5UUlBSX1ZBTF9EQUlMWSg0MDU2MSwsLCwsJ0RJTCcpL0VDQV9NRUFOX0VCSVREQSgyMDExLDQwNTYxK","Q==&amp;WINDOW=FIRST_POPUP&amp;HEIGHT=450&amp;WIDTH=450&amp;START_MAXIMIZED=FALSE&amp;VAR:CALENDAR=US&amp;VAR:SYMBOL=BA&amp;VAR:INDEX=0"}</definedName>
    <definedName name="_423__FDSAUDITLINK__" hidden="1">{"fdsup://directions/FAT Viewer?action=UPDATE&amp;creator=factset&amp;DYN_ARGS=TRUE&amp;DOC_NAME=FAT:FQL_AUDITING_CLIENT_TEMPLATE.FAT&amp;display_string=Audit&amp;VAR:KEY=WTKLUBGVKR&amp;VAR:QUERY=RkZfRU5UUlBSX1ZBTF9EQUlMWSg0MDU2MSwsLCwsJ0RJTCcpL0VDQV9NRUFOX0VCSVREQSgyMDEwLDQwNTYxK","Q==&amp;WINDOW=FIRST_POPUP&amp;HEIGHT=450&amp;WIDTH=450&amp;START_MAXIMIZED=FALSE&amp;VAR:CALENDAR=US&amp;VAR:SYMBOL=BA&amp;VAR:INDEX=0"}</definedName>
    <definedName name="_43__FDSAUDITLINK__" hidden="1">{"fdsup://directions/FAT Viewer?action=UPDATE&amp;creator=factset&amp;DYN_ARGS=TRUE&amp;DOC_NAME=FAT:FQL_AUDITING_CLIENT_TEMPLATE.FAT&amp;display_string=Audit&amp;VAR:KEY=OZSHQVINUL&amp;VAR:QUERY=RkZfRU5UUlBSX1ZBTF9EQUlMWSg0MDcxMCwsLCwsJ0RJTCcp&amp;WINDOW=FIRST_POPUP&amp;HEIGHT=450&amp;WIDTH=","450&amp;START_MAXIMIZED=FALSE&amp;VAR:CALENDAR=US&amp;VAR:SYMBOL=COL&amp;VAR:INDEX=0"}</definedName>
    <definedName name="_44__FDSAUDITLINK__" hidden="1">{"fdsup://directions/FAT Viewer?action=UPDATE&amp;creator=factset&amp;DYN_ARGS=TRUE&amp;DOC_NAME=FAT:FQL_AUDITING_CLIENT_TEMPLATE.FAT&amp;display_string=Audit&amp;VAR:KEY=OPURKLWDYF&amp;VAR:QUERY=RkZfRU5UUlBSX1ZBTF9EQUlMWSg0MDcxMCwsLCwsJ0RJTCcp&amp;WINDOW=FIRST_POPUP&amp;HEIGHT=450&amp;WIDTH=","450&amp;START_MAXIMIZED=FALSE&amp;VAR:CALENDAR=US&amp;VAR:SYMBOL=TDG&amp;VAR:INDEX=0"}</definedName>
    <definedName name="_45__FDSAUDITLINK__" hidden="1">{"fdsup://directions/FAT Viewer?action=UPDATE&amp;creator=factset&amp;DYN_ARGS=TRUE&amp;DOC_NAME=FAT:FQL_AUDITING_CLIENT_TEMPLATE.FAT&amp;display_string=Audit&amp;VAR:KEY=ODMXGBIHWF&amp;VAR:QUERY=RkZfRU5UUlBSX1ZBTF9EQUlMWSg0MDcxMCwsLCwsJ0RJTCcp&amp;WINDOW=FIRST_POPUP&amp;HEIGHT=450&amp;WIDTH=","450&amp;START_MAXIMIZED=FALSE&amp;VAR:CALENDAR=US&amp;VAR:SYMBOL=BEAV&amp;VAR:INDEX=0"}</definedName>
    <definedName name="_46__FDSAUDITLINK__" hidden="1">{"fdsup://directions/FAT Viewer?action=UPDATE&amp;creator=factset&amp;DYN_ARGS=TRUE&amp;DOC_NAME=FAT:FQL_AUDITING_CLIENT_TEMPLATE.FAT&amp;display_string=Audit&amp;VAR:KEY=QVIRSHGNWF&amp;VAR:QUERY=RkZfRU5UUlBSX1ZBTF9EQUlMWSg0MDcxMCwsLCwsJ0RJTCcp&amp;WINDOW=FIRST_POPUP&amp;HEIGHT=450&amp;WIDTH=","450&amp;START_MAXIMIZED=FALSE&amp;VAR:CALENDAR=US&amp;VAR:SYMBOL=PCP&amp;VAR:INDEX=0"}</definedName>
    <definedName name="_47__FDSAUDITLINK__" hidden="1">{"fdsup://directions/FAT Viewer?action=UPDATE&amp;creator=factset&amp;DYN_ARGS=TRUE&amp;DOC_NAME=FAT:FQL_AUDITING_CLIENT_TEMPLATE.FAT&amp;display_string=Audit&amp;VAR:KEY=CPCTODUREJ&amp;VAR:QUERY=Q1NGX0RFQlQoQU5OLDQwNzEwKQ==&amp;WINDOW=FIRST_POPUP&amp;HEIGHT=450&amp;WIDTH=450&amp;START_MAXIMIZED=","FALSE&amp;VAR:CALENDAR=US&amp;VAR:SYMBOL=GR&amp;VAR:INDEX=0"}</definedName>
    <definedName name="_48__FDSAUDITLINK__" hidden="1">{"fdsup://directions/FAT Viewer?action=UPDATE&amp;creator=factset&amp;DYN_ARGS=TRUE&amp;DOC_NAME=FAT:FQL_AUDITING_CLIENT_TEMPLATE.FAT&amp;display_string=Audit&amp;VAR:KEY=CPCTODUREJ&amp;VAR:QUERY=Q1NGX0RFQlQoQU5OLDQwNzEwKQ==&amp;WINDOW=FIRST_POPUP&amp;HEIGHT=450&amp;WIDTH=450&amp;START_MAXIMIZED=","FALSE&amp;VAR:CALENDAR=US&amp;VAR:SYMBOL=GR&amp;VAR:INDEX=0"}</definedName>
    <definedName name="_49__FDSAUDITLINK__" hidden="1">{"fdsup://directions/FAT Viewer?action=UPDATE&amp;creator=factset&amp;DYN_ARGS=TRUE&amp;DOC_NAME=FAT:FQL_AUDITING_CLIENT_TEMPLATE.FAT&amp;display_string=Audit&amp;VAR:KEY=WJSDMPCDGB&amp;VAR:QUERY=RkZfRU5UUlBSX1ZBTF9EQUlMWSg0MDcxMCwsLCwsJ0RJTCcp&amp;WINDOW=FIRST_POPUP&amp;HEIGHT=450&amp;WIDTH=","450&amp;START_MAXIMIZED=FALSE&amp;VAR:CALENDAR=US&amp;VAR:SYMBOL=GR&amp;VAR:INDEX=0"}</definedName>
    <definedName name="_5__FDSAUDITLINK__" hidden="1">{"fdsup://directions/FAT Viewer?action=UPDATE&amp;creator=factset&amp;DYN_ARGS=TRUE&amp;DOC_NAME=FAT:FQL_AUDITING_CLIENT_TEMPLATE.FAT&amp;display_string=Audit&amp;VAR:KEY=MXMLAFQJIJ&amp;VAR:QUERY=RkZfRU5UUlBSX1ZBTF9EQUlMWSgwMS8yNi8yMDExLCwsLCwnRElMJykvRUNBX01FQU5fRUJJVCgyMDExLDAxL","zI2LzIwMTEp&amp;WINDOW=FIRST_POPUP&amp;HEIGHT=450&amp;WIDTH=450&amp;START_MAXIMIZED=FALSE&amp;VAR:CALENDAR=US&amp;VAR:SYMBOL=BA&amp;VAR:INDEX=0"}</definedName>
    <definedName name="_50__FDSAUDITLINK__" hidden="1">{"fdsup://directions/FAT Viewer?action=UPDATE&amp;creator=factset&amp;DYN_ARGS=TRUE&amp;DOC_NAME=FAT:FQL_AUDITING_CLIENT_TEMPLATE.FAT&amp;display_string=Audit&amp;VAR:KEY=OZSHQVINUL&amp;VAR:QUERY=RkZfRU5UUlBSX1ZBTF9EQUlMWSg0MDcxMCwsLCwsJ0RJTCcp&amp;WINDOW=FIRST_POPUP&amp;HEIGHT=450&amp;WIDTH=","450&amp;START_MAXIMIZED=FALSE&amp;VAR:CALENDAR=US&amp;VAR:SYMBOL=COL&amp;VAR:INDEX=0"}</definedName>
    <definedName name="_51__FDSAUDITLINK__" hidden="1">{"fdsup://directions/FAT Viewer?action=UPDATE&amp;creator=factset&amp;DYN_ARGS=TRUE&amp;DOC_NAME=FAT:FQL_AUDITING_CLIENT_TEMPLATE.FAT&amp;display_string=Audit&amp;VAR:KEY=OPURKLWDYF&amp;VAR:QUERY=RkZfRU5UUlBSX1ZBTF9EQUlMWSg0MDcxMCwsLCwsJ0RJTCcp&amp;WINDOW=FIRST_POPUP&amp;HEIGHT=450&amp;WIDTH=","450&amp;START_MAXIMIZED=FALSE&amp;VAR:CALENDAR=US&amp;VAR:SYMBOL=TDG&amp;VAR:INDEX=0"}</definedName>
    <definedName name="_52__FDSAUDITLINK__" hidden="1">{"fdsup://directions/FAT Viewer?action=UPDATE&amp;creator=factset&amp;DYN_ARGS=TRUE&amp;DOC_NAME=FAT:FQL_AUDITING_CLIENT_TEMPLATE.FAT&amp;display_string=Audit&amp;VAR:KEY=ODMXGBIHWF&amp;VAR:QUERY=RkZfRU5UUlBSX1ZBTF9EQUlMWSg0MDcxMCwsLCwsJ0RJTCcp&amp;WINDOW=FIRST_POPUP&amp;HEIGHT=450&amp;WIDTH=","450&amp;START_MAXIMIZED=FALSE&amp;VAR:CALENDAR=US&amp;VAR:SYMBOL=BEAV&amp;VAR:INDEX=0"}</definedName>
    <definedName name="_53__FDSAUDITLINK__" hidden="1">{"fdsup://directions/FAT Viewer?action=UPDATE&amp;creator=factset&amp;DYN_ARGS=TRUE&amp;DOC_NAME=FAT:FQL_AUDITING_CLIENT_TEMPLATE.FAT&amp;display_string=Audit&amp;VAR:KEY=QVIRSHGNWF&amp;VAR:QUERY=RkZfRU5UUlBSX1ZBTF9EQUlMWSg0MDcxMCwsLCwsJ0RJTCcp&amp;WINDOW=FIRST_POPUP&amp;HEIGHT=450&amp;WIDTH=","450&amp;START_MAXIMIZED=FALSE&amp;VAR:CALENDAR=US&amp;VAR:SYMBOL=PCP&amp;VAR:INDEX=0"}</definedName>
    <definedName name="_54__FDSAUDITLINK__" hidden="1">{"fdsup://directions/FAT Viewer?action=UPDATE&amp;creator=factset&amp;DYN_ARGS=TRUE&amp;DOC_NAME=FAT:FQL_AUDITING_CLIENT_TEMPLATE.FAT&amp;display_string=Audit&amp;VAR:KEY=CPCTODUREJ&amp;VAR:QUERY=Q1NGX0RFQlQoQU5OLDQwNzEwKQ==&amp;WINDOW=FIRST_POPUP&amp;HEIGHT=450&amp;WIDTH=450&amp;START_MAXIMIZED=","FALSE&amp;VAR:CALENDAR=US&amp;VAR:SYMBOL=GR&amp;VAR:INDEX=0"}</definedName>
    <definedName name="_55__FDSAUDITLINK__" hidden="1">{"fdsup://directions/FAT Viewer?action=UPDATE&amp;creator=factset&amp;DYN_ARGS=TRUE&amp;DOC_NAME=FAT:FQL_AUDITING_CLIENT_TEMPLATE.FAT&amp;display_string=Audit&amp;VAR:KEY=CPCTODUREJ&amp;VAR:QUERY=Q1NGX0RFQlQoQU5OLDQwNzEwKQ==&amp;WINDOW=FIRST_POPUP&amp;HEIGHT=450&amp;WIDTH=450&amp;START_MAXIMIZED=","FALSE&amp;VAR:CALENDAR=US&amp;VAR:SYMBOL=GR&amp;VAR:INDEX=0"}</definedName>
    <definedName name="_56__FDSAUDITLINK__" hidden="1">{"fdsup://directions/FAT Viewer?action=UPDATE&amp;creator=factset&amp;DYN_ARGS=TRUE&amp;DOC_NAME=FAT:FQL_AUDITING_CLIENT_TEMPLATE.FAT&amp;display_string=Audit&amp;VAR:KEY=WJSDMPCDGB&amp;VAR:QUERY=RkZfRU5UUlBSX1ZBTF9EQUlMWSg0MDcxMCwsLCwsJ0RJTCcp&amp;WINDOW=FIRST_POPUP&amp;HEIGHT=450&amp;WIDTH=","450&amp;START_MAXIMIZED=FALSE&amp;VAR:CALENDAR=US&amp;VAR:SYMBOL=GR&amp;VAR:INDEX=0"}</definedName>
    <definedName name="_57__FDSAUDITLINK__" hidden="1">{"fdsup://directions/FAT Viewer?action=UPDATE&amp;creator=factset&amp;DYN_ARGS=TRUE&amp;DOC_NAME=FAT:FQL_AUDITING_CLIENT_TEMPLATE.FAT&amp;display_string=Audit&amp;VAR:KEY=OZSHQVINUL&amp;VAR:QUERY=RkZfRU5UUlBSX1ZBTF9EQUlMWSg0MDcxMCwsLCwsJ0RJTCcp&amp;WINDOW=FIRST_POPUP&amp;HEIGHT=450&amp;WIDTH=","450&amp;START_MAXIMIZED=FALSE&amp;VAR:CALENDAR=US&amp;VAR:SYMBOL=COL&amp;VAR:INDEX=0"}</definedName>
    <definedName name="_58__FDSAUDITLINK__" hidden="1">{"fdsup://directions/FAT Viewer?action=UPDATE&amp;creator=factset&amp;DYN_ARGS=TRUE&amp;DOC_NAME=FAT:FQL_AUDITING_CLIENT_TEMPLATE.FAT&amp;display_string=Audit&amp;VAR:KEY=OPURKLWDYF&amp;VAR:QUERY=RkZfRU5UUlBSX1ZBTF9EQUlMWSg0MDcxMCwsLCwsJ0RJTCcp&amp;WINDOW=FIRST_POPUP&amp;HEIGHT=450&amp;WIDTH=","450&amp;START_MAXIMIZED=FALSE&amp;VAR:CALENDAR=US&amp;VAR:SYMBOL=TDG&amp;VAR:INDEX=0"}</definedName>
    <definedName name="_59__FDSAUDITLINK__" hidden="1">{"fdsup://directions/FAT Viewer?action=UPDATE&amp;creator=factset&amp;DYN_ARGS=TRUE&amp;DOC_NAME=FAT:FQL_AUDITING_CLIENT_TEMPLATE.FAT&amp;display_string=Audit&amp;VAR:KEY=ODMXGBIHWF&amp;VAR:QUERY=RkZfRU5UUlBSX1ZBTF9EQUlMWSg0MDcxMCwsLCwsJ0RJTCcp&amp;WINDOW=FIRST_POPUP&amp;HEIGHT=450&amp;WIDTH=","450&amp;START_MAXIMIZED=FALSE&amp;VAR:CALENDAR=US&amp;VAR:SYMBOL=BEAV&amp;VAR:INDEX=0"}</definedName>
    <definedName name="_6__FDSAUDITLINK__" hidden="1">{"fdsup://directions/FAT Viewer?action=UPDATE&amp;creator=factset&amp;DYN_ARGS=TRUE&amp;DOC_NAME=FAT:FQL_AUDITING_CLIENT_TEMPLATE.FAT&amp;display_string=Audit&amp;VAR:KEY=OPKNALAZKN&amp;VAR:QUERY=RkZfRU5UUlBSX1ZBTF9EQUlMWSgwMS8yNi8yMDExLCwsLCwnRElMJykvRUNBX01FQU5fRUJJVCgyMDEwLDAxL","zI2LzIwMTEp&amp;WINDOW=FIRST_POPUP&amp;HEIGHT=450&amp;WIDTH=450&amp;START_MAXIMIZED=FALSE&amp;VAR:CALENDAR=US&amp;VAR:SYMBOL=BA&amp;VAR:INDEX=0"}</definedName>
    <definedName name="_60__FDSAUDITLINK__" hidden="1">{"fdsup://directions/FAT Viewer?action=UPDATE&amp;creator=factset&amp;DYN_ARGS=TRUE&amp;DOC_NAME=FAT:FQL_AUDITING_CLIENT_TEMPLATE.FAT&amp;display_string=Audit&amp;VAR:KEY=QVIRSHGNWF&amp;VAR:QUERY=RkZfRU5UUlBSX1ZBTF9EQUlMWSg0MDcxMCwsLCwsJ0RJTCcp&amp;WINDOW=FIRST_POPUP&amp;HEIGHT=450&amp;WIDTH=","450&amp;START_MAXIMIZED=FALSE&amp;VAR:CALENDAR=US&amp;VAR:SYMBOL=PCP&amp;VAR:INDEX=0"}</definedName>
    <definedName name="_61__FDSAUDITLINK__" hidden="1">{"fdsup://directions/FAT Viewer?action=UPDATE&amp;creator=factset&amp;DYN_ARGS=TRUE&amp;DOC_NAME=FAT:FQL_AUDITING_CLIENT_TEMPLATE.FAT&amp;display_string=Audit&amp;VAR:KEY=CPCTODUREJ&amp;VAR:QUERY=Q1NGX0RFQlQoQU5OLDQwNzEwKQ==&amp;WINDOW=FIRST_POPUP&amp;HEIGHT=450&amp;WIDTH=450&amp;START_MAXIMIZED=","FALSE&amp;VAR:CALENDAR=US&amp;VAR:SYMBOL=GR&amp;VAR:INDEX=0"}</definedName>
    <definedName name="_62__FDSAUDITLINK__" hidden="1">{"fdsup://directions/FAT Viewer?action=UPDATE&amp;creator=factset&amp;DYN_ARGS=TRUE&amp;DOC_NAME=FAT:FQL_AUDITING_CLIENT_TEMPLATE.FAT&amp;display_string=Audit&amp;VAR:KEY=CPCTODUREJ&amp;VAR:QUERY=Q1NGX0RFQlQoQU5OLDQwNzEwKQ==&amp;WINDOW=FIRST_POPUP&amp;HEIGHT=450&amp;WIDTH=450&amp;START_MAXIMIZED=","FALSE&amp;VAR:CALENDAR=US&amp;VAR:SYMBOL=GR&amp;VAR:INDEX=0"}</definedName>
    <definedName name="_63__FDSAUDITLINK__" hidden="1">{"fdsup://directions/FAT Viewer?action=UPDATE&amp;creator=factset&amp;DYN_ARGS=TRUE&amp;DOC_NAME=FAT:FQL_AUDITING_CLIENT_TEMPLATE.FAT&amp;display_string=Audit&amp;VAR:KEY=WJSDMPCDGB&amp;VAR:QUERY=RkZfRU5UUlBSX1ZBTF9EQUlMWSg0MDcxMCwsLCwsJ0RJTCcp&amp;WINDOW=FIRST_POPUP&amp;HEIGHT=450&amp;WIDTH=","450&amp;START_MAXIMIZED=FALSE&amp;VAR:CALENDAR=US&amp;VAR:SYMBOL=GR&amp;VAR:INDEX=0"}</definedName>
    <definedName name="_64__FDSAUDITLINK__" hidden="1">{"fdsup://directions/FAT Viewer?action=UPDATE&amp;creator=factset&amp;DYN_ARGS=TRUE&amp;DOC_NAME=FAT:FQL_AUDITING_CLIENT_TEMPLATE.FAT&amp;display_string=Audit&amp;VAR:KEY=OZSHQVINUL&amp;VAR:QUERY=RkZfRU5UUlBSX1ZBTF9EQUlMWSg0MDcxMCwsLCwsJ0RJTCcp&amp;WINDOW=FIRST_POPUP&amp;HEIGHT=450&amp;WIDTH=","450&amp;START_MAXIMIZED=FALSE&amp;VAR:CALENDAR=US&amp;VAR:SYMBOL=COL&amp;VAR:INDEX=0"}</definedName>
    <definedName name="_65__FDSAUDITLINK__" hidden="1">{"fdsup://directions/FAT Viewer?action=UPDATE&amp;creator=factset&amp;DYN_ARGS=TRUE&amp;DOC_NAME=FAT:FQL_AUDITING_CLIENT_TEMPLATE.FAT&amp;display_string=Audit&amp;VAR:KEY=OPURKLWDYF&amp;VAR:QUERY=RkZfRU5UUlBSX1ZBTF9EQUlMWSg0MDcxMCwsLCwsJ0RJTCcp&amp;WINDOW=FIRST_POPUP&amp;HEIGHT=450&amp;WIDTH=","450&amp;START_MAXIMIZED=FALSE&amp;VAR:CALENDAR=US&amp;VAR:SYMBOL=TDG&amp;VAR:INDEX=0"}</definedName>
    <definedName name="_66__FDSAUDITLINK__" hidden="1">{"fdsup://directions/FAT Viewer?action=UPDATE&amp;creator=factset&amp;DYN_ARGS=TRUE&amp;DOC_NAME=FAT:FQL_AUDITING_CLIENT_TEMPLATE.FAT&amp;display_string=Audit&amp;VAR:KEY=ODMXGBIHWF&amp;VAR:QUERY=RkZfRU5UUlBSX1ZBTF9EQUlMWSg0MDcxMCwsLCwsJ0RJTCcp&amp;WINDOW=FIRST_POPUP&amp;HEIGHT=450&amp;WIDTH=","450&amp;START_MAXIMIZED=FALSE&amp;VAR:CALENDAR=US&amp;VAR:SYMBOL=BEAV&amp;VAR:INDEX=0"}</definedName>
    <definedName name="_67__FDSAUDITLINK__" hidden="1">{"fdsup://directions/FAT Viewer?action=UPDATE&amp;creator=factset&amp;DYN_ARGS=TRUE&amp;DOC_NAME=FAT:FQL_AUDITING_CLIENT_TEMPLATE.FAT&amp;display_string=Audit&amp;VAR:KEY=QVIRSHGNWF&amp;VAR:QUERY=RkZfRU5UUlBSX1ZBTF9EQUlMWSg0MDcxMCwsLCwsJ0RJTCcp&amp;WINDOW=FIRST_POPUP&amp;HEIGHT=450&amp;WIDTH=","450&amp;START_MAXIMIZED=FALSE&amp;VAR:CALENDAR=US&amp;VAR:SYMBOL=PCP&amp;VAR:INDEX=0"}</definedName>
    <definedName name="_68__FDSAUDITLINK__" hidden="1">{"fdsup://directions/FAT Viewer?action=UPDATE&amp;creator=factset&amp;DYN_ARGS=TRUE&amp;DOC_NAME=FAT:FQL_AUDITING_CLIENT_TEMPLATE.FAT&amp;display_string=Audit&amp;VAR:KEY=CPCTODUREJ&amp;VAR:QUERY=Q1NGX0RFQlQoQU5OLDQwNzEwKQ==&amp;WINDOW=FIRST_POPUP&amp;HEIGHT=450&amp;WIDTH=450&amp;START_MAXIMIZED=","FALSE&amp;VAR:CALENDAR=US&amp;VAR:SYMBOL=GR&amp;VAR:INDEX=0"}</definedName>
    <definedName name="_69__FDSAUDITLINK__" hidden="1">{"fdsup://directions/FAT Viewer?action=UPDATE&amp;creator=factset&amp;DYN_ARGS=TRUE&amp;DOC_NAME=FAT:FQL_AUDITING_CLIENT_TEMPLATE.FAT&amp;display_string=Audit&amp;VAR:KEY=CPCTODUREJ&amp;VAR:QUERY=Q1NGX0RFQlQoQU5OLDQwNzEwKQ==&amp;WINDOW=FIRST_POPUP&amp;HEIGHT=450&amp;WIDTH=450&amp;START_MAXIMIZED=","FALSE&amp;VAR:CALENDAR=US&amp;VAR:SYMBOL=GR&amp;VAR:INDEX=0"}</definedName>
    <definedName name="_7__FDSAUDITLINK__" hidden="1">{"fdsup://directions/FAT Viewer?action=UPDATE&amp;creator=factset&amp;DYN_ARGS=TRUE&amp;DOC_NAME=FAT:FQL_AUDITING_CLIENT_TEMPLATE.FAT&amp;display_string=Audit&amp;VAR:KEY=OLIZWXMBWN&amp;VAR:QUERY=RkZfRU5UUlBSX1ZBTF9EQUlMWSgwMS8yNi8yMDExLCwsLCwnRElMJykvRUNBX01FQU5fRUJJVERBKDIwMTIsM","DEvMjYvMjAxMSk=&amp;WINDOW=FIRST_POPUP&amp;HEIGHT=450&amp;WIDTH=450&amp;START_MAXIMIZED=FALSE&amp;VAR:CALENDAR=US&amp;VAR:SYMBOL=BA&amp;VAR:INDEX=0"}</definedName>
    <definedName name="_70__FDSAUDITLINK__" hidden="1">{"fdsup://directions/FAT Viewer?action=UPDATE&amp;creator=factset&amp;DYN_ARGS=TRUE&amp;DOC_NAME=FAT:FQL_AUDITING_CLIENT_TEMPLATE.FAT&amp;display_string=Audit&amp;VAR:KEY=WJSDMPCDGB&amp;VAR:QUERY=RkZfRU5UUlBSX1ZBTF9EQUlMWSg0MDcxMCwsLCwsJ0RJTCcp&amp;WINDOW=FIRST_POPUP&amp;HEIGHT=450&amp;WIDTH=","450&amp;START_MAXIMIZED=FALSE&amp;VAR:CALENDAR=US&amp;VAR:SYMBOL=GR&amp;VAR:INDEX=0"}</definedName>
    <definedName name="_71__FDSAUDITLINK__" hidden="1">{"fdsup://directions/FAT Viewer?action=UPDATE&amp;creator=factset&amp;DYN_ARGS=TRUE&amp;DOC_NAME=FAT:FQL_AUDITING_CLIENT_TEMPLATE.FAT&amp;display_string=Audit&amp;VAR:KEY=OZSHQVINUL&amp;VAR:QUERY=RkZfRU5UUlBSX1ZBTF9EQUlMWSg0MDcxMCwsLCwsJ0RJTCcp&amp;WINDOW=FIRST_POPUP&amp;HEIGHT=450&amp;WIDTH=","450&amp;START_MAXIMIZED=FALSE&amp;VAR:CALENDAR=US&amp;VAR:SYMBOL=COL&amp;VAR:INDEX=0"}</definedName>
    <definedName name="_72__FDSAUDITLINK__" hidden="1">{"fdsup://directions/FAT Viewer?action=UPDATE&amp;creator=factset&amp;DYN_ARGS=TRUE&amp;DOC_NAME=FAT:FQL_AUDITING_CLIENT_TEMPLATE.FAT&amp;display_string=Audit&amp;VAR:KEY=OPURKLWDYF&amp;VAR:QUERY=RkZfRU5UUlBSX1ZBTF9EQUlMWSg0MDcxMCwsLCwsJ0RJTCcp&amp;WINDOW=FIRST_POPUP&amp;HEIGHT=450&amp;WIDTH=","450&amp;START_MAXIMIZED=FALSE&amp;VAR:CALENDAR=US&amp;VAR:SYMBOL=TDG&amp;VAR:INDEX=0"}</definedName>
    <definedName name="_73__FDSAUDITLINK__" hidden="1">{"fdsup://directions/FAT Viewer?action=UPDATE&amp;creator=factset&amp;DYN_ARGS=TRUE&amp;DOC_NAME=FAT:FQL_AUDITING_CLIENT_TEMPLATE.FAT&amp;display_string=Audit&amp;VAR:KEY=ODMXGBIHWF&amp;VAR:QUERY=RkZfRU5UUlBSX1ZBTF9EQUlMWSg0MDcxMCwsLCwsJ0RJTCcp&amp;WINDOW=FIRST_POPUP&amp;HEIGHT=450&amp;WIDTH=","450&amp;START_MAXIMIZED=FALSE&amp;VAR:CALENDAR=US&amp;VAR:SYMBOL=BEAV&amp;VAR:INDEX=0"}</definedName>
    <definedName name="_74__FDSAUDITLINK__" hidden="1">{"fdsup://directions/FAT Viewer?action=UPDATE&amp;creator=factset&amp;DYN_ARGS=TRUE&amp;DOC_NAME=FAT:FQL_AUDITING_CLIENT_TEMPLATE.FAT&amp;display_string=Audit&amp;VAR:KEY=QVIRSHGNWF&amp;VAR:QUERY=RkZfRU5UUlBSX1ZBTF9EQUlMWSg0MDcxMCwsLCwsJ0RJTCcp&amp;WINDOW=FIRST_POPUP&amp;HEIGHT=450&amp;WIDTH=","450&amp;START_MAXIMIZED=FALSE&amp;VAR:CALENDAR=US&amp;VAR:SYMBOL=PCP&amp;VAR:INDEX=0"}</definedName>
    <definedName name="_75__FDSAUDITLINK__" hidden="1">{"fdsup://directions/FAT Viewer?action=UPDATE&amp;creator=factset&amp;DYN_ARGS=TRUE&amp;DOC_NAME=FAT:FQL_AUDITING_CLIENT_TEMPLATE.FAT&amp;display_string=Audit&amp;VAR:KEY=CPCTODUREJ&amp;VAR:QUERY=Q1NGX0RFQlQoQU5OLDQwNzEwKQ==&amp;WINDOW=FIRST_POPUP&amp;HEIGHT=450&amp;WIDTH=450&amp;START_MAXIMIZED=","FALSE&amp;VAR:CALENDAR=US&amp;VAR:SYMBOL=GR&amp;VAR:INDEX=0"}</definedName>
    <definedName name="_76__FDSAUDITLINK__" hidden="1">{"fdsup://directions/FAT Viewer?action=UPDATE&amp;creator=factset&amp;DYN_ARGS=TRUE&amp;DOC_NAME=FAT:FQL_AUDITING_CLIENT_TEMPLATE.FAT&amp;display_string=Audit&amp;VAR:KEY=CPCTODUREJ&amp;VAR:QUERY=Q1NGX0RFQlQoQU5OLDQwNzEwKQ==&amp;WINDOW=FIRST_POPUP&amp;HEIGHT=450&amp;WIDTH=450&amp;START_MAXIMIZED=","FALSE&amp;VAR:CALENDAR=US&amp;VAR:SYMBOL=GR&amp;VAR:INDEX=0"}</definedName>
    <definedName name="_77__FDSAUDITLINK__" hidden="1">{"fdsup://directions/FAT Viewer?action=UPDATE&amp;creator=factset&amp;DYN_ARGS=TRUE&amp;DOC_NAME=FAT:FQL_AUDITING_CLIENT_TEMPLATE.FAT&amp;display_string=Audit&amp;VAR:KEY=WJSDMPCDGB&amp;VAR:QUERY=RkZfRU5UUlBSX1ZBTF9EQUlMWSg0MDcxMCwsLCwsJ0RJTCcp&amp;WINDOW=FIRST_POPUP&amp;HEIGHT=450&amp;WIDTH=","450&amp;START_MAXIMIZED=FALSE&amp;VAR:CALENDAR=US&amp;VAR:SYMBOL=GR&amp;VAR:INDEX=0"}</definedName>
    <definedName name="_78__FDSAUDITLINK__" hidden="1">{"fdsup://directions/FAT Viewer?action=UPDATE&amp;creator=factset&amp;DYN_ARGS=TRUE&amp;DOC_NAME=FAT:FQL_AUDITING_CLIENT_TEMPLATE.FAT&amp;display_string=Audit&amp;VAR:KEY=OZSHQVINUL&amp;VAR:QUERY=RkZfRU5UUlBSX1ZBTF9EQUlMWSg0MDcxMCwsLCwsJ0RJTCcp&amp;WINDOW=FIRST_POPUP&amp;HEIGHT=450&amp;WIDTH=","450&amp;START_MAXIMIZED=FALSE&amp;VAR:CALENDAR=US&amp;VAR:SYMBOL=COL&amp;VAR:INDEX=0"}</definedName>
    <definedName name="_79__FDSAUDITLINK__" hidden="1">{"fdsup://directions/FAT Viewer?action=UPDATE&amp;creator=factset&amp;DYN_ARGS=TRUE&amp;DOC_NAME=FAT:FQL_AUDITING_CLIENT_TEMPLATE.FAT&amp;display_string=Audit&amp;VAR:KEY=OPURKLWDYF&amp;VAR:QUERY=RkZfRU5UUlBSX1ZBTF9EQUlMWSg0MDcxMCwsLCwsJ0RJTCcp&amp;WINDOW=FIRST_POPUP&amp;HEIGHT=450&amp;WIDTH=","450&amp;START_MAXIMIZED=FALSE&amp;VAR:CALENDAR=US&amp;VAR:SYMBOL=TDG&amp;VAR:INDEX=0"}</definedName>
    <definedName name="_8__FDSAUDITLINK__" hidden="1">{"fdsup://directions/FAT Viewer?action=UPDATE&amp;creator=factset&amp;DYN_ARGS=TRUE&amp;DOC_NAME=FAT:FQL_AUDITING_CLIENT_TEMPLATE.FAT&amp;display_string=Audit&amp;VAR:KEY=OZWXYPSTOB&amp;VAR:QUERY=RkZfRU5UUlBSX1ZBTF9EQUlMWSgwMS8yNi8yMDExLCwsLCwnRElMJykvRUNBX01FQU5fRUJJVERBKDIwMTEsM","DEvMjYvMjAxMSk=&amp;WINDOW=FIRST_POPUP&amp;HEIGHT=450&amp;WIDTH=450&amp;START_MAXIMIZED=FALSE&amp;VAR:CALENDAR=US&amp;VAR:SYMBOL=BA&amp;VAR:INDEX=0"}</definedName>
    <definedName name="_80__FDSAUDITLINK__" hidden="1">{"fdsup://directions/FAT Viewer?action=UPDATE&amp;creator=factset&amp;DYN_ARGS=TRUE&amp;DOC_NAME=FAT:FQL_AUDITING_CLIENT_TEMPLATE.FAT&amp;display_string=Audit&amp;VAR:KEY=ODMXGBIHWF&amp;VAR:QUERY=RkZfRU5UUlBSX1ZBTF9EQUlMWSg0MDcxMCwsLCwsJ0RJTCcp&amp;WINDOW=FIRST_POPUP&amp;HEIGHT=450&amp;WIDTH=","450&amp;START_MAXIMIZED=FALSE&amp;VAR:CALENDAR=US&amp;VAR:SYMBOL=BEAV&amp;VAR:INDEX=0"}</definedName>
    <definedName name="_81__FDSAUDITLINK__" hidden="1">{"fdsup://directions/FAT Viewer?action=UPDATE&amp;creator=factset&amp;DYN_ARGS=TRUE&amp;DOC_NAME=FAT:FQL_AUDITING_CLIENT_TEMPLATE.FAT&amp;display_string=Audit&amp;VAR:KEY=QVIRSHGNWF&amp;VAR:QUERY=RkZfRU5UUlBSX1ZBTF9EQUlMWSg0MDcxMCwsLCwsJ0RJTCcp&amp;WINDOW=FIRST_POPUP&amp;HEIGHT=450&amp;WIDTH=","450&amp;START_MAXIMIZED=FALSE&amp;VAR:CALENDAR=US&amp;VAR:SYMBOL=PCP&amp;VAR:INDEX=0"}</definedName>
    <definedName name="_82__FDSAUDITLINK__" hidden="1">{"fdsup://directions/FAT Viewer?action=UPDATE&amp;creator=factset&amp;DYN_ARGS=TRUE&amp;DOC_NAME=FAT:FQL_AUDITING_CLIENT_TEMPLATE.FAT&amp;display_string=Audit&amp;VAR:KEY=CPCTODUREJ&amp;VAR:QUERY=Q1NGX0RFQlQoQU5OLDQwNzEwKQ==&amp;WINDOW=FIRST_POPUP&amp;HEIGHT=450&amp;WIDTH=450&amp;START_MAXIMIZED=","FALSE&amp;VAR:CALENDAR=US&amp;VAR:SYMBOL=GR&amp;VAR:INDEX=0"}</definedName>
    <definedName name="_83__FDSAUDITLINK__" hidden="1">{"fdsup://directions/FAT Viewer?action=UPDATE&amp;creator=factset&amp;DYN_ARGS=TRUE&amp;DOC_NAME=FAT:FQL_AUDITING_CLIENT_TEMPLATE.FAT&amp;display_string=Audit&amp;VAR:KEY=CPCTODUREJ&amp;VAR:QUERY=Q1NGX0RFQlQoQU5OLDQwNzEwKQ==&amp;WINDOW=FIRST_POPUP&amp;HEIGHT=450&amp;WIDTH=450&amp;START_MAXIMIZED=","FALSE&amp;VAR:CALENDAR=US&amp;VAR:SYMBOL=GR&amp;VAR:INDEX=0"}</definedName>
    <definedName name="_84__FDSAUDITLINK__" hidden="1">{"fdsup://directions/FAT Viewer?action=UPDATE&amp;creator=factset&amp;DYN_ARGS=TRUE&amp;DOC_NAME=FAT:FQL_AUDITING_CLIENT_TEMPLATE.FAT&amp;display_string=Audit&amp;VAR:KEY=WJSDMPCDGB&amp;VAR:QUERY=RkZfRU5UUlBSX1ZBTF9EQUlMWSg0MDcxMCwsLCwsJ0RJTCcp&amp;WINDOW=FIRST_POPUP&amp;HEIGHT=450&amp;WIDTH=","450&amp;START_MAXIMIZED=FALSE&amp;VAR:CALENDAR=US&amp;VAR:SYMBOL=GR&amp;VAR:INDEX=0"}</definedName>
    <definedName name="_85__FDSAUDITLINK__" hidden="1">{"fdsup://directions/FAT Viewer?action=UPDATE&amp;creator=factset&amp;DYN_ARGS=TRUE&amp;DOC_NAME=FAT:FQL_AUDITING_CLIENT_TEMPLATE.FAT&amp;display_string=Audit&amp;VAR:KEY=OZSHQVINUL&amp;VAR:QUERY=RkZfRU5UUlBSX1ZBTF9EQUlMWSg0MDcxMCwsLCwsJ0RJTCcp&amp;WINDOW=FIRST_POPUP&amp;HEIGHT=450&amp;WIDTH=","450&amp;START_MAXIMIZED=FALSE&amp;VAR:CALENDAR=US&amp;VAR:SYMBOL=COL&amp;VAR:INDEX=0"}</definedName>
    <definedName name="_86__FDSAUDITLINK__" hidden="1">{"fdsup://directions/FAT Viewer?action=UPDATE&amp;creator=factset&amp;DYN_ARGS=TRUE&amp;DOC_NAME=FAT:FQL_AUDITING_CLIENT_TEMPLATE.FAT&amp;display_string=Audit&amp;VAR:KEY=OPURKLWDYF&amp;VAR:QUERY=RkZfRU5UUlBSX1ZBTF9EQUlMWSg0MDcxMCwsLCwsJ0RJTCcp&amp;WINDOW=FIRST_POPUP&amp;HEIGHT=450&amp;WIDTH=","450&amp;START_MAXIMIZED=FALSE&amp;VAR:CALENDAR=US&amp;VAR:SYMBOL=TDG&amp;VAR:INDEX=0"}</definedName>
    <definedName name="_87__FDSAUDITLINK__" hidden="1">{"fdsup://directions/FAT Viewer?action=UPDATE&amp;creator=factset&amp;DYN_ARGS=TRUE&amp;DOC_NAME=FAT:FQL_AUDITING_CLIENT_TEMPLATE.FAT&amp;display_string=Audit&amp;VAR:KEY=ODMXGBIHWF&amp;VAR:QUERY=RkZfRU5UUlBSX1ZBTF9EQUlMWSg0MDcxMCwsLCwsJ0RJTCcp&amp;WINDOW=FIRST_POPUP&amp;HEIGHT=450&amp;WIDTH=","450&amp;START_MAXIMIZED=FALSE&amp;VAR:CALENDAR=US&amp;VAR:SYMBOL=BEAV&amp;VAR:INDEX=0"}</definedName>
    <definedName name="_88__FDSAUDITLINK__" hidden="1">{"fdsup://directions/FAT Viewer?action=UPDATE&amp;creator=factset&amp;DYN_ARGS=TRUE&amp;DOC_NAME=FAT:FQL_AUDITING_CLIENT_TEMPLATE.FAT&amp;display_string=Audit&amp;VAR:KEY=QVIRSHGNWF&amp;VAR:QUERY=RkZfRU5UUlBSX1ZBTF9EQUlMWSg0MDcxMCwsLCwsJ0RJTCcp&amp;WINDOW=FIRST_POPUP&amp;HEIGHT=450&amp;WIDTH=","450&amp;START_MAXIMIZED=FALSE&amp;VAR:CALENDAR=US&amp;VAR:SYMBOL=PCP&amp;VAR:INDEX=0"}</definedName>
    <definedName name="_89__FDSAUDITLINK__" hidden="1">{"fdsup://directions/FAT Viewer?action=UPDATE&amp;creator=factset&amp;DYN_ARGS=TRUE&amp;DOC_NAME=FAT:FQL_AUDITING_CLIENT_TEMPLATE.FAT&amp;display_string=Audit&amp;VAR:KEY=CPCTODUREJ&amp;VAR:QUERY=Q1NGX0RFQlQoQU5OLDQwNzEwKQ==&amp;WINDOW=FIRST_POPUP&amp;HEIGHT=450&amp;WIDTH=450&amp;START_MAXIMIZED=","FALSE&amp;VAR:CALENDAR=US&amp;VAR:SYMBOL=GR&amp;VAR:INDEX=0"}</definedName>
    <definedName name="_9__123Graph_Aｸﾞﾗﾌ_1" hidden="1">[1]ｾｸﾞﾒﾝﾄ!$E$164:$I$164</definedName>
    <definedName name="_9__FDSAUDITLINK__" hidden="1">{"fdsup://directions/FAT Viewer?action=UPDATE&amp;creator=factset&amp;DYN_ARGS=TRUE&amp;DOC_NAME=FAT:FQL_AUDITING_CLIENT_TEMPLATE.FAT&amp;display_string=Audit&amp;VAR:KEY=YBKFCVSNIX&amp;VAR:QUERY=RkZfRU5UUlBSX1ZBTF9EQUlMWSgwMS8yNi8yMDExLCwsLCwnRElMJykvRUNBX01FQU5fRUJJVERBKDIwMTAsM","DEvMjYvMjAxMSk=&amp;WINDOW=FIRST_POPUP&amp;HEIGHT=450&amp;WIDTH=450&amp;START_MAXIMIZED=FALSE&amp;VAR:CALENDAR=US&amp;VAR:SYMBOL=BA&amp;VAR:INDEX=0"}</definedName>
    <definedName name="_90__FDSAUDITLINK__" hidden="1">{"fdsup://directions/FAT Viewer?action=UPDATE&amp;creator=factset&amp;DYN_ARGS=TRUE&amp;DOC_NAME=FAT:FQL_AUDITING_CLIENT_TEMPLATE.FAT&amp;display_string=Audit&amp;VAR:KEY=CPCTODUREJ&amp;VAR:QUERY=Q1NGX0RFQlQoQU5OLDQwNzEwKQ==&amp;WINDOW=FIRST_POPUP&amp;HEIGHT=450&amp;WIDTH=450&amp;START_MAXIMIZED=","FALSE&amp;VAR:CALENDAR=US&amp;VAR:SYMBOL=GR&amp;VAR:INDEX=0"}</definedName>
    <definedName name="_91__FDSAUDITLINK__" hidden="1">{"fdsup://directions/FAT Viewer?action=UPDATE&amp;creator=factset&amp;DYN_ARGS=TRUE&amp;DOC_NAME=FAT:FQL_AUDITING_CLIENT_TEMPLATE.FAT&amp;display_string=Audit&amp;VAR:KEY=WJSDMPCDGB&amp;VAR:QUERY=RkZfRU5UUlBSX1ZBTF9EQUlMWSg0MDcxMCwsLCwsJ0RJTCcp&amp;WINDOW=FIRST_POPUP&amp;HEIGHT=450&amp;WIDTH=","450&amp;START_MAXIMIZED=FALSE&amp;VAR:CALENDAR=US&amp;VAR:SYMBOL=GR&amp;VAR:INDEX=0"}</definedName>
    <definedName name="_92__FDSAUDITLINK__" hidden="1">{"fdsup://directions/FAT Viewer?action=UPDATE&amp;creator=factset&amp;DYN_ARGS=TRUE&amp;DOC_NAME=FAT:FQL_AUDITING_CLIENT_TEMPLATE.FAT&amp;display_string=Audit&amp;VAR:KEY=OZSHQVINUL&amp;VAR:QUERY=RkZfRU5UUlBSX1ZBTF9EQUlMWSg0MDcxMCwsLCwsJ0RJTCcp&amp;WINDOW=FIRST_POPUP&amp;HEIGHT=450&amp;WIDTH=","450&amp;START_MAXIMIZED=FALSE&amp;VAR:CALENDAR=US&amp;VAR:SYMBOL=COL&amp;VAR:INDEX=0"}</definedName>
    <definedName name="_93__FDSAUDITLINK__" hidden="1">{"fdsup://directions/FAT Viewer?action=UPDATE&amp;creator=factset&amp;DYN_ARGS=TRUE&amp;DOC_NAME=FAT:FQL_AUDITING_CLIENT_TEMPLATE.FAT&amp;display_string=Audit&amp;VAR:KEY=OPURKLWDYF&amp;VAR:QUERY=RkZfRU5UUlBSX1ZBTF9EQUlMWSg0MDcxMCwsLCwsJ0RJTCcp&amp;WINDOW=FIRST_POPUP&amp;HEIGHT=450&amp;WIDTH=","450&amp;START_MAXIMIZED=FALSE&amp;VAR:CALENDAR=US&amp;VAR:SYMBOL=TDG&amp;VAR:INDEX=0"}</definedName>
    <definedName name="_94__FDSAUDITLINK__" hidden="1">{"fdsup://directions/FAT Viewer?action=UPDATE&amp;creator=factset&amp;DYN_ARGS=TRUE&amp;DOC_NAME=FAT:FQL_AUDITING_CLIENT_TEMPLATE.FAT&amp;display_string=Audit&amp;VAR:KEY=ODMXGBIHWF&amp;VAR:QUERY=RkZfRU5UUlBSX1ZBTF9EQUlMWSg0MDcxMCwsLCwsJ0RJTCcp&amp;WINDOW=FIRST_POPUP&amp;HEIGHT=450&amp;WIDTH=","450&amp;START_MAXIMIZED=FALSE&amp;VAR:CALENDAR=US&amp;VAR:SYMBOL=BEAV&amp;VAR:INDEX=0"}</definedName>
    <definedName name="_95__FDSAUDITLINK__" hidden="1">{"fdsup://directions/FAT Viewer?action=UPDATE&amp;creator=factset&amp;DYN_ARGS=TRUE&amp;DOC_NAME=FAT:FQL_AUDITING_CLIENT_TEMPLATE.FAT&amp;display_string=Audit&amp;VAR:KEY=QVIRSHGNWF&amp;VAR:QUERY=RkZfRU5UUlBSX1ZBTF9EQUlMWSg0MDcxMCwsLCwsJ0RJTCcp&amp;WINDOW=FIRST_POPUP&amp;HEIGHT=450&amp;WIDTH=","450&amp;START_MAXIMIZED=FALSE&amp;VAR:CALENDAR=US&amp;VAR:SYMBOL=PCP&amp;VAR:INDEX=0"}</definedName>
    <definedName name="_96__FDSAUDITLINK__" hidden="1">{"fdsup://directions/FAT Viewer?action=UPDATE&amp;creator=factset&amp;DYN_ARGS=TRUE&amp;DOC_NAME=FAT:FQL_AUDITING_CLIENT_TEMPLATE.FAT&amp;display_string=Audit&amp;VAR:KEY=CPCTODUREJ&amp;VAR:QUERY=Q1NGX0RFQlQoQU5OLDQwNzEwKQ==&amp;WINDOW=FIRST_POPUP&amp;HEIGHT=450&amp;WIDTH=450&amp;START_MAXIMIZED=","FALSE&amp;VAR:CALENDAR=US&amp;VAR:SYMBOL=GR&amp;VAR:INDEX=0"}</definedName>
    <definedName name="_97__FDSAUDITLINK__" hidden="1">{"fdsup://directions/FAT Viewer?action=UPDATE&amp;creator=factset&amp;DYN_ARGS=TRUE&amp;DOC_NAME=FAT:FQL_AUDITING_CLIENT_TEMPLATE.FAT&amp;display_string=Audit&amp;VAR:KEY=CPCTODUREJ&amp;VAR:QUERY=Q1NGX0RFQlQoQU5OLDQwNzEwKQ==&amp;WINDOW=FIRST_POPUP&amp;HEIGHT=450&amp;WIDTH=450&amp;START_MAXIMIZED=","FALSE&amp;VAR:CALENDAR=US&amp;VAR:SYMBOL=GR&amp;VAR:INDEX=0"}</definedName>
    <definedName name="_98__FDSAUDITLINK__" hidden="1">{"fdsup://directions/FAT Viewer?action=UPDATE&amp;creator=factset&amp;DYN_ARGS=TRUE&amp;DOC_NAME=FAT:FQL_AUDITING_CLIENT_TEMPLATE.FAT&amp;display_string=Audit&amp;VAR:KEY=WJSDMPCDGB&amp;VAR:QUERY=RkZfRU5UUlBSX1ZBTF9EQUlMWSg0MDcxMCwsLCwsJ0RJTCcp&amp;WINDOW=FIRST_POPUP&amp;HEIGHT=450&amp;WIDTH=","450&amp;START_MAXIMIZED=FALSE&amp;VAR:CALENDAR=US&amp;VAR:SYMBOL=GR&amp;VAR:INDEX=0"}</definedName>
    <definedName name="_99__FDSAUDITLINK__" hidden="1">{"fdsup://directions/FAT Viewer?action=UPDATE&amp;creator=factset&amp;DYN_ARGS=TRUE&amp;DOC_NAME=FAT:FQL_AUDITING_CLIENT_TEMPLATE.FAT&amp;display_string=Audit&amp;VAR:KEY=OZSHQVINUL&amp;VAR:QUERY=RkZfRU5UUlBSX1ZBTF9EQUlMWSg0MDcxMCwsLCwsJ0RJTCcp&amp;WINDOW=FIRST_POPUP&amp;HEIGHT=450&amp;WIDTH=","450&amp;START_MAXIMIZED=FALSE&amp;VAR:CALENDAR=US&amp;VAR:SYMBOL=COL&amp;VAR:INDEX=0"}</definedName>
    <definedName name="_bdm.02E29E7B1053433EA3CCCBE4E5141596.edm" hidden="1">[3]Sheet1!$A:$IV</definedName>
    <definedName name="_bdm.05C76620D0F942BD91694A7441F1F5C8.edm" hidden="1" xml:space="preserve">                                    [4]Charts!$A:$IV</definedName>
    <definedName name="_bdm.078EA78924E84E8D85C00E79DB46B34D.edm" hidden="1">'[5]Monthly Note'!$A:$IV</definedName>
    <definedName name="_bdm.0B3D3E997120452FBC2D66FEB853AEB5.edm" hidden="1">'[6]Old Format'!$A:$IV</definedName>
    <definedName name="_bdm.0CF6476ABCD740CBBD526EFD70553332.edm" hidden="1">'[7]BJs charts'!$A:$IV</definedName>
    <definedName name="_bdm.0FE4CCE013E445E6BACF2B2139C3125F.edm" hidden="1" xml:space="preserve">                                    [4]Charts!$A:$IV</definedName>
    <definedName name="_bdm.11EB72ACE3374B1CB252FDD683429D59.edm" hidden="1">[8]C1500!$A:$IV</definedName>
    <definedName name="_bdm.14505C7EA9BF421980DFF73F48458FA0.edm" hidden="1">[9]Scratch!$A:$IV</definedName>
    <definedName name="_bdm.147D945281854BAD92540BF0916FBE8E.edm" hidden="1">'[6]Deliveries LCA &amp; RJ'!$A:$IV</definedName>
    <definedName name="_bdm.157183DAF1E84906A95424A6EC9D85A4.edm" hidden="1">[9]FCF!$A:$IV</definedName>
    <definedName name="_bdm.15E035C6D252441EBE1CA7246B35B9BF.edm" hidden="1" xml:space="preserve">                                    [4]Charts!$A:$IV</definedName>
    <definedName name="_bdm.1E1A1F0BCC22433CB91E014ED273A01A.edm" hidden="1">'[10]F35 Analysis'!$A:$IV</definedName>
    <definedName name="_bdm.239F81C4FCB14E8E837150F85A952995.edm" hidden="1" xml:space="preserve">              [4]FCF!$A:$IV</definedName>
    <definedName name="_bdm.266670196A064D96BEB637495C0C3E7D.edm" hidden="1">'[6]Backlog v Deliveries'!$A:$IV</definedName>
    <definedName name="_bdm.27FA7C534A97476B8A53B3D84C38F75B.edm" hidden="1">'[5]Boeing Del Schedule- Reported'!$A:$IV</definedName>
    <definedName name="_bdm.2D0960B0D04847B19CCA5C16D808F1D2.edm" hidden="1" xml:space="preserve">              [4]FCF!$A:$IV</definedName>
    <definedName name="_bdm.2E5B8185B9C24169A0E58561C92910AD.edm" hidden="1" xml:space="preserve">        [4]Sensitivity!$A:$IV</definedName>
    <definedName name="_bdm.2F3E2D1A137043FD84CADCE9EA8304AC.edm" hidden="1" xml:space="preserve">              [4]FCF!$A:$IV</definedName>
    <definedName name="_bdm.308A2BC54F3348DD849DDB2142BA41B4.edm" hidden="1">'[5]787 vs A350 Orders'!$A:$IV</definedName>
    <definedName name="_bdm.343E216D5B414568A14BCBF2B2272126.edm" hidden="1">'[6]Airbus Monthly'!$A:$IV</definedName>
    <definedName name="_bdm.35FE14BF4EA64E7FB4E1024B97988A70.edm" hidden="1">[11]Deliveries!$A:$IV</definedName>
    <definedName name="_bdm.3C2DC0AA74BE43CB8FC86B2C5BB472F1.edm" hidden="1">'[12]MWA RR'!$A:$IV</definedName>
    <definedName name="_bdm.4245E76961BA47F3BEE79C56B40B4FF1.edm" hidden="1">'[5]Paris 05 Orders'!$A:$IV</definedName>
    <definedName name="_bdm.4B0A00B2D50C478196AEE2DE4077891C.edm" hidden="1">'[6]Boeing Monthly'!$A:$IV</definedName>
    <definedName name="_bdm.4CC88C4501154E8CB7D8110D590F116E.edm" hidden="1" xml:space="preserve">                                    [4]Charts!$A:$IV</definedName>
    <definedName name="_bdm.5929A3875CC54C5392CE41B76CCE5ED4.edm" hidden="1" xml:space="preserve">              [4]FCF!$A:$IV</definedName>
    <definedName name="_bdm.59F100707DF741589EC22972A7CD3D49.edm" hidden="1">[9]DCF!$A:$IV</definedName>
    <definedName name="_bdm.626FF1703AAC42B7BAD6A57CDB997F50.edm" hidden="1">[9]DDM!$A:$IV</definedName>
    <definedName name="_bdm.65820A31135B4F2A9C85BECB29D10637.edm" hidden="1">'[9]MWA RR'!$A:$IV</definedName>
    <definedName name="_bdm.77F96403296B45A1AB7B76004A7450CE.edm" hidden="1">'[5]Boeing Del Schedule'!$A:$IV</definedName>
    <definedName name="_bdm.7A1B969AA9F34694B5A5BE94DF418973.edm" hidden="1" xml:space="preserve">                          '[4]2010e Fair Market Value'!$A:$IV</definedName>
    <definedName name="_bdm.7B29AB6E4D784D59966D698C096CF906.edm" hidden="1" xml:space="preserve">                          [4]FCF!$A:$IV</definedName>
    <definedName name="_bdm.7D78028F194C41A7BDFA1D1A0F9CD507.edm" hidden="1">[13]Sheet1!$A:$IV</definedName>
    <definedName name="_bdm.7F22CBDFEEAE4328A00D529162BAA0AF.edm" hidden="1">'[6]Storage Summary'!$A:$IV</definedName>
    <definedName name="_bdm.853AD08E651648D1B91CB8C66D89BC17.edm" hidden="1">[9]SOTP!$A:$IV</definedName>
    <definedName name="_bdm.93F1714AA3EA4E53B6ECBD6353C50769.edm" hidden="1" xml:space="preserve">                                        [4]Sensitivity!$A:$IV</definedName>
    <definedName name="_bdm.943F4B03FC0140B6AFE1A172565651BD.edm" hidden="1">'[6]WW Fleet Stats'!$A:$IV</definedName>
    <definedName name="_bdm.990192282A5E464980704B34CC58ACC1.edm" hidden="1">'[6]Sang-scratch'!$A:$IV</definedName>
    <definedName name="_bdm.9AAE8749CB734469BD1407FBAD7BA49E.edm" hidden="1">'[9]Comm Systems'!$A:$IV</definedName>
    <definedName name="_bdm.A3E73079BB3E401681653080CC0CCAF6.edm" hidden="1">[13]Main!$A:$IV</definedName>
    <definedName name="_bdm.A8D59B57C4184413ACD45E8D9BC6F49C.edm" hidden="1" xml:space="preserve">                                    '[4]2010e Fair Market Value'!$A:$IV</definedName>
    <definedName name="_bdm.A9FDA19A0EC441A88F23DB34903DDCA4.edm" hidden="1">'[5]New Tables 2006'!$A:$IV</definedName>
    <definedName name="_bdm.B4D5A25F6AD644F992F393C214489883.edm" hidden="1">[9]HV!$A:$IV</definedName>
    <definedName name="_bdm.B79BA6AB469647F4959D1173B0661A55.edm" hidden="1">'[6]from AIRCAP'!$A:$IV</definedName>
    <definedName name="_bdm.B89F0DCA1C9841C48CDCE7713894289D.edm" hidden="1">[5]Graphs!$A:$IV</definedName>
    <definedName name="_bdm.BEF639A7268143F3A5EF7EA4F6286DB5.edm" hidden="1">'[14]Annual Traffic Summary'!$A:$IV</definedName>
    <definedName name="_bdm.C1D64D3D12104A57B36648A45FD482BA.edm" hidden="1">'[6]Program Lifecycles'!$A:$IV</definedName>
    <definedName name="_bdm.CAB0F15EC35D4F47A39CDDF3C5EF250A.edm" hidden="1">'[15]BizJet Deliveries'!$A:$IV</definedName>
    <definedName name="_bdm.D16D4B4991F24D41B4A4D56808A9138E.edm" hidden="1">[5]Main!$A:$IV</definedName>
    <definedName name="_bdm.D736FE2ECE9844E481084B2BEE4999E6.edm" hidden="1" xml:space="preserve">                      [4]FCF!$A:$IV</definedName>
    <definedName name="_bdm.D9693A91C4234F65B844EEC4BFAAD949.edm" hidden="1">'[5]F''boro 08 Orders'!$A:$IV</definedName>
    <definedName name="_bdm.D9E108B6406341D2861CB14581BD073A.edm" hidden="1" xml:space="preserve">                      '[4]2010e Fair Market Value'!$A:$IV</definedName>
    <definedName name="_bdm.DAF05722B58E40AF8A0DD0C5C5565E86.edm" hidden="1" xml:space="preserve">                                    [4]Charts!$A:$IV</definedName>
    <definedName name="_bdm.DCA91A27BDEE4141924A80B1FAB6CAB4.edm" hidden="1" xml:space="preserve">                                    [4]Charts!$A:$IV</definedName>
    <definedName name="_bdm.E32A116BB8AF457EABFAC69CB51F4C47.edm" hidden="1" xml:space="preserve">                                    [4]FCF!$A:$IV</definedName>
    <definedName name="_bdm.E78D5F77B9704765898D93BE5B0440EF.edm" hidden="1">'[9]Govt Systems'!$A:$IV</definedName>
    <definedName name="_bdm.E9BABFAC54E04B0EAEA6B1850220160E.edm" hidden="1">[16]Graphs!$A:$IV</definedName>
    <definedName name="_bdm.EA049B7228D04EFCA3CA5A7DCF7D7577.edm" hidden="1" xml:space="preserve">                                    [4]Charts!$A:$IV</definedName>
    <definedName name="_bdm.EB71207A3C454F22948B2C37520A7952.edm" hidden="1" xml:space="preserve">                                    [4]Charts!$A:$IV</definedName>
    <definedName name="_bdm.F0534C7080FA442F9782B47F27018E5C.edm" hidden="1">[12]DCF!$A:$IV</definedName>
    <definedName name="_bdm.F34B28B19825438E97F16E849389D4AE.edm" hidden="1">[9]Guid!$A:$IV</definedName>
    <definedName name="_bdm.F61F1A8D7FBE4DDB976FC9D75E157E84.edm" hidden="1">'[6]Sang - Charts'!$A:$IV</definedName>
    <definedName name="_bdm.F9B7852CD88747DBA03CDE2FA8516D2D.edm" hidden="1" xml:space="preserve">                                    [4]Charts!$A:$IV</definedName>
    <definedName name="_bdm.FA190DA1B38549B599DE6D2E4639EC00.edm" hidden="1">[9]Breakdown!$A:$IV</definedName>
    <definedName name="_bdm.FE83D8468D5940D6B287CD786E8688D6.edm" hidden="1">[9]RI!$A:$IV</definedName>
    <definedName name="_CommJetTransport">'[6]from AIRCAP'!$A$3:$AL$54</definedName>
    <definedName name="_Key1" hidden="1">[1]単独!$U$1</definedName>
    <definedName name="_Order1">0</definedName>
    <definedName name="_Sort" hidden="1">[1]単独!$A$512:$AC$552</definedName>
    <definedName name="A">[1]ｾｸﾞﾒﾝﾄ!$E$165:$I$165</definedName>
    <definedName name="abc"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ABJ_columnG">OFFSET('[7]Biz Jet Output Data'!$G$20,0,0,COUNT('[7]Biz Jet Output Data'!$G$1:$G$65536),1)</definedName>
    <definedName name="ABJ_rolling12mo">OFFSET('[7]Biz Jet Output Data'!$H$20,COUNT('[7]Biz Jet Output Data'!$H$1:$H$65536)-12,0,12,1)</definedName>
    <definedName name="ABJ_TotalOchange_LTM">OFFSET('[7]Biz Jet Output Data'!$G$20,COUNT('[7]Biz Jet Output Data'!$G$1:$G$65536)-12,0,12,1)</definedName>
    <definedName name="Actual" hidden="1">{#N/A,#N/A,TRUE,"Historicals";#N/A,#N/A,TRUE,"Charts";#N/A,#N/A,TRUE,"Forecasts"}</definedName>
    <definedName name="AdditionalInstructions">IndexInformation!$B$42</definedName>
    <definedName name="Address" localSheetId="1">ImportantDisclosures!$A$2:$A$2</definedName>
    <definedName name="ANA" localSheetId="6">ModPubIndex!$A$7</definedName>
    <definedName name="anscount" hidden="1">1</definedName>
    <definedName name="Asia_ASM">OFFSET([14]Monthly_Traffic_Summary!$AF$297,COUNT([14]Monthly_Traffic_Summary!$AF$1:$AF$65536)-12,0,12,1)</definedName>
    <definedName name="Asia_ASM_LTM">OFFSET([14]Monthly_Traffic_Summary!$AG$309,COUNT([14]Monthly_Traffic_Summary!$AG$1:$AG$65536)-12,0,12,1)</definedName>
    <definedName name="Asia_ASM10y">OFFSET([14]Monthly_Traffic_Summary!$AF$297,COUNT([14]Monthly_Traffic_Summary!$AF$1:$AF$65536)-120,0,120,1)</definedName>
    <definedName name="Asia_dates10y">OFFSET([14]Monthly_Traffic_Summary!$A$9,COUNT([14]Monthly_Traffic_Summary!$A$1:$A$65536)-120,0,120,1)</definedName>
    <definedName name="Asia_LF">OFFSET([14]Monthly_Traffic_Summary!$AH$297,COUNT([14]Monthly_Traffic_Summary!$AH$1:$AH$65536)-12,0,12,1)</definedName>
    <definedName name="Asia_LF_LTM">OFFSET([14]Monthly_Traffic_Summary!$AI$309,COUNT([14]Monthly_Traffic_Summary!$AI$1:$AI$65536)-12,0,12,1)</definedName>
    <definedName name="Asia_LF10y">OFFSET([14]Monthly_Traffic_Summary!$AH$297,COUNT([14]Monthly_Traffic_Summary!$AH$1:$AH$65536)-120,0,120,1)</definedName>
    <definedName name="Asia_RPM">OFFSET([14]Monthly_Traffic_Summary!$AD$297,COUNT([14]Monthly_Traffic_Summary!$AD$1:$AD$65536)-12,0,12,1)</definedName>
    <definedName name="Asia_RPM_LTM">OFFSET([14]Monthly_Traffic_Summary!$AE$309,COUNT([14]Monthly_Traffic_Summary!$AE$1:$AE$65536)-12,0,12,1)</definedName>
    <definedName name="Asia_RPM10y">OFFSET([14]Monthly_Traffic_Summary!$AD$297,COUNT([14]Monthly_Traffic_Summary!$AD$1:$AD$65536)-120,0,120,1)</definedName>
    <definedName name="Authors" localSheetId="1">ImportantDisclosures!$A$7</definedName>
    <definedName name="Authors" localSheetId="5">IndexInformation!$B$18</definedName>
    <definedName name="b" hidden="1">[1]ｾｸﾞﾒﾝﾄ!$E$167:$I$167</definedName>
    <definedName name="B_columnAD">OFFSET('[7]Biz Jet Output Data'!$AG$20,0,0,COUNT('[7]Biz Jet Output Data'!$AG$1:$AG$65536)-12,1)</definedName>
    <definedName name="B_columnAF">OFFSET('[7]Biz Jet Output Data'!$AI$20,0,0,COUNT('[7]Biz Jet Output Data'!$AI$1:$AI$65536)-1,1)</definedName>
    <definedName name="B_columnAH">OFFSET('[7]Biz Jet Output Data'!$AK$20,0,0,COUNT('[7]Biz Jet Output Data'!$AK$1:$AK$65536),1)</definedName>
    <definedName name="B_columnAI">OFFSET('[7]Biz Jet Output Data'!$AL$20,0,0,COUNT('[7]Biz Jet Output Data'!$AL$1:$AL$65536),1)</definedName>
    <definedName name="B_rolling12mo">OFFSET('[7]Biz Jet Output Data'!$AL$20,COUNT('[7]Biz Jet Output Data'!$AL$1:$AL$65536)-12,0,12,1)</definedName>
    <definedName name="B_TotalO_LTM">OFFSET('[7]Biz Jet Output Data'!$AG$8,COUNT('[7]Biz Jet Output Data'!$AG$1:$AG$65536)-12,0,12,1)</definedName>
    <definedName name="B_TotalOchange_LTM">OFFSET('[7]Biz Jet Output Data'!$AK$20,COUNT('[7]Biz Jet Output Data'!$AK$1:$AK$65536)-12,0,12,1)</definedName>
    <definedName name="BA_bookbillav">OFFSET('[6]Boeing Monthly'!$AU$451,COUNT('[6]Boeing Monthly'!$AU$1:$AU$65536)-121,0,120,1)</definedName>
    <definedName name="BA_orders">OFFSET('[6]Boeing Charts'!$C$6,COUNT('[6]Boeing Charts'!$C$1:$C$65536)-12,0,12,1)</definedName>
    <definedName name="BA_performance">OFFSET('[6]Boeing Charts'!$C$6,0,0,COUNT('[6]Boeing Charts'!$C$1:$C$65536),1)</definedName>
    <definedName name="BA_relativeprice">OFFSET('[6]Boeing Monthly'!$AX$451,COUNT('[6]Boeing Monthly'!$AX$1:$AX$65536)-121,0,120,1)</definedName>
    <definedName name="BA_stockperformance">OFFSET('[6]Boeing Charts'!$D$6,0,0,COUNT('[6]Boeing Charts'!$D$1:$D$65536),1)</definedName>
    <definedName name="BA_stockprice">OFFSET('[6]Boeing Charts'!$D$6,COUNT('[6]Boeing Charts'!$D$1:$D$65536)-12,0,12,1)</definedName>
    <definedName name="BJ_2001_dates">OFFSET('[7]Biz Jet Output Data'!$A$20,0,0,COUNT('[7]Biz Jet Output Data'!$A$1:$A$65536)-12,1)</definedName>
    <definedName name="BJ_2001_rolling">OFFSET('[7]Biz Jet Output Data'!$E$20,0,0,COUNT('[7]Biz Jet Output Data'!$E$1:$E$65536)-1,1)</definedName>
    <definedName name="BJ_2001_rollingyoy">OFFSET('[7]Biz Jet Output Data'!$H$20,0,0,COUNT('[7]Biz Jet Output Data'!$H$1:$H$65536),1)</definedName>
    <definedName name="BJ_TotalO">OFFSET('[7]Biz Jet Output Data'!$D$20,0,0,COUNT('[7]Biz Jet Output Data'!$D$1:$D$65536)-12,1)</definedName>
    <definedName name="BJ_TotalO_LTM">OFFSET('[7]Biz Jet Output Data'!$D$8,COUNT('[7]Biz Jet Output Data'!$D$1:$D$65536)-12,0,12,1)</definedName>
    <definedName name="BJ_TotalO_YoY">OFFSET('[7]Biz Jet Output Data'!$G$20,0,0,COUNT('[7]Biz Jet Output Data'!$G$1:$G$65536),1)</definedName>
    <definedName name="BRO" localSheetId="6">ModPubIndex!$A$1</definedName>
    <definedName name="C_columnU">OFFSET('[7]Biz Jet Output Data'!$W$20,0,0,COUNT('[7]Biz Jet Output Data'!$W$1:$W$65536)-12,1)</definedName>
    <definedName name="C_columnW">OFFSET('[7]Biz Jet Output Data'!$Y$20,0,0,COUNT('[7]Biz Jet Output Data'!$Y$1:$Y$65536)-1,1)</definedName>
    <definedName name="C_columnY">OFFSET('[7]Biz Jet Output Data'!$AA$20,0,0,COUNT('[7]Biz Jet Output Data'!$AA$1:$AA$65536),1)</definedName>
    <definedName name="C_columnZ">OFFSET('[7]Biz Jet Output Data'!$AB$20,0,0,COUNT('[7]Biz Jet Output Data'!$AB$1:$AB$65536),1)</definedName>
    <definedName name="C_rolling12mo">OFFSET('[7]Biz Jet Output Data'!$AB$20,COUNT('[7]Biz Jet Output Data'!$AB$1:$AB$65536)-12,0,12,1)</definedName>
    <definedName name="C_TotalO_LTM">OFFSET('[7]Biz Jet Output Data'!$W$8,COUNT('[7]Biz Jet Output Data'!$W$1:$W$65536)-12,0,12,1)</definedName>
    <definedName name="C_TotalOchange_LTM">OFFSET('[7]Biz Jet Output Data'!$AA$20,COUNT('[7]Biz Jet Output Data'!$AA$1:$AA$65536)-12,0,12,1)</definedName>
    <definedName name="CD">'[6]Deliveries LCA &amp; RJ'!$A$1</definedName>
    <definedName name="CopyrightStamp">ImportantDisclosures!$A$27</definedName>
    <definedName name="correlation">'[6]Boeing Monthly'!$AU$674</definedName>
    <definedName name="COU" localSheetId="6">ModPubIndex!$A$5</definedName>
    <definedName name="CQEnd" localSheetId="5">IndexInformation!$B$31</definedName>
    <definedName name="Currency" localSheetId="5">IndexInformation!$B$24</definedName>
    <definedName name="Current_month">OFFSET([14]Monthly_Traffic_Summary!$A$9,COUNT([14]Monthly_Traffic_Summary!$A$1:$A$65536)-2,0,1,1)</definedName>
    <definedName name="CurrentBA_month">OFFSET('[6]Boeing Charts'!$B$6,COUNT('[6]Boeing Charts'!$B$1:$B$65536)-1,0,1,1)</definedName>
    <definedName name="CurrentBJ_month">OFFSET('[7]Biz Jet Output Data'!$A$8,COUNT('[7]Biz Jet Output Data'!$A$1:$A$65536)-1,0,1,1)</definedName>
    <definedName name="CurrentStockPrice" localSheetId="5">IndexInformation!$B$23</definedName>
    <definedName name="CurrQtrEPS" localSheetId="5">IndexInformation!$B$29</definedName>
    <definedName name="CurrYearEPS" localSheetId="5">IndexInformation!$B$11</definedName>
    <definedName name="CurrYearTotalRevenue" localSheetId="5">IndexInformation!$B$10</definedName>
    <definedName name="CurrYearTotalRevenueActual" localSheetId="5">IndexInformation!$B$32</definedName>
    <definedName name="CUSIP" localSheetId="5">IndexInformation!$B$20</definedName>
    <definedName name="CYEnd" localSheetId="5">IndexInformation!$B$30</definedName>
    <definedName name="dataseries1">OFFSET('[17]Roll off Speed'!$X$12,0,0,COUNTIF('[17]Roll off Speed'!$W$12:$W$1231,"&lt;&gt;false"),1)</definedName>
    <definedName name="Date" localSheetId="1">ImportantDisclosures!$A$8</definedName>
    <definedName name="Date">OFFSET([6]StoredAC!$B$9,0,0,COUNT([6]StoredAC!$B$1:$B$65536),1)</definedName>
    <definedName name="Dates_BA_RP">OFFSET('[6]Boeing Monthly'!$AZ$440,COUNT('[6]Boeing Monthly'!$AZ$1:$AZ$65536)-168,0,168,1)</definedName>
    <definedName name="Dates_BAmonthly">OFFSET('[6]Boeing Monthly'!$AZ$440,COUNT('[6]Boeing Monthly'!$AZ$1:$AZ$65536)-120,0,120,1)</definedName>
    <definedName name="Dates_BJ">OFFSET('[7]Biz Jet Output Data'!$A$8,0,0,COUNT('[7]Biz Jet Output Data'!$A$1:$A$65536),1)</definedName>
    <definedName name="Dates_BJ_LTM">OFFSET('[7]Biz Jet Output Data'!$A$8,COUNT('[7]Biz Jet Output Data'!$A$1:$A$65536)-12,0,12,1)</definedName>
    <definedName name="Dates10y">OFFSET([14]Monthly_Traffic_Summary!$A$9,COUNT([14]Monthly_Traffic_Summary!$A$1:$A$65536)-120,0,120,1)</definedName>
    <definedName name="DatesBA_charts">OFFSET('[6]Boeing Charts'!$B$6,COUNT('[6]Boeing Charts'!$B$1:$B$65536)-12,0,12,1)</definedName>
    <definedName name="DatesBA_performance">OFFSET('[6]Boeing Charts'!$B$6,0,0,COUNT('[6]Boeing Charts'!$B$1:$B$65536),1)</definedName>
    <definedName name="DatesLTM">OFFSET([14]Monthly_Traffic_Summary!$A$9,COUNT([14]Monthly_Traffic_Summary!$A$1:$A$65536)-12,0,12,1)</definedName>
    <definedName name="DCF">[18]DCF!$A$27</definedName>
    <definedName name="defense1">{"Client Name or Project Name"}</definedName>
    <definedName name="defense2">[19]mwareDates!$B$2:$E$21</definedName>
    <definedName name="Deleted" localSheetId="5">IndexInformation!$B$27</definedName>
    <definedName name="Description" localSheetId="5">IndexInformation!$B$7</definedName>
    <definedName name="Discipline" localSheetId="5">IndexInformation!$B$3</definedName>
    <definedName name="DISCIPLINE" localSheetId="6">ModPubIndex!$A$12</definedName>
    <definedName name="DisclosuresText">ImportantDisclosures!$A$22</definedName>
    <definedName name="Distribution" localSheetId="5">IndexInformation!$B$26</definedName>
    <definedName name="DistTable" localSheetId="1">ImportantDisclosures!#REF!</definedName>
    <definedName name="DistTablePreamble" localSheetId="1">ImportantDisclosures!#REF!</definedName>
    <definedName name="DOCDAT" localSheetId="6">ModPubIndex!$A$2</definedName>
    <definedName name="DOCTIME" localSheetId="6">ModPubIndex!$A$3</definedName>
    <definedName name="DocType" localSheetId="5">IndexInformation!$B$5</definedName>
    <definedName name="EMAIL_ALERT" localSheetId="6">ModPubIndex!$A$10</definedName>
    <definedName name="EmailAlert" localSheetId="5">IndexInformation!$B$28</definedName>
    <definedName name="Europe_ASM">OFFSET([14]Monthly_Traffic_Summary!$Y$261,COUNT([14]Monthly_Traffic_Summary!$Y$1:$Y$65536)-12,0,12,1)</definedName>
    <definedName name="Europe_ASM_LTM">OFFSET([14]Monthly_Traffic_Summary!$Z$261,COUNT([14]Monthly_Traffic_Summary!$Z$1:$Z$65536)-12,0,12,1)</definedName>
    <definedName name="Europe_ASM10y">OFFSET([14]Monthly_Traffic_Summary!$Y$261,COUNT([14]Monthly_Traffic_Summary!$Y$1:$Y$65536)-120,0,120,1)</definedName>
    <definedName name="Europe_LF">OFFSET([14]Monthly_Traffic_Summary!$AA$261,COUNT([14]Monthly_Traffic_Summary!$AA$1:$AA$65536)-12,0,12,1)</definedName>
    <definedName name="Europe_LF_LTM">OFFSET([14]Monthly_Traffic_Summary!$AB$261,COUNT([14]Monthly_Traffic_Summary!$AB$1:$AB$65536)-12,0,12,1)</definedName>
    <definedName name="Europe_LF10y">OFFSET([14]Monthly_Traffic_Summary!$AA$261,COUNT([14]Monthly_Traffic_Summary!$AA$1:$AA$65536)-120,0,120,1)</definedName>
    <definedName name="Europe_RPM">OFFSET([14]Monthly_Traffic_Summary!$W$261,COUNT([14]Monthly_Traffic_Summary!$W$1:$W$65536)-12,0,12,1)</definedName>
    <definedName name="Europe_RPM_LTM">OFFSET([14]Monthly_Traffic_Summary!$X$261,COUNT([14]Monthly_Traffic_Summary!$X$1:$X$65536)-12,0,12,1)</definedName>
    <definedName name="Europe_RPM10y">OFFSET([14]Monthly_Traffic_Summary!$W$261,COUNT([14]Monthly_Traffic_Summary!$W$1:$W$65536)-120,0,120,1)</definedName>
    <definedName name="ｆ" hidden="1">"iQShowAnnual"</definedName>
    <definedName name="FiveYearGrowthRate" localSheetId="5">IndexInformation!$B$16</definedName>
    <definedName name="FollowingYearEPS" localSheetId="5">IndexInformation!$B$15</definedName>
    <definedName name="FollowingYearTotalRevenue" localSheetId="5">IndexInformation!$B$14</definedName>
    <definedName name="FollowingYearTotalRevenueActual" localSheetId="5">IndexInformation!$B$34</definedName>
    <definedName name="G_columnL">OFFSET('[7]Biz Jet Output Data'!$M$20,0,0,COUNT('[7]Biz Jet Output Data'!$M$1:$M$65536)-12,1)</definedName>
    <definedName name="G_columnN">OFFSET('[7]Biz Jet Output Data'!$O$20,0,0,COUNT('[7]Biz Jet Output Data'!$O$1:$O$65536)-1,1)</definedName>
    <definedName name="G_columnP">OFFSET('[7]Biz Jet Output Data'!$Q$20,0,0,COUNT('[7]Biz Jet Output Data'!$Q$1:$Q$65536),1)</definedName>
    <definedName name="G_columnQ">OFFSET('[7]Biz Jet Output Data'!$R$20,0,0,COUNT('[7]Biz Jet Output Data'!$R$1:$R$65536),1)</definedName>
    <definedName name="G_rolling12mo">OFFSET('[7]Biz Jet Output Data'!$R$20,COUNT('[7]Biz Jet Output Data'!$R$1:$R$65536)-12,0,12,1)</definedName>
    <definedName name="G_TotalO_LTM">OFFSET('[7]Biz Jet Output Data'!$M$8,COUNT('[7]Biz Jet Output Data'!$M$1:$M$65536)-12,0,12,1)</definedName>
    <definedName name="G_TotalOchange_LTM">OFFSET('[7]Biz Jet Output Data'!$Q$20,COUNT('[7]Biz Jet Output Data'!$Q$1:$Q$65536)-12,0,12,1)</definedName>
    <definedName name="ghjhg" hidden="1">[1]ｾｸﾞﾒﾝﾄ!$E$164:$I$164</definedName>
    <definedName name="HL" localSheetId="6">ModPubIndex!$A$8</definedName>
    <definedName name="IND" localSheetId="6">ModPubIndex!$A$9</definedName>
    <definedName name="Industry" localSheetId="1">ImportantDisclosures!$A$12</definedName>
    <definedName name="IndustryId">IndexInformation!$B$40</definedName>
    <definedName name="IndustryRating" localSheetId="1">ImportantDisclosures!$A$13</definedName>
    <definedName name="InStorageDates">OFFSET('[6]StoredAC v2'!$B$9,0,0,COUNT('[6]StoredAC v2'!$B$1:$B$65536),1)</definedName>
    <definedName name="IQ_ACCOUNT_CHANGE" hidden="1">"c1449"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GROWTH" hidden="1">"c1924"</definedName>
    <definedName name="IQ_ACCT_RECV_1YR_ANN_GROWTH" hidden="1">"c1919"</definedName>
    <definedName name="IQ_ACCT_RECV_2YR_ANN_GROWTH" hidden="1">"c1920"</definedName>
    <definedName name="IQ_ACCT_RECV_3YR_ANN_GROWTH" hidden="1">"c1921"</definedName>
    <definedName name="IQ_ACCT_RECV_5YR_ANN_GROWTH" hidden="1">"c1922"</definedName>
    <definedName name="IQ_ACCT_RECV_7YR_ANN_GROWTH" hidden="1">"c1923"</definedName>
    <definedName name="IQ_ACCUM_DEP" hidden="1">"c1340"</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SITION_RE_ASSETS" hidden="1">"c1628"</definedName>
    <definedName name="IQ_AD" hidden="1">"c7"</definedName>
    <definedName name="IQ_ADD_PAID_IN" hidden="1">"c1344"</definedName>
    <definedName name="IQ_ADJ_AVG_BANK_ASSETS" hidden="1">"c2671"</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IT" hidden="1">"c13"</definedName>
    <definedName name="IQ_AE_UTI" hidden="1">"c14"</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GROWTH" hidden="1">"c18"</definedName>
    <definedName name="IQ_ALLOWANCE_1YR_ANN_GROWTH" hidden="1">"c19"</definedName>
    <definedName name="IQ_ALLOWANCE_2YR_ANN_GROWTH" hidden="1">"c20"</definedName>
    <definedName name="IQ_ALLOWANCE_3YR_ANN_GROWTH" hidden="1">"c21"</definedName>
    <definedName name="IQ_ALLOWANCE_5YR_ANN_GROWTH" hidden="1">"c22"</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ORTIZATION" hidden="1">"c1591"</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IT" hidden="1">"c43"</definedName>
    <definedName name="IQ_AR_TURNS" hidden="1">"c44"</definedName>
    <definedName name="IQ_AR_UTI" hidden="1">"c45"</definedName>
    <definedName name="IQ_ARPU" hidden="1">"c2126"</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OPER_LEASE_DEPR" hidden="1">"c2070"</definedName>
    <definedName name="IQ_ASSETS_OPER_LEASE_GROSS" hidden="1">"c2071"</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G_BANK_ASSETS" hidden="1">"c2072"</definedName>
    <definedName name="IQ_AVG_BANK_LOANS" hidden="1">"c2073"</definedName>
    <definedName name="IQ_AVG_BROKER_REC" hidden="1">"c63"</definedName>
    <definedName name="IQ_AVG_BROKER_REC_NO" hidden="1">"c64"</definedName>
    <definedName name="IQ_AVG_BROKER_REC_NO_REUT" hidden="1">"c5315"</definedName>
    <definedName name="IQ_AVG_BROKER_REC_REUT" hidden="1">"c3630"</definedName>
    <definedName name="IQ_AVG_DAILY_VOL" hidden="1">"c65"</definedName>
    <definedName name="IQ_AVG_INDUSTRY_REC" hidden="1">"c4455"</definedName>
    <definedName name="IQ_AVG_INT_BEAR_LIAB" hidden="1">"c66"</definedName>
    <definedName name="IQ_AVG_INT_BEAR_LIAB_10YR_ANN_GROWTH" hidden="1">"c67"</definedName>
    <definedName name="IQ_AVG_INT_BEAR_LIAB_1YR_ANN_GROWTH" hidden="1">"c68"</definedName>
    <definedName name="IQ_AVG_INT_BEAR_LIAB_2YR_ANN_GROWTH" hidden="1">"c69"</definedName>
    <definedName name="IQ_AVG_INT_BEAR_LIAB_3YR_ANN_GROWTH" hidden="1">"c70"</definedName>
    <definedName name="IQ_AVG_INT_BEAR_LIAB_5YR_ANN_GROWTH" hidden="1">"c71"</definedName>
    <definedName name="IQ_AVG_INT_BEAR_LIAB_7YR_ANN_GROWTH" hidden="1">"c72"</definedName>
    <definedName name="IQ_AVG_INT_EARN_ASSETS" hidden="1">"c73"</definedName>
    <definedName name="IQ_AVG_INT_EARN_ASSETS_10YR_ANN_GROWTH" hidden="1">"c74"</definedName>
    <definedName name="IQ_AVG_INT_EARN_ASSETS_1YR_ANN_GROWTH" hidden="1">"c75"</definedName>
    <definedName name="IQ_AVG_INT_EARN_ASSETS_2YR_ANN_GROWTH" hidden="1">"c76"</definedName>
    <definedName name="IQ_AVG_INT_EARN_ASSETS_3YR_ANN_GROWTH" hidden="1">"c77"</definedName>
    <definedName name="IQ_AVG_INT_EARN_ASSETS_5YR_ANN_GROWTH" hidden="1">"c78"</definedName>
    <definedName name="IQ_AVG_INT_EARN_ASSETS_7YR_ANN_GROWTH" hidden="1">"c79"</definedName>
    <definedName name="IQ_AVG_MKTCAP" hidden="1">"c80"</definedName>
    <definedName name="IQ_AVG_PRICE" hidden="1">"c81"</definedName>
    <definedName name="IQ_AVG_SHAREOUTSTANDING" hidden="1">"c83"</definedName>
    <definedName name="IQ_AVG_TEV" hidden="1">"c84"</definedName>
    <definedName name="IQ_AVG_VOLUME" hidden="1">"c1346"</definedName>
    <definedName name="IQ_BANK_DEBT" hidden="1">"c2544"</definedName>
    <definedName name="IQ_BANK_DEBT_PCT" hidden="1">"c2545"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ROK_COMISSION" hidden="1">"c98"</definedName>
    <definedName name="IQ_BROK_COMMISSION" hidden="1">"c3514"</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DESCRIPTION" hidden="1">"c322"</definedName>
    <definedName name="IQ_BV_OVER_SHARES" hidden="1">"c1349"</definedName>
    <definedName name="IQ_BV_SHARE" hidden="1">"c100"</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Y" hidden="1">"c102"</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GROWTH" hidden="1">"c104"</definedName>
    <definedName name="IQ_CAPEX_1YR_ANN_GROWTH" hidden="1">"c105"</definedName>
    <definedName name="IQ_CAPEX_2YR_ANN_GROWTH" hidden="1">"c106"</definedName>
    <definedName name="IQ_CAPEX_3YR_ANN_GROWTH" hidden="1">"c107"</definedName>
    <definedName name="IQ_CAPEX_5YR_ANN_GROWTH" hidden="1">"c108"</definedName>
    <definedName name="IQ_CAPEX_7YR_ANN_GROWTH" hidden="1">"c109"</definedName>
    <definedName name="IQ_CAPEX_BNK" hidden="1">"c110"</definedName>
    <definedName name="IQ_CAPEX_BR" hidden="1">"c111"</definedName>
    <definedName name="IQ_CAPEX_FIN" hidden="1">"c112"</definedName>
    <definedName name="IQ_CAPEX_INS" hidden="1">"c113"</definedName>
    <definedName name="IQ_CAPEX_UTI" hidden="1">"c114"</definedName>
    <definedName name="IQ_CAPITAL_LEASE" hidden="1">"c1350"</definedName>
    <definedName name="IQ_CAPITAL_LEASES" hidden="1">"c115"</definedName>
    <definedName name="IQ_CAPITAL_LEASES_TOTAL" hidden="1">"c3031"</definedName>
    <definedName name="IQ_CAPITAL_LEASES_TOTAL_PCT" hidden="1">"c2506"</definedName>
    <definedName name="IQ_CAPITALIZED_INTEREST" hidden="1">"c3460"</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"c1458"</definedName>
    <definedName name="IQ_CASH_ACQUIRE_CF" hidden="1">"c116"</definedName>
    <definedName name="IQ_CASH_CONVERSION" hidden="1">"c117"</definedName>
    <definedName name="IQ_CASH_DUE_BANKS" hidden="1">"c1351"</definedName>
    <definedName name="IQ_CASH_EQUIV" hidden="1">"c118"</definedName>
    <definedName name="IQ_CASH_FINAN" hidden="1">"c119"</definedName>
    <definedName name="IQ_CASH_FLOW_ACT_OR_EST" hidden="1">"c4154"</definedName>
    <definedName name="IQ_CASH_INTEREST" hidden="1">"c120"</definedName>
    <definedName name="IQ_CASH_INVEST" hidden="1">"c121"</definedName>
    <definedName name="IQ_CASH_OPER" hidden="1">"c122"</definedName>
    <definedName name="IQ_CASH_OPER_ACT_OR_EST" hidden="1">"c4164"</definedName>
    <definedName name="IQ_CASH_SEGREG" hidden="1">"c123"</definedName>
    <definedName name="IQ_CASH_SHARE" hidden="1">"c1911"</definedName>
    <definedName name="IQ_CASH_ST" hidden="1">"c1355"</definedName>
    <definedName name="IQ_CASH_ST_INVEST" hidden="1">"c124"</definedName>
    <definedName name="IQ_CASH_TAXES" hidden="1">"c125"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GROWTH" hidden="1">"c126"</definedName>
    <definedName name="IQ_CFO_1YR_ANN_GROWTH" hidden="1">"c127"</definedName>
    <definedName name="IQ_CFO_2YR_ANN_GROWTH" hidden="1">"c128"</definedName>
    <definedName name="IQ_CFO_3YR_ANN_GROWTH" hidden="1">"c129"</definedName>
    <definedName name="IQ_CFO_5YR_ANN_GROWTH" hidden="1">"c130"</definedName>
    <definedName name="IQ_CFO_7YR_ANN_GROWTH" hidden="1">"c131"</definedName>
    <definedName name="IQ_CFO_CURRENT_LIAB" hidden="1">"c132"</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GROSS" hidden="1">"c162"</definedName>
    <definedName name="IQ_CHARGE_OFFS_NET" hidden="1">"c163"</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ED" hidden="1">"c2681"</definedName>
    <definedName name="IQ_CLASSA_OPTIONS_GRANTED" hidden="1">"c2680"</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OGS" hidden="1">"c175"</definedName>
    <definedName name="IQ_COMBINED_RATIO" hidden="1">"c176"</definedName>
    <definedName name="IQ_COMMERCIAL_DOM" hidden="1">"c177"</definedName>
    <definedName name="IQ_COMMERCIAL_FIRE_WRITTEN" hidden="1">"c178"</definedName>
    <definedName name="IQ_COMMERCIAL_MORT" hidden="1">"c179"</definedName>
    <definedName name="IQ_COMMISS_FEES" hidden="1">"c180"</definedName>
    <definedName name="IQ_COMMISSION_DEF" hidden="1">"c181"</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GROWTH" hidden="1">"c191"</definedName>
    <definedName name="IQ_COMMON_EQUITY_1YR_ANN_GROWTH" hidden="1">"c192"</definedName>
    <definedName name="IQ_COMMON_EQUITY_2YR_ANN_GROWTH" hidden="1">"c193"</definedName>
    <definedName name="IQ_COMMON_EQUITY_3YR_ANN_GROWTH" hidden="1">"c194"</definedName>
    <definedName name="IQ_COMMON_EQUITY_5YR_ANN_GROWTH" hidden="1">"c195"</definedName>
    <definedName name="IQ_COMMON_EQUITY_7YR_ANN_GROWTH" hidden="1">"c196"</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LOANS" hidden="1">"c222"</definedName>
    <definedName name="IQ_CONSUMER_LOANS" hidden="1">"c223"</definedName>
    <definedName name="IQ_CONV_DATE" hidden="1">"c2191"</definedName>
    <definedName name="IQ_CONV_EXP_DATE" hidden="1">"c3043"</definedName>
    <definedName name="IQ_CONV_PREMIUM" hidden="1">"c2195"</definedName>
    <definedName name="IQ_CONV_PRICE" hidden="1">"c2193"</definedName>
    <definedName name="IQ_CONV_RATE" hidden="1">"c2192"</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ST_BORROWING" hidden="1">"c2936"</definedName>
    <definedName name="IQ_COST_BORROWINGS" hidden="1">"c225"</definedName>
    <definedName name="IQ_COST_REV" hidden="1">"c226"</definedName>
    <definedName name="IQ_COST_REVENUE" hidden="1">"c1359"</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FEE_BNK" hidden="1">"c231"</definedName>
    <definedName name="IQ_CREDIT_CARD_FEE_FIN" hidden="1">"c1583"</definedName>
    <definedName name="IQ_CREDIT_LOSS_CF" hidden="1">"c232"</definedName>
    <definedName name="IQ_CUMULATIVE_SPLIT_FACTOR" hidden="1">"c2094"</definedName>
    <definedName name="IQ_CURR_DOMESTIC_TAXES" hidden="1">"c2074"</definedName>
    <definedName name="IQ_CURR_FOREIGN_TAXES" hidden="1">"c2075"</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IT" hidden="1">"c1570"</definedName>
    <definedName name="IQ_CURRENT_PORT_DEBT_UTI" hidden="1">"c1571"</definedName>
    <definedName name="IQ_CURRENT_PORT_LEASES" hidden="1">"c245"</definedName>
    <definedName name="IQ_CURRENT_PORT_PCT" hidden="1">"c2541"</definedName>
    <definedName name="IQ_CURRENT_RATIO" hidden="1">"c246"</definedName>
    <definedName name="IQ_CUSIP" hidden="1">"c2245"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IT" hidden="1">"c266"</definedName>
    <definedName name="IQ_DA_SUPPL_CF_UTI" hidden="1">"c267"</definedName>
    <definedName name="IQ_DA_SUPPL_FIN" hidden="1">"c268"</definedName>
    <definedName name="IQ_DA_SUPPL_INS" hidden="1">"c269"</definedName>
    <definedName name="IQ_DA_SUPPL_REIT" hidden="1">"c270"</definedName>
    <definedName name="IQ_DA_SUPPL_UTI" hidden="1">"c271"</definedName>
    <definedName name="IQ_DA_UTI" hidden="1">"c272"</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IT" hidden="1">"c297"</definedName>
    <definedName name="IQ_DEF_CHARGES_LT_UTI" hidden="1">"c298"</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POSITS_FIN" hidden="1">"c321"</definedName>
    <definedName name="IQ_DEPOSITS_INTEREST_SECURITIES" hidden="1">"c5509"</definedName>
    <definedName name="IQ_DEPRE_AMORT" hidden="1">"c1360"</definedName>
    <definedName name="IQ_DEPRE_AMORT_SUPPL" hidden="1">"c1593"</definedName>
    <definedName name="IQ_DEPRE_DEPLE" hidden="1">"c1361"</definedName>
    <definedName name="IQ_DEPRE_SUPP" hidden="1">"c1443"</definedName>
    <definedName name="IQ_DESCRIPTION_LONG" hidden="1">"c1520"</definedName>
    <definedName name="IQ_DEVELOP_LAND" hidden="1">"c323"</definedName>
    <definedName name="IQ_DIFF_LASTCLOSE_TARGET_PRICE" hidden="1">"c1854"</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"c1367"</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ACT_OR_EST" hidden="1">"c4278"</definedName>
    <definedName name="IQ_DISTRIBUTABLE_CASH_PAYOUT" hidden="1">"c3005"</definedName>
    <definedName name="IQ_DISTRIBUTABLE_CASH_SHARE" hidden="1">"c3003"</definedName>
    <definedName name="IQ_DISTRIBUTABLE_CASH_SHARE_ACT_OR_EST" hidden="1">"c4286"</definedName>
    <definedName name="IQ_DIV_AMOUNT" hidden="1">"c3041"</definedName>
    <definedName name="IQ_DIV_PAYMENT_DATE" hidden="1">"c2205"</definedName>
    <definedName name="IQ_DIV_RECORD_DATE" hidden="1">"c2204"</definedName>
    <definedName name="IQ_DIV_SHARE" hidden="1">"c330"</definedName>
    <definedName name="IQ_DIVEST_CF" hidden="1">"c331"</definedName>
    <definedName name="IQ_DIVID_SHARE" hidden="1">"c1366"</definedName>
    <definedName name="IQ_DIVIDEND_YIELD" hidden="1">"c332"</definedName>
    <definedName name="IQ_DO" hidden="1">"c333"</definedName>
    <definedName name="IQ_DO_ASSETS_CURRENT" hidden="1">"c334"</definedName>
    <definedName name="IQ_DO_ASSETS_LT" hidden="1">"c335"</definedName>
    <definedName name="IQ_DO_CF" hidden="1">"c336"</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GROWTH" hidden="1">"c337"</definedName>
    <definedName name="IQ_DPS_1YR_ANN_GROWTH" hidden="1">"c338"</definedName>
    <definedName name="IQ_DPS_2YR_ANN_GROWTH" hidden="1">"c339"</definedName>
    <definedName name="IQ_DPS_3YR_ANN_GROWTH" hidden="1">"c340"</definedName>
    <definedName name="IQ_DPS_5YR_ANN_GROWTH" hidden="1">"c341"</definedName>
    <definedName name="IQ_DPS_7YR_ANN_GROWTH" hidden="1">"c342"</definedName>
    <definedName name="IQ_DURATION" hidden="1">"c2181"</definedName>
    <definedName name="IQ_EARNING_ASSET_YIELD" hidden="1">"c343"</definedName>
    <definedName name="IQ_EARNING_CO" hidden="1">"c344"</definedName>
    <definedName name="IQ_EARNING_CO_10YR_ANN_GROWTH" hidden="1">"c345"</definedName>
    <definedName name="IQ_EARNING_CO_1YR_ANN_GROWTH" hidden="1">"c346"</definedName>
    <definedName name="IQ_EARNING_CO_2YR_ANN_GROWTH" hidden="1">"c347"</definedName>
    <definedName name="IQ_EARNING_CO_3YR_ANN_GROWTH" hidden="1">"c348"</definedName>
    <definedName name="IQ_EARNING_CO_5YR_ANN_GROWTH" hidden="1">"c349"</definedName>
    <definedName name="IQ_EARNING_CO_7YR_ANN_GROWTH" hidden="1">"c350"</definedName>
    <definedName name="IQ_EARNING_CO_MARGIN" hidden="1">"c351"</definedName>
    <definedName name="IQ_EARNINGS_ANNOUNCE_DATE" hidden="1">"c1649"</definedName>
    <definedName name="IQ_EARNINGS_ANNOUNCE_DATE_REUT" hidden="1">"c5314"</definedName>
    <definedName name="IQ_EBIT" hidden="1">"c352"</definedName>
    <definedName name="IQ_EBIT_10YR_ANN_GROWTH" hidden="1">"c353"</definedName>
    <definedName name="IQ_EBIT_1YR_ANN_GROWTH" hidden="1">"c354"</definedName>
    <definedName name="IQ_EBIT_2YR_ANN_GROWTH" hidden="1">"c355"</definedName>
    <definedName name="IQ_EBIT_3YR_ANN_GROWTH" hidden="1">"c356"</definedName>
    <definedName name="IQ_EBIT_5YR_ANN_GROWTH" hidden="1">"c357"</definedName>
    <definedName name="IQ_EBIT_7YR_ANN_GROWTH" hidden="1">"c358"</definedName>
    <definedName name="IQ_EBIT_EQ_INC" hidden="1">"c3498"</definedName>
    <definedName name="IQ_EBIT_EQ_INC_EXCL_SBC" hidden="1">"c3502"</definedName>
    <definedName name="IQ_EBIT_EXCL_SBC" hidden="1">"c3082"</definedName>
    <definedName name="IQ_EBIT_GW_ACT_OR_EST" hidden="1">"c4306"</definedName>
    <definedName name="IQ_EBIT_INT" hidden="1">"c360"</definedName>
    <definedName name="IQ_EBIT_MARGIN" hidden="1">"c359"</definedName>
    <definedName name="IQ_EBIT_OVER_IE" hidden="1">"c1369"</definedName>
    <definedName name="IQ_EBIT_SBC_ACT_OR_EST" hidden="1">"c4316"</definedName>
    <definedName name="IQ_EBIT_SBC_GW_ACT_OR_EST" hidden="1">"c4320"</definedName>
    <definedName name="IQ_EBITA" hidden="1">"c1910"</definedName>
    <definedName name="IQ_EBITA_10YR_ANN_GROWTH" hidden="1">"c1954"</definedName>
    <definedName name="IQ_EBITA_1YR_ANN_GROWTH" hidden="1">"c1949"</definedName>
    <definedName name="IQ_EBITA_2YR_ANN_GROWTH" hidden="1">"c1950"</definedName>
    <definedName name="IQ_EBITA_3YR_ANN_GROWTH" hidden="1">"c1951"</definedName>
    <definedName name="IQ_EBITA_5YR_ANN_GROWTH" hidden="1">"c1952"</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YR_ANN_GROWTH" hidden="1">"c362"</definedName>
    <definedName name="IQ_EBITDA_1YR_ANN_GROWTH" hidden="1">"c363"</definedName>
    <definedName name="IQ_EBITDA_2YR_ANN_GROWTH" hidden="1">"c364"</definedName>
    <definedName name="IQ_EBITDA_3YR_ANN_GROWTH" hidden="1">"c365"</definedName>
    <definedName name="IQ_EBITDA_5YR_ANN_GROWTH" hidden="1">"c366"</definedName>
    <definedName name="IQ_EBITDA_7YR_ANN_GROWTH" hidden="1">"c367"</definedName>
    <definedName name="IQ_EBITDA_ACT_OR_EST" hidden="1">"c2215"</definedName>
    <definedName name="IQ_EBITDA_CAPEX_INT" hidden="1">"c368"</definedName>
    <definedName name="IQ_EBITDA_CAPEX_OVER_TOTAL_IE" hidden="1">"c1370"</definedName>
    <definedName name="IQ_EBITDA_EQ_INC" hidden="1">"c3496"</definedName>
    <definedName name="IQ_EBITDA_EQ_INC_EXCL_SBC" hidden="1">"c3500"</definedName>
    <definedName name="IQ_EBITDA_EST" hidden="1">"c369"</definedName>
    <definedName name="IQ_EBITDA_EST_REUT" hidden="1">"c3640"</definedName>
    <definedName name="IQ_EBITDA_EXCL_SBC" hidden="1">"c3081"</definedName>
    <definedName name="IQ_EBITDA_HIGH_EST" hidden="1">"c370"</definedName>
    <definedName name="IQ_EBITDA_HIGH_EST_REUT" hidden="1">"c3642"</definedName>
    <definedName name="IQ_EBITDA_INT" hidden="1">"c373"</definedName>
    <definedName name="IQ_EBITDA_LOW_EST" hidden="1">"c371"</definedName>
    <definedName name="IQ_EBITDA_LOW_EST_REUT" hidden="1">"c3643"</definedName>
    <definedName name="IQ_EBITDA_MARGIN" hidden="1">"c372"</definedName>
    <definedName name="IQ_EBITDA_MEDIAN_EST" hidden="1">"c1663"</definedName>
    <definedName name="IQ_EBITDA_MEDIAN_EST_REUT" hidden="1">"c3641"</definedName>
    <definedName name="IQ_EBITDA_NUM_EST" hidden="1">"c374"</definedName>
    <definedName name="IQ_EBITDA_NUM_EST_REUT" hidden="1">"c3644"</definedName>
    <definedName name="IQ_EBITDA_OVER_TOTAL_IE" hidden="1">"c1371"</definedName>
    <definedName name="IQ_EBITDA_SBC_ACT_OR_EST" hidden="1">"c4337"</definedName>
    <definedName name="IQ_EBITDA_STDDEV_EST" hidden="1">"c375"</definedName>
    <definedName name="IQ_EBITDA_STDDEV_EST_REUT" hidden="1">"c3645"</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IT" hidden="1">"c389"</definedName>
    <definedName name="IQ_EBT_SBC_ACT_OR_EST" hidden="1">"c4350"</definedName>
    <definedName name="IQ_EBT_SBC_GW_ACT_OR_EST" hidden="1">"c4354"</definedName>
    <definedName name="IQ_EBT_UTI" hidden="1">"c390"</definedName>
    <definedName name="IQ_EFFECT_SPECIAL_CHARGE" hidden="1">"c1595"</definedName>
    <definedName name="IQ_EFFECT_TAX_RATE" hidden="1">"c1899"</definedName>
    <definedName name="IQ_EFFICIENCY_RATIO" hidden="1">"c391"</definedName>
    <definedName name="IQ_EMPLOYEES" hidden="1">"c392"</definedName>
    <definedName name="IQ_ENTERPRISE_VALUE" hidden="1">"c1348"</definedName>
    <definedName name="IQ_EPS_10YR_ANN_GROWTH" hidden="1">"c393"</definedName>
    <definedName name="IQ_EPS_1YR_ANN_GROWTH" hidden="1">"c394"</definedName>
    <definedName name="IQ_EPS_2YR_ANN_GROWTH" hidden="1">"c395"</definedName>
    <definedName name="IQ_EPS_3YR_ANN_GROWTH" hidden="1">"c396"</definedName>
    <definedName name="IQ_EPS_5YR_ANN_GROWTH" hidden="1">"c397"</definedName>
    <definedName name="IQ_EPS_7YR_ANN_GROWTH" hidden="1">"c398"</definedName>
    <definedName name="IQ_EPS_ACT_OR_EST" hidden="1">"c2213"</definedName>
    <definedName name="IQ_EPS_EST" hidden="1">"c399"</definedName>
    <definedName name="IQ_EPS_EST_REUT" hidden="1">"c5453"</definedName>
    <definedName name="IQ_EPS_HIGH_EST" hidden="1">"c400"</definedName>
    <definedName name="IQ_EPS_HIGH_EST_REUT" hidden="1">"c5454"</definedName>
    <definedName name="IQ_EPS_LOW_EST" hidden="1">"c401"</definedName>
    <definedName name="IQ_EPS_LOW_EST_REUT" hidden="1">"c5455"</definedName>
    <definedName name="IQ_EPS_MEDIAN_EST" hidden="1">"c1661"</definedName>
    <definedName name="IQ_EPS_MEDIAN_EST_REUT" hidden="1">"c5456"</definedName>
    <definedName name="IQ_EPS_NORM" hidden="1">"c1902"</definedName>
    <definedName name="IQ_EPS_NUM_EST" hidden="1">"c402"</definedName>
    <definedName name="IQ_EPS_NUM_EST_REUT" hidden="1">"c5451"</definedName>
    <definedName name="IQ_EPS_SBC_ACT_OR_EST" hidden="1">"c4376"</definedName>
    <definedName name="IQ_EPS_SBC_GW_ACT_OR_EST" hidden="1">"c4380"</definedName>
    <definedName name="IQ_EPS_STDDEV_EST" hidden="1">"c403"</definedName>
    <definedName name="IQ_EPS_STDDEV_EST_REUT" hidden="1">"c5452"</definedName>
    <definedName name="IQ_EQUITY_AFFIL" hidden="1">"c1451"</definedName>
    <definedName name="IQ_EQUITY_METHOD" hidden="1">"c404"</definedName>
    <definedName name="IQ_EQV_OVER_BV" hidden="1">"c1596"</definedName>
    <definedName name="IQ_EQV_OVER_LTM_PRETAX_INC" hidden="1">"c1390"</definedName>
    <definedName name="IQ_ESOP_DEBT" hidden="1">"c1597"</definedName>
    <definedName name="IQ_EST_ACT_EPS" hidden="1">"c1648"</definedName>
    <definedName name="IQ_EST_CURRENCY" hidden="1">"c2140"</definedName>
    <definedName name="IQ_EST_CURRENCY_REUT" hidden="1">"c5437"</definedName>
    <definedName name="IQ_EST_DATE" hidden="1">"c1634"</definedName>
    <definedName name="IQ_EST_DATE_REUT" hidden="1">"c5438"</definedName>
    <definedName name="IQ_EST_EPS_DIFF" hidden="1">"c1864"</definedName>
    <definedName name="IQ_EST_EPS_GROWTH_1YR" hidden="1">"c1636"</definedName>
    <definedName name="IQ_EST_EPS_GROWTH_1YR_REUT" hidden="1">"c3646"</definedName>
    <definedName name="IQ_EST_EPS_GROWTH_5YR" hidden="1">"c1655"</definedName>
    <definedName name="IQ_EST_EPS_GROWTH_5YR_REUT" hidden="1">"c3633"</definedName>
    <definedName name="IQ_EST_EPS_GROWTH_Q_1YR" hidden="1">"c1641"</definedName>
    <definedName name="IQ_EST_EPS_GROWTH_Q_1YR_REUT" hidden="1">"c5410"</definedName>
    <definedName name="IQ_EST_VENDOR" hidden="1">"c5564"</definedName>
    <definedName name="IQ_EV_OVER_EMPLOYEE" hidden="1">"c1428"</definedName>
    <definedName name="IQ_EV_OVER_LTM_EBIT" hidden="1">"c1426"</definedName>
    <definedName name="IQ_EV_OVER_LTM_EBITDA" hidden="1">"c1427"</definedName>
    <definedName name="IQ_EV_OVER_LTM_REVENUE" hidden="1">"c1429"</definedName>
    <definedName name="IQ_EVAL_DATE" hidden="1">"c2180"</definedName>
    <definedName name="IQ_EXCHANGE" hidden="1">"c405"</definedName>
    <definedName name="IQ_EXCISE_TAXES_EXCL_SALES" hidden="1">"c5515"</definedName>
    <definedName name="IQ_EXCISE_TAXES_INCL_SALES" hidden="1">"c5514"</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IT" hidden="1">"c415"</definedName>
    <definedName name="IQ_EXTRA_ACC_ITEMS_UTI" hidden="1">"c416"</definedName>
    <definedName name="IQ_EXTRA_ITEMS" hidden="1">"c1459"</definedName>
    <definedName name="IQ_FDIC" hidden="1">"c417"</definedName>
    <definedName name="IQ_FEDFUNDS_SOLD" hidden="1">"c2256"</definedName>
    <definedName name="IQ_FFO" hidden="1">"c1574"</definedName>
    <definedName name="IQ_FFO_ADJ_ACT_OR_EST" hidden="1">"c4435"</definedName>
    <definedName name="IQ_FFO_PAYOUT_RATIO" hidden="1">"c3492"</definedName>
    <definedName name="IQ_FFO_SHARE_ACT_OR_EST" hidden="1">"c4446"</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IV_ASSETS_CURRENT" hidden="1">"c427"</definedName>
    <definedName name="IQ_FIN_DIV_ASSETS_LT" hidden="1">"c428"</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NOTES_PAY_TOTAL" hidden="1">"c5522"</definedName>
    <definedName name="IQ_FIN_DIV_REV" hidden="1">"c437"</definedName>
    <definedName name="IQ_FIN_DIV_ST_DEBT_TOTAL" hidden="1">"c5527"</definedName>
    <definedName name="IQ_FINANCING_CASH" hidden="1">"c1405"</definedName>
    <definedName name="IQ_FINANCING_CASH_SUPPL" hidden="1">"c1406"</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Y" hidden="1">"c441"</definedName>
    <definedName name="IQ_FIVE_PERCENT_OWNER" hidden="1">"c442"</definedName>
    <definedName name="IQ_FIVEPERCENT_PERCENT" hidden="1">"c443"</definedName>
    <definedName name="IQ_FIVEPERCENT_SHARES" hidden="1">"c444"</definedName>
    <definedName name="IQ_FIXED_ASSET_TURNS" hidden="1">"c445"</definedName>
    <definedName name="IQ_FLOAT_PERCENT" hidden="1">"c1575"</definedName>
    <definedName name="IQ_FOREIGN_DEP_IB" hidden="1">"c446"</definedName>
    <definedName name="IQ_FOREIGN_DEP_NON_IB" hidden="1">"c447"</definedName>
    <definedName name="IQ_FOREIGN_EXCHANGE" hidden="1">"c1376"</definedName>
    <definedName name="IQ_FOREIGN_LOANS" hidden="1">"c448"</definedName>
    <definedName name="IQ_FQ" hidden="1">500</definedName>
    <definedName name="IQ_FUEL" hidden="1">"c449"</definedName>
    <definedName name="IQ_FULL_TIME" hidden="1">"c450"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X" hidden="1">"c451"</definedName>
    <definedName name="IQ_FY" hidden="1">1000</definedName>
    <definedName name="IQ_GA_EXP" hidden="1">"c2241"</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OODWILL_NET" hidden="1">"c1380"</definedName>
    <definedName name="IQ_GP" hidden="1">"c511"</definedName>
    <definedName name="IQ_GP_10YR_ANN_GROWTH" hidden="1">"c512"</definedName>
    <definedName name="IQ_GP_1YR_ANN_GROWTH" hidden="1">"c513"</definedName>
    <definedName name="IQ_GP_2YR_ANN_GROWTH" hidden="1">"c514"</definedName>
    <definedName name="IQ_GP_3YR_ANN_GROWTH" hidden="1">"c515"</definedName>
    <definedName name="IQ_GP_5YR_ANN_GROWTH" hidden="1">"c516"</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"c1446"</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GROWTH" hidden="1">"c522"</definedName>
    <definedName name="IQ_GROSS_LOANS_1YR_ANN_GROWTH" hidden="1">"c523"</definedName>
    <definedName name="IQ_GROSS_LOANS_2YR_ANN_GROWTH" hidden="1">"c524"</definedName>
    <definedName name="IQ_GROSS_LOANS_3YR_ANN_GROWTH" hidden="1">"c525"</definedName>
    <definedName name="IQ_GROSS_LOANS_5YR_ANN_GROWTH" hidden="1">"c526"</definedName>
    <definedName name="IQ_GROSS_LOANS_7YR_ANN_GROWTH" hidden="1">"c527"</definedName>
    <definedName name="IQ_GROSS_LOANS_TOTAL_DEPOSITS" hidden="1">"c528"</definedName>
    <definedName name="IQ_GROSS_MARGIN" hidden="1">"c529"</definedName>
    <definedName name="IQ_GROSS_PC_EARNED" hidden="1">"c2747"</definedName>
    <definedName name="IQ_GROSS_PROFIT" hidden="1">"c1378"</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IT" hidden="1">"c1480"</definedName>
    <definedName name="IQ_GW_INTAN_AMORT_UTI" hidden="1">"c1481"</definedName>
    <definedName name="IQ_HIGH_TARGET_PRICE" hidden="1">"c1651"</definedName>
    <definedName name="IQ_HIGH_TARGET_PRICE_REUT" hidden="1">"c5317"</definedName>
    <definedName name="IQ_HIGHPRICE" hidden="1">"c545"</definedName>
    <definedName name="IQ_HOMEOWNERS_WRITTEN" hidden="1">"c546"</definedName>
    <definedName name="IQ_IMPAIR_OIL" hidden="1">"c547"</definedName>
    <definedName name="IQ_IMPAIRMENT_GW" hidden="1">"c548"</definedName>
    <definedName name="IQ_IMPUT_OPER_LEASE_DEPR" hidden="1">"c2987"</definedName>
    <definedName name="IQ_IMPUT_OPER_LEASE_INT_EXP" hidden="1">"c2986"</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DUSTRY" hidden="1">"c3601"</definedName>
    <definedName name="IQ_INDUSTRY_GROUP" hidden="1">"c3602"</definedName>
    <definedName name="IQ_INDUSTRY_SECTOR" hidden="1">"c3603"</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UR_RECEIV" hidden="1">"c1600"</definedName>
    <definedName name="IQ_INT_BORROW" hidden="1">"c583"</definedName>
    <definedName name="IQ_INT_DEPOSITS" hidden="1">"c584"</definedName>
    <definedName name="IQ_INT_DIV_INC" hidden="1">"c585"</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IT" hidden="1">"c590"</definedName>
    <definedName name="IQ_INT_EXP_TOTAL" hidden="1">"c591"</definedName>
    <definedName name="IQ_INT_EXP_UTI" hidden="1">"c592"</definedName>
    <definedName name="IQ_INT_INC_BR" hidden="1">"c593"</definedName>
    <definedName name="IQ_INT_INC_FIN" hidden="1">"c594"</definedName>
    <definedName name="IQ_INT_INC_INVEST" hidden="1">"c595"</definedName>
    <definedName name="IQ_INT_INC_LOANS" hidden="1">"c596"</definedName>
    <definedName name="IQ_INT_INC_REIT" hidden="1">"c597"</definedName>
    <definedName name="IQ_INT_INC_TOTAL" hidden="1">"c598"</definedName>
    <definedName name="IQ_INT_INC_UTI" hidden="1">"c599"</definedName>
    <definedName name="IQ_INT_INV_INC" hidden="1">"c600"</definedName>
    <definedName name="IQ_INT_INV_INC_REIT" hidden="1">"c601"</definedName>
    <definedName name="IQ_INT_INV_INC_UTI" hidden="1">"c602"</definedName>
    <definedName name="IQ_INT_ON_BORROWING_COVERAGE" hidden="1">"c603"</definedName>
    <definedName name="IQ_INT_RATE_SPREAD" hidden="1">"c604"</definedName>
    <definedName name="IQ_INTANGIBLES_NET" hidden="1">"c1407"</definedName>
    <definedName name="IQ_INTEREST_CASH_DEPOSITS" hidden="1">"c2255"</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V_10YR_ANN_GROWTH" hidden="1">"c1930"</definedName>
    <definedName name="IQ_INV_1YR_ANN_GROWTH" hidden="1">"c1925"</definedName>
    <definedName name="IQ_INV_2YR_ANN_GROWTH" hidden="1">"c1926"</definedName>
    <definedName name="IQ_INV_3YR_ANN_GROWTH" hidden="1">"c1927"</definedName>
    <definedName name="IQ_INV_5YR_ANN_GROWTH" hidden="1">"c1928"</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IT" hidden="1">"c642"</definedName>
    <definedName name="IQ_INVEST_SECURITY_CF_UTI" hidden="1">"c643"</definedName>
    <definedName name="IQ_INVEST_SECURITY_SUPPL" hidden="1">"c5511"</definedName>
    <definedName name="IQ_IPRD" hidden="1">"c644"</definedName>
    <definedName name="IQ_ISS_DEBT_NET" hidden="1">"c1391"</definedName>
    <definedName name="IQ_ISS_STOCK_NET" hidden="1">"c1601"</definedName>
    <definedName name="IQ_ISSUE_CURRENCY" hidden="1">"c2156"</definedName>
    <definedName name="IQ_ISSUE_NAME" hidden="1">"c2142"</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K" hidden="1">1000</definedName>
    <definedName name="IQ_LATESTQ" hidden="1">500</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IT" hidden="1">"c652"</definedName>
    <definedName name="IQ_LEGAL_SETTLE_UTI" hidden="1">"c653"</definedName>
    <definedName name="IQ_LEVERAGE_RATIO" hidden="1">"c654"</definedName>
    <definedName name="IQ_LEVERED_FCF" hidden="1">"c1907"</definedName>
    <definedName name="IQ_LFCF_10YR_ANN_GROWTH" hidden="1">"c1942"</definedName>
    <definedName name="IQ_LFCF_1YR_ANN_GROWTH" hidden="1">"c1937"</definedName>
    <definedName name="IQ_LFCF_2YR_ANN_GROWTH" hidden="1">"c1938"</definedName>
    <definedName name="IQ_LFCF_3YR_ANN_GROWTH" hidden="1">"c1939"</definedName>
    <definedName name="IQ_LFCF_5YR_ANN_GROWTH" hidden="1">"c1940"</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OR" hidden="1">"c655"</definedName>
    <definedName name="IQ_LL" hidden="1">"c656"</definedName>
    <definedName name="IQ_LOAN_LEASE_RECEIV" hidden="1">"c657"</definedName>
    <definedName name="IQ_LOAN_LOSS" hidden="1">"c1386"</definedName>
    <definedName name="IQ_LOAN_SERVICE_REV" hidden="1">"c658"</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IT" hidden="1">"c664"</definedName>
    <definedName name="IQ_LOANS_CF_UTI" hidden="1">"c665"</definedName>
    <definedName name="IQ_LOANS_FOR_SALE" hidden="1">"c666"</definedName>
    <definedName name="IQ_LOANS_PAST_DUE" hidden="1">"c667"</definedName>
    <definedName name="IQ_LOANS_RECEIV_CURRENT" hidden="1">"c668"</definedName>
    <definedName name="IQ_LOANS_RECEIV_LT" hidden="1">"c669"</definedName>
    <definedName name="IQ_LOANS_RECEIV_LT_UTI" hidden="1">"c670"</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LOSS_EXP" hidden="1">"c672"</definedName>
    <definedName name="IQ_LOSS_TO_NET_EARNED" hidden="1">"c2751"</definedName>
    <definedName name="IQ_LOW_TARGET_PRICE" hidden="1">"c1652"</definedName>
    <definedName name="IQ_LOW_TARGET_PRICE_REUT" hidden="1">"c5318"</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IT" hidden="1">"c686"</definedName>
    <definedName name="IQ_LT_DEBT_ISSUED_UTI" hidden="1">"c687"</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REVENUE_OVER_EMPLOYEES" hidden="1">"c1437"</definedName>
    <definedName name="IQ_MACHINERY" hidden="1">"c711"</definedName>
    <definedName name="IQ_MAINT_CAPEX" hidden="1">"c2947"</definedName>
    <definedName name="IQ_MAINT_CAPEX_ACT_OR_EST" hidden="1">"c4458"</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C_RATIO" hidden="1">"c2783"</definedName>
    <definedName name="IQ_MC_STATUTORY_SURPLUS" hidden="1">"c2772"</definedName>
    <definedName name="IQ_MEDIAN_TARGET_PRICE" hidden="1">"c1650"</definedName>
    <definedName name="IQ_MEDIAN_TARGET_PRICE_REUT" hidden="1">"c5316"</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REUT" hidden="1">"c4048"</definedName>
    <definedName name="IQ_MM_ACCOUNT" hidden="1">"c743"</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SERV_RIGHTS" hidden="1">"c2242"</definedName>
    <definedName name="IQ_NET_CHANGE" hidden="1">"c749"</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EBITDA" hidden="1">"c750"</definedName>
    <definedName name="IQ_NET_DEBT_EBITDA_CAPEX" hidden="1">"c2949"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IT" hidden="1">"c756"</definedName>
    <definedName name="IQ_NET_DEBT_ISSUED_UTI" hidden="1">"c757"</definedName>
    <definedName name="IQ_NET_EARNED" hidden="1">"c2734"</definedName>
    <definedName name="IQ_NET_INC" hidden="1">"c1394"</definedName>
    <definedName name="IQ_NET_INC_BEFORE" hidden="1">"c1368"</definedName>
    <definedName name="IQ_NET_INC_CF" hidden="1">"c1397"</definedName>
    <definedName name="IQ_NET_INC_MARGIN" hidden="1">"c1398"</definedName>
    <definedName name="IQ_NET_INT_INC_10YR_ANN_GROWTH" hidden="1">"c758"</definedName>
    <definedName name="IQ_NET_INT_INC_1YR_ANN_GROWTH" hidden="1">"c759"</definedName>
    <definedName name="IQ_NET_INT_INC_2YR_ANN_GROWTH" hidden="1">"c760"</definedName>
    <definedName name="IQ_NET_INT_INC_3YR_ANN_GROWTH" hidden="1">"c761"</definedName>
    <definedName name="IQ_NET_INT_INC_5YR_ANN_GROWTH" hidden="1">"c762"</definedName>
    <definedName name="IQ_NET_INT_INC_7YR_ANN_GROWTH" hidden="1">"c763"</definedName>
    <definedName name="IQ_NET_INT_INC_BNK" hidden="1">"c764"</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LIFE_INS_IN_FORCE" hidden="1">"c2769"</definedName>
    <definedName name="IQ_NET_LOANS" hidden="1">"c772"</definedName>
    <definedName name="IQ_NET_LOANS_10YR_ANN_GROWTH" hidden="1">"c773"</definedName>
    <definedName name="IQ_NET_LOANS_1YR_ANN_GROWTH" hidden="1">"c774"</definedName>
    <definedName name="IQ_NET_LOANS_2YR_ANN_GROWTH" hidden="1">"c775"</definedName>
    <definedName name="IQ_NET_LOANS_3YR_ANN_GROWTH" hidden="1">"c776"</definedName>
    <definedName name="IQ_NET_LOANS_5YR_ANN_GROWTH" hidden="1">"c777"</definedName>
    <definedName name="IQ_NET_LOANS_7YR_ANN_GROWTH" hidden="1">"c778"</definedName>
    <definedName name="IQ_NET_LOANS_TOTAL_DEPOSITS" hidden="1">"c779"</definedName>
    <definedName name="IQ_NET_RENTAL_EXP_FN" hidden="1">"c780"</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GROWTH" hidden="1">"c782"</definedName>
    <definedName name="IQ_NI_1YR_ANN_GROWTH" hidden="1">"c783"</definedName>
    <definedName name="IQ_NI_2YR_ANN_GROWTH" hidden="1">"c784"</definedName>
    <definedName name="IQ_NI_3YR_ANN_GROWTH" hidden="1">"c785"</definedName>
    <definedName name="IQ_NI_5YR_ANN_GROWTH" hidden="1">"c786"</definedName>
    <definedName name="IQ_NI_7YR_ANN_GROWTH" hidden="1">"c787"</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MARGIN" hidden="1">"c794"</definedName>
    <definedName name="IQ_NI_NORM" hidden="1">"c1901"</definedName>
    <definedName name="IQ_NI_NORM_10YR_ANN_GROWTH" hidden="1">"c1960"</definedName>
    <definedName name="IQ_NI_NORM_1YR_ANN_GROWTH" hidden="1">"c1955"</definedName>
    <definedName name="IQ_NI_NORM_2YR_ANN_GROWTH" hidden="1">"c1956"</definedName>
    <definedName name="IQ_NI_NORM_3YR_ANN_GROWTH" hidden="1">"c1957"</definedName>
    <definedName name="IQ_NI_NORM_5YR_ANN_GROWTH" hidden="1">"c1958"</definedName>
    <definedName name="IQ_NI_NORM_7YR_ANN_GROWTH" hidden="1">"c1959"</definedName>
    <definedName name="IQ_NI_NORM_MARGIN" hidden="1">"c1964"</definedName>
    <definedName name="IQ_NI_SBC_ACT_OR_EST" hidden="1">"c4474"</definedName>
    <definedName name="IQ_NI_SBC_GW_ACT_OR_EST" hidden="1">"c4478"</definedName>
    <definedName name="IQ_NI_SFAS" hidden="1">"c795"</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INC" hidden="1">"c802"</definedName>
    <definedName name="IQ_NON_INT_INC_10YR_ANN_GROWTH" hidden="1">"c803"</definedName>
    <definedName name="IQ_NON_INT_INC_1YR_ANN_GROWTH" hidden="1">"c804"</definedName>
    <definedName name="IQ_NON_INT_INC_2YR_ANN_GROWTH" hidden="1">"c805"</definedName>
    <definedName name="IQ_NON_INT_INC_3YR_ANN_GROWTH" hidden="1">"c806"</definedName>
    <definedName name="IQ_NON_INT_INC_5YR_ANN_GROWTH" hidden="1">"c807"</definedName>
    <definedName name="IQ_NON_INT_INC_7YR_ANN_GROWTH" hidden="1">"c808"</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GROWTH" hidden="1">"c811"</definedName>
    <definedName name="IQ_NON_PERF_ASSETS_1YR_ANN_GROWTH" hidden="1">"c812"</definedName>
    <definedName name="IQ_NON_PERF_ASSETS_2YR_ANN_GROWTH" hidden="1">"c813"</definedName>
    <definedName name="IQ_NON_PERF_ASSETS_3YR_ANN_GROWTH" hidden="1">"c814"</definedName>
    <definedName name="IQ_NON_PERF_ASSETS_5YR_ANN_GROWTH" hidden="1">"c815"</definedName>
    <definedName name="IQ_NON_PERF_ASSETS_7YR_ANN_GROWTH" hidden="1">"c816"</definedName>
    <definedName name="IQ_NON_PERF_ASSETS_TOTAL_ASSETS" hidden="1">"c817"</definedName>
    <definedName name="IQ_NON_PERF_LOANS_10YR_ANN_GROWTH" hidden="1">"c818"</definedName>
    <definedName name="IQ_NON_PERF_LOANS_1YR_ANN_GROWTH" hidden="1">"c819"</definedName>
    <definedName name="IQ_NON_PERF_LOANS_2YR_ANN_GROWTH" hidden="1">"c820"</definedName>
    <definedName name="IQ_NON_PERF_LOANS_3YR_ANN_GROWTH" hidden="1">"c821"</definedName>
    <definedName name="IQ_NON_PERF_LOANS_5YR_ANN_GROWTH" hidden="1">"c822"</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CASH_PENSION_EXP" hidden="1">"c3000"</definedName>
    <definedName name="IQ_NONRECOURSE_DEBT" hidden="1">"c2550"</definedName>
    <definedName name="IQ_NONRECOURSE_DEBT_PCT" hidden="1">"c2551"</definedName>
    <definedName name="IQ_NONUTIL_REV" hidden="1">"c2089"</definedName>
    <definedName name="IQ_NORMAL_INC_AFTER" hidden="1">"c1605"</definedName>
    <definedName name="IQ_NORMAL_INC_AVAIL" hidden="1">"c1606"</definedName>
    <definedName name="IQ_NORMAL_INC_BEFORE" hidden="1">"c1607"</definedName>
    <definedName name="IQ_NOTES_PAY" hidden="1">"c1423"</definedName>
    <definedName name="IQ_NOW_ACCOUNT" hidden="1">"c828"</definedName>
    <definedName name="IQ_NPPE" hidden="1">"c829"</definedName>
    <definedName name="IQ_NPPE_10YR_ANN_GROWTH" hidden="1">"c830"</definedName>
    <definedName name="IQ_NPPE_1YR_ANN_GROWTH" hidden="1">"c831"</definedName>
    <definedName name="IQ_NPPE_2YR_ANN_GROWTH" hidden="1">"c832"</definedName>
    <definedName name="IQ_NPPE_3YR_ANN_GROWTH" hidden="1">"c833"</definedName>
    <definedName name="IQ_NPPE_5YR_ANN_GROWTH" hidden="1">"c834"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SHAREHOLDERS" hidden="1">"c1967"</definedName>
    <definedName name="IQ_NUMBER_SHAREHOLDERS_CLASSA" hidden="1">"c1968"</definedName>
    <definedName name="IQ_NUMBER_SHAREHOLDERS_OTHER" hidden="1">"c1969"</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UNRECOG_PRIOR" hidden="1">"c3320"</definedName>
    <definedName name="IQ_OPEB_UNRECOG_PRIOR_DOM" hidden="1">"c3318"</definedName>
    <definedName name="IQ_OPEB_UNRECOG_PRIOR_FOREIGN" hidden="1">"c3319"</definedName>
    <definedName name="IQ_OPENPRICE" hidden="1">"c848"</definedName>
    <definedName name="IQ_OPER_INC" hidden="1">"c849"</definedName>
    <definedName name="IQ_OPER_INC_BR" hidden="1">"c850"</definedName>
    <definedName name="IQ_OPER_INC_FIN" hidden="1">"c851"</definedName>
    <definedName name="IQ_OPER_INC_INS" hidden="1">"c852"</definedName>
    <definedName name="IQ_OPER_INC_MARGIN" hidden="1">"c1448"</definedName>
    <definedName name="IQ_OPER_INC_REIT" hidden="1">"c853"</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ED" hidden="1">"c2116"</definedName>
    <definedName name="IQ_OPTIONS_GRANTED" hidden="1">"c2673"</definedName>
    <definedName name="IQ_OPTIONS_ISSUED" hidden="1">"c857"</definedName>
    <definedName name="IQ_OPTIONS_STRIKE_PRICE_GRANTED" hidden="1">"c2678"</definedName>
    <definedName name="IQ_OPTIONS_STRIKE_PRICE_OS" hidden="1">"c2677"</definedName>
    <definedName name="IQ_ORDER_BACKLOG" hidden="1">"c2090"</definedName>
    <definedName name="IQ_OTHER_ADJUST_GROSS_LOANS" hidden="1">"c859"</definedName>
    <definedName name="IQ_OTHER_AMORT" hidden="1">"c5563"</definedName>
    <definedName name="IQ_OTHER_ASSETS" hidden="1">"c860"</definedName>
    <definedName name="IQ_OTHER_ASSETS_BNK" hidden="1">"c861"</definedName>
    <definedName name="IQ_OTHER_ASSETS_BR" hidden="1">"c862"</definedName>
    <definedName name="IQ_OTHER_ASSETS_FIN" hidden="1">"c863"</definedName>
    <definedName name="IQ_OTHER_ASSETS_INS" hidden="1">"c864"</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REIT" hidden="1">"c882"</definedName>
    <definedName name="IQ_OTHER_CL_SUPPL_UTI" hidden="1">"c883"</definedName>
    <definedName name="IQ_OTHER_CL_UTI" hidden="1">"c884"</definedName>
    <definedName name="IQ_OTHER_CURRENT_ASSETS" hidden="1">"c1403"</definedName>
    <definedName name="IQ_OTHER_CURRENT_LIAB" hidden="1">"c1404"</definedName>
    <definedName name="IQ_OTHER_DEBT" hidden="1">"c2507"</definedName>
    <definedName name="IQ_OTHER_DEBT_PCT" hidden="1">"c2508"</definedName>
    <definedName name="IQ_OTHER_DEP" hidden="1">"c885"</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IT" hidden="1">"c904"</definedName>
    <definedName name="IQ_OTHER_FINANCE_ACT_SUPPL_UTI" hidden="1">"c905"</definedName>
    <definedName name="IQ_OTHER_FINANCE_ACT_UTI" hidden="1">"c906"</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IT" hidden="1">"c912"</definedName>
    <definedName name="IQ_OTHER_INTAN_UTI" hidden="1">"c913"</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IT" hidden="1">"c940"</definedName>
    <definedName name="IQ_OTHER_LIAB_LT_UTI" hidden="1">"c941"</definedName>
    <definedName name="IQ_OTHER_LIAB_REIT" hidden="1">"c942"</definedName>
    <definedName name="IQ_OTHER_LIAB_UTI" hidden="1">"c943"</definedName>
    <definedName name="IQ_OTHER_LIAB_WRITTEN" hidden="1">"c944"</definedName>
    <definedName name="IQ_OTHER_LOANS" hidden="1">"c945"</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IT" hidden="1">"c951"</definedName>
    <definedName name="IQ_OTHER_LT_ASSETS_UTI" hidden="1">"c952"</definedName>
    <definedName name="IQ_OTHER_NET" hidden="1">"c1453"</definedName>
    <definedName name="IQ_OTHER_NON_INT_EXP" hidden="1">"c953"</definedName>
    <definedName name="IQ_OTHER_NON_INT_EXP_TOTAL" hidden="1">"c954"</definedName>
    <definedName name="IQ_OTHER_NON_INT_INC" hidden="1">"c955"</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IT" hidden="1">"c965"</definedName>
    <definedName name="IQ_OTHER_NON_OPER_EXP_SUPPL_UTI" hidden="1">"c966"</definedName>
    <definedName name="IQ_OTHER_NON_OPER_EXP_UTI" hidden="1">"c967"</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ED" hidden="1">"c2688"</definedName>
    <definedName name="IQ_OTHER_OPTIONS_GRANTED" hidden="1">"c2687"</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IT" hidden="1">"c1019"</definedName>
    <definedName name="IQ_OTHER_REV_SUPPL_UTI" hidden="1">"c1020"</definedName>
    <definedName name="IQ_OTHER_REV_UTI" hidden="1">"c1021"</definedName>
    <definedName name="IQ_OTHER_REVENUE" hidden="1">"c1410"</definedName>
    <definedName name="IQ_OTHER_STRIKE_PRICE_GRANTED" hidden="1">"c2692"</definedName>
    <definedName name="IQ_OTHER_UNDRAWN" hidden="1">"c2522"</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"c2128"</definedName>
    <definedName name="IQ_OUTSTANDING_FILING_DATE" hidden="1">"c1023"</definedName>
    <definedName name="IQ_OWNERSHIP" hidden="1">"c2160"</definedName>
    <definedName name="IQ_PART_TIME" hidden="1">"c1024"</definedName>
    <definedName name="IQ_PAY_ACCRUED" hidden="1">"c1457"</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REUT" hidden="1">"c4049"</definedName>
    <definedName name="IQ_PE_NORMALIZED" hidden="1">"c2207"</definedName>
    <definedName name="IQ_PE_RATIO" hidden="1">"c1610"</definedName>
    <definedName name="IQ_PEG_FWD" hidden="1">"c1863"</definedName>
    <definedName name="IQ_PEG_FWD_REUT" hidden="1">"c4052"</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IODDATE" hidden="1">"c1414"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RE_OPEN_COST" hidden="1">"c1040"</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IT" hidden="1">"c1058"</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IT" hidden="1">"c1065"</definedName>
    <definedName name="IQ_PREF_REP_UTI" hidden="1">"c1066"</definedName>
    <definedName name="IQ_PREF_STOCK" hidden="1">"c1416"</definedName>
    <definedName name="IQ_PREF_TOT" hidden="1">"c1415"</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ICE_OVER_BVPS" hidden="1">"c1412"</definedName>
    <definedName name="IQ_PRICE_OVER_LTM_EPS" hidden="1">"c1413"</definedName>
    <definedName name="IQ_PRICE_TARGET" hidden="1">"c82"</definedName>
    <definedName name="IQ_PRICE_TARGET_REUT" hidden="1">"c3631"</definedName>
    <definedName name="IQ_PRICEDATE" hidden="1">"c1069"</definedName>
    <definedName name="IQ_PRICING_DATE" hidden="1">"c1613"</definedName>
    <definedName name="IQ_PRIMARY_INDUSTRY" hidden="1">"c1070"</definedName>
    <definedName name="IQ_PRINCIPAL_AMT" hidden="1">"c2157"</definedName>
    <definedName name="IQ_PRO_FORMA_BASIC_EPS" hidden="1">"c1614"</definedName>
    <definedName name="IQ_PRO_FORMA_DILUT_EPS" hidden="1">"c1615"</definedName>
    <definedName name="IQ_PRO_FORMA_NET_INC" hidden="1">"c1452"</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ISION_10YR_ANN_GROWTH" hidden="1">"c1077"</definedName>
    <definedName name="IQ_PROVISION_1YR_ANN_GROWTH" hidden="1">"c1078"</definedName>
    <definedName name="IQ_PROVISION_2YR_ANN_GROWTH" hidden="1">"c1079"</definedName>
    <definedName name="IQ_PROVISION_3YR_ANN_GROWTH" hidden="1">"c1080"</definedName>
    <definedName name="IQ_PROVISION_5YR_ANN_GROWTH" hidden="1">"c1081"</definedName>
    <definedName name="IQ_PROVISION_7YR_ANN_GROWTH" hidden="1">"c1082"</definedName>
    <definedName name="IQ_PROVISION_CHARGE_OFFS" hidden="1">"c1083"</definedName>
    <definedName name="IQ_PTBV" hidden="1">"c1084"</definedName>
    <definedName name="IQ_PTBV_AVG" hidden="1">"c1085"</definedName>
    <definedName name="IQ_PUT_DATE_SCHEDULE" hidden="1">"c2483"</definedName>
    <definedName name="IQ_PUT_NOTIFICATION" hidden="1">"c2485"</definedName>
    <definedName name="IQ_PUT_PRICE_SCHEDULE" hidden="1">"c2484"</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AL_ESTATE" hidden="1">"c1093"</definedName>
    <definedName name="IQ_REAL_ESTATE_ASSETS" hidden="1">"c1094"</definedName>
    <definedName name="IQ_RECURRING_PROFIT_ACT_OR_EST" hidden="1">"c4507"</definedName>
    <definedName name="IQ_RECURRING_PROFIT_SHARE_ACT_OR_EST" hidden="1">"c4508"</definedName>
    <definedName name="IQ_REDEEM_PREF_STOCK" hidden="1">"c1417"</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NTAL_REV" hidden="1">"c1101"</definedName>
    <definedName name="IQ_RESEARCH_DEV" hidden="1">"c1419"</definedName>
    <definedName name="IQ_RESIDENTIAL_LOANS" hidden="1">"c1102"</definedName>
    <definedName name="IQ_RESTATEMENT_BS" hidden="1">"c1643"</definedName>
    <definedName name="IQ_RESTATEMENT_CF" hidden="1">"c1644"</definedName>
    <definedName name="IQ_RESTATEMENT_IS" hidden="1">"c1642"</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IT" hidden="1">"c1110"</definedName>
    <definedName name="IQ_RESTRUCTURE_UTI" hidden="1">"c1111"</definedName>
    <definedName name="IQ_RESTRUCTURED_LOANS" hidden="1">"c1112"</definedName>
    <definedName name="IQ_RETAIL_ACQUIRED_FRANCHISE_STORES" hidden="1">"c2895"</definedName>
    <definedName name="IQ_RETAIL_ACQUIRED_OWNED_STORES" hidden="1">"c2903"</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"c1420"</definedName>
    <definedName name="IQ_RETURN_ASSETS" hidden="1">"c1113"</definedName>
    <definedName name="IQ_RETURN_ASSETS_BANK" hidden="1">"c1114"</definedName>
    <definedName name="IQ_RETURN_ASSETS_BROK" hidden="1">"c1115"</definedName>
    <definedName name="IQ_RETURN_ASSETS_FS" hidden="1">"c1116"</definedName>
    <definedName name="IQ_RETURN_CAPITAL" hidden="1">"c1117"</definedName>
    <definedName name="IQ_RETURN_EQUITY" hidden="1">"c1118"</definedName>
    <definedName name="IQ_RETURN_EQUITY_BANK" hidden="1">"c1119"</definedName>
    <definedName name="IQ_RETURN_EQUITY_BROK" hidden="1">"c1120"</definedName>
    <definedName name="IQ_RETURN_EQUITY_FS" hidden="1">"c1121"</definedName>
    <definedName name="IQ_RETURN_INVESTMENT" hidden="1">"c1421"</definedName>
    <definedName name="IQ_REV" hidden="1">"c1122"</definedName>
    <definedName name="IQ_REV_BEFORE_LL" hidden="1">"c1123"</definedName>
    <definedName name="IQ_REV_STDDEV_EST" hidden="1">"c1124"</definedName>
    <definedName name="IQ_REV_STDDEV_EST_REUT" hidden="1">"c3639"</definedName>
    <definedName name="IQ_REV_UTI" hidden="1">"c1125"</definedName>
    <definedName name="IQ_REVENUE" hidden="1">"c1422"</definedName>
    <definedName name="IQ_REVENUE_ACT_OR_EST" hidden="1">"c2214"</definedName>
    <definedName name="IQ_REVENUE_EST" hidden="1">"c1126"</definedName>
    <definedName name="IQ_REVENUE_EST_REUT" hidden="1">"c3634"</definedName>
    <definedName name="IQ_REVENUE_HIGH_EST" hidden="1">"c1127"</definedName>
    <definedName name="IQ_REVENUE_HIGH_EST_REUT" hidden="1">"c3636"</definedName>
    <definedName name="IQ_REVENUE_LOW_EST" hidden="1">"c1128"</definedName>
    <definedName name="IQ_REVENUE_LOW_EST_REUT" hidden="1">"c3637"</definedName>
    <definedName name="IQ_REVENUE_MEDIAN_EST" hidden="1">"c1662"</definedName>
    <definedName name="IQ_REVENUE_MEDIAN_EST_REUT" hidden="1">"c3635"</definedName>
    <definedName name="IQ_REVENUE_NUM_EST" hidden="1">"c1129"</definedName>
    <definedName name="IQ_REVENUE_NUM_EST_REUT" hidden="1">"c3638"</definedName>
    <definedName name="IQ_REVISION_DATE_" hidden="1">39489.6256597222</definedName>
    <definedName name="IQ_RISK_ADJ_BANK_ASSETS" hidden="1">"c2670"</definedName>
    <definedName name="IQ_SALARY" hidden="1">"c1130"</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_PURCHASED_RESELL" hidden="1">"c5513"</definedName>
    <definedName name="IQ_SECUR_RECEIV" hidden="1">"c1151"</definedName>
    <definedName name="IQ_SECURED_DEBT" hidden="1">"c2546"</definedName>
    <definedName name="IQ_SECURED_DEBT_PCT" hidden="1">"c2547"</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GA" hidden="1">"c1158"</definedName>
    <definedName name="IQ_SGA_BNK" hidden="1">"c1159"</definedName>
    <definedName name="IQ_SGA_INS" hidden="1">"c1160"</definedName>
    <definedName name="IQ_SGA_MARGIN" hidden="1">"c1898"</definedName>
    <definedName name="IQ_SGA_REIT" hidden="1">"c1161"</definedName>
    <definedName name="IQ_SGA_SUPPL" hidden="1">"c1162"</definedName>
    <definedName name="IQ_SGA_UTI" hidden="1">"c1163"</definedName>
    <definedName name="IQ_SHAREOUTSTANDING" hidden="1">"c1347"</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"c1425"</definedName>
    <definedName name="IQ_SMALL_INT_BEAR_CD" hidden="1">"c1166"</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IT" hidden="1">"c1186"</definedName>
    <definedName name="IQ_ST_DEBT_ISSUED_UTI" hidden="1">"c1187"</definedName>
    <definedName name="IQ_ST_DEBT_PCT" hidden="1">"c2539"</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IT" hidden="1">"c1194"</definedName>
    <definedName name="IQ_ST_DEBT_REPAID_UTI" hidden="1">"c1195"</definedName>
    <definedName name="IQ_ST_DEBT_UTI" hidden="1">"c1196"</definedName>
    <definedName name="IQ_ST_INVEST" hidden="1">"c1197"</definedName>
    <definedName name="IQ_ST_INVEST_UTI" hidden="1">"c1198"</definedName>
    <definedName name="IQ_ST_NOTE_RECEIV" hidden="1">"c1199"</definedName>
    <definedName name="IQ_STATE" hidden="1">"c1200"</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VA" hidden="1">"c1214"</definedName>
    <definedName name="IQ_TARGET_PRICE_NUM" hidden="1">"c1653"</definedName>
    <definedName name="IQ_TARGET_PRICE_NUM_REUT" hidden="1">"c5319"</definedName>
    <definedName name="IQ_TARGET_PRICE_STDDEV" hidden="1">"c1654"</definedName>
    <definedName name="IQ_TARGET_PRICE_STDDEV_REUT" hidden="1">"c5320"</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GROWTH" hidden="1">"c1936"</definedName>
    <definedName name="IQ_TBV_1YR_ANN_GROWTH" hidden="1">"c1931"</definedName>
    <definedName name="IQ_TBV_2YR_ANN_GROWTH" hidden="1">"c1932"</definedName>
    <definedName name="IQ_TBV_3YR_ANN_GROWTH" hidden="1">"c1933"</definedName>
    <definedName name="IQ_TBV_5YR_ANN_GROWTH" hidden="1">"c1934"</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DA" hidden="1">"c1222"</definedName>
    <definedName name="IQ_TEV_EBITDA_AVG" hidden="1">"c1223"</definedName>
    <definedName name="IQ_TEV_EBITDA_FWD" hidden="1">"c1224"</definedName>
    <definedName name="IQ_TEV_EBITDA_FWD_REUT" hidden="1">"c4050"</definedName>
    <definedName name="IQ_TEV_EMPLOYEE_AVG" hidden="1">"c1225"</definedName>
    <definedName name="IQ_TEV_TOTAL_REV" hidden="1">"c1226"</definedName>
    <definedName name="IQ_TEV_TOTAL_REV_AVG" hidden="1">"c1227"</definedName>
    <definedName name="IQ_TEV_TOTAL_REV_FWD" hidden="1">"c1228"</definedName>
    <definedName name="IQ_TEV_TOTAL_REV_FWD_REUT" hidden="1">"c4051"</definedName>
    <definedName name="IQ_TEV_UFCF" hidden="1">"c2208"</definedName>
    <definedName name="IQ_TIER_ONE_CAPITAL" hidden="1">"c2667"</definedName>
    <definedName name="IQ_TIER_ONE_RATIO" hidden="1">"c1229"</definedName>
    <definedName name="IQ_TIER_TWO_CAPITAL" hidden="1">"c2669"</definedName>
    <definedName name="IQ_TIME_DEP" hidden="1">"c1230"</definedName>
    <definedName name="IQ_TODAY" hidden="1">0</definedName>
    <definedName name="IQ_TOT_ADJ_INC" hidden="1">"c1616"</definedName>
    <definedName name="IQ_TOTAL_AR_BR" hidden="1">"c1231"</definedName>
    <definedName name="IQ_TOTAL_AR_REIT" hidden="1">"c1232"</definedName>
    <definedName name="IQ_TOTAL_AR_UTI" hidden="1">"c1233"</definedName>
    <definedName name="IQ_TOTAL_ASSETS" hidden="1">"c1234"</definedName>
    <definedName name="IQ_TOTAL_ASSETS_10YR_ANN_GROWTH" hidden="1">"c1235"</definedName>
    <definedName name="IQ_TOTAL_ASSETS_1YR_ANN_GROWTH" hidden="1">"c1236"</definedName>
    <definedName name="IQ_TOTAL_ASSETS_2YR_ANN_GROWTH" hidden="1">"c1237"</definedName>
    <definedName name="IQ_TOTAL_ASSETS_3YR_ANN_GROWTH" hidden="1">"c1238"</definedName>
    <definedName name="IQ_TOTAL_ASSETS_5YR_ANN_GROWTH" hidden="1">"c1239"</definedName>
    <definedName name="IQ_TOTAL_ASSETS_7YR_ANN_GROWTH" hidden="1">"c1240"</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URN" hidden="1">"c2122"</definedName>
    <definedName name="IQ_TOTAL_CL" hidden="1">"c1245"</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IT" hidden="1">"c1255"</definedName>
    <definedName name="IQ_TOTAL_DEBT_ISSUED_UTI" hidden="1">"c1256"</definedName>
    <definedName name="IQ_TOTAL_DEBT_ISSUES_INS" hidden="1">"c1257"</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IT" hidden="1">"c1263"</definedName>
    <definedName name="IQ_TOTAL_DEBT_REPAID_UTI" hidden="1">"c1264"</definedName>
    <definedName name="IQ_TOTAL_DEPOSITS" hidden="1">"c1265"</definedName>
    <definedName name="IQ_TOTAL_DIV_PAID_CF" hidden="1">"c1266"</definedName>
    <definedName name="IQ_TOTAL_EMPLOYEE" hidden="1">"c2141"</definedName>
    <definedName name="IQ_TOTAL_EMPLOYEES" hidden="1">"c1522"</definedName>
    <definedName name="IQ_TOTAL_EQUITY" hidden="1">"c1267"</definedName>
    <definedName name="IQ_TOTAL_EQUITY_10YR_ANN_GROWTH" hidden="1">"c1268"</definedName>
    <definedName name="IQ_TOTAL_EQUITY_1YR_ANN_GROWTH" hidden="1">"c1269"</definedName>
    <definedName name="IQ_TOTAL_EQUITY_2YR_ANN_GROWTH" hidden="1">"c1270"</definedName>
    <definedName name="IQ_TOTAL_EQUITY_3YR_ANN_GROWTH" hidden="1">"c1271"</definedName>
    <definedName name="IQ_TOTAL_EQUITY_5YR_ANN_GROWTH" hidden="1">"c1272"</definedName>
    <definedName name="IQ_TOTAL_EQUITY_7YR_ANN_GROWTH" hidden="1">"c1273"</definedName>
    <definedName name="IQ_TOTAL_EQUITY_ALLOWANCE_TOTAL_LOANS" hidden="1">"c1274"</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FIN" hidden="1">"c1280"</definedName>
    <definedName name="IQ_TOTAL_LIAB_INS" hidden="1">"c1281"</definedName>
    <definedName name="IQ_TOTAL_LIAB_REIT" hidden="1">"c1282"</definedName>
    <definedName name="IQ_TOTAL_LIAB_SHAREHOLD" hidden="1">"c1435"</definedName>
    <definedName name="IQ_TOTAL_LIAB_TOTAL_ASSETS" hidden="1">"c1283"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V" hidden="1">"c1294"</definedName>
    <definedName name="IQ_TOTAL_REV_10YR_ANN_GROWTH" hidden="1">"c1295"</definedName>
    <definedName name="IQ_TOTAL_REV_1YR_ANN_GROWTH" hidden="1">"c1296"</definedName>
    <definedName name="IQ_TOTAL_REV_2YR_ANN_GROWTH" hidden="1">"c1297"</definedName>
    <definedName name="IQ_TOTAL_REV_3YR_ANN_GROWTH" hidden="1">"c1298"</definedName>
    <definedName name="IQ_TOTAL_REV_5YR_ANN_GROWTH" hidden="1">"c1299"</definedName>
    <definedName name="IQ_TOTAL_REV_7YR_ANN_GROWTH" hidden="1">"c1300"</definedName>
    <definedName name="IQ_TOTAL_REV_AS_REPORTED" hidden="1">"c1301"</definedName>
    <definedName name="IQ_TOTAL_REV_BNK" hidden="1">"c1302"</definedName>
    <definedName name="IQ_TOTAL_REV_BR" hidden="1">"c1303"</definedName>
    <definedName name="IQ_TOTAL_REV_EMPLOYEE" hidden="1">"c1304"</definedName>
    <definedName name="IQ_TOTAL_REV_FIN" hidden="1">"c1305"</definedName>
    <definedName name="IQ_TOTAL_REV_INS" hidden="1">"c1306"</definedName>
    <definedName name="IQ_TOTAL_REV_REIT" hidden="1">"c1307"</definedName>
    <definedName name="IQ_TOTAL_REV_SHARE" hidden="1">"c1912"</definedName>
    <definedName name="IQ_TOTAL_REV_UTI" hidden="1">"c1308"</definedName>
    <definedName name="IQ_TOTAL_REVENUE" hidden="1">"c1436"</definedName>
    <definedName name="IQ_TOTAL_SPECIAL" hidden="1">"c1618"</definedName>
    <definedName name="IQ_TOTAL_ST_BORROW" hidden="1">"c1424"</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IT" hidden="1">"c5520"</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"c1345"</definedName>
    <definedName name="IQ_TRADE_PRINCIPAL" hidden="1">"c1309"</definedName>
    <definedName name="IQ_TRADING_ASSETS" hidden="1">"c1310"</definedName>
    <definedName name="IQ_TRADING_CURRENCY" hidden="1">"c2212"</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IT" hidden="1">"c1317"</definedName>
    <definedName name="IQ_TREASURY_OTHER_EQUITY_UTI" hidden="1">"c1318"</definedName>
    <definedName name="IQ_TREASURY_STOCK" hidden="1">"c1438"</definedName>
    <definedName name="IQ_TRUST_INC" hidden="1">"c1319"</definedName>
    <definedName name="IQ_TRUST_PREF" hidden="1">"c1320"</definedName>
    <definedName name="IQ_TRUST_PREFERRED" hidden="1">"c3029"</definedName>
    <definedName name="IQ_TRUST_PREFERRED_PCT" hidden="1">"c3030"</definedName>
    <definedName name="IQ_UFCF_10YR_ANN_GROWTH" hidden="1">"c1948"</definedName>
    <definedName name="IQ_UFCF_1YR_ANN_GROWTH" hidden="1">"c1943"</definedName>
    <definedName name="IQ_UFCF_2YR_ANN_GROWTH" hidden="1">"c1944"</definedName>
    <definedName name="IQ_UFCF_3YR_ANN_GROWTH" hidden="1">"c1945"</definedName>
    <definedName name="IQ_UFCF_5YR_ANN_GROWTH" hidden="1">"c1946"</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IT" hidden="1">"c1327"</definedName>
    <definedName name="IQ_UNEARN_REV_CURRENT_UTI" hidden="1">"c1328"</definedName>
    <definedName name="IQ_UNEARN_REV_LT" hidden="1">"c1329"</definedName>
    <definedName name="IQ_UNLEVERED_FCF" hidden="1">"c1908"</definedName>
    <definedName name="IQ_UNPAID_CLAIMS" hidden="1">"c1330"</definedName>
    <definedName name="IQ_UNREALIZED_GAIN" hidden="1">"c1619"</definedName>
    <definedName name="IQ_UNSECURED_DEBT" hidden="1">"c2548"</definedName>
    <definedName name="IQ_UNSECURED_DEBT_PCT" hidden="1">"c2549"</definedName>
    <definedName name="IQ_UNUSUAL_EXP" hidden="1">"c1456"</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TIL_PPE_NET" hidden="1">"c1620"</definedName>
    <definedName name="IQ_UTIL_REV" hidden="1">"c2091"</definedName>
    <definedName name="IQ_UV_PENSION_LIAB" hidden="1">"c1332"</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IGHTED_AVG_PRICE" hidden="1">"c1334"</definedName>
    <definedName name="IQ_WIP_INV" hidden="1">"c1335"</definedName>
    <definedName name="IQ_WORKING_CAP" hidden="1">"c3494"</definedName>
    <definedName name="IQ_WORKMEN_WRITTEN" hidden="1">"c1336"</definedName>
    <definedName name="IQ_XDIV_DATE" hidden="1">"c2203"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W" hidden="1">"c2163"</definedName>
    <definedName name="IQ_YTW_DATE" hidden="1">"c2164"</definedName>
    <definedName name="IQ_YTW_DATE_TYPE" hidden="1">"c2165"</definedName>
    <definedName name="IQ_Z_SCORE" hidden="1">"c1339"</definedName>
    <definedName name="KeepVersions" localSheetId="5">IndexInformation!$B$8</definedName>
    <definedName name="LanguageCode">IndexInformation!$B$38</definedName>
    <definedName name="Last_date">OFFSET('[6]StoredAC v2'!$B$9,COUNT('[6]StoredAC v2'!$B$1:$B$65536)-1,0,1,1)</definedName>
    <definedName name="LastCell" localSheetId="1">ImportantDisclosures!$A$22</definedName>
    <definedName name="Linking_Range_11">Model!$A$1:$CF$188</definedName>
    <definedName name="Linking_Range_12">Model!$A$1:$CF$158</definedName>
    <definedName name="Linking_Range_12321">Valuation!$K$6:$T$64</definedName>
    <definedName name="Linking_Range_13">Model!$A$169:$CF$233</definedName>
    <definedName name="Linking_Range_14">Model!$A$1:$CF$233</definedName>
    <definedName name="Linking_Range_15">Model!$A$1:$CF$263</definedName>
    <definedName name="Linking_Range_16">Model!$A$1:$CF$303</definedName>
    <definedName name="MacroVersion" localSheetId="5">IndexInformation!$B$1</definedName>
    <definedName name="MACRS_schedule">[20]Analysis!$C$2</definedName>
    <definedName name="MACRSoptions">[20]MACRS!$C$4:$C$8</definedName>
    <definedName name="Mainline">OFFSET([6]StoredAC!$AP$9,0,0,COUNT([6]StoredAC!$AP$1:$AP$65536)-1,1)</definedName>
    <definedName name="Mid_AC">OFFSET('[6]StoredAC v2'!$W$9,0,0,COUNT('[6]StoredAC v2'!$W$1:$W$65536)-1,1)</definedName>
    <definedName name="Mid_Sized">OFFSET([6]StoredAC!$BI$9,0,0,COUNT([6]StoredAC!$BI$1:$BI$65536)-1,1)</definedName>
    <definedName name="MidInStorage">OFFSET('[6]StoredAC v2'!$W$9,0,0,COUNT('[6]StoredAC v2'!$W$1:$W$65536)-1,1)</definedName>
    <definedName name="ModelPrice" localSheetId="1">ImportantDisclosures!$A$14</definedName>
    <definedName name="Mult">[12]DCF!$B$7</definedName>
    <definedName name="Multiplier" localSheetId="5">IndexInformation!$B$35</definedName>
    <definedName name="multSecurities_L">[21]MultipleSecurities!$A$2:$A$17</definedName>
    <definedName name="New">OFFSET([6]StoredAC!$BY$9,0,0,COUNT([6]StoredAC!$BY$1:$BY$65536)-1,1)</definedName>
    <definedName name="New_AC">OFFSET('[6]StoredAC v2'!$AJ$9,0,0,COUNT('[6]StoredAC v2'!$AJ$1:$AJ$65536)-1,1)</definedName>
    <definedName name="New_Small">OFFSET([6]StoredAC!$BE$9,0,0,COUNT([6]StoredAC!$BE$1:$BE$65536)-1,1)</definedName>
    <definedName name="NewInStorage">OFFSET('[6]StoredAC v2'!$AJ$9,0,0,COUNT('[6]StoredAC v2'!$AJ$1:$AJ$65536)-1,1)</definedName>
    <definedName name="NextYearEPS" localSheetId="5">IndexInformation!$B$13</definedName>
    <definedName name="NextYearTotalRevenue" localSheetId="5">IndexInformation!$B$12</definedName>
    <definedName name="NextYearTotalRevenueActual" localSheetId="5">IndexInformation!$B$33</definedName>
    <definedName name="ObjectType">IndexInformation!$B$37</definedName>
    <definedName name="Old">OFFSET([6]StoredAC!$BX$9,0,0,COUNT([6]StoredAC!$BX$1:$BX$65536)-1,1)</definedName>
    <definedName name="Old_AC">OFFSET('[6]StoredAC v2'!$L$9,0,0,COUNT('[6]StoredAC v2'!$L$1:$L$65536)-1,1)</definedName>
    <definedName name="Old_Narrows">OFFSET([6]StoredAC!$BF$9,0,0,COUNT([6]StoredAC!$BF$1:$BF$65536)-1,1)</definedName>
    <definedName name="OldInStorage">OFFSET('[6]StoredAC v2'!$L$9,0,0,COUNT('[6]StoredAC v2'!$L$1:$L$65536)-1,1)</definedName>
    <definedName name="one">{"Client Name or Project Name"}</definedName>
    <definedName name="PANA" localSheetId="6">ModPubIndex!$A$11</definedName>
    <definedName name="PathName" localSheetId="5">IndexInformation!$B$25</definedName>
    <definedName name="_xlnm.Print_Area" localSheetId="4">Model!$A$1:$BF$316</definedName>
    <definedName name="_xlnm.Print_Area" localSheetId="3">Valuation!$A$1:$T$64</definedName>
    <definedName name="_xlnm.Print_Area">"Formula removed, name can be deleted."</definedName>
    <definedName name="_xlnm.Print_Titles" localSheetId="4">Model!$A:$A,Model!$1:$1</definedName>
    <definedName name="_xlnm.Print_Titles">"Formula removed, name can be deleted."</definedName>
    <definedName name="PRODUCT" localSheetId="6">ModPubIndex!$A$6</definedName>
    <definedName name="ProjectName">{"Client Name or Project Name"}</definedName>
    <definedName name="PSYM" localSheetId="6">ModPubIndex!$A$4</definedName>
    <definedName name="PublishDate" localSheetId="5">IndexInformation!$B$2</definedName>
    <definedName name="Rating" localSheetId="5">IndexInformation!$B$9</definedName>
    <definedName name="RatingsDefined" localSheetId="1">ImportantDisclosures!$A$21</definedName>
    <definedName name="RatingsDefs" localSheetId="1">ImportantDisclosures!#REF!</definedName>
    <definedName name="RegACDisclosure" localSheetId="1">ImportantDisclosures!#REF!</definedName>
    <definedName name="ResearchTopic" localSheetId="5">IndexInformation!$B$4</definedName>
    <definedName name="RIC" localSheetId="5">IndexInformation!$B$21</definedName>
    <definedName name="Rsquared">'[6]Boeing Monthly'!$AT$674</definedName>
    <definedName name="SECSettlement" localSheetId="1">ImportantDisclosures!#REF!</definedName>
    <definedName name="SEDOL" localSheetId="5">IndexInformation!$B$22</definedName>
    <definedName name="solver_adj" localSheetId="4" hidden="1">Model!$AY$289</definedName>
    <definedName name="solver_cvg" localSheetId="4" hidden="1">0.0001</definedName>
    <definedName name="solver_drv" localSheetId="4" hidden="1">2</definedName>
    <definedName name="solver_eng" localSheetId="4" hidden="1">1</definedName>
    <definedName name="solver_est" localSheetId="4" hidden="1">1</definedName>
    <definedName name="solver_itr" localSheetId="4" hidden="1">2147483647</definedName>
    <definedName name="solver_lhs1" localSheetId="4" hidden="1">Model!$DT$224</definedName>
    <definedName name="solver_mip" localSheetId="4" hidden="1">2147483647</definedName>
    <definedName name="solver_mni" localSheetId="4" hidden="1">30</definedName>
    <definedName name="solver_mrt" localSheetId="4" hidden="1">0.075</definedName>
    <definedName name="solver_msl" localSheetId="4" hidden="1">2</definedName>
    <definedName name="solver_neg" localSheetId="4" hidden="1">1</definedName>
    <definedName name="solver_nod" localSheetId="4" hidden="1">2147483647</definedName>
    <definedName name="solver_num" localSheetId="4" hidden="1">0</definedName>
    <definedName name="solver_nwt" localSheetId="4" hidden="1">1</definedName>
    <definedName name="solver_opt" localSheetId="4" hidden="1">Model!$AY$288</definedName>
    <definedName name="solver_pre" localSheetId="4" hidden="1">0.000001</definedName>
    <definedName name="solver_rbv" localSheetId="4" hidden="1">2</definedName>
    <definedName name="solver_rel1" localSheetId="4" hidden="1">2</definedName>
    <definedName name="solver_rhs1" localSheetId="4" hidden="1">311</definedName>
    <definedName name="solver_rlx" localSheetId="4" hidden="1">2</definedName>
    <definedName name="solver_rsd" localSheetId="4" hidden="1">0</definedName>
    <definedName name="solver_scl" localSheetId="4" hidden="1">2</definedName>
    <definedName name="solver_sho" localSheetId="4" hidden="1">2</definedName>
    <definedName name="solver_ssz" localSheetId="4" hidden="1">100</definedName>
    <definedName name="solver_tim" localSheetId="4" hidden="1">2147483647</definedName>
    <definedName name="solver_tol" localSheetId="4" hidden="1">0.01</definedName>
    <definedName name="solver_typ" localSheetId="4" hidden="1">3</definedName>
    <definedName name="solver_val" localSheetId="4" hidden="1">3685.968</definedName>
    <definedName name="solver_ver" localSheetId="4" hidden="1">3</definedName>
    <definedName name="SourceDefined" localSheetId="1">ImportantDisclosures!$A$19</definedName>
    <definedName name="Statement">[0]!Statement</definedName>
    <definedName name="StockRating" localSheetId="1">ImportantDisclosures!$A$11</definedName>
    <definedName name="Stored_Dates">OFFSET('[6]StoredAC v2'!$B$9,0,0,COUNT('[6]StoredAC v2'!$B$1:$B$65536),1)</definedName>
    <definedName name="SubjectCode" localSheetId="5">IndexInformation!$B$6</definedName>
    <definedName name="SubmitterUserId">IndexInformation!$B$39</definedName>
    <definedName name="SUPPRESSED" localSheetId="6">ModPubIndex!$A$13</definedName>
    <definedName name="T_Mainline">OFFSET('[6]StoredAC v2'!$AK$9,0,0,COUNT('[6]StoredAC v2'!$AK$1:$AK$65536)-1,1)</definedName>
    <definedName name="TargetPrice" localSheetId="1">ImportantDisclosures!$A$15</definedName>
    <definedName name="TemplateRegion">IndexInformation!$B$36</definedName>
    <definedName name="Ticker" localSheetId="1">ImportantDisclosures!$A$10</definedName>
    <definedName name="ticker">OFFSET('[22]Exclusion List'!$A$1,1,0,COUNTA('[22]Exclusion List'!$A$1:$A$65536)-1,1)</definedName>
    <definedName name="TickerRegion">IndexInformation!$B$41</definedName>
    <definedName name="Tickers" localSheetId="5">IndexInformation!$B$19</definedName>
    <definedName name="TotalInStorage">OFFSET('[6]StoredAC v2'!$AK$9,0,0,COUNT('[6]StoredAC v2'!$AK$1:$AK$65536)-1,1)</definedName>
    <definedName name="tyd" hidden="1">[1]ｾｸﾞﾒﾝﾄ!$E$165:$I$165</definedName>
    <definedName name="uiyioy" hidden="1">[1]単独!$AR$14:$AR$18</definedName>
    <definedName name="Update_This">[23]!Update_This</definedName>
    <definedName name="UpdateReason" localSheetId="5">IndexInformation!$B$17</definedName>
    <definedName name="US_ASM">OFFSET([14]Monthly_Traffic_Summary!$R$9,COUNT([14]Monthly_Traffic_Summary!$R$1:$R$65536)-12,0,12,1)</definedName>
    <definedName name="US_ASM_LTM">OFFSET([14]Monthly_Traffic_Summary!$S$21,COUNT([14]Monthly_Traffic_Summary!$S$1:$S$65536)-12,0,12,1)</definedName>
    <definedName name="US_ASM10y">OFFSET([14]Monthly_Traffic_Summary!$R$9,COUNT([14]Monthly_Traffic_Summary!$R$1:$R$65536)-120,0,120,1)</definedName>
    <definedName name="US_LF">OFFSET([14]Monthly_Traffic_Summary!$T$9,COUNT([14]Monthly_Traffic_Summary!$T$1:$T$65536)-12,0,12,1)</definedName>
    <definedName name="US_LF_LTM">OFFSET([14]Monthly_Traffic_Summary!$U$21,COUNT([14]Monthly_Traffic_Summary!$U$1:$U$65536)-12,0,12,1)</definedName>
    <definedName name="US_LF10y">OFFSET([14]Monthly_Traffic_Summary!$T$9,COUNT([14]Monthly_Traffic_Summary!$T$1:$T$65536)-120,0,120,1)</definedName>
    <definedName name="US_RPM">OFFSET([14]Monthly_Traffic_Summary!$P$9,COUNT([14]Monthly_Traffic_Summary!$P$1:$P$65536)-12,0,12,1)</definedName>
    <definedName name="US_RPM_LTM">OFFSET([14]Monthly_Traffic_Summary!$Q$21,COUNT([14]Monthly_Traffic_Summary!$Q$1:$Q$65536)-12,0,12,1)</definedName>
    <definedName name="US_RPM10y">OFFSET([14]Monthly_Traffic_Summary!$P$9,COUNT([14]Monthly_Traffic_Summary!$P$1:$P$65536)-120,0,120,1)</definedName>
    <definedName name="USRegDisclosures" localSheetId="1">ImportantDisclosures!#REF!</definedName>
    <definedName name="v" hidden="1">[1]ｾｸﾞﾒﾝﾄ!$E$164:$I$164</definedName>
    <definedName name="Version">"June 29, 2004"</definedName>
    <definedName name="w" hidden="1">[1]単独!$AR$14:$AR$18</definedName>
    <definedName name="Widebodies">OFFSET([6]StoredAC!$BZ$9,0,0,COUNT([6]StoredAC!$BZ$1:$BZ$65536)-1,1)</definedName>
    <definedName name="Worldwide_ASM_LTM">OFFSET([14]Monthly_Traffic_Summary!$AN$369,COUNT([14]Monthly_Traffic_Summary!$AN$1:$AN$65536)-12,0,12,1)</definedName>
    <definedName name="Worldwide_RPM_LTM">OFFSET([14]Monthly_Traffic_Summary!$AL$369,COUNT([14]Monthly_Traffic_Summary!$AL$1:$AL$65536)-12,0,12,1)</definedName>
    <definedName name="Worlwide_LF_LTM">OFFSET([14]Monthly_Traffic_Summary!$AP$369,COUNT([14]Monthly_Traffic_Summary!$AP$1:$AP$65536)-12,0,12,1)</definedName>
    <definedName name="wrn.2._.pagers." hidden="1">{"Cover",#N/A,FALSE,"Cover";"Summary",#N/A,FALSE,"Summarpage"}</definedName>
    <definedName name="wrn.allpages." hidden="1">{#N/A,#N/A,TRUE,"Historicals";#N/A,#N/A,TRUE,"Charts";#N/A,#N/A,TRUE,"Forecasts"}</definedName>
    <definedName name="wrn.Complete."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Industry.xls." hidden="1">{#N/A,#N/A,FALSE,"Earnings";#N/A,#N/A,FALSE,"Overview";#N/A,#N/A,FALSE,"Summary";#N/A,#N/A,FALSE,"Summary II";#N/A,#N/A,FALSE,"R&amp;D";#N/A,#N/A,FALSE,"R&amp;D Forecast";#N/A,#N/A,FALSE,"Tax Adj";#N/A,#N/A,FALSE,"Goodwill";#N/A,#N/A,FALSE,"FX ";#N/A,#N/A,FALSE,"Consolidation";#N/A,#N/A,FALSE,"Provisions"}</definedName>
    <definedName name="wrn.MOBIL." hidden="1">{"quarter",#N/A,FALSE,"MOB"}</definedName>
    <definedName name="wrn.Pulp." hidden="1">{"Pulp Production",#N/A,FALSE,"Pulp";"Pulp Earnings",#N/A,FALSE,"Pulp"}</definedName>
    <definedName name="xaxis">OFFSET('[17]Roll off Speed'!$W$12,0,0,COUNTIF('[17]Roll off Speed'!$W$12:$W$1231,"&lt;&gt;false"),1)</definedName>
    <definedName name="ytdhy" hidden="1">[1]ｾｸﾞﾒﾝﾄ!$E$167:$I$167</definedName>
  </definedNames>
  <calcPr calcId="145621" calcMode="autoNoTable"/>
</workbook>
</file>

<file path=xl/calcChain.xml><?xml version="1.0" encoding="utf-8"?>
<calcChain xmlns="http://schemas.openxmlformats.org/spreadsheetml/2006/main">
  <c r="CZ257" i="29" l="1"/>
  <c r="CK310" i="29" l="1"/>
  <c r="CK309" i="29"/>
  <c r="CB310" i="29"/>
  <c r="CA310" i="29"/>
  <c r="BW310" i="29"/>
  <c r="BV310" i="29"/>
  <c r="BR310" i="29"/>
  <c r="CD309" i="29"/>
  <c r="CC309" i="29"/>
  <c r="CB309" i="29"/>
  <c r="BZ309" i="29"/>
  <c r="BY309" i="29"/>
  <c r="BX309" i="29"/>
  <c r="BW309" i="29"/>
  <c r="BV309" i="29"/>
  <c r="BU309" i="29"/>
  <c r="BT309" i="29"/>
  <c r="BS309" i="29"/>
  <c r="BR309" i="29"/>
  <c r="BL310" i="29"/>
  <c r="BK310" i="29"/>
  <c r="BG310" i="29"/>
  <c r="BB310" i="29"/>
  <c r="BM309" i="29"/>
  <c r="BL309" i="29"/>
  <c r="BK309" i="29"/>
  <c r="BJ309" i="29"/>
  <c r="BI309" i="29"/>
  <c r="BH309" i="29"/>
  <c r="BG309" i="29"/>
  <c r="BF309" i="29"/>
  <c r="BE309" i="29"/>
  <c r="BD309" i="29"/>
  <c r="BC309" i="29"/>
  <c r="AZ310" i="29"/>
  <c r="AV310" i="29"/>
  <c r="AQ310" i="29"/>
  <c r="AP310" i="29"/>
  <c r="AL310" i="29"/>
  <c r="AK310" i="29"/>
  <c r="AG310" i="29"/>
  <c r="AB310" i="29"/>
  <c r="W310" i="29"/>
  <c r="V310" i="29"/>
  <c r="R310" i="29"/>
  <c r="Q310" i="29"/>
  <c r="M310" i="29"/>
  <c r="L310" i="29"/>
  <c r="H310" i="29"/>
  <c r="G310" i="29"/>
  <c r="F310" i="29"/>
  <c r="E310" i="29"/>
  <c r="D310" i="29"/>
  <c r="C310" i="29"/>
  <c r="AY309" i="29"/>
  <c r="AX309" i="29"/>
  <c r="AW309" i="29"/>
  <c r="AV309" i="29"/>
  <c r="AT309" i="29"/>
  <c r="AS309" i="29"/>
  <c r="AR309" i="29"/>
  <c r="AN309" i="29"/>
  <c r="AM309" i="29"/>
  <c r="AL309" i="29"/>
  <c r="AJ309" i="29"/>
  <c r="AI309" i="29"/>
  <c r="AH309" i="29"/>
  <c r="AG309" i="29"/>
  <c r="AE309" i="29"/>
  <c r="AD309" i="29"/>
  <c r="AC309" i="29"/>
  <c r="Y309" i="29"/>
  <c r="X309" i="29"/>
  <c r="W309" i="29"/>
  <c r="U309" i="29"/>
  <c r="T309" i="29"/>
  <c r="S309" i="29"/>
  <c r="R309" i="29"/>
  <c r="P309" i="29"/>
  <c r="O309" i="29"/>
  <c r="N309" i="29"/>
  <c r="M309" i="29"/>
  <c r="K309" i="29"/>
  <c r="J309" i="29"/>
  <c r="I309" i="29"/>
  <c r="H309" i="29"/>
  <c r="G309" i="29"/>
  <c r="F309" i="29"/>
  <c r="E309" i="29"/>
  <c r="D309" i="29"/>
  <c r="C309" i="29"/>
  <c r="CK303" i="29"/>
  <c r="CK304" i="29" s="1"/>
  <c r="CK302" i="29"/>
  <c r="DI302" i="29"/>
  <c r="DH302" i="29"/>
  <c r="DG302" i="29"/>
  <c r="DF302" i="29"/>
  <c r="DD302" i="29"/>
  <c r="DC302" i="29"/>
  <c r="DB302" i="29"/>
  <c r="DA302" i="29"/>
  <c r="CY302" i="29"/>
  <c r="CX302" i="29"/>
  <c r="CW302" i="29"/>
  <c r="CV302" i="29"/>
  <c r="CC303" i="29"/>
  <c r="CC304" i="29" s="1"/>
  <c r="BU303" i="29"/>
  <c r="BU304" i="29" s="1"/>
  <c r="CD302" i="29"/>
  <c r="CD303" i="29" s="1"/>
  <c r="CD304" i="29" s="1"/>
  <c r="CC302" i="29"/>
  <c r="CB302" i="29"/>
  <c r="CB303" i="29" s="1"/>
  <c r="CB304" i="29" s="1"/>
  <c r="BZ302" i="29"/>
  <c r="BZ303" i="29" s="1"/>
  <c r="BZ304" i="29" s="1"/>
  <c r="BY302" i="29"/>
  <c r="BY303" i="29" s="1"/>
  <c r="BY304" i="29" s="1"/>
  <c r="BX302" i="29"/>
  <c r="BX303" i="29" s="1"/>
  <c r="BX304" i="29" s="1"/>
  <c r="BW302" i="29"/>
  <c r="BW303" i="29" s="1"/>
  <c r="BW304" i="29" s="1"/>
  <c r="BV302" i="29"/>
  <c r="BU302" i="29"/>
  <c r="BM302" i="29"/>
  <c r="BM303" i="29" s="1"/>
  <c r="BM304" i="29" s="1"/>
  <c r="BL302" i="29"/>
  <c r="BL303" i="29" s="1"/>
  <c r="BL304" i="29" s="1"/>
  <c r="BK302" i="29"/>
  <c r="BJ302" i="29"/>
  <c r="BJ303" i="29" s="1"/>
  <c r="BJ304" i="29" s="1"/>
  <c r="BI302" i="29"/>
  <c r="BI303" i="29" s="1"/>
  <c r="BH302" i="29"/>
  <c r="BH303" i="29" s="1"/>
  <c r="BG302" i="29"/>
  <c r="BG303" i="29" s="1"/>
  <c r="BF302" i="29"/>
  <c r="BE302" i="29"/>
  <c r="BE303" i="29" s="1"/>
  <c r="BE304" i="29" s="1"/>
  <c r="BD302" i="29"/>
  <c r="BD303" i="29" s="1"/>
  <c r="BD304" i="29" s="1"/>
  <c r="BC302" i="29"/>
  <c r="BC303" i="29" s="1"/>
  <c r="BC304" i="29" s="1"/>
  <c r="BB302" i="29"/>
  <c r="BB303" i="29" s="1"/>
  <c r="BB304" i="29" s="1"/>
  <c r="AM304" i="29"/>
  <c r="AI304" i="29"/>
  <c r="S304" i="29"/>
  <c r="K304" i="29"/>
  <c r="G304" i="29"/>
  <c r="AX303" i="29"/>
  <c r="AV303" i="29"/>
  <c r="AT303" i="29"/>
  <c r="AT304" i="29" s="1"/>
  <c r="AR303" i="29"/>
  <c r="AR304" i="29" s="1"/>
  <c r="AN303" i="29"/>
  <c r="AN304" i="29" s="1"/>
  <c r="AL303" i="29"/>
  <c r="AL304" i="29" s="1"/>
  <c r="AJ303" i="29"/>
  <c r="AJ304" i="29" s="1"/>
  <c r="AH303" i="29"/>
  <c r="AH304" i="29" s="1"/>
  <c r="AD303" i="29"/>
  <c r="AD304" i="29" s="1"/>
  <c r="AB303" i="29"/>
  <c r="AB304" i="29" s="1"/>
  <c r="X303" i="29"/>
  <c r="X304" i="29" s="1"/>
  <c r="T303" i="29"/>
  <c r="T304" i="29" s="1"/>
  <c r="R303" i="29"/>
  <c r="R304" i="29" s="1"/>
  <c r="P303" i="29"/>
  <c r="P304" i="29" s="1"/>
  <c r="J303" i="29"/>
  <c r="J304" i="29" s="1"/>
  <c r="H303" i="29"/>
  <c r="H304" i="29" s="1"/>
  <c r="B303" i="29"/>
  <c r="B304" i="29" s="1"/>
  <c r="AY302" i="29"/>
  <c r="AY303" i="29" s="1"/>
  <c r="AY304" i="29" s="1"/>
  <c r="AX302" i="29"/>
  <c r="AW302" i="29"/>
  <c r="AW303" i="29" s="1"/>
  <c r="AV302" i="29"/>
  <c r="AT302" i="29"/>
  <c r="AS302" i="29"/>
  <c r="AS303" i="29" s="1"/>
  <c r="AS304" i="29" s="1"/>
  <c r="AR302" i="29"/>
  <c r="AQ302" i="29"/>
  <c r="AQ303" i="29" s="1"/>
  <c r="AQ304" i="29" s="1"/>
  <c r="AN302" i="29"/>
  <c r="AM302" i="29"/>
  <c r="AM303" i="29" s="1"/>
  <c r="AL302" i="29"/>
  <c r="AJ302" i="29"/>
  <c r="AI302" i="29"/>
  <c r="AI303" i="29" s="1"/>
  <c r="AH302" i="29"/>
  <c r="AG302" i="29"/>
  <c r="AG303" i="29" s="1"/>
  <c r="AG304" i="29" s="1"/>
  <c r="AE302" i="29"/>
  <c r="AE303" i="29" s="1"/>
  <c r="AE304" i="29" s="1"/>
  <c r="AD302" i="29"/>
  <c r="AC302" i="29"/>
  <c r="AC303" i="29" s="1"/>
  <c r="AC304" i="29" s="1"/>
  <c r="AB302" i="29"/>
  <c r="Y302" i="29"/>
  <c r="Y303" i="29" s="1"/>
  <c r="Y304" i="29" s="1"/>
  <c r="X302" i="29"/>
  <c r="W302" i="29"/>
  <c r="W303" i="29" s="1"/>
  <c r="W304" i="29" s="1"/>
  <c r="U302" i="29"/>
  <c r="U303" i="29" s="1"/>
  <c r="U304" i="29" s="1"/>
  <c r="T302" i="29"/>
  <c r="S302" i="29"/>
  <c r="S303" i="29" s="1"/>
  <c r="R302" i="29"/>
  <c r="P302" i="29"/>
  <c r="O302" i="29"/>
  <c r="O303" i="29" s="1"/>
  <c r="O304" i="29" s="1"/>
  <c r="N302" i="29"/>
  <c r="N303" i="29" s="1"/>
  <c r="N304" i="29" s="1"/>
  <c r="M302" i="29"/>
  <c r="M303" i="29" s="1"/>
  <c r="M304" i="29" s="1"/>
  <c r="K302" i="29"/>
  <c r="K303" i="29" s="1"/>
  <c r="J302" i="29"/>
  <c r="I302" i="29"/>
  <c r="I303" i="29" s="1"/>
  <c r="I304" i="29" s="1"/>
  <c r="H302" i="29"/>
  <c r="G302" i="29"/>
  <c r="G303" i="29" s="1"/>
  <c r="E302" i="29"/>
  <c r="E303" i="29" s="1"/>
  <c r="E304" i="29" s="1"/>
  <c r="C302" i="29"/>
  <c r="C303" i="29" s="1"/>
  <c r="C304" i="29" s="1"/>
  <c r="B302" i="29"/>
  <c r="CF301" i="29"/>
  <c r="CP301" i="29" s="1"/>
  <c r="CF300" i="29"/>
  <c r="CF299" i="29"/>
  <c r="CF298" i="29"/>
  <c r="CQ298" i="29" s="1"/>
  <c r="CR298" i="29" s="1"/>
  <c r="CS298" i="29" s="1"/>
  <c r="CT298" i="29" s="1"/>
  <c r="CU298" i="29" s="1"/>
  <c r="CZ298" i="29" s="1"/>
  <c r="DE298" i="29" s="1"/>
  <c r="DJ298" i="29" s="1"/>
  <c r="CF297" i="29"/>
  <c r="CA301" i="29"/>
  <c r="CA300" i="29"/>
  <c r="CA299" i="29"/>
  <c r="CA298" i="29"/>
  <c r="CA297" i="29"/>
  <c r="AZ300" i="29"/>
  <c r="AZ299" i="29"/>
  <c r="AZ298" i="29"/>
  <c r="AZ297" i="29"/>
  <c r="AU300" i="29"/>
  <c r="AU299" i="29"/>
  <c r="AU298" i="29"/>
  <c r="AU297" i="29"/>
  <c r="AO300" i="29"/>
  <c r="AO299" i="29"/>
  <c r="AK300" i="29"/>
  <c r="AK299" i="29"/>
  <c r="AK298" i="29"/>
  <c r="AK302" i="29" s="1"/>
  <c r="AK303" i="29" s="1"/>
  <c r="AK304" i="29" s="1"/>
  <c r="AK297" i="29"/>
  <c r="AF300" i="29"/>
  <c r="AF299" i="29"/>
  <c r="AF298" i="29"/>
  <c r="AF297" i="29"/>
  <c r="AA300" i="29"/>
  <c r="AA299" i="29"/>
  <c r="AA298" i="29"/>
  <c r="AA297" i="29"/>
  <c r="V300" i="29"/>
  <c r="V299" i="29"/>
  <c r="V298" i="29"/>
  <c r="V297" i="29"/>
  <c r="Q300" i="29"/>
  <c r="Q299" i="29"/>
  <c r="Q298" i="29"/>
  <c r="Q302" i="29" s="1"/>
  <c r="Q303" i="29" s="1"/>
  <c r="Q304" i="29" s="1"/>
  <c r="Q297" i="29"/>
  <c r="L300" i="29"/>
  <c r="L299" i="29"/>
  <c r="L298" i="29"/>
  <c r="L297" i="29"/>
  <c r="F300" i="29"/>
  <c r="F302" i="29" s="1"/>
  <c r="F303" i="29" s="1"/>
  <c r="F304" i="29" s="1"/>
  <c r="E300" i="29"/>
  <c r="D300" i="29"/>
  <c r="D302" i="29" s="1"/>
  <c r="D303" i="29" s="1"/>
  <c r="D304" i="29" s="1"/>
  <c r="C300" i="29"/>
  <c r="B300" i="29"/>
  <c r="CE298" i="29"/>
  <c r="AP298" i="29"/>
  <c r="AP302" i="29" s="1"/>
  <c r="AP303" i="29" s="1"/>
  <c r="Z298" i="29"/>
  <c r="CR301" i="29"/>
  <c r="CS301" i="29" s="1"/>
  <c r="CT301" i="29" s="1"/>
  <c r="CU301" i="29" s="1"/>
  <c r="CZ301" i="29" s="1"/>
  <c r="DE301" i="29" s="1"/>
  <c r="DJ301" i="29" s="1"/>
  <c r="CQ301" i="29"/>
  <c r="CP300" i="29"/>
  <c r="CP298" i="29"/>
  <c r="CQ297" i="29"/>
  <c r="CR297" i="29" s="1"/>
  <c r="AO297" i="29"/>
  <c r="BF296" i="29"/>
  <c r="BF295" i="29"/>
  <c r="BF303" i="29" s="1"/>
  <c r="BF304" i="29" s="1"/>
  <c r="CF293" i="29"/>
  <c r="CF292" i="29"/>
  <c r="CF291" i="29"/>
  <c r="CF287" i="29"/>
  <c r="CF285" i="29"/>
  <c r="CF283" i="29"/>
  <c r="CP283" i="29" s="1"/>
  <c r="CA293" i="29"/>
  <c r="CA292" i="29"/>
  <c r="CA291" i="29"/>
  <c r="CA287" i="29"/>
  <c r="CA285" i="29"/>
  <c r="CA283" i="29"/>
  <c r="BV295" i="29"/>
  <c r="BV303" i="29" s="1"/>
  <c r="BV293" i="29"/>
  <c r="BV292" i="29"/>
  <c r="BV291" i="29"/>
  <c r="BV290" i="29"/>
  <c r="BV294" i="29" s="1"/>
  <c r="BV289" i="29"/>
  <c r="BV287" i="29"/>
  <c r="BV285" i="29"/>
  <c r="BV283" i="29"/>
  <c r="BK295" i="29"/>
  <c r="BK303" i="29" s="1"/>
  <c r="BK293" i="29"/>
  <c r="BK292" i="29"/>
  <c r="BK291" i="29"/>
  <c r="BK290" i="29"/>
  <c r="BK287" i="29"/>
  <c r="BK285" i="29"/>
  <c r="BK283" i="29"/>
  <c r="AZ293" i="29"/>
  <c r="AZ292" i="29"/>
  <c r="AZ291" i="29"/>
  <c r="AZ287" i="29"/>
  <c r="AZ285" i="29"/>
  <c r="AZ283" i="29"/>
  <c r="AU294" i="29"/>
  <c r="AU293" i="29"/>
  <c r="AU292" i="29"/>
  <c r="AU291" i="29"/>
  <c r="AU288" i="29"/>
  <c r="AU287" i="29"/>
  <c r="AU285" i="29"/>
  <c r="AU290" i="29" s="1"/>
  <c r="AU295" i="29" s="1"/>
  <c r="AU283" i="29"/>
  <c r="AO295" i="29"/>
  <c r="AO293" i="29"/>
  <c r="AO292" i="29"/>
  <c r="AO291" i="29"/>
  <c r="AO290" i="29"/>
  <c r="AO288" i="29" s="1"/>
  <c r="CK294" i="29"/>
  <c r="CE294" i="29"/>
  <c r="CF294" i="29" s="1"/>
  <c r="CQ294" i="29" s="1"/>
  <c r="CR294" i="29" s="1"/>
  <c r="CS294" i="29" s="1"/>
  <c r="CT294" i="29" s="1"/>
  <c r="CU294" i="29" s="1"/>
  <c r="CZ294" i="29" s="1"/>
  <c r="DE294" i="29" s="1"/>
  <c r="DJ294" i="29" s="1"/>
  <c r="CD294" i="29"/>
  <c r="CC294" i="29"/>
  <c r="CB294" i="29"/>
  <c r="BZ294" i="29"/>
  <c r="CA294" i="29" s="1"/>
  <c r="BY294" i="29"/>
  <c r="BX294" i="29"/>
  <c r="BW294" i="29"/>
  <c r="BU294" i="29"/>
  <c r="BM294" i="29"/>
  <c r="BL294" i="29"/>
  <c r="BJ294" i="29"/>
  <c r="BI294" i="29"/>
  <c r="BH294" i="29"/>
  <c r="BG294" i="29"/>
  <c r="BE294" i="29"/>
  <c r="BD294" i="29"/>
  <c r="BC294" i="29"/>
  <c r="BB294" i="29"/>
  <c r="AY294" i="29"/>
  <c r="AZ294" i="29" s="1"/>
  <c r="AX294" i="29"/>
  <c r="AW294" i="29"/>
  <c r="AV294" i="29"/>
  <c r="AT294" i="29"/>
  <c r="AS294" i="29"/>
  <c r="AR294" i="29"/>
  <c r="AQ294" i="29"/>
  <c r="AP294" i="29"/>
  <c r="AN294" i="29"/>
  <c r="AM294" i="29"/>
  <c r="AL294" i="29"/>
  <c r="AJ294" i="29"/>
  <c r="AI294" i="29"/>
  <c r="AH294" i="29"/>
  <c r="AG294" i="29"/>
  <c r="AF294" i="29"/>
  <c r="AE294" i="29"/>
  <c r="AD294" i="29"/>
  <c r="AC294" i="29"/>
  <c r="AB294" i="29"/>
  <c r="AA294" i="29"/>
  <c r="Z294" i="29"/>
  <c r="Y294" i="29"/>
  <c r="X294" i="29"/>
  <c r="W294" i="29"/>
  <c r="U294" i="29"/>
  <c r="T294" i="29"/>
  <c r="S294" i="29"/>
  <c r="R294" i="29"/>
  <c r="P294" i="29"/>
  <c r="O294" i="29"/>
  <c r="N294" i="29"/>
  <c r="M294" i="29"/>
  <c r="K294" i="29"/>
  <c r="J294" i="29"/>
  <c r="I294" i="29"/>
  <c r="H294" i="29"/>
  <c r="G294" i="29"/>
  <c r="F294" i="29"/>
  <c r="E294" i="29"/>
  <c r="D294" i="29"/>
  <c r="C294" i="29"/>
  <c r="B294" i="29"/>
  <c r="AK293" i="29"/>
  <c r="AK292" i="29"/>
  <c r="AK291" i="29"/>
  <c r="AK294" i="29" s="1"/>
  <c r="AF293" i="29"/>
  <c r="AF292" i="29"/>
  <c r="AF291" i="29"/>
  <c r="AA293" i="29"/>
  <c r="AA292" i="29"/>
  <c r="AA291" i="29"/>
  <c r="V293" i="29"/>
  <c r="V292" i="29"/>
  <c r="V291" i="29"/>
  <c r="V294" i="29" s="1"/>
  <c r="Q293" i="29"/>
  <c r="Q292" i="29"/>
  <c r="Q291" i="29"/>
  <c r="Q294" i="29" s="1"/>
  <c r="L293" i="29"/>
  <c r="L292" i="29"/>
  <c r="L291" i="29"/>
  <c r="L294" i="29" s="1"/>
  <c r="CK288" i="29"/>
  <c r="BU288" i="29"/>
  <c r="BV288" i="29" s="1"/>
  <c r="CP294" i="29"/>
  <c r="CP293" i="29"/>
  <c r="CP292" i="29"/>
  <c r="CP291" i="29"/>
  <c r="CQ291" i="29" s="1"/>
  <c r="CR291" i="29" s="1"/>
  <c r="CS291" i="29" s="1"/>
  <c r="CT291" i="29" s="1"/>
  <c r="CU291" i="29" s="1"/>
  <c r="CZ291" i="29" s="1"/>
  <c r="DE291" i="29" s="1"/>
  <c r="DJ291" i="29" s="1"/>
  <c r="CE288" i="29"/>
  <c r="CD288" i="29"/>
  <c r="CC288" i="29"/>
  <c r="CB288" i="29"/>
  <c r="BZ288" i="29"/>
  <c r="BY288" i="29"/>
  <c r="BX288" i="29"/>
  <c r="BW288" i="29"/>
  <c r="BM288" i="29"/>
  <c r="BL288" i="29"/>
  <c r="BJ288" i="29"/>
  <c r="BI288" i="29"/>
  <c r="BH288" i="29"/>
  <c r="BG288" i="29"/>
  <c r="BF288" i="29"/>
  <c r="BE288" i="29"/>
  <c r="BB288" i="29"/>
  <c r="AY288" i="29"/>
  <c r="AX288" i="29"/>
  <c r="AW288" i="29"/>
  <c r="AV288" i="29"/>
  <c r="AT288" i="29"/>
  <c r="AR288" i="29"/>
  <c r="AQ288" i="29"/>
  <c r="AN288" i="29"/>
  <c r="AM288" i="29"/>
  <c r="AL288" i="29"/>
  <c r="AJ288" i="29"/>
  <c r="AI288" i="29"/>
  <c r="AH288" i="29"/>
  <c r="AG288" i="29"/>
  <c r="AE288" i="29"/>
  <c r="AD288" i="29"/>
  <c r="AC288" i="29"/>
  <c r="AB288" i="29"/>
  <c r="Z288" i="29"/>
  <c r="Y288" i="29"/>
  <c r="X288" i="29"/>
  <c r="W288" i="29"/>
  <c r="U288" i="29"/>
  <c r="T288" i="29"/>
  <c r="S288" i="29"/>
  <c r="R288" i="29"/>
  <c r="P288" i="29"/>
  <c r="O288" i="29"/>
  <c r="N288" i="29"/>
  <c r="M288" i="29"/>
  <c r="K288" i="29"/>
  <c r="J288" i="29"/>
  <c r="I288" i="29"/>
  <c r="H288" i="29"/>
  <c r="G288" i="29"/>
  <c r="F288" i="29"/>
  <c r="E288" i="29"/>
  <c r="D288" i="29"/>
  <c r="C288" i="29"/>
  <c r="B288" i="29"/>
  <c r="CU287" i="29"/>
  <c r="CZ287" i="29" s="1"/>
  <c r="DE287" i="29" s="1"/>
  <c r="DJ287" i="29" s="1"/>
  <c r="CP287" i="29"/>
  <c r="CP285" i="29"/>
  <c r="BC287" i="29"/>
  <c r="BC288" i="29" s="1"/>
  <c r="AS287" i="29"/>
  <c r="AS288" i="29" s="1"/>
  <c r="AR287" i="29"/>
  <c r="AP287" i="29"/>
  <c r="AP285" i="29"/>
  <c r="AP283" i="29"/>
  <c r="AK287" i="29"/>
  <c r="AK285" i="29"/>
  <c r="AK283" i="29"/>
  <c r="AK288" i="29" s="1"/>
  <c r="AF287" i="29"/>
  <c r="AF285" i="29"/>
  <c r="AF283" i="29"/>
  <c r="AA287" i="29"/>
  <c r="AA285" i="29"/>
  <c r="AA288" i="29" s="1"/>
  <c r="AA283" i="29"/>
  <c r="V287" i="29"/>
  <c r="V285" i="29"/>
  <c r="V283" i="29"/>
  <c r="Q287" i="29"/>
  <c r="Q285" i="29"/>
  <c r="Q283" i="29"/>
  <c r="Q288" i="29" s="1"/>
  <c r="L287" i="29"/>
  <c r="L285" i="29"/>
  <c r="L283" i="29"/>
  <c r="BF282" i="29"/>
  <c r="CF279" i="29"/>
  <c r="CF278" i="29"/>
  <c r="CF276" i="29"/>
  <c r="CF273" i="29"/>
  <c r="CF272" i="29"/>
  <c r="CF270" i="29"/>
  <c r="CF268" i="29"/>
  <c r="CA279" i="29"/>
  <c r="CA278" i="29"/>
  <c r="CA277" i="29"/>
  <c r="CA276" i="29"/>
  <c r="CA272" i="29"/>
  <c r="CA270" i="29"/>
  <c r="CA268" i="29"/>
  <c r="BV281" i="29"/>
  <c r="BV304" i="29" s="1"/>
  <c r="BV279" i="29"/>
  <c r="BV278" i="29"/>
  <c r="BV277" i="29"/>
  <c r="BV276" i="29"/>
  <c r="BV275" i="29"/>
  <c r="BV274" i="29"/>
  <c r="BV273" i="29"/>
  <c r="BV272" i="29"/>
  <c r="BV271" i="29"/>
  <c r="BV270" i="29"/>
  <c r="BV268" i="29"/>
  <c r="BK281" i="29"/>
  <c r="BK304" i="29" s="1"/>
  <c r="BK279" i="29"/>
  <c r="BK278" i="29"/>
  <c r="BK277" i="29"/>
  <c r="BK276" i="29"/>
  <c r="BK280" i="29" s="1"/>
  <c r="BK275" i="29"/>
  <c r="AZ279" i="29"/>
  <c r="AZ278" i="29"/>
  <c r="AZ277" i="29"/>
  <c r="AZ276" i="29"/>
  <c r="AZ273" i="29"/>
  <c r="AZ272" i="29"/>
  <c r="AZ270" i="29"/>
  <c r="AZ268" i="29"/>
  <c r="CK280" i="29"/>
  <c r="CC280" i="29"/>
  <c r="CB280" i="29"/>
  <c r="BZ280" i="29"/>
  <c r="CA280" i="29" s="1"/>
  <c r="BU280" i="29"/>
  <c r="BJ280" i="29"/>
  <c r="AR280" i="29"/>
  <c r="AO280" i="29"/>
  <c r="AN280" i="29"/>
  <c r="AM280" i="29"/>
  <c r="AL280" i="29"/>
  <c r="AJ280" i="29"/>
  <c r="AI280" i="29"/>
  <c r="AH280" i="29"/>
  <c r="AE280" i="29"/>
  <c r="AD280" i="29"/>
  <c r="AC280" i="29"/>
  <c r="AB280" i="29"/>
  <c r="Z280" i="29"/>
  <c r="Y280" i="29"/>
  <c r="X280" i="29"/>
  <c r="W280" i="29"/>
  <c r="U280" i="29"/>
  <c r="T280" i="29"/>
  <c r="S280" i="29"/>
  <c r="R280" i="29"/>
  <c r="P280" i="29"/>
  <c r="O280" i="29"/>
  <c r="N280" i="29"/>
  <c r="M280" i="29"/>
  <c r="L280" i="29"/>
  <c r="K280" i="29"/>
  <c r="J280" i="29"/>
  <c r="I280" i="29"/>
  <c r="H280" i="29"/>
  <c r="G280" i="29"/>
  <c r="F280" i="29"/>
  <c r="E280" i="29"/>
  <c r="D280" i="29"/>
  <c r="C280" i="29"/>
  <c r="B280" i="29"/>
  <c r="AU279" i="29"/>
  <c r="AU278" i="29"/>
  <c r="AU277" i="29"/>
  <c r="AU276" i="29"/>
  <c r="AU273" i="29"/>
  <c r="AU272" i="29"/>
  <c r="AU270" i="29"/>
  <c r="AU268" i="29"/>
  <c r="AP279" i="29"/>
  <c r="AP278" i="29"/>
  <c r="AP277" i="29"/>
  <c r="AQ277" i="29" s="1"/>
  <c r="AQ280" i="29" s="1"/>
  <c r="AP276" i="29"/>
  <c r="AP272" i="29"/>
  <c r="AP270" i="29"/>
  <c r="AP268" i="29"/>
  <c r="AK279" i="29"/>
  <c r="AK278" i="29"/>
  <c r="AK277" i="29"/>
  <c r="AK276" i="29"/>
  <c r="AF279" i="29"/>
  <c r="AF278" i="29"/>
  <c r="AF277" i="29"/>
  <c r="AF276" i="29"/>
  <c r="AF280" i="29" s="1"/>
  <c r="AA279" i="29"/>
  <c r="AA280" i="29" s="1"/>
  <c r="AA278" i="29"/>
  <c r="AA277" i="29"/>
  <c r="AA276" i="29"/>
  <c r="V279" i="29"/>
  <c r="V280" i="29" s="1"/>
  <c r="V278" i="29"/>
  <c r="V277" i="29"/>
  <c r="V276" i="29"/>
  <c r="Q279" i="29"/>
  <c r="Q278" i="29"/>
  <c r="Q277" i="29"/>
  <c r="Q276" i="29"/>
  <c r="L279" i="29"/>
  <c r="L278" i="29"/>
  <c r="L277" i="29"/>
  <c r="L276" i="29"/>
  <c r="CE277" i="29"/>
  <c r="CF277" i="29" s="1"/>
  <c r="CQ277" i="29" s="1"/>
  <c r="BB277" i="29"/>
  <c r="BC277" i="29" s="1"/>
  <c r="AR277" i="29"/>
  <c r="AS277" i="29" s="1"/>
  <c r="CP279" i="29"/>
  <c r="CQ278" i="29"/>
  <c r="CR278" i="29" s="1"/>
  <c r="CS278" i="29" s="1"/>
  <c r="CT278" i="29" s="1"/>
  <c r="CU278" i="29" s="1"/>
  <c r="CZ278" i="29" s="1"/>
  <c r="DE278" i="29" s="1"/>
  <c r="DJ278" i="29" s="1"/>
  <c r="CP278" i="29"/>
  <c r="CR277" i="29"/>
  <c r="CS277" i="29" s="1"/>
  <c r="CT277" i="29" s="1"/>
  <c r="CU277" i="29" s="1"/>
  <c r="CZ277" i="29" s="1"/>
  <c r="DE277" i="29" s="1"/>
  <c r="DJ277" i="29" s="1"/>
  <c r="CP276" i="29"/>
  <c r="CP273" i="29"/>
  <c r="CU272" i="29"/>
  <c r="CZ272" i="29" s="1"/>
  <c r="DE272" i="29" s="1"/>
  <c r="DJ272" i="29" s="1"/>
  <c r="CP272" i="29"/>
  <c r="CP270" i="29"/>
  <c r="CP268" i="29"/>
  <c r="AK272" i="29"/>
  <c r="AK270" i="29"/>
  <c r="AK268" i="29"/>
  <c r="AF272" i="29"/>
  <c r="AF270" i="29"/>
  <c r="AF268" i="29"/>
  <c r="AA272" i="29"/>
  <c r="AA270" i="29"/>
  <c r="AA268" i="29"/>
  <c r="V272" i="29"/>
  <c r="V270" i="29"/>
  <c r="V268" i="29"/>
  <c r="Q272" i="29"/>
  <c r="Q270" i="29"/>
  <c r="Q268" i="29"/>
  <c r="L272" i="29"/>
  <c r="BK270" i="29"/>
  <c r="BK268" i="29"/>
  <c r="L268" i="29"/>
  <c r="BQ261" i="29"/>
  <c r="BA261" i="29"/>
  <c r="AP261" i="29"/>
  <c r="AM261" i="29"/>
  <c r="AL261" i="29"/>
  <c r="AK261" i="29"/>
  <c r="AJ261" i="29"/>
  <c r="AI261" i="29"/>
  <c r="AH261" i="29"/>
  <c r="AG261" i="29"/>
  <c r="AB261" i="29"/>
  <c r="X261" i="29"/>
  <c r="W261" i="29"/>
  <c r="V261" i="29"/>
  <c r="R261" i="29"/>
  <c r="Q261" i="29"/>
  <c r="M261" i="29"/>
  <c r="L261" i="29"/>
  <c r="H261" i="29"/>
  <c r="H263" i="29" s="1"/>
  <c r="G261" i="29"/>
  <c r="F261" i="29"/>
  <c r="E261" i="29"/>
  <c r="D261" i="29"/>
  <c r="C261" i="29"/>
  <c r="B261" i="29"/>
  <c r="B263" i="29" s="1"/>
  <c r="B267" i="29" s="1"/>
  <c r="B273" i="29" s="1"/>
  <c r="CU260" i="29"/>
  <c r="CU258" i="29"/>
  <c r="CU254" i="29"/>
  <c r="CU253" i="29"/>
  <c r="CU252" i="29"/>
  <c r="CP260" i="29"/>
  <c r="CF260" i="29"/>
  <c r="CF254" i="29"/>
  <c r="CP254" i="29" s="1"/>
  <c r="CF253" i="29"/>
  <c r="CP253" i="29" s="1"/>
  <c r="BZ260" i="29"/>
  <c r="BZ253" i="29"/>
  <c r="BZ250" i="29"/>
  <c r="BZ240" i="29"/>
  <c r="BZ239" i="29"/>
  <c r="BU260" i="29"/>
  <c r="BU254" i="29"/>
  <c r="BU250" i="29"/>
  <c r="BU240" i="29"/>
  <c r="BU239" i="29"/>
  <c r="BJ260" i="29"/>
  <c r="BJ254" i="29"/>
  <c r="BJ250" i="29"/>
  <c r="BJ240" i="29"/>
  <c r="BJ239" i="29"/>
  <c r="BE260" i="29"/>
  <c r="AY260" i="29"/>
  <c r="AY254" i="29"/>
  <c r="AY250" i="29"/>
  <c r="AY240" i="29"/>
  <c r="AY239" i="29"/>
  <c r="AT260" i="29"/>
  <c r="AT256" i="29"/>
  <c r="AO260" i="29"/>
  <c r="AO254" i="29"/>
  <c r="AK260" i="29"/>
  <c r="AD260" i="29"/>
  <c r="AC260" i="29"/>
  <c r="Y260" i="29"/>
  <c r="X260" i="29"/>
  <c r="S260" i="29"/>
  <c r="S261" i="29" s="1"/>
  <c r="N260" i="29"/>
  <c r="N261" i="29" s="1"/>
  <c r="I260" i="29"/>
  <c r="J260" i="29" s="1"/>
  <c r="J261" i="29" s="1"/>
  <c r="CK259" i="29"/>
  <c r="CK258" i="29"/>
  <c r="CB259" i="29"/>
  <c r="CA259" i="29"/>
  <c r="BW259" i="29"/>
  <c r="BV259" i="29"/>
  <c r="BR259" i="29"/>
  <c r="BL259" i="29"/>
  <c r="BK259" i="29"/>
  <c r="BG259" i="29"/>
  <c r="AZ259" i="29"/>
  <c r="AZ261" i="29" s="1"/>
  <c r="AV259" i="29"/>
  <c r="AN259" i="29"/>
  <c r="AN255" i="29"/>
  <c r="AO255" i="29" s="1"/>
  <c r="AC259" i="29"/>
  <c r="AD259" i="29" s="1"/>
  <c r="CA258" i="29"/>
  <c r="BQ258" i="29"/>
  <c r="BM258" i="29"/>
  <c r="BM257" i="29"/>
  <c r="BM310" i="29" s="1"/>
  <c r="BM256" i="29"/>
  <c r="BM255" i="29"/>
  <c r="BM259" i="29" s="1"/>
  <c r="BM254" i="29"/>
  <c r="BF254" i="29"/>
  <c r="BF253" i="29"/>
  <c r="BB258" i="29"/>
  <c r="BA258" i="29"/>
  <c r="AU256" i="29"/>
  <c r="AU254" i="29"/>
  <c r="AU253" i="29"/>
  <c r="AQ258" i="29"/>
  <c r="AP258" i="29"/>
  <c r="AL258" i="29"/>
  <c r="AK258" i="29"/>
  <c r="AG258" i="29"/>
  <c r="AB258" i="29"/>
  <c r="W258" i="29"/>
  <c r="V258" i="29"/>
  <c r="R258" i="29"/>
  <c r="Q258" i="29"/>
  <c r="M258" i="29"/>
  <c r="L258" i="29"/>
  <c r="H258" i="29"/>
  <c r="G258" i="29"/>
  <c r="F258" i="29"/>
  <c r="E258" i="29"/>
  <c r="D258" i="29"/>
  <c r="C258" i="29"/>
  <c r="B258" i="29"/>
  <c r="AM257" i="29"/>
  <c r="AN257" i="29" s="1"/>
  <c r="AN310" i="29" s="1"/>
  <c r="AM256" i="29"/>
  <c r="AM255" i="29"/>
  <c r="AM254" i="29"/>
  <c r="AN254" i="29" s="1"/>
  <c r="AM253" i="29"/>
  <c r="AD257" i="29"/>
  <c r="AC257" i="29"/>
  <c r="AC310" i="29" s="1"/>
  <c r="X257" i="29"/>
  <c r="S257" i="29"/>
  <c r="O257" i="29"/>
  <c r="O310" i="29" s="1"/>
  <c r="N257" i="29"/>
  <c r="N310" i="29" s="1"/>
  <c r="I257" i="29"/>
  <c r="I310" i="29" s="1"/>
  <c r="AC256" i="29"/>
  <c r="AD256" i="29" s="1"/>
  <c r="Z256" i="29"/>
  <c r="CT256" i="29"/>
  <c r="CS256" i="29"/>
  <c r="CR256" i="29"/>
  <c r="CQ256" i="29"/>
  <c r="CU256" i="29" s="1"/>
  <c r="CZ256" i="29" s="1"/>
  <c r="DE256" i="29" s="1"/>
  <c r="DJ256" i="29" s="1"/>
  <c r="CE258" i="29"/>
  <c r="CF258" i="29" s="1"/>
  <c r="CP258" i="29" s="1"/>
  <c r="CC258" i="29"/>
  <c r="CD258" i="29" s="1"/>
  <c r="CD257" i="29"/>
  <c r="CD310" i="29" s="1"/>
  <c r="CC257" i="29"/>
  <c r="CC310" i="29" s="1"/>
  <c r="CC256" i="29"/>
  <c r="CD255" i="29"/>
  <c r="CC255" i="29"/>
  <c r="BT258" i="29"/>
  <c r="BS258" i="29"/>
  <c r="BU258" i="29" s="1"/>
  <c r="BT257" i="29"/>
  <c r="BT310" i="29" s="1"/>
  <c r="BS257" i="29"/>
  <c r="BS310" i="29" s="1"/>
  <c r="BT256" i="29"/>
  <c r="BU256" i="29" s="1"/>
  <c r="BS256" i="29"/>
  <c r="BT255" i="29"/>
  <c r="BS255" i="29"/>
  <c r="BI258" i="29"/>
  <c r="BJ258" i="29" s="1"/>
  <c r="BH258" i="29"/>
  <c r="BI257" i="29"/>
  <c r="BI310" i="29" s="1"/>
  <c r="BH257" i="29"/>
  <c r="BH310" i="29" s="1"/>
  <c r="BI256" i="29"/>
  <c r="BJ256" i="29" s="1"/>
  <c r="BH256" i="29"/>
  <c r="BI255" i="29"/>
  <c r="BH255" i="29"/>
  <c r="BC259" i="29"/>
  <c r="BD257" i="29"/>
  <c r="BD310" i="29" s="1"/>
  <c r="BC257" i="29"/>
  <c r="BC310" i="29" s="1"/>
  <c r="BD256" i="29"/>
  <c r="BC256" i="29"/>
  <c r="BD255" i="29"/>
  <c r="BC255" i="29"/>
  <c r="AX258" i="29"/>
  <c r="AW258" i="29"/>
  <c r="AX257" i="29"/>
  <c r="AX310" i="29" s="1"/>
  <c r="AW257" i="29"/>
  <c r="AW310" i="29" s="1"/>
  <c r="AX256" i="29"/>
  <c r="AW256" i="29"/>
  <c r="AY256" i="29" s="1"/>
  <c r="AX255" i="29"/>
  <c r="AY255" i="29" s="1"/>
  <c r="AW255" i="29"/>
  <c r="AR259" i="29"/>
  <c r="AR257" i="29"/>
  <c r="AS256" i="29"/>
  <c r="AR256" i="29"/>
  <c r="AR255" i="29"/>
  <c r="AH257" i="29"/>
  <c r="AH310" i="29" s="1"/>
  <c r="AH256" i="29"/>
  <c r="AI256" i="29" s="1"/>
  <c r="AJ256" i="29" s="1"/>
  <c r="AI255" i="29"/>
  <c r="AH255" i="29"/>
  <c r="AD255" i="29"/>
  <c r="AC255" i="29"/>
  <c r="BX258" i="29"/>
  <c r="BX257" i="29"/>
  <c r="BX256" i="29"/>
  <c r="BX255" i="29"/>
  <c r="BY255" i="29" s="1"/>
  <c r="BX254" i="29"/>
  <c r="AJ254" i="29"/>
  <c r="AJ253" i="29"/>
  <c r="AC254" i="29"/>
  <c r="AC253" i="29"/>
  <c r="AD253" i="29" s="1"/>
  <c r="AC252" i="29"/>
  <c r="AC251" i="29"/>
  <c r="AC250" i="29"/>
  <c r="AC246" i="29"/>
  <c r="J255" i="29"/>
  <c r="I255" i="29"/>
  <c r="I254" i="29"/>
  <c r="AE254" i="29"/>
  <c r="AF254" i="29" s="1"/>
  <c r="X255" i="29"/>
  <c r="Y254" i="29"/>
  <c r="X254" i="29"/>
  <c r="X253" i="29"/>
  <c r="Y253" i="29" s="1"/>
  <c r="S255" i="29"/>
  <c r="S258" i="29" s="1"/>
  <c r="T254" i="29"/>
  <c r="U254" i="29" s="1"/>
  <c r="S254" i="29"/>
  <c r="S253" i="29"/>
  <c r="N255" i="29"/>
  <c r="N258" i="29" s="1"/>
  <c r="N254" i="29"/>
  <c r="O254" i="29" s="1"/>
  <c r="P254" i="29" s="1"/>
  <c r="O253" i="29"/>
  <c r="P253" i="29" s="1"/>
  <c r="N253" i="29"/>
  <c r="K253" i="29"/>
  <c r="DJ252" i="29"/>
  <c r="DE252" i="29"/>
  <c r="CZ252" i="29"/>
  <c r="CK252" i="29"/>
  <c r="CK261" i="29" s="1"/>
  <c r="CB252" i="29"/>
  <c r="CB261" i="29" s="1"/>
  <c r="CA252" i="29"/>
  <c r="CA261" i="29" s="1"/>
  <c r="BW252" i="29"/>
  <c r="BW261" i="29" s="1"/>
  <c r="BV252" i="29"/>
  <c r="BV261" i="29" s="1"/>
  <c r="BR252" i="29"/>
  <c r="BR261" i="29" s="1"/>
  <c r="BL252" i="29"/>
  <c r="BL261" i="29" s="1"/>
  <c r="BK252" i="29"/>
  <c r="BK261" i="29" s="1"/>
  <c r="BG252" i="29"/>
  <c r="BG261" i="29" s="1"/>
  <c r="BB252" i="29"/>
  <c r="BB261" i="29" s="1"/>
  <c r="AZ252" i="29"/>
  <c r="AV252" i="29"/>
  <c r="AV261" i="29" s="1"/>
  <c r="AQ252" i="29"/>
  <c r="AQ261" i="29" s="1"/>
  <c r="AO252" i="29"/>
  <c r="AE252" i="29"/>
  <c r="AE251" i="29" s="1"/>
  <c r="AE250" i="29"/>
  <c r="AE244" i="29"/>
  <c r="AE246" i="29" s="1"/>
  <c r="AE237" i="29"/>
  <c r="CC251" i="29"/>
  <c r="CD251" i="29" s="1"/>
  <c r="BY251" i="29"/>
  <c r="BZ251" i="29" s="1"/>
  <c r="BX251" i="29"/>
  <c r="BS253" i="29"/>
  <c r="BS251" i="29"/>
  <c r="BT251" i="29" s="1"/>
  <c r="BQ251" i="29"/>
  <c r="BM251" i="29"/>
  <c r="BH253" i="29"/>
  <c r="BH251" i="29"/>
  <c r="BA251" i="29"/>
  <c r="AW253" i="29"/>
  <c r="AW251" i="29"/>
  <c r="AP251" i="29"/>
  <c r="AL251" i="29"/>
  <c r="AK251" i="29"/>
  <c r="AG251" i="29"/>
  <c r="AD251" i="29"/>
  <c r="AB251" i="29"/>
  <c r="W251" i="29"/>
  <c r="V251" i="29"/>
  <c r="R251" i="29"/>
  <c r="Q251" i="29"/>
  <c r="N251" i="29"/>
  <c r="M251" i="29"/>
  <c r="L251" i="29"/>
  <c r="H251" i="29"/>
  <c r="G251" i="29"/>
  <c r="F251" i="29"/>
  <c r="E251" i="29"/>
  <c r="D251" i="29"/>
  <c r="C251" i="29"/>
  <c r="B251" i="29"/>
  <c r="CP250" i="29"/>
  <c r="CP252" i="29" s="1"/>
  <c r="CP247" i="29"/>
  <c r="CP246" i="29"/>
  <c r="CF250" i="29"/>
  <c r="CF252" i="29" s="1"/>
  <c r="CF247" i="29"/>
  <c r="CF246" i="29"/>
  <c r="AM250" i="29"/>
  <c r="AM251" i="29" s="1"/>
  <c r="AM247" i="29"/>
  <c r="AM246" i="29"/>
  <c r="AM244" i="29"/>
  <c r="AO244" i="29" s="1"/>
  <c r="AJ250" i="29"/>
  <c r="AF250" i="29"/>
  <c r="AF251" i="29" s="1"/>
  <c r="AF249" i="29"/>
  <c r="AF247" i="29"/>
  <c r="AF246" i="29"/>
  <c r="X250" i="29"/>
  <c r="Y250" i="29" s="1"/>
  <c r="S250" i="29"/>
  <c r="T250" i="29" s="1"/>
  <c r="U250" i="29" s="1"/>
  <c r="O250" i="29"/>
  <c r="P250" i="29" s="1"/>
  <c r="N250" i="29"/>
  <c r="I250" i="29"/>
  <c r="CK249" i="29"/>
  <c r="CK247" i="29"/>
  <c r="CK246" i="29"/>
  <c r="AN246" i="29"/>
  <c r="AN244" i="29"/>
  <c r="AN243" i="29"/>
  <c r="AN261" i="29" s="1"/>
  <c r="AD246" i="29"/>
  <c r="BW247" i="29"/>
  <c r="BW249" i="29" s="1"/>
  <c r="BV247" i="29"/>
  <c r="BR247" i="29"/>
  <c r="BR249" i="29" s="1"/>
  <c r="BQ247" i="29"/>
  <c r="BB249" i="29"/>
  <c r="BB247" i="29"/>
  <c r="BA247" i="29"/>
  <c r="AZ247" i="29"/>
  <c r="AZ249" i="29" s="1"/>
  <c r="AB249" i="29"/>
  <c r="Q249" i="29"/>
  <c r="M249" i="29"/>
  <c r="L249" i="29"/>
  <c r="H249" i="29"/>
  <c r="E249" i="29"/>
  <c r="D249" i="29"/>
  <c r="AB247" i="29"/>
  <c r="AA247" i="29"/>
  <c r="AA249" i="29" s="1"/>
  <c r="W247" i="29"/>
  <c r="W249" i="29" s="1"/>
  <c r="V247" i="29"/>
  <c r="R247" i="29"/>
  <c r="Q247" i="29"/>
  <c r="N247" i="29"/>
  <c r="M247" i="29"/>
  <c r="L247" i="29"/>
  <c r="H247" i="29"/>
  <c r="G247" i="29"/>
  <c r="G249" i="29" s="1"/>
  <c r="F247" i="29"/>
  <c r="E247" i="29"/>
  <c r="D247" i="29"/>
  <c r="C247" i="29"/>
  <c r="C249" i="29" s="1"/>
  <c r="B247" i="29"/>
  <c r="BB246" i="29"/>
  <c r="AZ246" i="29"/>
  <c r="CU246" i="29"/>
  <c r="CQ246" i="29"/>
  <c r="CB247" i="29"/>
  <c r="CA247" i="29"/>
  <c r="CA249" i="29" s="1"/>
  <c r="CB246" i="29"/>
  <c r="CA246" i="29"/>
  <c r="BX246" i="29"/>
  <c r="BW246" i="29"/>
  <c r="BS246" i="29"/>
  <c r="BR246" i="29"/>
  <c r="BL247" i="29"/>
  <c r="BK247" i="29"/>
  <c r="BL246" i="29"/>
  <c r="BK246" i="29"/>
  <c r="BH247" i="29"/>
  <c r="BH249" i="29" s="1"/>
  <c r="BG247" i="29"/>
  <c r="BH246" i="29"/>
  <c r="BG246" i="29"/>
  <c r="AV247" i="29"/>
  <c r="AV246" i="29"/>
  <c r="AQ249" i="29"/>
  <c r="AQ247" i="29"/>
  <c r="AP247" i="29"/>
  <c r="AQ246" i="29"/>
  <c r="AP246" i="29"/>
  <c r="AL247" i="29"/>
  <c r="AL249" i="29" s="1"/>
  <c r="AK247" i="29"/>
  <c r="AK249" i="29" s="1"/>
  <c r="AL246" i="29"/>
  <c r="AK246" i="29"/>
  <c r="AG247" i="29"/>
  <c r="AG249" i="29" s="1"/>
  <c r="AG246" i="29"/>
  <c r="AB246" i="29"/>
  <c r="AA246" i="29"/>
  <c r="W246" i="29"/>
  <c r="V246" i="29"/>
  <c r="S246" i="29"/>
  <c r="R246" i="29"/>
  <c r="Q246" i="29"/>
  <c r="N246" i="29"/>
  <c r="M246" i="29"/>
  <c r="L246" i="29"/>
  <c r="H246" i="29"/>
  <c r="G246" i="29"/>
  <c r="F246" i="29"/>
  <c r="E246" i="29"/>
  <c r="D246" i="29"/>
  <c r="C246" i="29"/>
  <c r="CQ244" i="29"/>
  <c r="BM244" i="29"/>
  <c r="BM243" i="29"/>
  <c r="BM247" i="29" s="1"/>
  <c r="BM241" i="29"/>
  <c r="AH244" i="29"/>
  <c r="AI244" i="29" s="1"/>
  <c r="X244" i="29"/>
  <c r="S244" i="29"/>
  <c r="O244" i="29"/>
  <c r="N244" i="29"/>
  <c r="I244" i="29"/>
  <c r="CC244" i="29"/>
  <c r="CC252" i="29" s="1"/>
  <c r="CC243" i="29"/>
  <c r="Y243" i="29"/>
  <c r="Y241" i="29"/>
  <c r="Y239" i="29"/>
  <c r="CP239" i="29"/>
  <c r="CC241" i="29"/>
  <c r="CD241" i="29" s="1"/>
  <c r="CE241" i="29" s="1"/>
  <c r="BY244" i="29"/>
  <c r="BX244" i="29"/>
  <c r="BX243" i="29"/>
  <c r="BX241" i="29"/>
  <c r="BY241" i="29" s="1"/>
  <c r="BT244" i="29"/>
  <c r="BS244" i="29"/>
  <c r="BU244" i="29" s="1"/>
  <c r="BS243" i="29"/>
  <c r="BS247" i="29" s="1"/>
  <c r="BT241" i="29"/>
  <c r="BS241" i="29"/>
  <c r="BI244" i="29"/>
  <c r="BH244" i="29"/>
  <c r="BJ244" i="29" s="1"/>
  <c r="BI243" i="29"/>
  <c r="BH243" i="29"/>
  <c r="BH241" i="29"/>
  <c r="BC251" i="29"/>
  <c r="BD250" i="29"/>
  <c r="BE250" i="29" s="1"/>
  <c r="BC250" i="29"/>
  <c r="BC247" i="29"/>
  <c r="BC244" i="29"/>
  <c r="BC243" i="29"/>
  <c r="BC241" i="29"/>
  <c r="BD241" i="29" s="1"/>
  <c r="BE241" i="29" s="1"/>
  <c r="AW244" i="29"/>
  <c r="AX243" i="29"/>
  <c r="AW243" i="29"/>
  <c r="AW241" i="29"/>
  <c r="AR251" i="29"/>
  <c r="AS251" i="29" s="1"/>
  <c r="AR250" i="29"/>
  <c r="AR244" i="29"/>
  <c r="AR246" i="29" s="1"/>
  <c r="AR243" i="29"/>
  <c r="AS241" i="29"/>
  <c r="AT241" i="29" s="1"/>
  <c r="AR241" i="29"/>
  <c r="AM241" i="29"/>
  <c r="AM240" i="29"/>
  <c r="AO240" i="29" s="1"/>
  <c r="AM239" i="29"/>
  <c r="AO239" i="29" s="1"/>
  <c r="AH241" i="29"/>
  <c r="AI241" i="29" s="1"/>
  <c r="X241" i="29"/>
  <c r="Z241" i="29" s="1"/>
  <c r="X240" i="29"/>
  <c r="Y240" i="29" s="1"/>
  <c r="X239" i="29"/>
  <c r="X238" i="29"/>
  <c r="Y238" i="29" s="1"/>
  <c r="CU240" i="29"/>
  <c r="CU239" i="29"/>
  <c r="CF240" i="29"/>
  <c r="CP240" i="29" s="1"/>
  <c r="CF239" i="29"/>
  <c r="BE240" i="29"/>
  <c r="AT240" i="29"/>
  <c r="AJ240" i="29"/>
  <c r="BF239" i="29"/>
  <c r="AU239" i="29"/>
  <c r="DJ238" i="29"/>
  <c r="DE238" i="29"/>
  <c r="CZ238" i="29"/>
  <c r="BM238" i="29"/>
  <c r="BM237" i="29"/>
  <c r="AL238" i="29"/>
  <c r="AH238" i="29"/>
  <c r="AI238" i="29" s="1"/>
  <c r="AD243" i="29"/>
  <c r="AC243" i="29"/>
  <c r="AC247" i="29" s="1"/>
  <c r="AD241" i="29"/>
  <c r="AC241" i="29"/>
  <c r="AE241" i="29" s="1"/>
  <c r="AC240" i="29"/>
  <c r="AD239" i="29"/>
  <c r="AC239" i="29"/>
  <c r="AE239" i="29" s="1"/>
  <c r="AC238" i="29"/>
  <c r="S240" i="29"/>
  <c r="T240" i="29" s="1"/>
  <c r="T239" i="29"/>
  <c r="U239" i="29" s="1"/>
  <c r="S239" i="29"/>
  <c r="S238" i="29"/>
  <c r="N240" i="29"/>
  <c r="O240" i="29" s="1"/>
  <c r="N239" i="29"/>
  <c r="O239" i="29" s="1"/>
  <c r="O238" i="29"/>
  <c r="P238" i="29" s="1"/>
  <c r="N238" i="29"/>
  <c r="I240" i="29"/>
  <c r="J240" i="29" s="1"/>
  <c r="K240" i="29" s="1"/>
  <c r="I239" i="29"/>
  <c r="I238" i="29"/>
  <c r="J238" i="29" s="1"/>
  <c r="AN237" i="29"/>
  <c r="AO237" i="29" s="1"/>
  <c r="AK237" i="29"/>
  <c r="W237" i="29"/>
  <c r="X237" i="29" s="1"/>
  <c r="CQ237" i="29"/>
  <c r="CC238" i="29"/>
  <c r="CC237" i="29"/>
  <c r="BX238" i="29"/>
  <c r="BY237" i="29"/>
  <c r="BX237" i="29"/>
  <c r="BS238" i="29"/>
  <c r="BS237" i="29"/>
  <c r="BI238" i="29"/>
  <c r="BH238" i="29"/>
  <c r="BH237" i="29"/>
  <c r="BC238" i="29"/>
  <c r="BD238" i="29" s="1"/>
  <c r="BD237" i="29"/>
  <c r="BC237" i="29"/>
  <c r="AW238" i="29"/>
  <c r="AX237" i="29"/>
  <c r="AW237" i="29"/>
  <c r="AR238" i="29"/>
  <c r="AR237" i="29"/>
  <c r="AS237" i="29" s="1"/>
  <c r="CE232" i="29"/>
  <c r="CD232" i="29"/>
  <c r="CC232" i="29"/>
  <c r="CB232" i="29"/>
  <c r="BZ232" i="29"/>
  <c r="BY232" i="29"/>
  <c r="BX232" i="29"/>
  <c r="BW232" i="29"/>
  <c r="BJ232" i="29"/>
  <c r="BI232" i="29"/>
  <c r="BH232" i="29"/>
  <c r="BE232" i="29"/>
  <c r="BD232" i="29"/>
  <c r="AY232" i="29"/>
  <c r="AX232" i="29"/>
  <c r="AW232" i="29"/>
  <c r="AT232" i="29"/>
  <c r="AS232" i="29"/>
  <c r="AR232" i="29"/>
  <c r="AP232" i="29"/>
  <c r="AO232" i="29"/>
  <c r="AN232" i="29"/>
  <c r="AM232" i="29"/>
  <c r="AL232" i="29"/>
  <c r="AK232" i="29"/>
  <c r="AJ232" i="29"/>
  <c r="AI232" i="29"/>
  <c r="AH232" i="29"/>
  <c r="AG232" i="29"/>
  <c r="AF232" i="29"/>
  <c r="AE232" i="29"/>
  <c r="AD232" i="29"/>
  <c r="AC232" i="29"/>
  <c r="AB232" i="29"/>
  <c r="AA232" i="29"/>
  <c r="Z232" i="29"/>
  <c r="Y232" i="29"/>
  <c r="X232" i="29"/>
  <c r="W232" i="29"/>
  <c r="V232" i="29"/>
  <c r="U232" i="29"/>
  <c r="T232" i="29"/>
  <c r="S232" i="29"/>
  <c r="R232" i="29"/>
  <c r="Q232" i="29"/>
  <c r="P232" i="29"/>
  <c r="O232" i="29"/>
  <c r="N232" i="29"/>
  <c r="M232" i="29"/>
  <c r="L232" i="29"/>
  <c r="G232" i="29"/>
  <c r="F232" i="29"/>
  <c r="CT231" i="29"/>
  <c r="CF231" i="29"/>
  <c r="CA231" i="29"/>
  <c r="BV231" i="29"/>
  <c r="CA232" i="29" s="1"/>
  <c r="BG231" i="29"/>
  <c r="BB231" i="29"/>
  <c r="BA231" i="29"/>
  <c r="BM232" i="29" s="1"/>
  <c r="AV231" i="29"/>
  <c r="AQ231" i="29"/>
  <c r="AQ232" i="29" s="1"/>
  <c r="AP231" i="29"/>
  <c r="AK231" i="29"/>
  <c r="CU222" i="29"/>
  <c r="CP224" i="29"/>
  <c r="CP220" i="29"/>
  <c r="CP221" i="29" s="1"/>
  <c r="BH229" i="29"/>
  <c r="BD229" i="29"/>
  <c r="AT229" i="29"/>
  <c r="AS229" i="29"/>
  <c r="AR229" i="29"/>
  <c r="AQ229" i="29"/>
  <c r="AO229" i="29"/>
  <c r="AN229" i="29"/>
  <c r="AM229" i="29"/>
  <c r="AL229" i="29"/>
  <c r="AJ229" i="29"/>
  <c r="AI229" i="29"/>
  <c r="AH229" i="29"/>
  <c r="AG229" i="29"/>
  <c r="AE229" i="29"/>
  <c r="AD229" i="29"/>
  <c r="AC229" i="29"/>
  <c r="AB229" i="29"/>
  <c r="Z229" i="29"/>
  <c r="Y229" i="29"/>
  <c r="X229" i="29"/>
  <c r="W229" i="29"/>
  <c r="U229" i="29"/>
  <c r="T229" i="29"/>
  <c r="S229" i="29"/>
  <c r="R229" i="29"/>
  <c r="P229" i="29"/>
  <c r="O229" i="29"/>
  <c r="N229" i="29"/>
  <c r="M229" i="29"/>
  <c r="L229" i="29"/>
  <c r="K229" i="29"/>
  <c r="J229" i="29"/>
  <c r="I229" i="29"/>
  <c r="G229" i="29"/>
  <c r="F229" i="29"/>
  <c r="E229" i="29"/>
  <c r="D229" i="29"/>
  <c r="C229" i="29"/>
  <c r="CQ228" i="29"/>
  <c r="CR228" i="29" s="1"/>
  <c r="AP228" i="29"/>
  <c r="AP229" i="29" s="1"/>
  <c r="BA229" i="29" s="1"/>
  <c r="AP227" i="29"/>
  <c r="AK228" i="29"/>
  <c r="AK229" i="29" s="1"/>
  <c r="AK227" i="29"/>
  <c r="AF228" i="29"/>
  <c r="AF227" i="29"/>
  <c r="AA228" i="29"/>
  <c r="AF229" i="29" s="1"/>
  <c r="AA227" i="29"/>
  <c r="V228" i="29"/>
  <c r="V229" i="29" s="1"/>
  <c r="V227" i="29"/>
  <c r="Q228" i="29"/>
  <c r="Q229" i="29" s="1"/>
  <c r="Q227" i="29"/>
  <c r="L228" i="29"/>
  <c r="L227" i="29"/>
  <c r="CE229" i="29"/>
  <c r="CD229" i="29"/>
  <c r="CC229" i="29"/>
  <c r="CB229" i="29"/>
  <c r="BZ229" i="29"/>
  <c r="BY229" i="29"/>
  <c r="BX229" i="29"/>
  <c r="CF227" i="29"/>
  <c r="CE227" i="29"/>
  <c r="CD227" i="29"/>
  <c r="CC227" i="29"/>
  <c r="CB227" i="29"/>
  <c r="BZ227" i="29"/>
  <c r="BY227" i="29"/>
  <c r="BX227" i="29"/>
  <c r="BW227" i="29"/>
  <c r="BU227" i="29"/>
  <c r="BT227" i="29"/>
  <c r="BS227" i="29"/>
  <c r="BM229" i="29"/>
  <c r="BJ229" i="29"/>
  <c r="BI229" i="29"/>
  <c r="BS228" i="29"/>
  <c r="BS229" i="29" s="1"/>
  <c r="BR228" i="29"/>
  <c r="BR229" i="29" s="1"/>
  <c r="BF228" i="29"/>
  <c r="BF229" i="29" s="1"/>
  <c r="BQ229" i="29" s="1"/>
  <c r="BE228" i="29"/>
  <c r="BE229" i="29" s="1"/>
  <c r="BD228" i="29"/>
  <c r="BC228" i="29"/>
  <c r="BC229" i="29" s="1"/>
  <c r="BB228" i="29"/>
  <c r="BB229" i="29" s="1"/>
  <c r="BA228" i="29"/>
  <c r="AY229" i="29"/>
  <c r="AX229" i="29"/>
  <c r="AW229" i="29"/>
  <c r="AZ228" i="29"/>
  <c r="AU228" i="29"/>
  <c r="AU229" i="29" s="1"/>
  <c r="BM227" i="29"/>
  <c r="BL227" i="29"/>
  <c r="BJ227" i="29"/>
  <c r="BI227" i="29"/>
  <c r="BH227" i="29"/>
  <c r="BG227" i="29"/>
  <c r="BF227" i="29"/>
  <c r="BE227" i="29"/>
  <c r="BD227" i="29"/>
  <c r="BC227" i="29"/>
  <c r="BB227" i="29"/>
  <c r="BA227" i="29"/>
  <c r="AZ227" i="29"/>
  <c r="BK227" i="29" s="1"/>
  <c r="AY227" i="29"/>
  <c r="AX227" i="29"/>
  <c r="AW227" i="29"/>
  <c r="AV227" i="29"/>
  <c r="AU227" i="29"/>
  <c r="AT227" i="29"/>
  <c r="AS227" i="29"/>
  <c r="AR227" i="29"/>
  <c r="AQ227" i="29"/>
  <c r="AO227" i="29"/>
  <c r="AN227" i="29"/>
  <c r="AM227" i="29"/>
  <c r="AL227" i="29"/>
  <c r="AJ227" i="29"/>
  <c r="AI227" i="29"/>
  <c r="AH227" i="29"/>
  <c r="AG227" i="29"/>
  <c r="AE227" i="29"/>
  <c r="AD227" i="29"/>
  <c r="AC227" i="29"/>
  <c r="AB227" i="29"/>
  <c r="Z227" i="29"/>
  <c r="Y227" i="29"/>
  <c r="X227" i="29"/>
  <c r="W227" i="29"/>
  <c r="U227" i="29"/>
  <c r="T227" i="29"/>
  <c r="S227" i="29"/>
  <c r="R227" i="29"/>
  <c r="P227" i="29"/>
  <c r="O227" i="29"/>
  <c r="N227" i="29"/>
  <c r="M227" i="29"/>
  <c r="K227" i="29"/>
  <c r="J227" i="29"/>
  <c r="I227" i="29"/>
  <c r="G227" i="29"/>
  <c r="F227" i="29"/>
  <c r="E227" i="29"/>
  <c r="D227" i="29"/>
  <c r="C227" i="29"/>
  <c r="CZ222" i="29"/>
  <c r="CF226" i="29"/>
  <c r="CF249" i="29" s="1"/>
  <c r="CF225" i="29"/>
  <c r="CF224" i="29"/>
  <c r="CF221" i="29"/>
  <c r="CF220" i="29"/>
  <c r="BV224" i="29"/>
  <c r="BV220" i="29"/>
  <c r="BQ224" i="29"/>
  <c r="BQ223" i="29"/>
  <c r="BK226" i="29"/>
  <c r="BV226" i="29" s="1"/>
  <c r="BK224" i="29"/>
  <c r="BF226" i="29"/>
  <c r="BQ226" i="29" s="1"/>
  <c r="BF225" i="29"/>
  <c r="BQ225" i="29" s="1"/>
  <c r="BF224" i="29"/>
  <c r="BF223" i="29"/>
  <c r="BE223" i="29" s="1"/>
  <c r="BA226" i="29"/>
  <c r="BA249" i="29" s="1"/>
  <c r="BA224" i="29"/>
  <c r="BA223" i="29"/>
  <c r="CK225" i="29"/>
  <c r="CE225" i="29"/>
  <c r="CD225" i="29"/>
  <c r="CC225" i="29"/>
  <c r="CB225" i="29"/>
  <c r="CA225" i="29"/>
  <c r="BZ225" i="29"/>
  <c r="BY225" i="29"/>
  <c r="BX225" i="29"/>
  <c r="BW225" i="29"/>
  <c r="BU225" i="29"/>
  <c r="BT225" i="29"/>
  <c r="BS225" i="29"/>
  <c r="BR225" i="29"/>
  <c r="BM225" i="29"/>
  <c r="BL225" i="29"/>
  <c r="BJ225" i="29"/>
  <c r="BI225" i="29"/>
  <c r="BH225" i="29"/>
  <c r="BG225" i="29"/>
  <c r="BE225" i="29"/>
  <c r="BD225" i="29"/>
  <c r="BC225" i="29"/>
  <c r="BB225" i="29"/>
  <c r="AZ225" i="29"/>
  <c r="BK225" i="29" s="1"/>
  <c r="AY225" i="29"/>
  <c r="AX225" i="29"/>
  <c r="AW225" i="29"/>
  <c r="AV225" i="29"/>
  <c r="AU225" i="29"/>
  <c r="AT225" i="29"/>
  <c r="AS225" i="29"/>
  <c r="AR225" i="29"/>
  <c r="AQ225" i="29"/>
  <c r="AP225" i="29"/>
  <c r="BA225" i="29" s="1"/>
  <c r="AO225" i="29"/>
  <c r="AN225" i="29"/>
  <c r="AM225" i="29"/>
  <c r="AL225" i="29"/>
  <c r="AK225" i="29"/>
  <c r="AJ225" i="29"/>
  <c r="AI225" i="29"/>
  <c r="AH225" i="29"/>
  <c r="AG225" i="29"/>
  <c r="AF225" i="29"/>
  <c r="AE225" i="29"/>
  <c r="AD225" i="29"/>
  <c r="AC225" i="29"/>
  <c r="AB225" i="29"/>
  <c r="AA225" i="29"/>
  <c r="Z225" i="29"/>
  <c r="Y225" i="29"/>
  <c r="X225" i="29"/>
  <c r="W225" i="29"/>
  <c r="V225" i="29"/>
  <c r="U225" i="29"/>
  <c r="T225" i="29"/>
  <c r="S225" i="29"/>
  <c r="R225" i="29"/>
  <c r="Q225" i="29"/>
  <c r="P225" i="29"/>
  <c r="O225" i="29"/>
  <c r="N225" i="29"/>
  <c r="M225" i="29"/>
  <c r="L225" i="29"/>
  <c r="K225" i="29"/>
  <c r="J225" i="29"/>
  <c r="I225" i="29"/>
  <c r="H225" i="29"/>
  <c r="G225" i="29"/>
  <c r="F225" i="29"/>
  <c r="E225" i="29"/>
  <c r="D225" i="29"/>
  <c r="C225" i="29"/>
  <c r="B225" i="29"/>
  <c r="CQ226" i="29"/>
  <c r="CQ257" i="29" s="1"/>
  <c r="CT225" i="29"/>
  <c r="CS225" i="29"/>
  <c r="CR225" i="29"/>
  <c r="CQ225" i="29"/>
  <c r="CQ224" i="29"/>
  <c r="CD223" i="29"/>
  <c r="CC223" i="29"/>
  <c r="BY223" i="29"/>
  <c r="BZ223" i="29" s="1"/>
  <c r="BX223" i="29"/>
  <c r="BS223" i="29"/>
  <c r="BT223" i="29" s="1"/>
  <c r="BM223" i="29"/>
  <c r="BM221" i="29"/>
  <c r="BH223" i="29"/>
  <c r="BI223" i="29" s="1"/>
  <c r="BE221" i="29"/>
  <c r="BE222" i="29" s="1"/>
  <c r="AZ223" i="29"/>
  <c r="BK223" i="29" s="1"/>
  <c r="AX223" i="29"/>
  <c r="AW223" i="29"/>
  <c r="AT223" i="29"/>
  <c r="AT221" i="29"/>
  <c r="AT222" i="29" s="1"/>
  <c r="AO223" i="29"/>
  <c r="AO221" i="29"/>
  <c r="AO222" i="29" s="1"/>
  <c r="AK223" i="29"/>
  <c r="AK221" i="29"/>
  <c r="AK222" i="29" s="1"/>
  <c r="CK221" i="29"/>
  <c r="CK222" i="29" s="1"/>
  <c r="BL221" i="29"/>
  <c r="BL222" i="29" s="1"/>
  <c r="AA221" i="29"/>
  <c r="AA222" i="29" s="1"/>
  <c r="V221" i="29"/>
  <c r="V222" i="29" s="1"/>
  <c r="Q221" i="29"/>
  <c r="Q222" i="29" s="1"/>
  <c r="L221" i="29"/>
  <c r="L222" i="29" s="1"/>
  <c r="CD222" i="29"/>
  <c r="BZ222" i="29"/>
  <c r="BW222" i="29"/>
  <c r="CE221" i="29"/>
  <c r="CE222" i="29" s="1"/>
  <c r="CD221" i="29"/>
  <c r="CC221" i="29"/>
  <c r="CC222" i="29" s="1"/>
  <c r="CB221" i="29"/>
  <c r="CB222" i="29" s="1"/>
  <c r="CA221" i="29"/>
  <c r="BZ221" i="29"/>
  <c r="BY221" i="29"/>
  <c r="BY222" i="29" s="1"/>
  <c r="BX221" i="29"/>
  <c r="BX222" i="29" s="1"/>
  <c r="BW221" i="29"/>
  <c r="BU221" i="29"/>
  <c r="BU222" i="29" s="1"/>
  <c r="BT221" i="29"/>
  <c r="BS221" i="29"/>
  <c r="BS222" i="29" s="1"/>
  <c r="BJ221" i="29"/>
  <c r="BJ222" i="29" s="1"/>
  <c r="BI221" i="29"/>
  <c r="BI222" i="29" s="1"/>
  <c r="BH221" i="29"/>
  <c r="BH222" i="29" s="1"/>
  <c r="BG221" i="29"/>
  <c r="BG222" i="29" s="1"/>
  <c r="BC222" i="29"/>
  <c r="BB222" i="29"/>
  <c r="BD221" i="29"/>
  <c r="BD222" i="29" s="1"/>
  <c r="BC221" i="29"/>
  <c r="BB221" i="29"/>
  <c r="AY222" i="29"/>
  <c r="AX222" i="29"/>
  <c r="AY221" i="29"/>
  <c r="AX221" i="29"/>
  <c r="AW221" i="29"/>
  <c r="AW222" i="29" s="1"/>
  <c r="AV221" i="29"/>
  <c r="AP222" i="29"/>
  <c r="BA222" i="29" s="1"/>
  <c r="AS221" i="29"/>
  <c r="AS222" i="29" s="1"/>
  <c r="AR221" i="29"/>
  <c r="AR222" i="29" s="1"/>
  <c r="AQ221" i="29"/>
  <c r="AU221" i="29" s="1"/>
  <c r="BF221" i="29" s="1"/>
  <c r="BQ221" i="29" s="1"/>
  <c r="AP221" i="29"/>
  <c r="BA221" i="29" s="1"/>
  <c r="AM222" i="29"/>
  <c r="AL222" i="29"/>
  <c r="AN221" i="29"/>
  <c r="AN222" i="29" s="1"/>
  <c r="AM221" i="29"/>
  <c r="AL221" i="29"/>
  <c r="AJ222" i="29"/>
  <c r="AI222" i="29"/>
  <c r="AF222" i="29"/>
  <c r="AJ221" i="29"/>
  <c r="AI221" i="29"/>
  <c r="AH221" i="29"/>
  <c r="AH222" i="29" s="1"/>
  <c r="AG221" i="29"/>
  <c r="AG222" i="29" s="1"/>
  <c r="AF221" i="29"/>
  <c r="AE221" i="29"/>
  <c r="AD221" i="29"/>
  <c r="AC221" i="29"/>
  <c r="AB221" i="29"/>
  <c r="Y221" i="29"/>
  <c r="X221" i="29"/>
  <c r="W221" i="29"/>
  <c r="U221" i="29"/>
  <c r="T221" i="29"/>
  <c r="S221" i="29"/>
  <c r="R221" i="29"/>
  <c r="P221" i="29"/>
  <c r="O221" i="29"/>
  <c r="N221" i="29"/>
  <c r="M221" i="29"/>
  <c r="K221" i="29"/>
  <c r="J221" i="29"/>
  <c r="I221" i="29"/>
  <c r="G222" i="29"/>
  <c r="C222" i="29"/>
  <c r="G221" i="29"/>
  <c r="F221" i="29"/>
  <c r="F222" i="29" s="1"/>
  <c r="E221" i="29"/>
  <c r="E222" i="29" s="1"/>
  <c r="D221" i="29"/>
  <c r="D222" i="29" s="1"/>
  <c r="C221" i="29"/>
  <c r="CR220" i="29"/>
  <c r="CS220" i="29" s="1"/>
  <c r="CQ220" i="29"/>
  <c r="CQ221" i="29" s="1"/>
  <c r="CQ223" i="29" s="1"/>
  <c r="CQ255" i="29" s="1"/>
  <c r="CA220" i="29"/>
  <c r="AP220" i="29"/>
  <c r="BA220" i="29" s="1"/>
  <c r="AJ220" i="29"/>
  <c r="Z220" i="29"/>
  <c r="Z221" i="29" s="1"/>
  <c r="CU214" i="29"/>
  <c r="CU213" i="29"/>
  <c r="CK216" i="29"/>
  <c r="CK214" i="29"/>
  <c r="DI216" i="29"/>
  <c r="DH216" i="29"/>
  <c r="DG216" i="29"/>
  <c r="DF216" i="29"/>
  <c r="DD216" i="29"/>
  <c r="DC216" i="29"/>
  <c r="DB216" i="29"/>
  <c r="DA216" i="29"/>
  <c r="CY216" i="29"/>
  <c r="CX216" i="29"/>
  <c r="CW216" i="29"/>
  <c r="CV216" i="29"/>
  <c r="CQ216" i="29"/>
  <c r="CE216" i="29"/>
  <c r="CD216" i="29"/>
  <c r="CC216" i="29"/>
  <c r="CB216" i="29"/>
  <c r="BZ216" i="29"/>
  <c r="BY216" i="29"/>
  <c r="BX216" i="29"/>
  <c r="BW216" i="29"/>
  <c r="BU216" i="29"/>
  <c r="BT216" i="29"/>
  <c r="BS216" i="29"/>
  <c r="BR216" i="29"/>
  <c r="BQ216" i="29"/>
  <c r="BM216" i="29"/>
  <c r="BL216" i="29"/>
  <c r="BJ216" i="29"/>
  <c r="BI216" i="29"/>
  <c r="BH216" i="29"/>
  <c r="BG216" i="29"/>
  <c r="BE216" i="29"/>
  <c r="BD216" i="29"/>
  <c r="BC216" i="29"/>
  <c r="BB216" i="29"/>
  <c r="BA216" i="29"/>
  <c r="AY216" i="29"/>
  <c r="AX216" i="29"/>
  <c r="AW216" i="29"/>
  <c r="AV216" i="29"/>
  <c r="AT216" i="29"/>
  <c r="AS216" i="29"/>
  <c r="AR216" i="29"/>
  <c r="AQ216" i="29"/>
  <c r="AP216" i="29"/>
  <c r="AO216" i="29"/>
  <c r="AN216" i="29"/>
  <c r="AM216" i="29"/>
  <c r="AL216" i="29"/>
  <c r="AJ216" i="29"/>
  <c r="AI216" i="29"/>
  <c r="AH216" i="29"/>
  <c r="AG216" i="29"/>
  <c r="AE216" i="29"/>
  <c r="AD216" i="29"/>
  <c r="AC216" i="29"/>
  <c r="AB216" i="29"/>
  <c r="Z216" i="29"/>
  <c r="Y216" i="29"/>
  <c r="X216" i="29"/>
  <c r="W216" i="29"/>
  <c r="U216" i="29"/>
  <c r="T216" i="29"/>
  <c r="S216" i="29"/>
  <c r="R216" i="29"/>
  <c r="P216" i="29"/>
  <c r="O216" i="29"/>
  <c r="N216" i="29"/>
  <c r="M216" i="29"/>
  <c r="L216" i="29"/>
  <c r="K216" i="29"/>
  <c r="J216" i="29"/>
  <c r="I216" i="29"/>
  <c r="H216" i="29"/>
  <c r="G216" i="29"/>
  <c r="F216" i="29"/>
  <c r="E216" i="29"/>
  <c r="D216" i="29"/>
  <c r="C216" i="29"/>
  <c r="B216" i="29"/>
  <c r="CF214" i="29"/>
  <c r="CF213" i="29"/>
  <c r="CF216" i="29" s="1"/>
  <c r="CA214" i="29"/>
  <c r="CA213" i="29"/>
  <c r="CA216" i="29" s="1"/>
  <c r="BV214" i="29"/>
  <c r="BV213" i="29"/>
  <c r="AZ214" i="29"/>
  <c r="BK214" i="29" s="1"/>
  <c r="AZ213" i="29"/>
  <c r="BK213" i="29" s="1"/>
  <c r="AU214" i="29"/>
  <c r="BF214" i="29" s="1"/>
  <c r="AU213" i="29"/>
  <c r="AU216" i="29" s="1"/>
  <c r="AP214" i="29"/>
  <c r="AP213" i="29"/>
  <c r="AA214" i="29"/>
  <c r="AA216" i="29" s="1"/>
  <c r="V214" i="29"/>
  <c r="V216" i="29" s="1"/>
  <c r="Q214" i="29"/>
  <c r="Q216" i="29" s="1"/>
  <c r="L214" i="29"/>
  <c r="AK213" i="29"/>
  <c r="AK216" i="29" s="1"/>
  <c r="AF213" i="29"/>
  <c r="AF216" i="29" s="1"/>
  <c r="B213" i="29"/>
  <c r="DJ202" i="29"/>
  <c r="DJ195" i="29"/>
  <c r="DJ192" i="29"/>
  <c r="DE202" i="29"/>
  <c r="DE195" i="29"/>
  <c r="DE192" i="29"/>
  <c r="CZ202" i="29"/>
  <c r="CZ192" i="29"/>
  <c r="CU202" i="29"/>
  <c r="CU192" i="29"/>
  <c r="CP202" i="29"/>
  <c r="CP195" i="29"/>
  <c r="BC208" i="29"/>
  <c r="BB208" i="29"/>
  <c r="AR208" i="29"/>
  <c r="AQ208" i="29"/>
  <c r="AN208" i="29"/>
  <c r="AM208" i="29"/>
  <c r="AL208" i="29"/>
  <c r="AJ208" i="29"/>
  <c r="AI208" i="29"/>
  <c r="AH208" i="29"/>
  <c r="AG208" i="29"/>
  <c r="AE208" i="29"/>
  <c r="AD208" i="29"/>
  <c r="AC208" i="29"/>
  <c r="AB208" i="29"/>
  <c r="Z208" i="29"/>
  <c r="Y208" i="29"/>
  <c r="X208" i="29"/>
  <c r="W208" i="29"/>
  <c r="U208" i="29"/>
  <c r="T208" i="29"/>
  <c r="S208" i="29"/>
  <c r="R208" i="29"/>
  <c r="P208" i="29"/>
  <c r="O208" i="29"/>
  <c r="N208" i="29"/>
  <c r="M208" i="29"/>
  <c r="K208" i="29"/>
  <c r="J208" i="29"/>
  <c r="I208" i="29"/>
  <c r="H208" i="29"/>
  <c r="G208" i="29"/>
  <c r="F208" i="29"/>
  <c r="E208" i="29"/>
  <c r="D208" i="29"/>
  <c r="C208" i="29"/>
  <c r="CK202" i="29"/>
  <c r="CT202" i="29"/>
  <c r="CS202" i="29"/>
  <c r="CR202" i="29"/>
  <c r="CQ202" i="29"/>
  <c r="BV202" i="29"/>
  <c r="BU202" i="29"/>
  <c r="BT202" i="29"/>
  <c r="BS202" i="29"/>
  <c r="BR202" i="29"/>
  <c r="BQ202" i="29"/>
  <c r="BJ202" i="29"/>
  <c r="BI202" i="29"/>
  <c r="BH202" i="29"/>
  <c r="BG202" i="29"/>
  <c r="BE202" i="29"/>
  <c r="BD202" i="29"/>
  <c r="BC202" i="29"/>
  <c r="BB202" i="29"/>
  <c r="BA202" i="29"/>
  <c r="AZ202" i="29"/>
  <c r="AY202" i="29"/>
  <c r="AX202" i="29"/>
  <c r="AW202" i="29"/>
  <c r="AV202" i="29"/>
  <c r="AU202" i="29"/>
  <c r="AT202" i="29"/>
  <c r="AS202" i="29"/>
  <c r="AR202" i="29"/>
  <c r="AQ202" i="29"/>
  <c r="AP202" i="29"/>
  <c r="AO202" i="29"/>
  <c r="AN202" i="29"/>
  <c r="AM202" i="29"/>
  <c r="AL202" i="29"/>
  <c r="AK202" i="29"/>
  <c r="AJ202" i="29"/>
  <c r="AI202" i="29"/>
  <c r="AH202" i="29"/>
  <c r="AG202" i="29"/>
  <c r="AF202" i="29"/>
  <c r="AE202" i="29"/>
  <c r="AD202" i="29"/>
  <c r="AC202" i="29"/>
  <c r="AB202" i="29"/>
  <c r="AA202" i="29"/>
  <c r="Z202" i="29"/>
  <c r="Y202" i="29"/>
  <c r="X202" i="29"/>
  <c r="W202" i="29"/>
  <c r="V202" i="29"/>
  <c r="U202" i="29"/>
  <c r="T202" i="29"/>
  <c r="S202" i="29"/>
  <c r="R202" i="29"/>
  <c r="Q202" i="29"/>
  <c r="P202" i="29"/>
  <c r="O202" i="29"/>
  <c r="N202" i="29"/>
  <c r="M202" i="29"/>
  <c r="L202" i="29"/>
  <c r="K202" i="29"/>
  <c r="J202" i="29"/>
  <c r="I202" i="29"/>
  <c r="H202" i="29"/>
  <c r="G202" i="29"/>
  <c r="F202" i="29"/>
  <c r="E202" i="29"/>
  <c r="D202" i="29"/>
  <c r="C202" i="29"/>
  <c r="B202" i="29"/>
  <c r="CK198" i="29"/>
  <c r="CF202" i="29"/>
  <c r="CE202" i="29"/>
  <c r="CD202" i="29"/>
  <c r="CC202" i="29"/>
  <c r="CB202" i="29"/>
  <c r="CA202" i="29"/>
  <c r="BZ202" i="29"/>
  <c r="BY202" i="29"/>
  <c r="BX202" i="29"/>
  <c r="BW202" i="29"/>
  <c r="BM202" i="29"/>
  <c r="BL202" i="29"/>
  <c r="CA198" i="29"/>
  <c r="CA195" i="29"/>
  <c r="CA192" i="29"/>
  <c r="CA191" i="29"/>
  <c r="CA193" i="29" s="1"/>
  <c r="BV198" i="29"/>
  <c r="BV195" i="29"/>
  <c r="BV194" i="29"/>
  <c r="BV193" i="29"/>
  <c r="BV192" i="29"/>
  <c r="BJ198" i="29"/>
  <c r="AY198" i="29"/>
  <c r="AZ198" i="29" s="1"/>
  <c r="AU198" i="29"/>
  <c r="AU195" i="29"/>
  <c r="AU193" i="29"/>
  <c r="AU194" i="29" s="1"/>
  <c r="AU192" i="29"/>
  <c r="AU191" i="29"/>
  <c r="AO198" i="29"/>
  <c r="AP198" i="29" s="1"/>
  <c r="AK198" i="29"/>
  <c r="AJ198" i="29"/>
  <c r="AF198" i="29"/>
  <c r="AA198" i="29"/>
  <c r="AA195" i="29"/>
  <c r="V198" i="29"/>
  <c r="V195" i="29"/>
  <c r="Q198" i="29"/>
  <c r="L198" i="29"/>
  <c r="L195" i="29"/>
  <c r="CF198" i="29"/>
  <c r="CE198" i="29"/>
  <c r="CF195" i="29"/>
  <c r="CF192" i="29"/>
  <c r="CF191" i="29"/>
  <c r="CF193" i="29" s="1"/>
  <c r="CQ193" i="29" s="1"/>
  <c r="BF195" i="29"/>
  <c r="BF192" i="29"/>
  <c r="AP195" i="29"/>
  <c r="BA195" i="29" s="1"/>
  <c r="AP192" i="29"/>
  <c r="AP191" i="29"/>
  <c r="P195" i="29"/>
  <c r="AZ195" i="29"/>
  <c r="BK195" i="29" s="1"/>
  <c r="AK192" i="29"/>
  <c r="CE192" i="29"/>
  <c r="CE193" i="29" s="1"/>
  <c r="CD192" i="29"/>
  <c r="CD193" i="29" s="1"/>
  <c r="CC192" i="29"/>
  <c r="CC193" i="29" s="1"/>
  <c r="CB192" i="29"/>
  <c r="CB193" i="29" s="1"/>
  <c r="BZ192" i="29"/>
  <c r="BZ193" i="29" s="1"/>
  <c r="BY192" i="29"/>
  <c r="BY193" i="29" s="1"/>
  <c r="BX192" i="29"/>
  <c r="BX193" i="29" s="1"/>
  <c r="BW192" i="29"/>
  <c r="BW193" i="29" s="1"/>
  <c r="BU192" i="29"/>
  <c r="BU193" i="29" s="1"/>
  <c r="BT192" i="29"/>
  <c r="BT193" i="29" s="1"/>
  <c r="BS192" i="29"/>
  <c r="BS193" i="29" s="1"/>
  <c r="BR192" i="29"/>
  <c r="BR193" i="29" s="1"/>
  <c r="BM192" i="29"/>
  <c r="BM193" i="29" s="1"/>
  <c r="BL192" i="29"/>
  <c r="BL193" i="29" s="1"/>
  <c r="BJ192" i="29"/>
  <c r="BJ193" i="29" s="1"/>
  <c r="BI192" i="29"/>
  <c r="BI193" i="29" s="1"/>
  <c r="BH192" i="29"/>
  <c r="BH193" i="29" s="1"/>
  <c r="BG192" i="29"/>
  <c r="BG193" i="29" s="1"/>
  <c r="BC193" i="29"/>
  <c r="BB193" i="29"/>
  <c r="AY193" i="29"/>
  <c r="AX193" i="29"/>
  <c r="BE192" i="29"/>
  <c r="BE193" i="29" s="1"/>
  <c r="BC192" i="29"/>
  <c r="BB192" i="29"/>
  <c r="BA192" i="29"/>
  <c r="AZ192" i="29"/>
  <c r="BK192" i="29" s="1"/>
  <c r="AY192" i="29"/>
  <c r="AX192" i="29"/>
  <c r="AW192" i="29"/>
  <c r="AW193" i="29" s="1"/>
  <c r="AV192" i="29"/>
  <c r="AV193" i="29" s="1"/>
  <c r="AT192" i="29"/>
  <c r="AT193" i="29" s="1"/>
  <c r="AS192" i="29"/>
  <c r="AS193" i="29" s="1"/>
  <c r="AR192" i="29"/>
  <c r="AR193" i="29" s="1"/>
  <c r="AQ192" i="29"/>
  <c r="AQ193" i="29" s="1"/>
  <c r="CT192" i="29"/>
  <c r="CS192" i="29"/>
  <c r="CR192" i="29"/>
  <c r="CQ192" i="29"/>
  <c r="AZ191" i="29"/>
  <c r="AZ193" i="29" s="1"/>
  <c r="AE191" i="29"/>
  <c r="AA191" i="29"/>
  <c r="V191" i="29"/>
  <c r="Q191" i="29"/>
  <c r="L191" i="29"/>
  <c r="CZ183" i="29"/>
  <c r="CZ195" i="29" s="1"/>
  <c r="CR183" i="29"/>
  <c r="CQ183" i="29"/>
  <c r="CQ195" i="29" s="1"/>
  <c r="CF183" i="29"/>
  <c r="CF182" i="29"/>
  <c r="CF181" i="29"/>
  <c r="CA183" i="29"/>
  <c r="CA182" i="29"/>
  <c r="CA180" i="29" s="1"/>
  <c r="CA208" i="29" s="1"/>
  <c r="CA181" i="29"/>
  <c r="BV183" i="29"/>
  <c r="BV181" i="29"/>
  <c r="BP183" i="29"/>
  <c r="BK183" i="29"/>
  <c r="BF183" i="29"/>
  <c r="AZ183" i="29"/>
  <c r="AU183" i="29"/>
  <c r="AP183" i="29"/>
  <c r="AK183" i="29"/>
  <c r="AK182" i="29"/>
  <c r="AF183" i="29"/>
  <c r="AA183" i="29"/>
  <c r="V183" i="29"/>
  <c r="Q183" i="29"/>
  <c r="Q182" i="29"/>
  <c r="L183" i="29"/>
  <c r="DE182" i="29"/>
  <c r="CT182" i="29"/>
  <c r="CS182" i="29"/>
  <c r="CS180" i="29" s="1"/>
  <c r="CS208" i="29" s="1"/>
  <c r="CR182" i="29"/>
  <c r="CR180" i="29" s="1"/>
  <c r="CR208" i="29" s="1"/>
  <c r="CQ182" i="29"/>
  <c r="CU182" i="29" s="1"/>
  <c r="CE182" i="29"/>
  <c r="CE181" i="29"/>
  <c r="CE180" i="29"/>
  <c r="CE208" i="29" s="1"/>
  <c r="BZ182" i="29"/>
  <c r="BZ181" i="29"/>
  <c r="BZ180" i="29"/>
  <c r="BZ208" i="29" s="1"/>
  <c r="BU182" i="29"/>
  <c r="BU181" i="29"/>
  <c r="BJ182" i="29"/>
  <c r="BJ181" i="29"/>
  <c r="AY182" i="29"/>
  <c r="AZ182" i="29" s="1"/>
  <c r="AY181" i="29"/>
  <c r="AZ181" i="29" s="1"/>
  <c r="AY180" i="29"/>
  <c r="AY208" i="29" s="1"/>
  <c r="G182" i="29"/>
  <c r="F182" i="29"/>
  <c r="E182" i="29"/>
  <c r="D182" i="29"/>
  <c r="C182" i="29"/>
  <c r="CU181" i="29"/>
  <c r="CZ181" i="29" s="1"/>
  <c r="CZ180" i="29" s="1"/>
  <c r="CZ208" i="29" s="1"/>
  <c r="CU180" i="29"/>
  <c r="CU208" i="29" s="1"/>
  <c r="CK180" i="29"/>
  <c r="CK208" i="29" s="1"/>
  <c r="CD180" i="29"/>
  <c r="CD208" i="29" s="1"/>
  <c r="CC180" i="29"/>
  <c r="CC208" i="29" s="1"/>
  <c r="CB180" i="29"/>
  <c r="CB208" i="29" s="1"/>
  <c r="BY180" i="29"/>
  <c r="BY208" i="29" s="1"/>
  <c r="BX180" i="29"/>
  <c r="BX208" i="29" s="1"/>
  <c r="BW180" i="29"/>
  <c r="BW208" i="29" s="1"/>
  <c r="BT180" i="29"/>
  <c r="BT208" i="29" s="1"/>
  <c r="BS180" i="29"/>
  <c r="BS208" i="29" s="1"/>
  <c r="BR180" i="29"/>
  <c r="BR208" i="29" s="1"/>
  <c r="BQ180" i="29"/>
  <c r="BQ208" i="29" s="1"/>
  <c r="BM180" i="29"/>
  <c r="BM208" i="29" s="1"/>
  <c r="BL180" i="29"/>
  <c r="BL208" i="29" s="1"/>
  <c r="BK180" i="29"/>
  <c r="BK208" i="29" s="1"/>
  <c r="BI180" i="29"/>
  <c r="BI208" i="29" s="1"/>
  <c r="BH180" i="29"/>
  <c r="BH208" i="29" s="1"/>
  <c r="BG180" i="29"/>
  <c r="BG208" i="29" s="1"/>
  <c r="BF180" i="29"/>
  <c r="BF208" i="29" s="1"/>
  <c r="BE180" i="29"/>
  <c r="BE208" i="29" s="1"/>
  <c r="BD180" i="29"/>
  <c r="BD208" i="29" s="1"/>
  <c r="BA180" i="29"/>
  <c r="BA208" i="29" s="1"/>
  <c r="AX180" i="29"/>
  <c r="AX208" i="29" s="1"/>
  <c r="AW180" i="29"/>
  <c r="AW208" i="29" s="1"/>
  <c r="AV180" i="29"/>
  <c r="AV208" i="29" s="1"/>
  <c r="AT180" i="29"/>
  <c r="AT208" i="29" s="1"/>
  <c r="AS180" i="29"/>
  <c r="AS208" i="29" s="1"/>
  <c r="AO180" i="29"/>
  <c r="AO208" i="29" s="1"/>
  <c r="AK180" i="29"/>
  <c r="AK208" i="29" s="1"/>
  <c r="AF180" i="29"/>
  <c r="AA180" i="29"/>
  <c r="AA208" i="29" s="1"/>
  <c r="V180" i="29"/>
  <c r="V208" i="29" s="1"/>
  <c r="Q180" i="29"/>
  <c r="Q208" i="29" s="1"/>
  <c r="L180" i="29"/>
  <c r="B180" i="29"/>
  <c r="CT180" i="29"/>
  <c r="CT208" i="29" s="1"/>
  <c r="CQ180" i="29"/>
  <c r="CQ208" i="29" s="1"/>
  <c r="CP180" i="29"/>
  <c r="CP208" i="29" s="1"/>
  <c r="BV178" i="29"/>
  <c r="L178" i="29"/>
  <c r="AM177" i="29"/>
  <c r="AL177" i="29"/>
  <c r="AI177" i="29"/>
  <c r="AJ177" i="29" s="1"/>
  <c r="AH177" i="29"/>
  <c r="AG177" i="29"/>
  <c r="AK177" i="29" s="1"/>
  <c r="AE177" i="29"/>
  <c r="AD177" i="29"/>
  <c r="AC177" i="29"/>
  <c r="AB177" i="29"/>
  <c r="AF177" i="29" s="1"/>
  <c r="Y177" i="29"/>
  <c r="X177" i="29"/>
  <c r="W177" i="29"/>
  <c r="T177" i="29"/>
  <c r="U177" i="29" s="1"/>
  <c r="S177" i="29"/>
  <c r="R177" i="29"/>
  <c r="P177" i="29"/>
  <c r="O177" i="29"/>
  <c r="N177" i="29"/>
  <c r="M177" i="29"/>
  <c r="Q177" i="29" s="1"/>
  <c r="J177" i="29"/>
  <c r="I177" i="29"/>
  <c r="H177" i="29"/>
  <c r="G177" i="29"/>
  <c r="F177" i="29"/>
  <c r="E177" i="29"/>
  <c r="D177" i="29"/>
  <c r="CU149" i="29"/>
  <c r="CP164" i="29"/>
  <c r="CP153" i="29"/>
  <c r="DT171" i="29"/>
  <c r="AA164" i="29"/>
  <c r="BZ164" i="29"/>
  <c r="CA164" i="29" s="1"/>
  <c r="BT164" i="29"/>
  <c r="BR164" i="29"/>
  <c r="BL164" i="29"/>
  <c r="BK164" i="29"/>
  <c r="BI164" i="29"/>
  <c r="BG164" i="29"/>
  <c r="BB164" i="29"/>
  <c r="AV164" i="29"/>
  <c r="AQ164" i="29"/>
  <c r="AN164" i="29"/>
  <c r="AM164" i="29"/>
  <c r="AL164" i="29"/>
  <c r="AK164" i="29"/>
  <c r="AJ164" i="29"/>
  <c r="AI164" i="29"/>
  <c r="AH164" i="29"/>
  <c r="AG164" i="29"/>
  <c r="AF164" i="29"/>
  <c r="AZ164" i="29"/>
  <c r="AY164" i="29"/>
  <c r="CZ149" i="29"/>
  <c r="DE149" i="29" s="1"/>
  <c r="CD164" i="29"/>
  <c r="CC164" i="29"/>
  <c r="CB157" i="29"/>
  <c r="BX157" i="29"/>
  <c r="BT157" i="29"/>
  <c r="BD157" i="29"/>
  <c r="AX157" i="29"/>
  <c r="AW157" i="29"/>
  <c r="AS157" i="29"/>
  <c r="AL157" i="29"/>
  <c r="AI157" i="29"/>
  <c r="CA155" i="29"/>
  <c r="BZ155" i="29"/>
  <c r="BK155" i="29"/>
  <c r="BK153" i="29"/>
  <c r="AV155" i="29"/>
  <c r="AU155" i="29"/>
  <c r="AU164" i="29" s="1"/>
  <c r="AP155" i="29"/>
  <c r="AP150" i="29"/>
  <c r="AJ155" i="29"/>
  <c r="AJ157" i="29" s="1"/>
  <c r="AJ153" i="29"/>
  <c r="AX154" i="29"/>
  <c r="G154" i="29"/>
  <c r="DT153" i="29"/>
  <c r="CK153" i="29"/>
  <c r="CK157" i="29" s="1"/>
  <c r="BV153" i="29"/>
  <c r="BU153" i="29"/>
  <c r="BT153" i="29"/>
  <c r="BS153" i="29"/>
  <c r="BR153" i="29"/>
  <c r="BR171" i="29" s="1"/>
  <c r="BQ153" i="29"/>
  <c r="BF153" i="29"/>
  <c r="BE153" i="29"/>
  <c r="BE171" i="29" s="1"/>
  <c r="BD153" i="29"/>
  <c r="BC153" i="29"/>
  <c r="BB153" i="29"/>
  <c r="BA153" i="29"/>
  <c r="BA171" i="29" s="1"/>
  <c r="AX153" i="29"/>
  <c r="AW153" i="29"/>
  <c r="AW154" i="29" s="1"/>
  <c r="AV153" i="29"/>
  <c r="AV171" i="29" s="1"/>
  <c r="AS153" i="29"/>
  <c r="AS154" i="29" s="1"/>
  <c r="AR153" i="29"/>
  <c r="AR157" i="29" s="1"/>
  <c r="AQ153" i="29"/>
  <c r="AQ171" i="29" s="1"/>
  <c r="J153" i="29"/>
  <c r="I153" i="29"/>
  <c r="H153" i="29"/>
  <c r="G153" i="29"/>
  <c r="F153" i="29"/>
  <c r="F154" i="29" s="1"/>
  <c r="E153" i="29"/>
  <c r="D153" i="29"/>
  <c r="C153" i="29"/>
  <c r="CD153" i="29"/>
  <c r="CD171" i="29" s="1"/>
  <c r="CC153" i="29"/>
  <c r="CB153" i="29"/>
  <c r="BZ153" i="29"/>
  <c r="BZ157" i="29" s="1"/>
  <c r="BY153" i="29"/>
  <c r="BY171" i="29" s="1"/>
  <c r="BX153" i="29"/>
  <c r="BW153" i="29"/>
  <c r="BM153" i="29"/>
  <c r="BM154" i="29" s="1"/>
  <c r="BL153" i="29"/>
  <c r="BL154" i="29" s="1"/>
  <c r="BJ153" i="29"/>
  <c r="BI153" i="29"/>
  <c r="BI157" i="29" s="1"/>
  <c r="BH153" i="29"/>
  <c r="BG153" i="29"/>
  <c r="AL154" i="29"/>
  <c r="AN153" i="29"/>
  <c r="AN157" i="29" s="1"/>
  <c r="AM153" i="29"/>
  <c r="AM171" i="29" s="1"/>
  <c r="AL153" i="29"/>
  <c r="AI153" i="29"/>
  <c r="AH153" i="29"/>
  <c r="AH157" i="29" s="1"/>
  <c r="AG153" i="29"/>
  <c r="AG157" i="29" s="1"/>
  <c r="AE153" i="29"/>
  <c r="AD153" i="29"/>
  <c r="AC153" i="29"/>
  <c r="AB153" i="29"/>
  <c r="Z153" i="29"/>
  <c r="Z171" i="29" s="1"/>
  <c r="Y153" i="29"/>
  <c r="X153" i="29"/>
  <c r="W153" i="29"/>
  <c r="U153" i="29"/>
  <c r="T153" i="29"/>
  <c r="S153" i="29"/>
  <c r="R153" i="29"/>
  <c r="O153" i="29"/>
  <c r="N153" i="29"/>
  <c r="M153" i="29"/>
  <c r="CT150" i="29"/>
  <c r="CS150" i="29"/>
  <c r="CS147" i="29" s="1"/>
  <c r="CS178" i="29" s="1"/>
  <c r="CR150" i="29"/>
  <c r="CQ150" i="29"/>
  <c r="CE155" i="29"/>
  <c r="CF155" i="29" s="1"/>
  <c r="CE153" i="29"/>
  <c r="CE171" i="29" s="1"/>
  <c r="CE150" i="29"/>
  <c r="CF150" i="29" s="1"/>
  <c r="BF150" i="29"/>
  <c r="BF147" i="29" s="1"/>
  <c r="BF162" i="29" s="1"/>
  <c r="BF149" i="29"/>
  <c r="BF148" i="29"/>
  <c r="AZ150" i="29"/>
  <c r="AZ147" i="29" s="1"/>
  <c r="AZ149" i="29"/>
  <c r="AZ148" i="29"/>
  <c r="AU150" i="29"/>
  <c r="AU147" i="29" s="1"/>
  <c r="AU149" i="29"/>
  <c r="AU148" i="29"/>
  <c r="AK150" i="29"/>
  <c r="AK149" i="29"/>
  <c r="AK148" i="29"/>
  <c r="AF149" i="29"/>
  <c r="AF148" i="29"/>
  <c r="AD150" i="29"/>
  <c r="AD147" i="29" s="1"/>
  <c r="AC150" i="29"/>
  <c r="AB150" i="29"/>
  <c r="AA150" i="29"/>
  <c r="U150" i="29"/>
  <c r="U147" i="29" s="1"/>
  <c r="U149" i="29"/>
  <c r="R150" i="29"/>
  <c r="P150" i="29"/>
  <c r="P149" i="29"/>
  <c r="P147" i="29" s="1"/>
  <c r="P178" i="29" s="1"/>
  <c r="P148" i="29"/>
  <c r="P145" i="29"/>
  <c r="P144" i="29"/>
  <c r="K150" i="29"/>
  <c r="K149" i="29"/>
  <c r="K148" i="29"/>
  <c r="K147" i="29" s="1"/>
  <c r="CK149" i="29"/>
  <c r="CK147" i="29" s="1"/>
  <c r="CF149" i="29"/>
  <c r="CF148" i="29"/>
  <c r="BK149" i="29"/>
  <c r="BK148" i="29"/>
  <c r="BK147" i="29"/>
  <c r="BK162" i="29" s="1"/>
  <c r="BA149" i="29"/>
  <c r="AO149" i="29"/>
  <c r="AP149" i="29" s="1"/>
  <c r="AA149" i="29"/>
  <c r="AA148" i="29"/>
  <c r="AA147" i="29" s="1"/>
  <c r="AA178" i="29" s="1"/>
  <c r="CE148" i="29"/>
  <c r="CE147" i="29"/>
  <c r="CE178" i="29" s="1"/>
  <c r="BZ148" i="29"/>
  <c r="BZ150" i="29" s="1"/>
  <c r="AM148" i="29"/>
  <c r="AP148" i="29" s="1"/>
  <c r="AP147" i="29" s="1"/>
  <c r="AM147" i="29"/>
  <c r="AM178" i="29" s="1"/>
  <c r="R148" i="29"/>
  <c r="R147" i="29" s="1"/>
  <c r="R145" i="29"/>
  <c r="R146" i="29" s="1"/>
  <c r="R144" i="29"/>
  <c r="CT148" i="29"/>
  <c r="CT238" i="29" s="1"/>
  <c r="CS148" i="29"/>
  <c r="CS238" i="29" s="1"/>
  <c r="CR148" i="29"/>
  <c r="CR238" i="29" s="1"/>
  <c r="CQ148" i="29"/>
  <c r="CT147" i="29"/>
  <c r="CT178" i="29" s="1"/>
  <c r="CR147" i="29"/>
  <c r="CR178" i="29" s="1"/>
  <c r="CQ147" i="29"/>
  <c r="CQ178" i="29" s="1"/>
  <c r="CP147" i="29"/>
  <c r="CD147" i="29"/>
  <c r="CD178" i="29" s="1"/>
  <c r="CC147" i="29"/>
  <c r="CC178" i="29" s="1"/>
  <c r="CB147" i="29"/>
  <c r="CB178" i="29" s="1"/>
  <c r="BY147" i="29"/>
  <c r="BY178" i="29" s="1"/>
  <c r="BX147" i="29"/>
  <c r="BX178" i="29" s="1"/>
  <c r="BW147" i="29"/>
  <c r="BW178" i="29" s="1"/>
  <c r="BT147" i="29"/>
  <c r="BS147" i="29"/>
  <c r="BS178" i="29" s="1"/>
  <c r="BR147" i="29"/>
  <c r="BQ147" i="29"/>
  <c r="BQ162" i="29" s="1"/>
  <c r="BM147" i="29"/>
  <c r="BM178" i="29" s="1"/>
  <c r="BL147" i="29"/>
  <c r="BL178" i="29" s="1"/>
  <c r="BJ147" i="29"/>
  <c r="BI147" i="29"/>
  <c r="BH147" i="29"/>
  <c r="BH178" i="29" s="1"/>
  <c r="BG147" i="29"/>
  <c r="BG178" i="29" s="1"/>
  <c r="BE147" i="29"/>
  <c r="BD147" i="29"/>
  <c r="BD178" i="29" s="1"/>
  <c r="BC147" i="29"/>
  <c r="BC178" i="29" s="1"/>
  <c r="BB147" i="29"/>
  <c r="BA147" i="29"/>
  <c r="BA162" i="29" s="1"/>
  <c r="AY147" i="29"/>
  <c r="AY178" i="29" s="1"/>
  <c r="AX147" i="29"/>
  <c r="AX178" i="29" s="1"/>
  <c r="AW147" i="29"/>
  <c r="AV147" i="29"/>
  <c r="AT147" i="29"/>
  <c r="AT178" i="29" s="1"/>
  <c r="AS147" i="29"/>
  <c r="AR147" i="29"/>
  <c r="AR178" i="29" s="1"/>
  <c r="AQ147" i="29"/>
  <c r="AQ178" i="29" s="1"/>
  <c r="AO147" i="29"/>
  <c r="AO178" i="29" s="1"/>
  <c r="AN147" i="29"/>
  <c r="AN178" i="29" s="1"/>
  <c r="AL147" i="29"/>
  <c r="AL178" i="29" s="1"/>
  <c r="AJ147" i="29"/>
  <c r="AJ178" i="29" s="1"/>
  <c r="AI147" i="29"/>
  <c r="AI178" i="29" s="1"/>
  <c r="AH147" i="29"/>
  <c r="AH178" i="29" s="1"/>
  <c r="AG147" i="29"/>
  <c r="AE147" i="29"/>
  <c r="AE178" i="29" s="1"/>
  <c r="AC147" i="29"/>
  <c r="AB147" i="29"/>
  <c r="AB178" i="29" s="1"/>
  <c r="Z147" i="29"/>
  <c r="Z178" i="29" s="1"/>
  <c r="Y147" i="29"/>
  <c r="Y178" i="29" s="1"/>
  <c r="X147" i="29"/>
  <c r="X178" i="29" s="1"/>
  <c r="W147" i="29"/>
  <c r="V147" i="29"/>
  <c r="T147" i="29"/>
  <c r="T178" i="29" s="1"/>
  <c r="S147" i="29"/>
  <c r="Q147" i="29"/>
  <c r="Q178" i="29" s="1"/>
  <c r="Q145" i="29"/>
  <c r="Q146" i="29" s="1"/>
  <c r="Q144" i="29"/>
  <c r="Q143" i="29"/>
  <c r="Q141" i="29"/>
  <c r="Q142" i="29" s="1"/>
  <c r="J147" i="29"/>
  <c r="J162" i="29" s="1"/>
  <c r="I147" i="29"/>
  <c r="I162" i="29" s="1"/>
  <c r="H147" i="29"/>
  <c r="H162" i="29" s="1"/>
  <c r="G147" i="29"/>
  <c r="G178" i="29" s="1"/>
  <c r="F147" i="29"/>
  <c r="F178" i="29" s="1"/>
  <c r="E147" i="29"/>
  <c r="D147" i="29"/>
  <c r="D162" i="29" s="1"/>
  <c r="C147" i="29"/>
  <c r="C178" i="29" s="1"/>
  <c r="B147" i="29"/>
  <c r="B178" i="29" s="1"/>
  <c r="D146" i="29"/>
  <c r="J145" i="29"/>
  <c r="I145" i="29"/>
  <c r="H145" i="29"/>
  <c r="G145" i="29"/>
  <c r="G146" i="29" s="1"/>
  <c r="F145" i="29"/>
  <c r="F146" i="29" s="1"/>
  <c r="E145" i="29"/>
  <c r="E146" i="29" s="1"/>
  <c r="D145" i="29"/>
  <c r="C145" i="29"/>
  <c r="C146" i="29" s="1"/>
  <c r="B145" i="29"/>
  <c r="Z145" i="29"/>
  <c r="Y145" i="29"/>
  <c r="X145" i="29"/>
  <c r="W145" i="29"/>
  <c r="U145" i="29"/>
  <c r="U146" i="29" s="1"/>
  <c r="T145" i="29"/>
  <c r="T146" i="29" s="1"/>
  <c r="S145" i="29"/>
  <c r="S146" i="29" s="1"/>
  <c r="Z144" i="29"/>
  <c r="Y144" i="29"/>
  <c r="X144" i="29"/>
  <c r="W144" i="29"/>
  <c r="U144" i="29"/>
  <c r="T144" i="29"/>
  <c r="S144" i="29"/>
  <c r="O147" i="29"/>
  <c r="N147" i="29"/>
  <c r="N178" i="29" s="1"/>
  <c r="M147" i="29"/>
  <c r="M178" i="29" s="1"/>
  <c r="L147" i="29"/>
  <c r="O145" i="29"/>
  <c r="O146" i="29" s="1"/>
  <c r="N145" i="29"/>
  <c r="N146" i="29" s="1"/>
  <c r="M145" i="29"/>
  <c r="M146" i="29" s="1"/>
  <c r="O144" i="29"/>
  <c r="N144" i="29"/>
  <c r="M144" i="29"/>
  <c r="G144" i="29"/>
  <c r="F144" i="29"/>
  <c r="E144" i="29"/>
  <c r="D144" i="29"/>
  <c r="C144" i="29"/>
  <c r="AA143" i="29"/>
  <c r="AA144" i="29" s="1"/>
  <c r="V143" i="29"/>
  <c r="V144" i="29" s="1"/>
  <c r="L143" i="29"/>
  <c r="L145" i="29" s="1"/>
  <c r="L146" i="29" s="1"/>
  <c r="L141" i="29"/>
  <c r="L142" i="29" s="1"/>
  <c r="G142" i="29"/>
  <c r="C142" i="29"/>
  <c r="Z141" i="29"/>
  <c r="Z142" i="29" s="1"/>
  <c r="Y141" i="29"/>
  <c r="Y142" i="29" s="1"/>
  <c r="X141" i="29"/>
  <c r="X142" i="29" s="1"/>
  <c r="W141" i="29"/>
  <c r="W142" i="29" s="1"/>
  <c r="U141" i="29"/>
  <c r="U142" i="29" s="1"/>
  <c r="T141" i="29"/>
  <c r="T142" i="29" s="1"/>
  <c r="S141" i="29"/>
  <c r="S142" i="29" s="1"/>
  <c r="R141" i="29"/>
  <c r="R142" i="29" s="1"/>
  <c r="P141" i="29"/>
  <c r="O141" i="29"/>
  <c r="O142" i="29" s="1"/>
  <c r="N141" i="29"/>
  <c r="N142" i="29" s="1"/>
  <c r="M141" i="29"/>
  <c r="M142" i="29" s="1"/>
  <c r="J141" i="29"/>
  <c r="I141" i="29"/>
  <c r="H141" i="29"/>
  <c r="G141" i="29"/>
  <c r="F141" i="29"/>
  <c r="F142" i="29" s="1"/>
  <c r="E141" i="29"/>
  <c r="E142" i="29" s="1"/>
  <c r="D141" i="29"/>
  <c r="D142" i="29" s="1"/>
  <c r="C141" i="29"/>
  <c r="B141" i="29"/>
  <c r="CP140" i="29"/>
  <c r="CK140" i="29"/>
  <c r="CE140" i="29"/>
  <c r="CD140" i="29"/>
  <c r="CC140" i="29"/>
  <c r="CB140" i="29"/>
  <c r="BW140" i="29"/>
  <c r="BV140" i="29"/>
  <c r="BT140" i="29"/>
  <c r="BS140" i="29"/>
  <c r="BR140" i="29"/>
  <c r="BL140" i="29"/>
  <c r="BK140" i="29"/>
  <c r="BJ140" i="29"/>
  <c r="BI140" i="29"/>
  <c r="BH140" i="29"/>
  <c r="BG140" i="29"/>
  <c r="BF140" i="29"/>
  <c r="BE140" i="29"/>
  <c r="BD140" i="29"/>
  <c r="BC140" i="29"/>
  <c r="BB140" i="29"/>
  <c r="AY140" i="29"/>
  <c r="AX140" i="29"/>
  <c r="AW140" i="29"/>
  <c r="AV140" i="29"/>
  <c r="AT140" i="29"/>
  <c r="AS140" i="29"/>
  <c r="AR140" i="29"/>
  <c r="AQ140" i="29"/>
  <c r="AO140" i="29"/>
  <c r="AN140" i="29"/>
  <c r="AM140" i="29"/>
  <c r="AL140" i="29"/>
  <c r="AK140" i="29"/>
  <c r="AJ140" i="29"/>
  <c r="AI140" i="29"/>
  <c r="AH140" i="29"/>
  <c r="AG140" i="29"/>
  <c r="CU139" i="29"/>
  <c r="CU127" i="29"/>
  <c r="CU115" i="29"/>
  <c r="BX139" i="29"/>
  <c r="BX140" i="29" s="1"/>
  <c r="BU139" i="29"/>
  <c r="BU140" i="29" s="1"/>
  <c r="BU137" i="29"/>
  <c r="BU138" i="29" s="1"/>
  <c r="BU133" i="29"/>
  <c r="BU134" i="29" s="1"/>
  <c r="BU132" i="29"/>
  <c r="BM139" i="29"/>
  <c r="BM140" i="29" s="1"/>
  <c r="BM137" i="29"/>
  <c r="BM138" i="29" s="1"/>
  <c r="BM133" i="29"/>
  <c r="BM134" i="29" s="1"/>
  <c r="BM132" i="29"/>
  <c r="BJ139" i="29"/>
  <c r="BJ137" i="29"/>
  <c r="BJ138" i="29" s="1"/>
  <c r="BJ133" i="29"/>
  <c r="BJ134" i="29" s="1"/>
  <c r="BJ132" i="29"/>
  <c r="AY139" i="29"/>
  <c r="AY137" i="29"/>
  <c r="AY138" i="29" s="1"/>
  <c r="AY132" i="29"/>
  <c r="AY131" i="29"/>
  <c r="AY128" i="29"/>
  <c r="AY127" i="29"/>
  <c r="AY125" i="29"/>
  <c r="AY119" i="29"/>
  <c r="AY116" i="29"/>
  <c r="AY115" i="29"/>
  <c r="AY113" i="29"/>
  <c r="AY108" i="29"/>
  <c r="AY107" i="29"/>
  <c r="AY162" i="29" s="1"/>
  <c r="AY104" i="29"/>
  <c r="AY103" i="29"/>
  <c r="AY101" i="29"/>
  <c r="AY96" i="29"/>
  <c r="AY95" i="29"/>
  <c r="AY92" i="29"/>
  <c r="AY91" i="29"/>
  <c r="AY89" i="29"/>
  <c r="AY85" i="29"/>
  <c r="AY84" i="29"/>
  <c r="CP137" i="29"/>
  <c r="CP138" i="29" s="1"/>
  <c r="CP135" i="29"/>
  <c r="CP133" i="29"/>
  <c r="CP134" i="29" s="1"/>
  <c r="CP132" i="29"/>
  <c r="AZ131" i="29"/>
  <c r="AZ132" i="29" s="1"/>
  <c r="CK137" i="29"/>
  <c r="CK135" i="29" s="1"/>
  <c r="BF137" i="29"/>
  <c r="BF135" i="29" s="1"/>
  <c r="BE137" i="29"/>
  <c r="BD137" i="29"/>
  <c r="BD135" i="29" s="1"/>
  <c r="BC137" i="29"/>
  <c r="BC135" i="29" s="1"/>
  <c r="BB137" i="29"/>
  <c r="BB135" i="29" s="1"/>
  <c r="AJ137" i="29"/>
  <c r="AI137" i="29"/>
  <c r="AH137" i="29"/>
  <c r="AG137" i="29"/>
  <c r="AL138" i="29" s="1"/>
  <c r="BE135" i="29"/>
  <c r="DJ130" i="29"/>
  <c r="DE130" i="29"/>
  <c r="BF133" i="29"/>
  <c r="BF134" i="29" s="1"/>
  <c r="BF132" i="29"/>
  <c r="CK133" i="29"/>
  <c r="BQ133" i="29"/>
  <c r="BE133" i="29"/>
  <c r="BD133" i="29"/>
  <c r="BC133" i="29"/>
  <c r="BB133" i="29"/>
  <c r="BA133" i="29"/>
  <c r="J133" i="29"/>
  <c r="I133" i="29"/>
  <c r="H133" i="29"/>
  <c r="G133" i="29"/>
  <c r="G134" i="29" s="1"/>
  <c r="F133" i="29"/>
  <c r="F134" i="29" s="1"/>
  <c r="E133" i="29"/>
  <c r="E134" i="29" s="1"/>
  <c r="D133" i="29"/>
  <c r="D134" i="29" s="1"/>
  <c r="C133" i="29"/>
  <c r="C134" i="29" s="1"/>
  <c r="B133" i="29"/>
  <c r="CF139" i="29"/>
  <c r="CF140" i="29" s="1"/>
  <c r="CE139" i="29"/>
  <c r="CF137" i="29"/>
  <c r="CE137" i="29"/>
  <c r="CE135" i="29"/>
  <c r="CE134" i="29"/>
  <c r="CE133" i="29"/>
  <c r="CE132" i="29"/>
  <c r="BV138" i="29"/>
  <c r="CD137" i="29"/>
  <c r="CC137" i="29"/>
  <c r="CB137" i="29"/>
  <c r="CB138" i="29" s="1"/>
  <c r="BW137" i="29"/>
  <c r="BW135" i="29" s="1"/>
  <c r="BV137" i="29"/>
  <c r="CD135" i="29"/>
  <c r="CC135" i="29"/>
  <c r="BV135" i="29"/>
  <c r="CD134" i="29"/>
  <c r="BZ134" i="29"/>
  <c r="BV134" i="29"/>
  <c r="CD133" i="29"/>
  <c r="CC133" i="29"/>
  <c r="CC134" i="29" s="1"/>
  <c r="CB133" i="29"/>
  <c r="CB134" i="29" s="1"/>
  <c r="BZ133" i="29"/>
  <c r="BY133" i="29"/>
  <c r="BY134" i="29" s="1"/>
  <c r="BX133" i="29"/>
  <c r="BX134" i="29" s="1"/>
  <c r="BW133" i="29"/>
  <c r="BV133" i="29"/>
  <c r="CD132" i="29"/>
  <c r="CC132" i="29"/>
  <c r="CB132" i="29"/>
  <c r="BZ132" i="29"/>
  <c r="BY132" i="29"/>
  <c r="BX132" i="29"/>
  <c r="BW132" i="29"/>
  <c r="BV132" i="29"/>
  <c r="BT138" i="29"/>
  <c r="BS138" i="29"/>
  <c r="BT137" i="29"/>
  <c r="BS137" i="29"/>
  <c r="BS135" i="29" s="1"/>
  <c r="BS136" i="29" s="1"/>
  <c r="BR137" i="29"/>
  <c r="BT135" i="29"/>
  <c r="BT136" i="29" s="1"/>
  <c r="BT134" i="29"/>
  <c r="BS134" i="29"/>
  <c r="BT133" i="29"/>
  <c r="BS133" i="29"/>
  <c r="BR133" i="29"/>
  <c r="BR134" i="29" s="1"/>
  <c r="BT132" i="29"/>
  <c r="BS132" i="29"/>
  <c r="BR132" i="29"/>
  <c r="BL138" i="29"/>
  <c r="BL137" i="29"/>
  <c r="BK137" i="29"/>
  <c r="BK138" i="29" s="1"/>
  <c r="BL135" i="29"/>
  <c r="BK135" i="29"/>
  <c r="BK136" i="29" s="1"/>
  <c r="BL134" i="29"/>
  <c r="BL133" i="29"/>
  <c r="BK133" i="29"/>
  <c r="BK134" i="29" s="1"/>
  <c r="BL132" i="29"/>
  <c r="BK132" i="29"/>
  <c r="BI138" i="29"/>
  <c r="BH138" i="29"/>
  <c r="BG138" i="29"/>
  <c r="BI137" i="29"/>
  <c r="BH137" i="29"/>
  <c r="BG137" i="29"/>
  <c r="BG135" i="29" s="1"/>
  <c r="BG136" i="29" s="1"/>
  <c r="BI136" i="29"/>
  <c r="BI135" i="29"/>
  <c r="BH135" i="29"/>
  <c r="BH136" i="29" s="1"/>
  <c r="BI134" i="29"/>
  <c r="BH134" i="29"/>
  <c r="BG134" i="29"/>
  <c r="BI133" i="29"/>
  <c r="BH133" i="29"/>
  <c r="BG133" i="29"/>
  <c r="BI132" i="29"/>
  <c r="BH132" i="29"/>
  <c r="BG132" i="29"/>
  <c r="AX138" i="29"/>
  <c r="AW138" i="29"/>
  <c r="AT138" i="29"/>
  <c r="AS138" i="29"/>
  <c r="AO138" i="29"/>
  <c r="AX137" i="29"/>
  <c r="AW137" i="29"/>
  <c r="AV137" i="29"/>
  <c r="AV138" i="29" s="1"/>
  <c r="AU137" i="29"/>
  <c r="AT137" i="29"/>
  <c r="AS137" i="29"/>
  <c r="AR137" i="29"/>
  <c r="AQ137" i="29"/>
  <c r="AQ138" i="29" s="1"/>
  <c r="AO137" i="29"/>
  <c r="AN137" i="29"/>
  <c r="AN138" i="29" s="1"/>
  <c r="AM137" i="29"/>
  <c r="AM138" i="29" s="1"/>
  <c r="AL137" i="29"/>
  <c r="AK137" i="29"/>
  <c r="AX136" i="29"/>
  <c r="AW136" i="29"/>
  <c r="AT136" i="29"/>
  <c r="AS136" i="29"/>
  <c r="AO136" i="29"/>
  <c r="AX135" i="29"/>
  <c r="AW135" i="29"/>
  <c r="AV135" i="29"/>
  <c r="AT135" i="29"/>
  <c r="AS135" i="29"/>
  <c r="AR135" i="29"/>
  <c r="AQ135" i="29"/>
  <c r="AQ136" i="29" s="1"/>
  <c r="AO135" i="29"/>
  <c r="AN135" i="29"/>
  <c r="AN136" i="29" s="1"/>
  <c r="AL135" i="29"/>
  <c r="AX134" i="29"/>
  <c r="AW134" i="29"/>
  <c r="AT134" i="29"/>
  <c r="AS134" i="29"/>
  <c r="AO134" i="29"/>
  <c r="AL134" i="29"/>
  <c r="AX133" i="29"/>
  <c r="AW133" i="29"/>
  <c r="AV133" i="29"/>
  <c r="AT133" i="29"/>
  <c r="AS133" i="29"/>
  <c r="AR133" i="29"/>
  <c r="AQ133" i="29"/>
  <c r="AQ134" i="29" s="1"/>
  <c r="AO133" i="29"/>
  <c r="AN133" i="29"/>
  <c r="AM133" i="29"/>
  <c r="AM134" i="29" s="1"/>
  <c r="AL133" i="29"/>
  <c r="AX132" i="29"/>
  <c r="AW132" i="29"/>
  <c r="AV132" i="29"/>
  <c r="AU132" i="29"/>
  <c r="AT132" i="29"/>
  <c r="AS132" i="29"/>
  <c r="AR132" i="29"/>
  <c r="AQ132" i="29"/>
  <c r="AP132" i="29"/>
  <c r="AO132" i="29"/>
  <c r="AN132" i="29"/>
  <c r="AM132" i="29"/>
  <c r="AL132" i="29"/>
  <c r="AK132" i="29"/>
  <c r="AJ135" i="29"/>
  <c r="AI135" i="29"/>
  <c r="AH135" i="29"/>
  <c r="AG135" i="29"/>
  <c r="AL136" i="29" s="1"/>
  <c r="AH134" i="29"/>
  <c r="AJ133" i="29"/>
  <c r="AJ134" i="29" s="1"/>
  <c r="AI133" i="29"/>
  <c r="AI134" i="29" s="1"/>
  <c r="AH133" i="29"/>
  <c r="AG133" i="29"/>
  <c r="AJ132" i="29"/>
  <c r="AI132" i="29"/>
  <c r="AH132" i="29"/>
  <c r="AG132" i="29"/>
  <c r="AF132" i="29"/>
  <c r="P134" i="29"/>
  <c r="AE133" i="29"/>
  <c r="AE134" i="29" s="1"/>
  <c r="AD133" i="29"/>
  <c r="AD134" i="29" s="1"/>
  <c r="AC133" i="29"/>
  <c r="AB133" i="29"/>
  <c r="AB134" i="29" s="1"/>
  <c r="Z133" i="29"/>
  <c r="Z134" i="29" s="1"/>
  <c r="Y133" i="29"/>
  <c r="X133" i="29"/>
  <c r="X134" i="29" s="1"/>
  <c r="W133" i="29"/>
  <c r="W134" i="29" s="1"/>
  <c r="U133" i="29"/>
  <c r="T133" i="29"/>
  <c r="T134" i="29" s="1"/>
  <c r="S133" i="29"/>
  <c r="S134" i="29" s="1"/>
  <c r="R133" i="29"/>
  <c r="R134" i="29" s="1"/>
  <c r="P133" i="29"/>
  <c r="O133" i="29"/>
  <c r="O134" i="29" s="1"/>
  <c r="N133" i="29"/>
  <c r="N134" i="29" s="1"/>
  <c r="M133" i="29"/>
  <c r="M134" i="29" s="1"/>
  <c r="AE132" i="29"/>
  <c r="AD132" i="29"/>
  <c r="AC132" i="29"/>
  <c r="AB132" i="29"/>
  <c r="Z132" i="29"/>
  <c r="Y132" i="29"/>
  <c r="X132" i="29"/>
  <c r="W132" i="29"/>
  <c r="T132" i="29"/>
  <c r="S132" i="29"/>
  <c r="R132" i="29"/>
  <c r="Q132" i="29"/>
  <c r="P132" i="29"/>
  <c r="O132" i="29"/>
  <c r="N132" i="29"/>
  <c r="M132" i="29"/>
  <c r="L132" i="29"/>
  <c r="G132" i="29"/>
  <c r="F132" i="29"/>
  <c r="E132" i="29"/>
  <c r="D132" i="29"/>
  <c r="C132" i="29"/>
  <c r="DT131" i="29"/>
  <c r="CT131" i="29"/>
  <c r="CT137" i="29" s="1"/>
  <c r="CT135" i="29" s="1"/>
  <c r="CS131" i="29"/>
  <c r="CR131" i="29"/>
  <c r="CR140" i="29" s="1"/>
  <c r="CQ131" i="29"/>
  <c r="CU131" i="29" s="1"/>
  <c r="CF131" i="29"/>
  <c r="CF132" i="29" s="1"/>
  <c r="CF119" i="29"/>
  <c r="CF120" i="29" s="1"/>
  <c r="CF107" i="29"/>
  <c r="CF108" i="29" s="1"/>
  <c r="CA131" i="29"/>
  <c r="CA132" i="29" s="1"/>
  <c r="CA119" i="29"/>
  <c r="CA120" i="29" s="1"/>
  <c r="CA107" i="29"/>
  <c r="CA108" i="29" s="1"/>
  <c r="AU131" i="29"/>
  <c r="AU140" i="29" s="1"/>
  <c r="AP131" i="29"/>
  <c r="AP140" i="29" s="1"/>
  <c r="AK131" i="29"/>
  <c r="AF131" i="29"/>
  <c r="AF140" i="29" s="1"/>
  <c r="AF128" i="29"/>
  <c r="AA131" i="29"/>
  <c r="V131" i="29"/>
  <c r="P131" i="29"/>
  <c r="U132" i="29" s="1"/>
  <c r="K131" i="29"/>
  <c r="K133" i="29" s="1"/>
  <c r="CP129" i="29"/>
  <c r="CP128" i="29"/>
  <c r="E130" i="29"/>
  <c r="CK129" i="29"/>
  <c r="CK128" i="29"/>
  <c r="BQ129" i="29"/>
  <c r="BE129" i="29"/>
  <c r="BD129" i="29"/>
  <c r="BC129" i="29"/>
  <c r="BB129" i="29"/>
  <c r="BA129" i="29"/>
  <c r="AJ129" i="29"/>
  <c r="AJ130" i="29" s="1"/>
  <c r="AI129" i="29"/>
  <c r="AI130" i="29" s="1"/>
  <c r="AH129" i="29"/>
  <c r="AH130" i="29" s="1"/>
  <c r="AG129" i="29"/>
  <c r="AG130" i="29" s="1"/>
  <c r="AE129" i="29"/>
  <c r="AD129" i="29"/>
  <c r="AC129" i="29"/>
  <c r="AC130" i="29" s="1"/>
  <c r="AB129" i="29"/>
  <c r="AB130" i="29" s="1"/>
  <c r="Z129" i="29"/>
  <c r="AE130" i="29" s="1"/>
  <c r="Y129" i="29"/>
  <c r="Y130" i="29" s="1"/>
  <c r="X129" i="29"/>
  <c r="X130" i="29" s="1"/>
  <c r="W129" i="29"/>
  <c r="W130" i="29" s="1"/>
  <c r="T130" i="29"/>
  <c r="U129" i="29"/>
  <c r="T129" i="29"/>
  <c r="S129" i="29"/>
  <c r="S130" i="29" s="1"/>
  <c r="R129" i="29"/>
  <c r="O129" i="29"/>
  <c r="O130" i="29" s="1"/>
  <c r="N129" i="29"/>
  <c r="M129" i="29"/>
  <c r="M130" i="29" s="1"/>
  <c r="J129" i="29"/>
  <c r="I129" i="29"/>
  <c r="H129" i="29"/>
  <c r="G129" i="29"/>
  <c r="F129" i="29"/>
  <c r="G130" i="29" s="1"/>
  <c r="E129" i="29"/>
  <c r="F130" i="29" s="1"/>
  <c r="D129" i="29"/>
  <c r="D130" i="29" s="1"/>
  <c r="C129" i="29"/>
  <c r="B129" i="29"/>
  <c r="C130" i="29" s="1"/>
  <c r="CS128" i="29"/>
  <c r="CE130" i="29"/>
  <c r="CE129" i="29"/>
  <c r="CD129" i="29"/>
  <c r="CD130" i="29" s="1"/>
  <c r="CC129" i="29"/>
  <c r="CC130" i="29" s="1"/>
  <c r="CB129" i="29"/>
  <c r="CD128" i="29"/>
  <c r="CC128" i="29"/>
  <c r="CB128" i="29"/>
  <c r="BY130" i="29"/>
  <c r="BV130" i="29"/>
  <c r="BU130" i="29"/>
  <c r="BZ129" i="29"/>
  <c r="BZ130" i="29" s="1"/>
  <c r="BY129" i="29"/>
  <c r="BX129" i="29"/>
  <c r="BW129" i="29"/>
  <c r="BV129" i="29"/>
  <c r="BU129" i="29"/>
  <c r="BT129" i="29"/>
  <c r="BT130" i="29" s="1"/>
  <c r="BS129" i="29"/>
  <c r="BS130" i="29" s="1"/>
  <c r="BR129" i="29"/>
  <c r="BR130" i="29" s="1"/>
  <c r="BX128" i="29"/>
  <c r="BW128" i="29"/>
  <c r="BV128" i="29"/>
  <c r="BT128" i="29"/>
  <c r="BS128" i="29"/>
  <c r="BR128" i="29"/>
  <c r="BH130" i="29"/>
  <c r="BM129" i="29"/>
  <c r="BL129" i="29"/>
  <c r="BL130" i="29" s="1"/>
  <c r="BK129" i="29"/>
  <c r="BK130" i="29" s="1"/>
  <c r="BJ129" i="29"/>
  <c r="BJ130" i="29" s="1"/>
  <c r="BI129" i="29"/>
  <c r="BI130" i="29" s="1"/>
  <c r="BH129" i="29"/>
  <c r="BG129" i="29"/>
  <c r="BG130" i="29" s="1"/>
  <c r="BF129" i="29"/>
  <c r="BF130" i="29" s="1"/>
  <c r="BL128" i="29"/>
  <c r="BK128" i="29"/>
  <c r="BI128" i="29"/>
  <c r="BH128" i="29"/>
  <c r="BG128" i="29"/>
  <c r="BF128" i="29"/>
  <c r="BE128" i="29"/>
  <c r="BD128" i="29"/>
  <c r="BC128" i="29"/>
  <c r="BB128" i="29"/>
  <c r="AW130" i="29"/>
  <c r="AX129" i="29"/>
  <c r="AW129" i="29"/>
  <c r="AV129" i="29"/>
  <c r="AV130" i="29" s="1"/>
  <c r="AX128" i="29"/>
  <c r="AW128" i="29"/>
  <c r="AV128" i="29"/>
  <c r="AT130" i="29"/>
  <c r="AT129" i="29"/>
  <c r="AS129" i="29"/>
  <c r="AX130" i="29" s="1"/>
  <c r="AR129" i="29"/>
  <c r="AR130" i="29" s="1"/>
  <c r="AQ129" i="29"/>
  <c r="AQ130" i="29" s="1"/>
  <c r="AT128" i="29"/>
  <c r="AS128" i="29"/>
  <c r="AR128" i="29"/>
  <c r="AO129" i="29"/>
  <c r="AO130" i="29" s="1"/>
  <c r="AN129" i="29"/>
  <c r="AN130" i="29" s="1"/>
  <c r="AM129" i="29"/>
  <c r="AM130" i="29" s="1"/>
  <c r="AL129" i="29"/>
  <c r="AL130" i="29" s="1"/>
  <c r="AO128" i="29"/>
  <c r="AN128" i="29"/>
  <c r="AM128" i="29"/>
  <c r="AL128" i="29"/>
  <c r="CE127" i="29"/>
  <c r="CE121" i="29"/>
  <c r="CE120" i="29"/>
  <c r="BU127" i="29"/>
  <c r="BU122" i="29"/>
  <c r="BU121" i="29"/>
  <c r="BU120" i="29"/>
  <c r="BM127" i="29"/>
  <c r="BM122" i="29"/>
  <c r="BM121" i="29"/>
  <c r="BM120" i="29"/>
  <c r="BJ127" i="29"/>
  <c r="BJ122" i="29"/>
  <c r="BJ121" i="29"/>
  <c r="BJ120" i="29"/>
  <c r="AQ127" i="29"/>
  <c r="AQ121" i="29"/>
  <c r="AQ120" i="29"/>
  <c r="CP125" i="29"/>
  <c r="CP123" i="29" s="1"/>
  <c r="CP121" i="29"/>
  <c r="CP122" i="29" s="1"/>
  <c r="CP120" i="29"/>
  <c r="AZ125" i="29"/>
  <c r="AZ119" i="29"/>
  <c r="AZ128" i="29" s="1"/>
  <c r="AP119" i="29"/>
  <c r="AK119" i="29"/>
  <c r="CS125" i="29"/>
  <c r="CS123" i="29" s="1"/>
  <c r="CK125" i="29"/>
  <c r="CK123" i="29" s="1"/>
  <c r="BF125" i="29"/>
  <c r="BF123" i="29" s="1"/>
  <c r="BE125" i="29"/>
  <c r="BD125" i="29"/>
  <c r="BD123" i="29" s="1"/>
  <c r="BC125" i="29"/>
  <c r="BC123" i="29" s="1"/>
  <c r="BB125" i="29"/>
  <c r="BE123" i="29"/>
  <c r="BB123" i="29"/>
  <c r="DJ118" i="29"/>
  <c r="DE118" i="29"/>
  <c r="BF122" i="29"/>
  <c r="BF121" i="29"/>
  <c r="BF120" i="29"/>
  <c r="CS121" i="29"/>
  <c r="CK121" i="29"/>
  <c r="BQ121" i="29"/>
  <c r="BE121" i="29"/>
  <c r="BD121" i="29"/>
  <c r="BC121" i="29"/>
  <c r="BH122" i="29" s="1"/>
  <c r="BB121" i="29"/>
  <c r="BR122" i="29" s="1"/>
  <c r="BA121" i="29"/>
  <c r="AE121" i="29"/>
  <c r="AD121" i="29"/>
  <c r="AC121" i="29"/>
  <c r="AB121" i="29"/>
  <c r="CC126" i="29"/>
  <c r="CD125" i="29"/>
  <c r="CC125" i="29"/>
  <c r="CC123" i="29" s="1"/>
  <c r="CB125" i="29"/>
  <c r="CD123" i="29"/>
  <c r="CD121" i="29"/>
  <c r="CC121" i="29"/>
  <c r="CC122" i="29" s="1"/>
  <c r="CB121" i="29"/>
  <c r="CD120" i="29"/>
  <c r="CC120" i="29"/>
  <c r="CB120" i="29"/>
  <c r="BX127" i="29"/>
  <c r="BX125" i="29"/>
  <c r="BX124" i="29"/>
  <c r="BX123" i="29"/>
  <c r="BZ122" i="29"/>
  <c r="BY122" i="29"/>
  <c r="BZ121" i="29"/>
  <c r="CE122" i="29" s="1"/>
  <c r="BY121" i="29"/>
  <c r="CD122" i="29" s="1"/>
  <c r="BX121" i="29"/>
  <c r="BZ120" i="29"/>
  <c r="BY120" i="29"/>
  <c r="BX120" i="29"/>
  <c r="BW125" i="29"/>
  <c r="BW126" i="29" s="1"/>
  <c r="BV125" i="29"/>
  <c r="BV126" i="29" s="1"/>
  <c r="BV123" i="29"/>
  <c r="BW121" i="29"/>
  <c r="CA121" i="29" s="1"/>
  <c r="CA122" i="29" s="1"/>
  <c r="BV121" i="29"/>
  <c r="BV122" i="29" s="1"/>
  <c r="BW120" i="29"/>
  <c r="BV120" i="29"/>
  <c r="BT126" i="29"/>
  <c r="BS126" i="29"/>
  <c r="BR126" i="29"/>
  <c r="BT125" i="29"/>
  <c r="BS125" i="29"/>
  <c r="BR125" i="29"/>
  <c r="BR123" i="29" s="1"/>
  <c r="BR124" i="29" s="1"/>
  <c r="BT124" i="29"/>
  <c r="BT123" i="29"/>
  <c r="BS123" i="29"/>
  <c r="BS124" i="29" s="1"/>
  <c r="BT122" i="29"/>
  <c r="BT121" i="29"/>
  <c r="BS121" i="29"/>
  <c r="BS122" i="29" s="1"/>
  <c r="BR121" i="29"/>
  <c r="BT120" i="29"/>
  <c r="BS120" i="29"/>
  <c r="BR120" i="29"/>
  <c r="BL125" i="29"/>
  <c r="BK125" i="29"/>
  <c r="BK126" i="29" s="1"/>
  <c r="BL123" i="29"/>
  <c r="BK123" i="29"/>
  <c r="BL121" i="29"/>
  <c r="BK121" i="29"/>
  <c r="BK122" i="29" s="1"/>
  <c r="BL120" i="29"/>
  <c r="BK120" i="29"/>
  <c r="BH126" i="29"/>
  <c r="BG126" i="29"/>
  <c r="BI125" i="29"/>
  <c r="BI126" i="29" s="1"/>
  <c r="BH125" i="29"/>
  <c r="BG125" i="29"/>
  <c r="BL126" i="29" s="1"/>
  <c r="BI124" i="29"/>
  <c r="BI123" i="29"/>
  <c r="BH123" i="29"/>
  <c r="BH124" i="29" s="1"/>
  <c r="BG123" i="29"/>
  <c r="BG124" i="29" s="1"/>
  <c r="BI121" i="29"/>
  <c r="BI122" i="29" s="1"/>
  <c r="BH121" i="29"/>
  <c r="BG121" i="29"/>
  <c r="BL122" i="29" s="1"/>
  <c r="BI120" i="29"/>
  <c r="BH120" i="29"/>
  <c r="BG120" i="29"/>
  <c r="AX125" i="29"/>
  <c r="AW125" i="29"/>
  <c r="AW126" i="29" s="1"/>
  <c r="AV125" i="29"/>
  <c r="AV123" i="29" s="1"/>
  <c r="AS125" i="29"/>
  <c r="AS123" i="29" s="1"/>
  <c r="AS124" i="29" s="1"/>
  <c r="AR125" i="29"/>
  <c r="AR123" i="29" s="1"/>
  <c r="AR124" i="29" s="1"/>
  <c r="AX123" i="29"/>
  <c r="AX122" i="29"/>
  <c r="AW122" i="29"/>
  <c r="AS122" i="29"/>
  <c r="AR122" i="29"/>
  <c r="AX121" i="29"/>
  <c r="AW121" i="29"/>
  <c r="AV121" i="29"/>
  <c r="AV122" i="29" s="1"/>
  <c r="AS121" i="29"/>
  <c r="AR121" i="29"/>
  <c r="AX120" i="29"/>
  <c r="AW120" i="29"/>
  <c r="AV120" i="29"/>
  <c r="AT120" i="29"/>
  <c r="AS120" i="29"/>
  <c r="AR120" i="29"/>
  <c r="AO125" i="29"/>
  <c r="AO123" i="29" s="1"/>
  <c r="AO124" i="29" s="1"/>
  <c r="AN125" i="29"/>
  <c r="AN123" i="29" s="1"/>
  <c r="AN124" i="29" s="1"/>
  <c r="AM125" i="29"/>
  <c r="AL125" i="29"/>
  <c r="AM123" i="29"/>
  <c r="AM124" i="29" s="1"/>
  <c r="AL123" i="29"/>
  <c r="AL124" i="29" s="1"/>
  <c r="AO121" i="29"/>
  <c r="AO122" i="29" s="1"/>
  <c r="AN121" i="29"/>
  <c r="AM121" i="29"/>
  <c r="AM122" i="29" s="1"/>
  <c r="AL121" i="29"/>
  <c r="AQ122" i="29" s="1"/>
  <c r="AO120" i="29"/>
  <c r="AN120" i="29"/>
  <c r="AM120" i="29"/>
  <c r="AL120" i="29"/>
  <c r="AJ122" i="29"/>
  <c r="AJ121" i="29"/>
  <c r="AI121" i="29"/>
  <c r="AN122" i="29" s="1"/>
  <c r="AH121" i="29"/>
  <c r="AH122" i="29" s="1"/>
  <c r="AG121" i="29"/>
  <c r="AG122" i="29" s="1"/>
  <c r="AJ120" i="29"/>
  <c r="AI120" i="29"/>
  <c r="AH120" i="29"/>
  <c r="AG120" i="29"/>
  <c r="DT119" i="29"/>
  <c r="CT119" i="29"/>
  <c r="CT128" i="29" s="1"/>
  <c r="CS119" i="29"/>
  <c r="CR119" i="29"/>
  <c r="CQ119" i="29"/>
  <c r="AU119" i="29"/>
  <c r="AU128" i="29" s="1"/>
  <c r="AT119" i="29"/>
  <c r="AY120" i="29" s="1"/>
  <c r="AF119" i="29"/>
  <c r="AF125" i="29" s="1"/>
  <c r="CP117" i="29"/>
  <c r="CP118" i="29" s="1"/>
  <c r="CP116" i="29"/>
  <c r="CK117" i="29"/>
  <c r="CK116" i="29"/>
  <c r="BQ117" i="29"/>
  <c r="BE117" i="29"/>
  <c r="BD117" i="29"/>
  <c r="BC117" i="29"/>
  <c r="BB117" i="29"/>
  <c r="BA117" i="29"/>
  <c r="AJ117" i="29"/>
  <c r="AJ118" i="29" s="1"/>
  <c r="AI117" i="29"/>
  <c r="AI118" i="29" s="1"/>
  <c r="AH117" i="29"/>
  <c r="AH118" i="29" s="1"/>
  <c r="AG117" i="29"/>
  <c r="AG118" i="29" s="1"/>
  <c r="AE117" i="29"/>
  <c r="AD117" i="29"/>
  <c r="AC117" i="29"/>
  <c r="AB117" i="29"/>
  <c r="CE117" i="29"/>
  <c r="CD117" i="29"/>
  <c r="CD118" i="29" s="1"/>
  <c r="CC117" i="29"/>
  <c r="CC118" i="29" s="1"/>
  <c r="CB117" i="29"/>
  <c r="CB118" i="29" s="1"/>
  <c r="CD116" i="29"/>
  <c r="CC116" i="29"/>
  <c r="CB116" i="29"/>
  <c r="BS118" i="29"/>
  <c r="BZ117" i="29"/>
  <c r="BY117" i="29"/>
  <c r="BX117" i="29"/>
  <c r="BX118" i="29" s="1"/>
  <c r="BW117" i="29"/>
  <c r="BV117" i="29"/>
  <c r="BU117" i="29"/>
  <c r="BU118" i="29" s="1"/>
  <c r="BT117" i="29"/>
  <c r="BY118" i="29" s="1"/>
  <c r="BS117" i="29"/>
  <c r="BR117" i="29"/>
  <c r="BR118" i="29" s="1"/>
  <c r="BW116" i="29"/>
  <c r="BV116" i="29"/>
  <c r="BU116" i="29"/>
  <c r="BT116" i="29"/>
  <c r="BS116" i="29"/>
  <c r="BR116" i="29"/>
  <c r="BM118" i="29"/>
  <c r="BI118" i="29"/>
  <c r="BM117" i="29"/>
  <c r="BL117" i="29"/>
  <c r="BK117" i="29"/>
  <c r="BJ117" i="29"/>
  <c r="BJ118" i="29" s="1"/>
  <c r="BI117" i="29"/>
  <c r="BH117" i="29"/>
  <c r="BH118" i="29" s="1"/>
  <c r="BG117" i="29"/>
  <c r="BG118" i="29" s="1"/>
  <c r="BF117" i="29"/>
  <c r="BK118" i="29" s="1"/>
  <c r="BL116" i="29"/>
  <c r="BK116" i="29"/>
  <c r="BJ116" i="29"/>
  <c r="BI116" i="29"/>
  <c r="BH116" i="29"/>
  <c r="BG116" i="29"/>
  <c r="BF116" i="29"/>
  <c r="BE116" i="29"/>
  <c r="BD116" i="29"/>
  <c r="BC116" i="29"/>
  <c r="BB116" i="29"/>
  <c r="AX117" i="29"/>
  <c r="AX118" i="29" s="1"/>
  <c r="AW117" i="29"/>
  <c r="AW118" i="29" s="1"/>
  <c r="AV117" i="29"/>
  <c r="AV118" i="29" s="1"/>
  <c r="AS117" i="29"/>
  <c r="AS118" i="29" s="1"/>
  <c r="AR117" i="29"/>
  <c r="AR118" i="29" s="1"/>
  <c r="AQ117" i="29"/>
  <c r="AQ118" i="29" s="1"/>
  <c r="AX116" i="29"/>
  <c r="AW116" i="29"/>
  <c r="AV116" i="29"/>
  <c r="AU116" i="29"/>
  <c r="AT116" i="29"/>
  <c r="AS116" i="29"/>
  <c r="AR116" i="29"/>
  <c r="AQ116" i="29"/>
  <c r="AO117" i="29"/>
  <c r="AO118" i="29" s="1"/>
  <c r="AN117" i="29"/>
  <c r="AN118" i="29" s="1"/>
  <c r="AM117" i="29"/>
  <c r="AM118" i="29" s="1"/>
  <c r="AL117" i="29"/>
  <c r="AL118" i="29" s="1"/>
  <c r="AO116" i="29"/>
  <c r="AN116" i="29"/>
  <c r="AM116" i="29"/>
  <c r="AL116" i="29"/>
  <c r="CE115" i="29"/>
  <c r="CE113" i="29"/>
  <c r="CE109" i="29"/>
  <c r="CE110" i="29" s="1"/>
  <c r="CE108" i="29"/>
  <c r="BU115" i="29"/>
  <c r="BU113" i="29"/>
  <c r="BU114" i="29" s="1"/>
  <c r="BU109" i="29"/>
  <c r="BU110" i="29" s="1"/>
  <c r="BU108" i="29"/>
  <c r="BM115" i="29"/>
  <c r="BM116" i="29" s="1"/>
  <c r="BM113" i="29"/>
  <c r="BM114" i="29" s="1"/>
  <c r="BM109" i="29"/>
  <c r="BM110" i="29" s="1"/>
  <c r="BM108" i="29"/>
  <c r="BJ115" i="29"/>
  <c r="BJ113" i="29"/>
  <c r="BJ114" i="29" s="1"/>
  <c r="BJ109" i="29"/>
  <c r="BJ110" i="29" s="1"/>
  <c r="BJ108" i="29"/>
  <c r="CP113" i="29"/>
  <c r="CP114" i="29" s="1"/>
  <c r="CP111" i="29"/>
  <c r="CP109" i="29"/>
  <c r="CP110" i="29" s="1"/>
  <c r="CP108" i="29"/>
  <c r="AZ107" i="29"/>
  <c r="AZ108" i="29" s="1"/>
  <c r="AK113" i="29"/>
  <c r="AK111" i="29" s="1"/>
  <c r="AK107" i="29"/>
  <c r="AK116" i="29" s="1"/>
  <c r="CS113" i="29"/>
  <c r="CS111" i="29" s="1"/>
  <c r="CR113" i="29"/>
  <c r="CR111" i="29" s="1"/>
  <c r="CK113" i="29"/>
  <c r="CK111" i="29" s="1"/>
  <c r="BF113" i="29"/>
  <c r="BF111" i="29" s="1"/>
  <c r="BE113" i="29"/>
  <c r="BE111" i="29" s="1"/>
  <c r="BD113" i="29"/>
  <c r="BC113" i="29"/>
  <c r="BC111" i="29" s="1"/>
  <c r="BS112" i="29" s="1"/>
  <c r="BB113" i="29"/>
  <c r="BB111" i="29" s="1"/>
  <c r="BG112" i="29" s="1"/>
  <c r="AF113" i="29"/>
  <c r="AF111" i="29" s="1"/>
  <c r="BD111" i="29"/>
  <c r="DJ106" i="29"/>
  <c r="DE106" i="29"/>
  <c r="BF109" i="29"/>
  <c r="BF110" i="29" s="1"/>
  <c r="BF108" i="29"/>
  <c r="CS109" i="29"/>
  <c r="CR109" i="29"/>
  <c r="CK109" i="29"/>
  <c r="BQ109" i="29"/>
  <c r="BE109" i="29"/>
  <c r="BD109" i="29"/>
  <c r="BC109" i="29"/>
  <c r="BB109" i="29"/>
  <c r="BA109" i="29"/>
  <c r="AE109" i="29"/>
  <c r="AD109" i="29"/>
  <c r="AC109" i="29"/>
  <c r="AB109" i="29"/>
  <c r="CB114" i="29"/>
  <c r="CD113" i="29"/>
  <c r="CC113" i="29"/>
  <c r="CB113" i="29"/>
  <c r="CB111" i="29" s="1"/>
  <c r="CB112" i="29" s="1"/>
  <c r="CD111" i="29"/>
  <c r="CC111" i="29"/>
  <c r="CB110" i="29"/>
  <c r="CD109" i="29"/>
  <c r="CD110" i="29" s="1"/>
  <c r="CC109" i="29"/>
  <c r="CB109" i="29"/>
  <c r="CF109" i="29" s="1"/>
  <c r="CF110" i="29" s="1"/>
  <c r="CD108" i="29"/>
  <c r="CC108" i="29"/>
  <c r="CB108" i="29"/>
  <c r="BY115" i="29"/>
  <c r="BY113" i="29" s="1"/>
  <c r="BX115" i="29"/>
  <c r="BX114" i="29"/>
  <c r="BX113" i="29"/>
  <c r="CC114" i="29" s="1"/>
  <c r="BX110" i="29"/>
  <c r="BZ109" i="29"/>
  <c r="BZ110" i="29" s="1"/>
  <c r="BY109" i="29"/>
  <c r="BX109" i="29"/>
  <c r="CC110" i="29" s="1"/>
  <c r="BZ108" i="29"/>
  <c r="BY108" i="29"/>
  <c r="BX108" i="29"/>
  <c r="BW114" i="29"/>
  <c r="BV114" i="29"/>
  <c r="BW113" i="29"/>
  <c r="BV113" i="29"/>
  <c r="BW111" i="29"/>
  <c r="BV111" i="29"/>
  <c r="BW110" i="29"/>
  <c r="BV110" i="29"/>
  <c r="BW109" i="29"/>
  <c r="CA109" i="29" s="1"/>
  <c r="CA110" i="29" s="1"/>
  <c r="BV109" i="29"/>
  <c r="BW108" i="29"/>
  <c r="BV108" i="29"/>
  <c r="BR114" i="29"/>
  <c r="BT113" i="29"/>
  <c r="BT111" i="29" s="1"/>
  <c r="BT112" i="29" s="1"/>
  <c r="BS113" i="29"/>
  <c r="BS114" i="29" s="1"/>
  <c r="BR113" i="29"/>
  <c r="BS111" i="29"/>
  <c r="BR111" i="29"/>
  <c r="BW112" i="29" s="1"/>
  <c r="BR110" i="29"/>
  <c r="BT109" i="29"/>
  <c r="BY110" i="29" s="1"/>
  <c r="BS109" i="29"/>
  <c r="BS110" i="29" s="1"/>
  <c r="BR109" i="29"/>
  <c r="BT108" i="29"/>
  <c r="BS108" i="29"/>
  <c r="BR108" i="29"/>
  <c r="BK114" i="29"/>
  <c r="BL113" i="29"/>
  <c r="BL114" i="29" s="1"/>
  <c r="BK113" i="29"/>
  <c r="BL111" i="29"/>
  <c r="BL112" i="29" s="1"/>
  <c r="BK111" i="29"/>
  <c r="BL109" i="29"/>
  <c r="BL110" i="29" s="1"/>
  <c r="BK109" i="29"/>
  <c r="BL108" i="29"/>
  <c r="BK108" i="29"/>
  <c r="BI114" i="29"/>
  <c r="BI113" i="29"/>
  <c r="BI111" i="29" s="1"/>
  <c r="BI112" i="29" s="1"/>
  <c r="BH113" i="29"/>
  <c r="BH111" i="29" s="1"/>
  <c r="BH112" i="29" s="1"/>
  <c r="BG113" i="29"/>
  <c r="BG114" i="29" s="1"/>
  <c r="BG111" i="29"/>
  <c r="BI110" i="29"/>
  <c r="BI109" i="29"/>
  <c r="BH109" i="29"/>
  <c r="BH110" i="29" s="1"/>
  <c r="BG109" i="29"/>
  <c r="BG110" i="29" s="1"/>
  <c r="BI108" i="29"/>
  <c r="BH108" i="29"/>
  <c r="BG108" i="29"/>
  <c r="AQ114" i="29"/>
  <c r="AX113" i="29"/>
  <c r="AW113" i="29"/>
  <c r="AW114" i="29" s="1"/>
  <c r="AV113" i="29"/>
  <c r="AV111" i="29" s="1"/>
  <c r="AV112" i="29" s="1"/>
  <c r="AT113" i="29"/>
  <c r="AS113" i="29"/>
  <c r="AS114" i="29" s="1"/>
  <c r="AR113" i="29"/>
  <c r="AR111" i="29" s="1"/>
  <c r="AR112" i="29" s="1"/>
  <c r="AQ113" i="29"/>
  <c r="AX111" i="29"/>
  <c r="AT111" i="29"/>
  <c r="AT112" i="29" s="1"/>
  <c r="AQ111" i="29"/>
  <c r="AQ112" i="29" s="1"/>
  <c r="AQ110" i="29"/>
  <c r="AX109" i="29"/>
  <c r="AW109" i="29"/>
  <c r="AW110" i="29" s="1"/>
  <c r="AV109" i="29"/>
  <c r="AV110" i="29" s="1"/>
  <c r="AT109" i="29"/>
  <c r="AS109" i="29"/>
  <c r="AS110" i="29" s="1"/>
  <c r="AR109" i="29"/>
  <c r="AR110" i="29" s="1"/>
  <c r="AQ109" i="29"/>
  <c r="AX108" i="29"/>
  <c r="AW108" i="29"/>
  <c r="AV108" i="29"/>
  <c r="AT108" i="29"/>
  <c r="AS108" i="29"/>
  <c r="AR108" i="29"/>
  <c r="AQ108" i="29"/>
  <c r="AP108" i="29"/>
  <c r="AO113" i="29"/>
  <c r="AT114" i="29" s="1"/>
  <c r="AN113" i="29"/>
  <c r="AM113" i="29"/>
  <c r="AL113" i="29"/>
  <c r="AO111" i="29"/>
  <c r="AO112" i="29" s="1"/>
  <c r="AN111" i="29"/>
  <c r="AN112" i="29" s="1"/>
  <c r="AM111" i="29"/>
  <c r="AM112" i="29" s="1"/>
  <c r="AL111" i="29"/>
  <c r="AL112" i="29" s="1"/>
  <c r="AO109" i="29"/>
  <c r="AO110" i="29" s="1"/>
  <c r="AN109" i="29"/>
  <c r="AN110" i="29" s="1"/>
  <c r="AM109" i="29"/>
  <c r="AM110" i="29" s="1"/>
  <c r="AL109" i="29"/>
  <c r="AL110" i="29" s="1"/>
  <c r="AO108" i="29"/>
  <c r="AN108" i="29"/>
  <c r="AM108" i="29"/>
  <c r="AL108" i="29"/>
  <c r="AJ109" i="29"/>
  <c r="AJ110" i="29" s="1"/>
  <c r="AI109" i="29"/>
  <c r="AI110" i="29" s="1"/>
  <c r="AH109" i="29"/>
  <c r="AH110" i="29" s="1"/>
  <c r="AG109" i="29"/>
  <c r="AG110" i="29" s="1"/>
  <c r="AJ108" i="29"/>
  <c r="AI108" i="29"/>
  <c r="AH108" i="29"/>
  <c r="AG108" i="29"/>
  <c r="DT107" i="29"/>
  <c r="CT107" i="29"/>
  <c r="CT116" i="29" s="1"/>
  <c r="CS107" i="29"/>
  <c r="CS116" i="29" s="1"/>
  <c r="CR107" i="29"/>
  <c r="CR116" i="29" s="1"/>
  <c r="CQ107" i="29"/>
  <c r="CU107" i="29" s="1"/>
  <c r="AU107" i="29"/>
  <c r="AU108" i="29" s="1"/>
  <c r="AU104" i="29"/>
  <c r="AP107" i="29"/>
  <c r="AP113" i="29" s="1"/>
  <c r="AP104" i="29"/>
  <c r="AF107" i="29"/>
  <c r="AF116" i="29" s="1"/>
  <c r="AF104" i="29"/>
  <c r="CP105" i="29"/>
  <c r="CK105" i="29"/>
  <c r="CP106" i="29" s="1"/>
  <c r="CE105" i="29"/>
  <c r="CE106" i="29" s="1"/>
  <c r="CD105" i="29"/>
  <c r="CD106" i="29" s="1"/>
  <c r="CC105" i="29"/>
  <c r="CC106" i="29" s="1"/>
  <c r="CB105" i="29"/>
  <c r="CB106" i="29" s="1"/>
  <c r="BZ106" i="29"/>
  <c r="BV106" i="29"/>
  <c r="BR106" i="29"/>
  <c r="BZ105" i="29"/>
  <c r="BY105" i="29"/>
  <c r="BX105" i="29"/>
  <c r="BX106" i="29" s="1"/>
  <c r="BW105" i="29"/>
  <c r="BW106" i="29" s="1"/>
  <c r="BV105" i="29"/>
  <c r="BU105" i="29"/>
  <c r="BT105" i="29"/>
  <c r="BT106" i="29" s="1"/>
  <c r="BS105" i="29"/>
  <c r="BS106" i="29" s="1"/>
  <c r="BR105" i="29"/>
  <c r="BQ105" i="29"/>
  <c r="BE105" i="29"/>
  <c r="BU106" i="29" s="1"/>
  <c r="BD105" i="29"/>
  <c r="BC105" i="29"/>
  <c r="BB105" i="29"/>
  <c r="BA105" i="29"/>
  <c r="AE105" i="29"/>
  <c r="AD105" i="29"/>
  <c r="AC105" i="29"/>
  <c r="AB105" i="29"/>
  <c r="BM105" i="29"/>
  <c r="BM106" i="29" s="1"/>
  <c r="BL105" i="29"/>
  <c r="BL106" i="29" s="1"/>
  <c r="BK105" i="29"/>
  <c r="BK106" i="29" s="1"/>
  <c r="BJ105" i="29"/>
  <c r="BJ106" i="29" s="1"/>
  <c r="BI105" i="29"/>
  <c r="BI106" i="29" s="1"/>
  <c r="BH105" i="29"/>
  <c r="BH106" i="29" s="1"/>
  <c r="BG105" i="29"/>
  <c r="BG106" i="29" s="1"/>
  <c r="BF105" i="29"/>
  <c r="BF106" i="29" s="1"/>
  <c r="BM104" i="29"/>
  <c r="BL104" i="29"/>
  <c r="BK104" i="29"/>
  <c r="BJ104" i="29"/>
  <c r="BI104" i="29"/>
  <c r="BH104" i="29"/>
  <c r="BG104" i="29"/>
  <c r="BF104" i="29"/>
  <c r="BE104" i="29"/>
  <c r="BD104" i="29"/>
  <c r="BC104" i="29"/>
  <c r="BB104" i="29"/>
  <c r="AX106" i="29"/>
  <c r="AX105" i="29"/>
  <c r="AW105" i="29"/>
  <c r="AW106" i="29" s="1"/>
  <c r="AV105" i="29"/>
  <c r="AV106" i="29" s="1"/>
  <c r="AX104" i="29"/>
  <c r="AW104" i="29"/>
  <c r="AV104" i="29"/>
  <c r="AT105" i="29"/>
  <c r="AT106" i="29" s="1"/>
  <c r="AS105" i="29"/>
  <c r="AS106" i="29" s="1"/>
  <c r="AR105" i="29"/>
  <c r="AR106" i="29" s="1"/>
  <c r="AQ105" i="29"/>
  <c r="AQ106" i="29" s="1"/>
  <c r="AT104" i="29"/>
  <c r="AS104" i="29"/>
  <c r="AR104" i="29"/>
  <c r="AQ104" i="29"/>
  <c r="AO105" i="29"/>
  <c r="AO106" i="29" s="1"/>
  <c r="AN105" i="29"/>
  <c r="AN106" i="29" s="1"/>
  <c r="AM105" i="29"/>
  <c r="AM106" i="29" s="1"/>
  <c r="AL105" i="29"/>
  <c r="AL106" i="29" s="1"/>
  <c r="AO104" i="29"/>
  <c r="AN104" i="29"/>
  <c r="AM104" i="29"/>
  <c r="AL104" i="29"/>
  <c r="AJ105" i="29"/>
  <c r="AJ106" i="29" s="1"/>
  <c r="AI105" i="29"/>
  <c r="AI106" i="29" s="1"/>
  <c r="AH105" i="29"/>
  <c r="AH106" i="29" s="1"/>
  <c r="AG105" i="29"/>
  <c r="AG106" i="29" s="1"/>
  <c r="AJ104" i="29"/>
  <c r="AI104" i="29"/>
  <c r="AH104" i="29"/>
  <c r="AG104" i="29"/>
  <c r="BM103" i="29"/>
  <c r="BM101" i="29"/>
  <c r="BM102" i="29" s="1"/>
  <c r="BM97" i="29"/>
  <c r="BM96" i="29"/>
  <c r="BJ103" i="29"/>
  <c r="BJ101" i="29"/>
  <c r="BJ102" i="29" s="1"/>
  <c r="BJ97" i="29"/>
  <c r="BJ98" i="29" s="1"/>
  <c r="BJ96" i="29"/>
  <c r="AZ95" i="29"/>
  <c r="AZ104" i="29" s="1"/>
  <c r="BF101" i="29"/>
  <c r="BF99" i="29" s="1"/>
  <c r="BE101" i="29"/>
  <c r="BD101" i="29"/>
  <c r="BC101" i="29"/>
  <c r="BC99" i="29" s="1"/>
  <c r="BB101" i="29"/>
  <c r="BB99" i="29" s="1"/>
  <c r="AJ101" i="29"/>
  <c r="AI101" i="29"/>
  <c r="AH101" i="29"/>
  <c r="AG101" i="29"/>
  <c r="AL102" i="29" s="1"/>
  <c r="BE99" i="29"/>
  <c r="BD99" i="29"/>
  <c r="BF97" i="29"/>
  <c r="BE97" i="29"/>
  <c r="BD97" i="29"/>
  <c r="BC97" i="29"/>
  <c r="BB97" i="29"/>
  <c r="BA97" i="29"/>
  <c r="K97" i="29"/>
  <c r="J97" i="29"/>
  <c r="I97" i="29"/>
  <c r="H97" i="29"/>
  <c r="G97" i="29"/>
  <c r="F97" i="29"/>
  <c r="G98" i="29" s="1"/>
  <c r="E97" i="29"/>
  <c r="C97" i="29"/>
  <c r="BL102" i="29"/>
  <c r="BL101" i="29"/>
  <c r="BK101" i="29"/>
  <c r="BK102" i="29" s="1"/>
  <c r="BL99" i="29"/>
  <c r="BK99" i="29"/>
  <c r="BK100" i="29" s="1"/>
  <c r="BL98" i="29"/>
  <c r="BL97" i="29"/>
  <c r="BK97" i="29"/>
  <c r="BK98" i="29" s="1"/>
  <c r="BL96" i="29"/>
  <c r="BK96" i="29"/>
  <c r="BH102" i="29"/>
  <c r="BG102" i="29"/>
  <c r="BI101" i="29"/>
  <c r="BI102" i="29" s="1"/>
  <c r="BH101" i="29"/>
  <c r="BG101" i="29"/>
  <c r="BG99" i="29" s="1"/>
  <c r="BI99" i="29"/>
  <c r="BI100" i="29" s="1"/>
  <c r="BH99" i="29"/>
  <c r="BG98" i="29"/>
  <c r="BI97" i="29"/>
  <c r="BI98" i="29" s="1"/>
  <c r="BH97" i="29"/>
  <c r="BH98" i="29" s="1"/>
  <c r="BG97" i="29"/>
  <c r="BI96" i="29"/>
  <c r="BH96" i="29"/>
  <c r="BG96" i="29"/>
  <c r="AX102" i="29"/>
  <c r="AW102" i="29"/>
  <c r="AT102" i="29"/>
  <c r="AS102" i="29"/>
  <c r="AO102" i="29"/>
  <c r="AX101" i="29"/>
  <c r="AW101" i="29"/>
  <c r="AV101" i="29"/>
  <c r="AV102" i="29" s="1"/>
  <c r="AU101" i="29"/>
  <c r="AU102" i="29" s="1"/>
  <c r="AT101" i="29"/>
  <c r="AS101" i="29"/>
  <c r="AR101" i="29"/>
  <c r="AR102" i="29" s="1"/>
  <c r="AQ101" i="29"/>
  <c r="AQ102" i="29" s="1"/>
  <c r="AP101" i="29"/>
  <c r="AO101" i="29"/>
  <c r="AN101" i="29"/>
  <c r="AN102" i="29" s="1"/>
  <c r="AM101" i="29"/>
  <c r="AM102" i="29" s="1"/>
  <c r="AL101" i="29"/>
  <c r="AW100" i="29"/>
  <c r="AX99" i="29"/>
  <c r="AX100" i="29" s="1"/>
  <c r="AW99" i="29"/>
  <c r="AV99" i="29"/>
  <c r="AT99" i="29"/>
  <c r="AT100" i="29" s="1"/>
  <c r="AS99" i="29"/>
  <c r="AS100" i="29" s="1"/>
  <c r="AR99" i="29"/>
  <c r="AQ99" i="29"/>
  <c r="AO99" i="29"/>
  <c r="AO100" i="29" s="1"/>
  <c r="AN99" i="29"/>
  <c r="AN100" i="29" s="1"/>
  <c r="AM99" i="29"/>
  <c r="AL99" i="29"/>
  <c r="AW98" i="29"/>
  <c r="AL98" i="29"/>
  <c r="AX97" i="29"/>
  <c r="AX98" i="29" s="1"/>
  <c r="AW97" i="29"/>
  <c r="AV97" i="29"/>
  <c r="AT97" i="29"/>
  <c r="AT98" i="29" s="1"/>
  <c r="AS97" i="29"/>
  <c r="AS98" i="29" s="1"/>
  <c r="AR97" i="29"/>
  <c r="AQ97" i="29"/>
  <c r="AO97" i="29"/>
  <c r="AO98" i="29" s="1"/>
  <c r="AN97" i="29"/>
  <c r="AM97" i="29"/>
  <c r="AL97" i="29"/>
  <c r="AX96" i="29"/>
  <c r="AW96" i="29"/>
  <c r="AV96" i="29"/>
  <c r="AT96" i="29"/>
  <c r="AS96" i="29"/>
  <c r="AR96" i="29"/>
  <c r="AQ96" i="29"/>
  <c r="AP96" i="29"/>
  <c r="AO96" i="29"/>
  <c r="AN96" i="29"/>
  <c r="AM96" i="29"/>
  <c r="AL96" i="29"/>
  <c r="AK96" i="29"/>
  <c r="AJ99" i="29"/>
  <c r="AI99" i="29"/>
  <c r="AH99" i="29"/>
  <c r="AG99" i="29"/>
  <c r="AL100" i="29" s="1"/>
  <c r="AJ97" i="29"/>
  <c r="AI97" i="29"/>
  <c r="AH97" i="29"/>
  <c r="AH98" i="29" s="1"/>
  <c r="AG97" i="29"/>
  <c r="AJ96" i="29"/>
  <c r="AI96" i="29"/>
  <c r="AH96" i="29"/>
  <c r="AG96" i="29"/>
  <c r="AF96" i="29"/>
  <c r="AE97" i="29"/>
  <c r="AD97" i="29"/>
  <c r="AC97" i="29"/>
  <c r="AB97" i="29"/>
  <c r="Z97" i="29"/>
  <c r="Y97" i="29"/>
  <c r="Y98" i="29" s="1"/>
  <c r="X97" i="29"/>
  <c r="W97" i="29"/>
  <c r="U97" i="29"/>
  <c r="T97" i="29"/>
  <c r="S97" i="29"/>
  <c r="R97" i="29"/>
  <c r="P97" i="29"/>
  <c r="P98" i="29" s="1"/>
  <c r="O97" i="29"/>
  <c r="O98" i="29" s="1"/>
  <c r="N97" i="29"/>
  <c r="N98" i="29" s="1"/>
  <c r="M97" i="29"/>
  <c r="M98" i="29" s="1"/>
  <c r="AE96" i="29"/>
  <c r="AD96" i="29"/>
  <c r="AC96" i="29"/>
  <c r="AB96" i="29"/>
  <c r="Z96" i="29"/>
  <c r="Y96" i="29"/>
  <c r="X96" i="29"/>
  <c r="W96" i="29"/>
  <c r="U96" i="29"/>
  <c r="T96" i="29"/>
  <c r="S96" i="29"/>
  <c r="R96" i="29"/>
  <c r="P96" i="29"/>
  <c r="O96" i="29"/>
  <c r="N96" i="29"/>
  <c r="M96" i="29"/>
  <c r="L96" i="29"/>
  <c r="G96" i="29"/>
  <c r="F96" i="29"/>
  <c r="E96" i="29"/>
  <c r="D96" i="29"/>
  <c r="C96" i="29"/>
  <c r="AU95" i="29"/>
  <c r="AU96" i="29" s="1"/>
  <c r="AP95" i="29"/>
  <c r="AK95" i="29"/>
  <c r="AK101" i="29" s="1"/>
  <c r="AF95" i="29"/>
  <c r="AF101" i="29" s="1"/>
  <c r="AA95" i="29"/>
  <c r="V95" i="29"/>
  <c r="V96" i="29" s="1"/>
  <c r="Q95" i="29"/>
  <c r="L95" i="29"/>
  <c r="B95" i="29"/>
  <c r="BE93" i="29"/>
  <c r="BD93" i="29"/>
  <c r="BC93" i="29"/>
  <c r="BB93" i="29"/>
  <c r="BA93" i="29"/>
  <c r="AE93" i="29"/>
  <c r="AD93" i="29"/>
  <c r="AC93" i="29"/>
  <c r="AB93" i="29"/>
  <c r="AB94" i="29" s="1"/>
  <c r="Z93" i="29"/>
  <c r="Y93" i="29"/>
  <c r="X93" i="29"/>
  <c r="W93" i="29"/>
  <c r="U93" i="29"/>
  <c r="T93" i="29"/>
  <c r="S93" i="29"/>
  <c r="R93" i="29"/>
  <c r="P93" i="29"/>
  <c r="O93" i="29"/>
  <c r="N93" i="29"/>
  <c r="M93" i="29"/>
  <c r="M94" i="29" s="1"/>
  <c r="K93" i="29"/>
  <c r="J93" i="29"/>
  <c r="I93" i="29"/>
  <c r="H93" i="29"/>
  <c r="G93" i="29"/>
  <c r="G94" i="29" s="1"/>
  <c r="F93" i="29"/>
  <c r="F94" i="29" s="1"/>
  <c r="E93" i="29"/>
  <c r="C93" i="29"/>
  <c r="CT92" i="29"/>
  <c r="CP92" i="29"/>
  <c r="CK92" i="29"/>
  <c r="CD92" i="29"/>
  <c r="CC92" i="29"/>
  <c r="CB92" i="29"/>
  <c r="BW92" i="29"/>
  <c r="BV92" i="29"/>
  <c r="BT92" i="29"/>
  <c r="BS92" i="29"/>
  <c r="BR92" i="29"/>
  <c r="BM93" i="29"/>
  <c r="BM94" i="29" s="1"/>
  <c r="BL93" i="29"/>
  <c r="BK93" i="29"/>
  <c r="BJ93" i="29"/>
  <c r="BI93" i="29"/>
  <c r="BI94" i="29" s="1"/>
  <c r="BH93" i="29"/>
  <c r="BH94" i="29" s="1"/>
  <c r="BG93" i="29"/>
  <c r="BG94" i="29" s="1"/>
  <c r="BF93" i="29"/>
  <c r="BL92" i="29"/>
  <c r="BK92" i="29"/>
  <c r="BJ92" i="29"/>
  <c r="BI92" i="29"/>
  <c r="BH92" i="29"/>
  <c r="BG92" i="29"/>
  <c r="BF92" i="29"/>
  <c r="BE92" i="29"/>
  <c r="BD92" i="29"/>
  <c r="BC92" i="29"/>
  <c r="BB92" i="29"/>
  <c r="AX93" i="29"/>
  <c r="AX94" i="29" s="1"/>
  <c r="AW93" i="29"/>
  <c r="AV93" i="29"/>
  <c r="AV94" i="29" s="1"/>
  <c r="AX92" i="29"/>
  <c r="AW92" i="29"/>
  <c r="AV92" i="29"/>
  <c r="AT93" i="29"/>
  <c r="AS93" i="29"/>
  <c r="AR93" i="29"/>
  <c r="AQ93" i="29"/>
  <c r="AT92" i="29"/>
  <c r="AS92" i="29"/>
  <c r="AR92" i="29"/>
  <c r="AQ92" i="29"/>
  <c r="AO93" i="29"/>
  <c r="AO94" i="29" s="1"/>
  <c r="AN93" i="29"/>
  <c r="AM93" i="29"/>
  <c r="AM94" i="29" s="1"/>
  <c r="AL93" i="29"/>
  <c r="AN92" i="29"/>
  <c r="AM92" i="29"/>
  <c r="AL92" i="29"/>
  <c r="AJ93" i="29"/>
  <c r="AJ94" i="29" s="1"/>
  <c r="AI93" i="29"/>
  <c r="AI94" i="29" s="1"/>
  <c r="AH93" i="29"/>
  <c r="AH94" i="29" s="1"/>
  <c r="AG93" i="29"/>
  <c r="AG94" i="29" s="1"/>
  <c r="AJ92" i="29"/>
  <c r="AI92" i="29"/>
  <c r="AH92" i="29"/>
  <c r="AG92" i="29"/>
  <c r="CU91" i="29"/>
  <c r="BX91" i="29"/>
  <c r="BX92" i="29" s="1"/>
  <c r="BU91" i="29"/>
  <c r="BU92" i="29" s="1"/>
  <c r="BU89" i="29"/>
  <c r="BU90" i="29" s="1"/>
  <c r="BU85" i="29"/>
  <c r="BU86" i="29" s="1"/>
  <c r="BU84" i="29"/>
  <c r="BM91" i="29"/>
  <c r="BM92" i="29" s="1"/>
  <c r="BM89" i="29"/>
  <c r="BM90" i="29" s="1"/>
  <c r="BM85" i="29"/>
  <c r="BM86" i="29" s="1"/>
  <c r="BM84" i="29"/>
  <c r="BJ91" i="29"/>
  <c r="BJ89" i="29"/>
  <c r="BJ90" i="29" s="1"/>
  <c r="BJ85" i="29"/>
  <c r="BJ86" i="29" s="1"/>
  <c r="BJ84" i="29"/>
  <c r="CP90" i="29"/>
  <c r="CP89" i="29"/>
  <c r="CP87" i="29"/>
  <c r="CP88" i="29" s="1"/>
  <c r="CP86" i="29"/>
  <c r="CP85" i="29"/>
  <c r="CP84" i="29"/>
  <c r="AZ83" i="29"/>
  <c r="AZ89" i="29" s="1"/>
  <c r="CK89" i="29"/>
  <c r="BF89" i="29"/>
  <c r="BF87" i="29" s="1"/>
  <c r="BK88" i="29" s="1"/>
  <c r="BE89" i="29"/>
  <c r="BE87" i="29" s="1"/>
  <c r="BD89" i="29"/>
  <c r="BC89" i="29"/>
  <c r="BB89" i="29"/>
  <c r="BB87" i="29" s="1"/>
  <c r="AJ89" i="29"/>
  <c r="AI89" i="29"/>
  <c r="AH89" i="29"/>
  <c r="AG89" i="29"/>
  <c r="CK87" i="29"/>
  <c r="BD87" i="29"/>
  <c r="BC87" i="29"/>
  <c r="DJ82" i="29"/>
  <c r="DE82" i="29"/>
  <c r="BF85" i="29"/>
  <c r="BF86" i="29" s="1"/>
  <c r="BF84" i="29"/>
  <c r="CK85" i="29"/>
  <c r="BQ85" i="29"/>
  <c r="BE85" i="29"/>
  <c r="BD85" i="29"/>
  <c r="BC85" i="29"/>
  <c r="BB85" i="29"/>
  <c r="BA85" i="29"/>
  <c r="K85" i="29"/>
  <c r="J85" i="29"/>
  <c r="I85" i="29"/>
  <c r="H85" i="29"/>
  <c r="G85" i="29"/>
  <c r="G86" i="29" s="1"/>
  <c r="F85" i="29"/>
  <c r="F86" i="29" s="1"/>
  <c r="E85" i="29"/>
  <c r="E86" i="29" s="1"/>
  <c r="D85" i="29"/>
  <c r="D86" i="29" s="1"/>
  <c r="C85" i="29"/>
  <c r="C86" i="29" s="1"/>
  <c r="B85" i="29"/>
  <c r="CE91" i="29"/>
  <c r="CE92" i="29" s="1"/>
  <c r="CE89" i="29"/>
  <c r="CE87" i="29"/>
  <c r="CE85" i="29"/>
  <c r="CE86" i="29" s="1"/>
  <c r="CE84" i="29"/>
  <c r="CD89" i="29"/>
  <c r="CD87" i="29" s="1"/>
  <c r="CC89" i="29"/>
  <c r="CB89" i="29"/>
  <c r="BW89" i="29"/>
  <c r="BW90" i="29" s="1"/>
  <c r="BV89" i="29"/>
  <c r="BV87" i="29" s="1"/>
  <c r="CC87" i="29"/>
  <c r="CB87" i="29"/>
  <c r="CC86" i="29"/>
  <c r="BY86" i="29"/>
  <c r="BX86" i="29"/>
  <c r="CD85" i="29"/>
  <c r="CD86" i="29" s="1"/>
  <c r="CC85" i="29"/>
  <c r="CB85" i="29"/>
  <c r="BZ85" i="29"/>
  <c r="BZ86" i="29" s="1"/>
  <c r="BY85" i="29"/>
  <c r="BX85" i="29"/>
  <c r="BW85" i="29"/>
  <c r="BW86" i="29" s="1"/>
  <c r="BV85" i="29"/>
  <c r="BV86" i="29" s="1"/>
  <c r="CD84" i="29"/>
  <c r="CC84" i="29"/>
  <c r="CB84" i="29"/>
  <c r="CA84" i="29"/>
  <c r="BZ84" i="29"/>
  <c r="BY84" i="29"/>
  <c r="BX84" i="29"/>
  <c r="BW84" i="29"/>
  <c r="BV84" i="29"/>
  <c r="BS90" i="29"/>
  <c r="BR90" i="29"/>
  <c r="BT89" i="29"/>
  <c r="BT90" i="29" s="1"/>
  <c r="BS89" i="29"/>
  <c r="BR89" i="29"/>
  <c r="BR87" i="29" s="1"/>
  <c r="BT88" i="29"/>
  <c r="BT87" i="29"/>
  <c r="BS87" i="29"/>
  <c r="BS88" i="29" s="1"/>
  <c r="BS86" i="29"/>
  <c r="BR86" i="29"/>
  <c r="BT85" i="29"/>
  <c r="BT86" i="29" s="1"/>
  <c r="BS85" i="29"/>
  <c r="BR85" i="29"/>
  <c r="BT84" i="29"/>
  <c r="BS84" i="29"/>
  <c r="BR84" i="29"/>
  <c r="BL90" i="29"/>
  <c r="BK90" i="29"/>
  <c r="BL89" i="29"/>
  <c r="BK89" i="29"/>
  <c r="BL87" i="29"/>
  <c r="BK87" i="29"/>
  <c r="BL86" i="29"/>
  <c r="BK86" i="29"/>
  <c r="BL85" i="29"/>
  <c r="BK85" i="29"/>
  <c r="BL84" i="29"/>
  <c r="BK84" i="29"/>
  <c r="BG90" i="29"/>
  <c r="BI89" i="29"/>
  <c r="BI87" i="29" s="1"/>
  <c r="BI88" i="29" s="1"/>
  <c r="BH89" i="29"/>
  <c r="BH90" i="29" s="1"/>
  <c r="BG89" i="29"/>
  <c r="BH88" i="29"/>
  <c r="BH87" i="29"/>
  <c r="BG87" i="29"/>
  <c r="BL88" i="29" s="1"/>
  <c r="BG86" i="29"/>
  <c r="BI85" i="29"/>
  <c r="BI86" i="29" s="1"/>
  <c r="BH85" i="29"/>
  <c r="BH86" i="29" s="1"/>
  <c r="BG85" i="29"/>
  <c r="BI84" i="29"/>
  <c r="BH84" i="29"/>
  <c r="BG84" i="29"/>
  <c r="AW90" i="29"/>
  <c r="AV90" i="29"/>
  <c r="AS90" i="29"/>
  <c r="AR90" i="29"/>
  <c r="AN90" i="29"/>
  <c r="AX89" i="29"/>
  <c r="AX90" i="29" s="1"/>
  <c r="AW89" i="29"/>
  <c r="AV89" i="29"/>
  <c r="AT89" i="29"/>
  <c r="AS89" i="29"/>
  <c r="AR89" i="29"/>
  <c r="AQ89" i="29"/>
  <c r="AQ90" i="29" s="1"/>
  <c r="AN89" i="29"/>
  <c r="AM89" i="29"/>
  <c r="AM90" i="29" s="1"/>
  <c r="AL89" i="29"/>
  <c r="AL90" i="29" s="1"/>
  <c r="AW88" i="29"/>
  <c r="AV88" i="29"/>
  <c r="AS88" i="29"/>
  <c r="AR88" i="29"/>
  <c r="AN88" i="29"/>
  <c r="AX87" i="29"/>
  <c r="AX88" i="29" s="1"/>
  <c r="AW87" i="29"/>
  <c r="AV87" i="29"/>
  <c r="AT87" i="29"/>
  <c r="AS87" i="29"/>
  <c r="AR87" i="29"/>
  <c r="AQ87" i="29"/>
  <c r="AQ88" i="29" s="1"/>
  <c r="AN87" i="29"/>
  <c r="AM87" i="29"/>
  <c r="AM88" i="29" s="1"/>
  <c r="AL87" i="29"/>
  <c r="AL88" i="29" s="1"/>
  <c r="AW86" i="29"/>
  <c r="AV86" i="29"/>
  <c r="AS86" i="29"/>
  <c r="AR86" i="29"/>
  <c r="AN86" i="29"/>
  <c r="AX85" i="29"/>
  <c r="AX86" i="29" s="1"/>
  <c r="AW85" i="29"/>
  <c r="AV85" i="29"/>
  <c r="AT85" i="29"/>
  <c r="AS85" i="29"/>
  <c r="AR85" i="29"/>
  <c r="AQ85" i="29"/>
  <c r="AQ86" i="29" s="1"/>
  <c r="AN85" i="29"/>
  <c r="AM85" i="29"/>
  <c r="AM86" i="29" s="1"/>
  <c r="AL85" i="29"/>
  <c r="AL86" i="29" s="1"/>
  <c r="AX84" i="29"/>
  <c r="AW84" i="29"/>
  <c r="AV84" i="29"/>
  <c r="AS84" i="29"/>
  <c r="AR84" i="29"/>
  <c r="AQ84" i="29"/>
  <c r="AN84" i="29"/>
  <c r="AM84" i="29"/>
  <c r="AL84" i="29"/>
  <c r="AJ87" i="29"/>
  <c r="AI87" i="29"/>
  <c r="AH87" i="29"/>
  <c r="AG87" i="29"/>
  <c r="AG86" i="29"/>
  <c r="AJ85" i="29"/>
  <c r="AI85" i="29"/>
  <c r="AI86" i="29" s="1"/>
  <c r="AH85" i="29"/>
  <c r="AH86" i="29" s="1"/>
  <c r="AG85" i="29"/>
  <c r="AJ84" i="29"/>
  <c r="AI84" i="29"/>
  <c r="AH84" i="29"/>
  <c r="AG84" i="29"/>
  <c r="AE85" i="29"/>
  <c r="AE86" i="29" s="1"/>
  <c r="AD85" i="29"/>
  <c r="AD86" i="29" s="1"/>
  <c r="AC85" i="29"/>
  <c r="AC86" i="29" s="1"/>
  <c r="AB85" i="29"/>
  <c r="AB86" i="29" s="1"/>
  <c r="Z85" i="29"/>
  <c r="Z86" i="29" s="1"/>
  <c r="Y85" i="29"/>
  <c r="Y86" i="29" s="1"/>
  <c r="X85" i="29"/>
  <c r="X86" i="29" s="1"/>
  <c r="W85" i="29"/>
  <c r="W86" i="29" s="1"/>
  <c r="U85" i="29"/>
  <c r="U86" i="29" s="1"/>
  <c r="T85" i="29"/>
  <c r="T86" i="29" s="1"/>
  <c r="S85" i="29"/>
  <c r="S86" i="29" s="1"/>
  <c r="R85" i="29"/>
  <c r="R86" i="29" s="1"/>
  <c r="P85" i="29"/>
  <c r="P86" i="29" s="1"/>
  <c r="O85" i="29"/>
  <c r="O86" i="29" s="1"/>
  <c r="N85" i="29"/>
  <c r="N86" i="29" s="1"/>
  <c r="M85" i="29"/>
  <c r="M86" i="29" s="1"/>
  <c r="AE84" i="29"/>
  <c r="AD84" i="29"/>
  <c r="AC84" i="29"/>
  <c r="AB84" i="29"/>
  <c r="AA84" i="29"/>
  <c r="Z84" i="29"/>
  <c r="Y84" i="29"/>
  <c r="X84" i="29"/>
  <c r="W84" i="29"/>
  <c r="U84" i="29"/>
  <c r="T84" i="29"/>
  <c r="S84" i="29"/>
  <c r="R84" i="29"/>
  <c r="P84" i="29"/>
  <c r="O84" i="29"/>
  <c r="N84" i="29"/>
  <c r="M84" i="29"/>
  <c r="G84" i="29"/>
  <c r="F84" i="29"/>
  <c r="E84" i="29"/>
  <c r="D84" i="29"/>
  <c r="C84" i="29"/>
  <c r="DT83" i="29"/>
  <c r="CT83" i="29"/>
  <c r="CS83" i="29"/>
  <c r="CS92" i="29" s="1"/>
  <c r="CR83" i="29"/>
  <c r="CQ83" i="29"/>
  <c r="CF83" i="29"/>
  <c r="CA83" i="29"/>
  <c r="AU83" i="29"/>
  <c r="AU92" i="29" s="1"/>
  <c r="AO83" i="29"/>
  <c r="AO89" i="29" s="1"/>
  <c r="AK83" i="29"/>
  <c r="AF83" i="29"/>
  <c r="AF92" i="29" s="1"/>
  <c r="AA83" i="29"/>
  <c r="V83" i="29"/>
  <c r="Q83" i="29"/>
  <c r="Q81" i="29"/>
  <c r="L83" i="29"/>
  <c r="CP81" i="29"/>
  <c r="CP82" i="29" s="1"/>
  <c r="CK81" i="29"/>
  <c r="CE81" i="29"/>
  <c r="CE82" i="29" s="1"/>
  <c r="CD81" i="29"/>
  <c r="CD82" i="29" s="1"/>
  <c r="CC81" i="29"/>
  <c r="CC82" i="29" s="1"/>
  <c r="CB81" i="29"/>
  <c r="CB82" i="29" s="1"/>
  <c r="BY82" i="29"/>
  <c r="BU82" i="29"/>
  <c r="BZ81" i="29"/>
  <c r="BZ82" i="29" s="1"/>
  <c r="BY81" i="29"/>
  <c r="BX81" i="29"/>
  <c r="BW81" i="29"/>
  <c r="BW82" i="29" s="1"/>
  <c r="BV81" i="29"/>
  <c r="BV82" i="29" s="1"/>
  <c r="BU81" i="29"/>
  <c r="BT81" i="29"/>
  <c r="BS81" i="29"/>
  <c r="BS82" i="29" s="1"/>
  <c r="BR81" i="29"/>
  <c r="BR82" i="29" s="1"/>
  <c r="BQ81" i="29"/>
  <c r="BM81" i="29"/>
  <c r="BM82" i="29" s="1"/>
  <c r="BL81" i="29"/>
  <c r="BL82" i="29" s="1"/>
  <c r="BK81" i="29"/>
  <c r="BK82" i="29" s="1"/>
  <c r="BJ81" i="29"/>
  <c r="BJ82" i="29" s="1"/>
  <c r="BI81" i="29"/>
  <c r="BI82" i="29" s="1"/>
  <c r="BH81" i="29"/>
  <c r="BH82" i="29" s="1"/>
  <c r="BG81" i="29"/>
  <c r="BG82" i="29" s="1"/>
  <c r="BF81" i="29"/>
  <c r="BF82" i="29" s="1"/>
  <c r="BE81" i="29"/>
  <c r="BD81" i="29"/>
  <c r="BT82" i="29" s="1"/>
  <c r="BC81" i="29"/>
  <c r="BB81" i="29"/>
  <c r="BA81" i="29"/>
  <c r="AY81" i="29"/>
  <c r="AY82" i="29" s="1"/>
  <c r="AX81" i="29"/>
  <c r="AX82" i="29" s="1"/>
  <c r="AW81" i="29"/>
  <c r="AW82" i="29" s="1"/>
  <c r="AV81" i="29"/>
  <c r="AV82" i="29" s="1"/>
  <c r="AS82" i="29"/>
  <c r="AN82" i="29"/>
  <c r="AT81" i="29"/>
  <c r="AS81" i="29"/>
  <c r="AR81" i="29"/>
  <c r="AQ81" i="29"/>
  <c r="AQ82" i="29" s="1"/>
  <c r="AN81" i="29"/>
  <c r="AM81" i="29"/>
  <c r="AM82" i="29" s="1"/>
  <c r="AL81" i="29"/>
  <c r="AL82" i="29" s="1"/>
  <c r="AJ81" i="29"/>
  <c r="AJ82" i="29" s="1"/>
  <c r="AI81" i="29"/>
  <c r="AI82" i="29" s="1"/>
  <c r="AH81" i="29"/>
  <c r="AH82" i="29" s="1"/>
  <c r="AG81" i="29"/>
  <c r="AG82" i="29" s="1"/>
  <c r="AE81" i="29"/>
  <c r="AE82" i="29" s="1"/>
  <c r="AD81" i="29"/>
  <c r="AD82" i="29" s="1"/>
  <c r="AC81" i="29"/>
  <c r="AC82" i="29" s="1"/>
  <c r="AB81" i="29"/>
  <c r="AB82" i="29" s="1"/>
  <c r="Z81" i="29"/>
  <c r="Z82" i="29" s="1"/>
  <c r="Y81" i="29"/>
  <c r="Y82" i="29" s="1"/>
  <c r="X81" i="29"/>
  <c r="X82" i="29" s="1"/>
  <c r="W81" i="29"/>
  <c r="W82" i="29" s="1"/>
  <c r="U81" i="29"/>
  <c r="U82" i="29" s="1"/>
  <c r="T81" i="29"/>
  <c r="T82" i="29" s="1"/>
  <c r="S81" i="29"/>
  <c r="S82" i="29" s="1"/>
  <c r="R81" i="29"/>
  <c r="R82" i="29" s="1"/>
  <c r="P81" i="29"/>
  <c r="P82" i="29" s="1"/>
  <c r="O81" i="29"/>
  <c r="O82" i="29" s="1"/>
  <c r="N81" i="29"/>
  <c r="N82" i="29" s="1"/>
  <c r="M81" i="29"/>
  <c r="M82" i="29" s="1"/>
  <c r="K81" i="29"/>
  <c r="J81" i="29"/>
  <c r="I81" i="29"/>
  <c r="H81" i="29"/>
  <c r="G81" i="29"/>
  <c r="G82" i="29" s="1"/>
  <c r="F81" i="29"/>
  <c r="F82" i="29" s="1"/>
  <c r="E81" i="29"/>
  <c r="E82" i="29" s="1"/>
  <c r="D81" i="29"/>
  <c r="D82" i="29" s="1"/>
  <c r="C81" i="29"/>
  <c r="C82" i="29" s="1"/>
  <c r="B81" i="29"/>
  <c r="AA75" i="29"/>
  <c r="AA76" i="29" s="1"/>
  <c r="AJ72" i="29"/>
  <c r="CP71" i="29"/>
  <c r="CE71" i="29"/>
  <c r="CE72" i="29" s="1"/>
  <c r="CD71" i="29"/>
  <c r="CC71" i="29"/>
  <c r="CB71" i="29"/>
  <c r="CB79" i="29" s="1"/>
  <c r="BZ71" i="29"/>
  <c r="BZ79" i="29" s="1"/>
  <c r="BY71" i="29"/>
  <c r="BX71" i="29"/>
  <c r="BW71" i="29"/>
  <c r="BW72" i="29" s="1"/>
  <c r="BU71" i="29"/>
  <c r="BU79" i="29" s="1"/>
  <c r="BT71" i="29"/>
  <c r="BT79" i="29" s="1"/>
  <c r="BS71" i="29"/>
  <c r="BR71" i="29"/>
  <c r="BM71" i="29"/>
  <c r="BL71" i="29"/>
  <c r="BJ71" i="29"/>
  <c r="BI71" i="29"/>
  <c r="BH71" i="29"/>
  <c r="BG71" i="29"/>
  <c r="BE71" i="29"/>
  <c r="BD71" i="29"/>
  <c r="BC71" i="29"/>
  <c r="BC79" i="29" s="1"/>
  <c r="BB71" i="29"/>
  <c r="AY71" i="29"/>
  <c r="AX71" i="29"/>
  <c r="AW71" i="29"/>
  <c r="AW77" i="29" s="1"/>
  <c r="AW78" i="29" s="1"/>
  <c r="AV71" i="29"/>
  <c r="AV72" i="29" s="1"/>
  <c r="AT71" i="29"/>
  <c r="AS71" i="29"/>
  <c r="AR71" i="29"/>
  <c r="AR77" i="29" s="1"/>
  <c r="AR78" i="29" s="1"/>
  <c r="AQ71" i="29"/>
  <c r="AO71" i="29"/>
  <c r="AN71" i="29"/>
  <c r="AM71" i="29"/>
  <c r="AM79" i="29" s="1"/>
  <c r="AL71" i="29"/>
  <c r="AJ71" i="29"/>
  <c r="AI71" i="29"/>
  <c r="AH71" i="29"/>
  <c r="AG71" i="29"/>
  <c r="AE71" i="29"/>
  <c r="AD71" i="29"/>
  <c r="AC71" i="29"/>
  <c r="AC77" i="29" s="1"/>
  <c r="AC78" i="29" s="1"/>
  <c r="AB71" i="29"/>
  <c r="AA71" i="29"/>
  <c r="AA74" i="29" s="1"/>
  <c r="Y71" i="29"/>
  <c r="X71" i="29"/>
  <c r="X77" i="29" s="1"/>
  <c r="X78" i="29" s="1"/>
  <c r="W71" i="29"/>
  <c r="V71" i="29"/>
  <c r="V75" i="29" s="1"/>
  <c r="V76" i="29" s="1"/>
  <c r="T71" i="29"/>
  <c r="S71" i="29"/>
  <c r="S79" i="29" s="1"/>
  <c r="R71" i="29"/>
  <c r="Q71" i="29"/>
  <c r="P71" i="29"/>
  <c r="O71" i="29"/>
  <c r="O79" i="29" s="1"/>
  <c r="N71" i="29"/>
  <c r="M71" i="29"/>
  <c r="L71" i="29"/>
  <c r="L72" i="29" s="1"/>
  <c r="K71" i="29"/>
  <c r="P72" i="29" s="1"/>
  <c r="J71" i="29"/>
  <c r="I71" i="29"/>
  <c r="H71" i="29"/>
  <c r="G71" i="29"/>
  <c r="F71" i="29"/>
  <c r="F72" i="29" s="1"/>
  <c r="E71" i="29"/>
  <c r="D71" i="29"/>
  <c r="D72" i="29" s="1"/>
  <c r="C71" i="29"/>
  <c r="B71" i="29"/>
  <c r="CF70" i="29"/>
  <c r="CA70" i="29"/>
  <c r="BV70" i="29"/>
  <c r="BQ70" i="29"/>
  <c r="BK70" i="29"/>
  <c r="BF70" i="29"/>
  <c r="BF69" i="29"/>
  <c r="AZ70" i="29"/>
  <c r="AU70" i="29"/>
  <c r="BK67" i="29"/>
  <c r="CF59" i="29"/>
  <c r="BK65" i="29"/>
  <c r="BV61" i="29"/>
  <c r="BV62" i="29" s="1"/>
  <c r="AP59" i="29"/>
  <c r="AW60" i="29"/>
  <c r="CE59" i="29"/>
  <c r="CE57" i="29"/>
  <c r="CF57" i="29" s="1"/>
  <c r="CE55" i="29"/>
  <c r="CE58" i="29" s="1"/>
  <c r="BJ57" i="29"/>
  <c r="BJ55" i="29"/>
  <c r="BJ58" i="29" s="1"/>
  <c r="BE57" i="29"/>
  <c r="BE58" i="29" s="1"/>
  <c r="AY57" i="29"/>
  <c r="AT57" i="29"/>
  <c r="AO59" i="29"/>
  <c r="AO57" i="29"/>
  <c r="AP57" i="29" s="1"/>
  <c r="AO55" i="29"/>
  <c r="AJ59" i="29"/>
  <c r="AF59" i="29"/>
  <c r="AE59" i="29"/>
  <c r="Z59" i="29"/>
  <c r="AA59" i="29" s="1"/>
  <c r="V59" i="29"/>
  <c r="U59" i="29"/>
  <c r="P59" i="29"/>
  <c r="L59" i="29"/>
  <c r="K59" i="29"/>
  <c r="BI58" i="29"/>
  <c r="AN58" i="29"/>
  <c r="AB58" i="29"/>
  <c r="E58" i="29"/>
  <c r="AK57" i="29"/>
  <c r="AJ57" i="29"/>
  <c r="AE57" i="29"/>
  <c r="AF57" i="29" s="1"/>
  <c r="AA57" i="29"/>
  <c r="Z57" i="29"/>
  <c r="U57" i="29"/>
  <c r="V57" i="29" s="1"/>
  <c r="Q57" i="29"/>
  <c r="P57" i="29"/>
  <c r="K57" i="29"/>
  <c r="L57" i="29" s="1"/>
  <c r="DT56" i="29"/>
  <c r="CP55" i="29"/>
  <c r="CT55" i="29"/>
  <c r="CS55" i="29"/>
  <c r="CR55" i="29"/>
  <c r="CQ55" i="29"/>
  <c r="CK55" i="29"/>
  <c r="CD55" i="29"/>
  <c r="CC55" i="29"/>
  <c r="CB55" i="29"/>
  <c r="BZ55" i="29"/>
  <c r="BY55" i="29"/>
  <c r="BX55" i="29"/>
  <c r="BW55" i="29"/>
  <c r="BV55" i="29"/>
  <c r="BV69" i="29" s="1"/>
  <c r="BU55" i="29"/>
  <c r="BT55" i="29"/>
  <c r="BS55" i="29"/>
  <c r="BR55" i="29"/>
  <c r="BQ55" i="29"/>
  <c r="BQ65" i="29" s="1"/>
  <c r="BM55" i="29"/>
  <c r="BL55" i="29"/>
  <c r="BK55" i="29"/>
  <c r="BK64" i="29" s="1"/>
  <c r="BI55" i="29"/>
  <c r="BI60" i="29" s="1"/>
  <c r="BH55" i="29"/>
  <c r="BG55" i="29"/>
  <c r="BF55" i="29"/>
  <c r="BF67" i="29" s="1"/>
  <c r="BE55" i="29"/>
  <c r="BE59" i="29" s="1"/>
  <c r="BE60" i="29" s="1"/>
  <c r="BD55" i="29"/>
  <c r="BC55" i="29"/>
  <c r="BB55" i="29"/>
  <c r="BB60" i="29" s="1"/>
  <c r="BA55" i="29"/>
  <c r="BA67" i="29" s="1"/>
  <c r="AX55" i="29"/>
  <c r="AW55" i="29"/>
  <c r="AV55" i="29"/>
  <c r="AV60" i="29" s="1"/>
  <c r="AS55" i="29"/>
  <c r="AR55" i="29"/>
  <c r="AQ55" i="29"/>
  <c r="AQ58" i="29" s="1"/>
  <c r="AH56" i="29"/>
  <c r="N56" i="29"/>
  <c r="AN55" i="29"/>
  <c r="AM55" i="29"/>
  <c r="AM58" i="29" s="1"/>
  <c r="AL55" i="29"/>
  <c r="AL56" i="29" s="1"/>
  <c r="AJ55" i="29"/>
  <c r="AI55" i="29"/>
  <c r="AI58" i="29" s="1"/>
  <c r="AH55" i="29"/>
  <c r="AG55" i="29"/>
  <c r="AG58" i="29" s="1"/>
  <c r="AE55" i="29"/>
  <c r="AD55" i="29"/>
  <c r="AD56" i="29" s="1"/>
  <c r="AC55" i="29"/>
  <c r="AC58" i="29" s="1"/>
  <c r="AB55" i="29"/>
  <c r="AG56" i="29" s="1"/>
  <c r="Z55" i="29"/>
  <c r="Y55" i="29"/>
  <c r="Y58" i="29" s="1"/>
  <c r="X55" i="29"/>
  <c r="AC56" i="29" s="1"/>
  <c r="W55" i="29"/>
  <c r="W58" i="29" s="1"/>
  <c r="U55" i="29"/>
  <c r="T55" i="29"/>
  <c r="Y56" i="29" s="1"/>
  <c r="S55" i="29"/>
  <c r="S58" i="29" s="1"/>
  <c r="R55" i="29"/>
  <c r="R56" i="29" s="1"/>
  <c r="P55" i="29"/>
  <c r="O55" i="29"/>
  <c r="O58" i="29" s="1"/>
  <c r="N55" i="29"/>
  <c r="M55" i="29"/>
  <c r="M58" i="29" s="1"/>
  <c r="J55" i="29"/>
  <c r="I55" i="29"/>
  <c r="I58" i="29" s="1"/>
  <c r="H55" i="29"/>
  <c r="M56" i="29" s="1"/>
  <c r="G55" i="29"/>
  <c r="G58" i="29" s="1"/>
  <c r="F55" i="29"/>
  <c r="E55" i="29"/>
  <c r="C55" i="29"/>
  <c r="Y54" i="29"/>
  <c r="X54" i="29"/>
  <c r="T54" i="29"/>
  <c r="Q54" i="29"/>
  <c r="P54" i="29"/>
  <c r="M54" i="29"/>
  <c r="L54" i="29"/>
  <c r="I54" i="29"/>
  <c r="H54" i="29"/>
  <c r="E54" i="29"/>
  <c r="D54" i="29"/>
  <c r="AA53" i="29"/>
  <c r="AA54" i="29" s="1"/>
  <c r="Z53" i="29"/>
  <c r="Z54" i="29" s="1"/>
  <c r="Y53" i="29"/>
  <c r="X53" i="29"/>
  <c r="W53" i="29"/>
  <c r="W54" i="29" s="1"/>
  <c r="V53" i="29"/>
  <c r="V54" i="29" s="1"/>
  <c r="T53" i="29"/>
  <c r="S53" i="29"/>
  <c r="S54" i="29" s="1"/>
  <c r="R53" i="29"/>
  <c r="R54" i="29" s="1"/>
  <c r="Q53" i="29"/>
  <c r="P53" i="29"/>
  <c r="O53" i="29"/>
  <c r="O54" i="29" s="1"/>
  <c r="N53" i="29"/>
  <c r="N54" i="29" s="1"/>
  <c r="M53" i="29"/>
  <c r="L53" i="29"/>
  <c r="J53" i="29"/>
  <c r="J54" i="29" s="1"/>
  <c r="I53" i="29"/>
  <c r="H53" i="29"/>
  <c r="G53" i="29"/>
  <c r="G54" i="29" s="1"/>
  <c r="F53" i="29"/>
  <c r="F54" i="29" s="1"/>
  <c r="E53" i="29"/>
  <c r="D53" i="29"/>
  <c r="C53" i="29"/>
  <c r="C54" i="29" s="1"/>
  <c r="AA52" i="29"/>
  <c r="Y52" i="29"/>
  <c r="X52" i="29"/>
  <c r="W52" i="29"/>
  <c r="V52" i="29"/>
  <c r="T52" i="29"/>
  <c r="S52" i="29"/>
  <c r="R52" i="29"/>
  <c r="Q52" i="29"/>
  <c r="P52" i="29"/>
  <c r="O52" i="29"/>
  <c r="N52" i="29"/>
  <c r="M52" i="29"/>
  <c r="L52" i="29"/>
  <c r="G52" i="29"/>
  <c r="F52" i="29"/>
  <c r="E52" i="29"/>
  <c r="D52" i="29"/>
  <c r="C52" i="29"/>
  <c r="Z51" i="29"/>
  <c r="Z49" i="29"/>
  <c r="U51" i="29"/>
  <c r="U52" i="29" s="1"/>
  <c r="U49" i="29"/>
  <c r="AA49" i="29"/>
  <c r="AA48" i="29"/>
  <c r="AA145" i="29" s="1"/>
  <c r="AA44" i="29"/>
  <c r="R50" i="29"/>
  <c r="N50" i="29"/>
  <c r="M50" i="29"/>
  <c r="I50" i="29"/>
  <c r="E50" i="29"/>
  <c r="Y50" i="29"/>
  <c r="Y49" i="29"/>
  <c r="X49" i="29"/>
  <c r="W49" i="29"/>
  <c r="V49" i="29"/>
  <c r="T49" i="29"/>
  <c r="S49" i="29"/>
  <c r="R49" i="29"/>
  <c r="Q49" i="29"/>
  <c r="O49" i="29"/>
  <c r="N49" i="29"/>
  <c r="M49" i="29"/>
  <c r="L49" i="29"/>
  <c r="G49" i="29"/>
  <c r="F49" i="29"/>
  <c r="E49" i="29"/>
  <c r="D49" i="29"/>
  <c r="C49" i="29"/>
  <c r="V48" i="29"/>
  <c r="V44" i="29"/>
  <c r="K48" i="29"/>
  <c r="P49" i="29" s="1"/>
  <c r="K47" i="29"/>
  <c r="K45" i="29"/>
  <c r="K46" i="29" s="1"/>
  <c r="CP47" i="29"/>
  <c r="BM47" i="29"/>
  <c r="BL47" i="29"/>
  <c r="BK47" i="29"/>
  <c r="BJ47" i="29"/>
  <c r="BI47" i="29"/>
  <c r="BH47" i="29"/>
  <c r="BG47" i="29"/>
  <c r="BF47" i="29"/>
  <c r="BE47" i="29"/>
  <c r="BD47" i="29"/>
  <c r="BC47" i="29"/>
  <c r="BB47" i="29"/>
  <c r="BA47" i="29"/>
  <c r="AX47" i="29"/>
  <c r="AW47" i="29"/>
  <c r="AV47" i="29"/>
  <c r="AT47" i="29"/>
  <c r="AS47" i="29"/>
  <c r="AR47" i="29"/>
  <c r="AQ47" i="29"/>
  <c r="AP47" i="29"/>
  <c r="AO47" i="29"/>
  <c r="AN47" i="29"/>
  <c r="AM47" i="29"/>
  <c r="AL47" i="29"/>
  <c r="AJ47" i="29"/>
  <c r="AI47" i="29"/>
  <c r="AH47" i="29"/>
  <c r="AG47" i="29"/>
  <c r="AE47" i="29"/>
  <c r="AD47" i="29"/>
  <c r="AC47" i="29"/>
  <c r="AB47" i="29"/>
  <c r="J47" i="29"/>
  <c r="I47" i="29"/>
  <c r="H47" i="29"/>
  <c r="G47" i="29"/>
  <c r="F47" i="29"/>
  <c r="E47" i="29"/>
  <c r="D47" i="29"/>
  <c r="C47" i="29"/>
  <c r="B47" i="29"/>
  <c r="BM45" i="29"/>
  <c r="BM46" i="29" s="1"/>
  <c r="BL45" i="29"/>
  <c r="BL46" i="29" s="1"/>
  <c r="BK45" i="29"/>
  <c r="BK46" i="29" s="1"/>
  <c r="BJ45" i="29"/>
  <c r="BJ46" i="29" s="1"/>
  <c r="BI45" i="29"/>
  <c r="BI46" i="29" s="1"/>
  <c r="BH45" i="29"/>
  <c r="BH46" i="29" s="1"/>
  <c r="BG45" i="29"/>
  <c r="BG46" i="29" s="1"/>
  <c r="BF45" i="29"/>
  <c r="BF46" i="29" s="1"/>
  <c r="BE45" i="29"/>
  <c r="BE46" i="29" s="1"/>
  <c r="BD45" i="29"/>
  <c r="BD46" i="29" s="1"/>
  <c r="BC45" i="29"/>
  <c r="BC46" i="29" s="1"/>
  <c r="BB45" i="29"/>
  <c r="BB46" i="29" s="1"/>
  <c r="J45" i="29"/>
  <c r="J46" i="29" s="1"/>
  <c r="I45" i="29"/>
  <c r="I46" i="29" s="1"/>
  <c r="H45" i="29"/>
  <c r="H46" i="29" s="1"/>
  <c r="G45" i="29"/>
  <c r="G46" i="29" s="1"/>
  <c r="F45" i="29"/>
  <c r="F46" i="29" s="1"/>
  <c r="E45" i="29"/>
  <c r="E46" i="29" s="1"/>
  <c r="D45" i="29"/>
  <c r="D46" i="29" s="1"/>
  <c r="C45" i="29"/>
  <c r="C46" i="29" s="1"/>
  <c r="CE47" i="29"/>
  <c r="CD47" i="29"/>
  <c r="CC47" i="29"/>
  <c r="CB47" i="29"/>
  <c r="BZ47" i="29"/>
  <c r="BY47" i="29"/>
  <c r="BX47" i="29"/>
  <c r="BW47" i="29"/>
  <c r="BV47" i="29"/>
  <c r="BU47" i="29"/>
  <c r="BT47" i="29"/>
  <c r="BS47" i="29"/>
  <c r="BR47" i="29"/>
  <c r="CE46" i="29"/>
  <c r="BX46" i="29"/>
  <c r="BW46" i="29"/>
  <c r="BT46" i="29"/>
  <c r="BS46" i="29"/>
  <c r="CE45" i="29"/>
  <c r="CD45" i="29"/>
  <c r="CD46" i="29" s="1"/>
  <c r="CC45" i="29"/>
  <c r="CC46" i="29" s="1"/>
  <c r="BZ45" i="29"/>
  <c r="BZ46" i="29" s="1"/>
  <c r="BY45" i="29"/>
  <c r="BY46" i="29" s="1"/>
  <c r="BX45" i="29"/>
  <c r="BW45" i="29"/>
  <c r="BV45" i="29"/>
  <c r="BV46" i="29" s="1"/>
  <c r="BU45" i="29"/>
  <c r="BU46" i="29" s="1"/>
  <c r="BT45" i="29"/>
  <c r="BS45" i="29"/>
  <c r="BR45" i="29"/>
  <c r="BR46" i="29" s="1"/>
  <c r="CE44" i="29"/>
  <c r="CD44" i="29"/>
  <c r="CC44" i="29"/>
  <c r="CB44" i="29"/>
  <c r="BZ44" i="29"/>
  <c r="BY44" i="29"/>
  <c r="BX44" i="29"/>
  <c r="BW44" i="29"/>
  <c r="BV44" i="29"/>
  <c r="BU44" i="29"/>
  <c r="BT44" i="29"/>
  <c r="BS44" i="29"/>
  <c r="BR44" i="29"/>
  <c r="BM44" i="29"/>
  <c r="BL44" i="29"/>
  <c r="BK44" i="29"/>
  <c r="BJ44" i="29"/>
  <c r="BI44" i="29"/>
  <c r="BH44" i="29"/>
  <c r="BG44" i="29"/>
  <c r="BF44" i="29"/>
  <c r="AR46" i="29"/>
  <c r="AN46" i="29"/>
  <c r="AM46" i="29"/>
  <c r="AJ46" i="29"/>
  <c r="AI46" i="29"/>
  <c r="AE46" i="29"/>
  <c r="AB46" i="29"/>
  <c r="AX45" i="29"/>
  <c r="AX46" i="29" s="1"/>
  <c r="AW45" i="29"/>
  <c r="AW46" i="29" s="1"/>
  <c r="AT45" i="29"/>
  <c r="AT46" i="29" s="1"/>
  <c r="AS45" i="29"/>
  <c r="AS46" i="29" s="1"/>
  <c r="AR45" i="29"/>
  <c r="AO45" i="29"/>
  <c r="AO46" i="29" s="1"/>
  <c r="AN45" i="29"/>
  <c r="AM45" i="29"/>
  <c r="AJ45" i="29"/>
  <c r="AI45" i="29"/>
  <c r="AH45" i="29"/>
  <c r="AH46" i="29" s="1"/>
  <c r="AE45" i="29"/>
  <c r="AD45" i="29"/>
  <c r="AD46" i="29" s="1"/>
  <c r="AC45" i="29"/>
  <c r="AC46" i="29" s="1"/>
  <c r="AB45" i="29"/>
  <c r="AY44" i="29"/>
  <c r="AX44" i="29"/>
  <c r="AW44" i="29"/>
  <c r="AV44" i="29"/>
  <c r="AT44" i="29"/>
  <c r="AS44" i="29"/>
  <c r="AR44" i="29"/>
  <c r="AQ44" i="29"/>
  <c r="AP44" i="29"/>
  <c r="AO44" i="29"/>
  <c r="AN44" i="29"/>
  <c r="AM44" i="29"/>
  <c r="AL44" i="29"/>
  <c r="AJ44" i="29"/>
  <c r="AI44" i="29"/>
  <c r="AH44" i="29"/>
  <c r="AG44" i="29"/>
  <c r="AD44" i="29"/>
  <c r="AC44" i="29"/>
  <c r="AB44" i="29"/>
  <c r="Y47" i="29"/>
  <c r="X47" i="29"/>
  <c r="W47" i="29"/>
  <c r="Y45" i="29"/>
  <c r="Y46" i="29" s="1"/>
  <c r="X45" i="29"/>
  <c r="X46" i="29" s="1"/>
  <c r="W45" i="29"/>
  <c r="W46" i="29" s="1"/>
  <c r="Y44" i="29"/>
  <c r="X44" i="29"/>
  <c r="W44" i="29"/>
  <c r="T47" i="29"/>
  <c r="S47" i="29"/>
  <c r="R47" i="29"/>
  <c r="P47" i="29"/>
  <c r="O47" i="29"/>
  <c r="N47" i="29"/>
  <c r="M47" i="29"/>
  <c r="L47" i="29"/>
  <c r="S46" i="29"/>
  <c r="R46" i="29"/>
  <c r="O46" i="29"/>
  <c r="N46" i="29"/>
  <c r="T45" i="29"/>
  <c r="T46" i="29" s="1"/>
  <c r="S45" i="29"/>
  <c r="R45" i="29"/>
  <c r="P45" i="29"/>
  <c r="P46" i="29" s="1"/>
  <c r="O45" i="29"/>
  <c r="N45" i="29"/>
  <c r="M45" i="29"/>
  <c r="M46" i="29" s="1"/>
  <c r="L45" i="29"/>
  <c r="L46" i="29" s="1"/>
  <c r="T44" i="29"/>
  <c r="S44" i="29"/>
  <c r="R44" i="29"/>
  <c r="Q44" i="29"/>
  <c r="P44" i="29"/>
  <c r="O44" i="29"/>
  <c r="N44" i="29"/>
  <c r="M44" i="29"/>
  <c r="L44" i="29"/>
  <c r="G44" i="29"/>
  <c r="F44" i="29"/>
  <c r="E44" i="29"/>
  <c r="D44" i="29"/>
  <c r="C44" i="29"/>
  <c r="CF43" i="29"/>
  <c r="CF45" i="29" s="1"/>
  <c r="CF46" i="29" s="1"/>
  <c r="CF40" i="29"/>
  <c r="CF35" i="29"/>
  <c r="CF37" i="29" s="1"/>
  <c r="CF38" i="29" s="1"/>
  <c r="CF32" i="29"/>
  <c r="CF33" i="29" s="1"/>
  <c r="CF27" i="29"/>
  <c r="CF29" i="29" s="1"/>
  <c r="CF30" i="29" s="1"/>
  <c r="CF24" i="29"/>
  <c r="CF25" i="29" s="1"/>
  <c r="CA43" i="29"/>
  <c r="CB45" i="29" s="1"/>
  <c r="CB46" i="29" s="1"/>
  <c r="CA40" i="29"/>
  <c r="CA133" i="29" s="1"/>
  <c r="CA134" i="29" s="1"/>
  <c r="CA35" i="29"/>
  <c r="CA37" i="29" s="1"/>
  <c r="CA38" i="29" s="1"/>
  <c r="CA32" i="29"/>
  <c r="CA33" i="29" s="1"/>
  <c r="CA27" i="29"/>
  <c r="CA29" i="29" s="1"/>
  <c r="CA30" i="29" s="1"/>
  <c r="CA24" i="29"/>
  <c r="CA25" i="29" s="1"/>
  <c r="AZ43" i="29"/>
  <c r="AZ47" i="29" s="1"/>
  <c r="AZ40" i="29"/>
  <c r="AZ133" i="29" s="1"/>
  <c r="AZ35" i="29"/>
  <c r="AZ27" i="29"/>
  <c r="AZ19" i="29"/>
  <c r="AZ11" i="29"/>
  <c r="AU43" i="29"/>
  <c r="AU45" i="29" s="1"/>
  <c r="AU46" i="29" s="1"/>
  <c r="AU40" i="29"/>
  <c r="AU129" i="29" s="1"/>
  <c r="AU36" i="29"/>
  <c r="AU35" i="29"/>
  <c r="AU39" i="29" s="1"/>
  <c r="AU32" i="29"/>
  <c r="AU28" i="29"/>
  <c r="AU27" i="29"/>
  <c r="AU31" i="29" s="1"/>
  <c r="AU24" i="29"/>
  <c r="AU19" i="29"/>
  <c r="AU16" i="29"/>
  <c r="AU12" i="29"/>
  <c r="AU11" i="29"/>
  <c r="AP43" i="29"/>
  <c r="AQ45" i="29" s="1"/>
  <c r="AQ46" i="29" s="1"/>
  <c r="AP41" i="29"/>
  <c r="AP40" i="29"/>
  <c r="AP37" i="29"/>
  <c r="AP38" i="29" s="1"/>
  <c r="AP35" i="29"/>
  <c r="AP39" i="29" s="1"/>
  <c r="AP33" i="29"/>
  <c r="AP32" i="29"/>
  <c r="AP121" i="29" s="1"/>
  <c r="AP122" i="29" s="1"/>
  <c r="AP29" i="29"/>
  <c r="AP30" i="29" s="1"/>
  <c r="AP27" i="29"/>
  <c r="AP31" i="29" s="1"/>
  <c r="AP25" i="29"/>
  <c r="AP24" i="29"/>
  <c r="AP109" i="29" s="1"/>
  <c r="AP110" i="29" s="1"/>
  <c r="AP19" i="29"/>
  <c r="AP16" i="29"/>
  <c r="AP93" i="29" s="1"/>
  <c r="AP11" i="29"/>
  <c r="AK43" i="29"/>
  <c r="AP45" i="29" s="1"/>
  <c r="AP46" i="29" s="1"/>
  <c r="AK40" i="29"/>
  <c r="AK35" i="29"/>
  <c r="AK36" i="29" s="1"/>
  <c r="AK32" i="29"/>
  <c r="AK121" i="29" s="1"/>
  <c r="AK122" i="29" s="1"/>
  <c r="AK27" i="29"/>
  <c r="AK28" i="29" s="1"/>
  <c r="AK24" i="29"/>
  <c r="AK109" i="29" s="1"/>
  <c r="AK19" i="29"/>
  <c r="AK16" i="29"/>
  <c r="AK97" i="29" s="1"/>
  <c r="AK11" i="29"/>
  <c r="AK12" i="29" s="1"/>
  <c r="AF43" i="29"/>
  <c r="AF40" i="29"/>
  <c r="AK41" i="29" s="1"/>
  <c r="AF39" i="29"/>
  <c r="Z43" i="29"/>
  <c r="AE44" i="29" s="1"/>
  <c r="Z41" i="29"/>
  <c r="U43" i="29"/>
  <c r="U41" i="29"/>
  <c r="CU40" i="29"/>
  <c r="CP41" i="29"/>
  <c r="BZ42" i="29"/>
  <c r="BY42" i="29"/>
  <c r="BX42" i="29"/>
  <c r="BW42" i="29"/>
  <c r="BV42" i="29"/>
  <c r="BU42" i="29"/>
  <c r="BT42" i="29"/>
  <c r="BS42" i="29"/>
  <c r="BR42" i="29"/>
  <c r="BQ42" i="29"/>
  <c r="BL42" i="29"/>
  <c r="BK42" i="29"/>
  <c r="BJ42" i="29"/>
  <c r="BI42" i="29"/>
  <c r="BG42" i="29"/>
  <c r="BF42" i="29"/>
  <c r="BE42" i="29"/>
  <c r="BC42" i="29"/>
  <c r="BB42" i="29"/>
  <c r="BA42" i="29"/>
  <c r="T42" i="29"/>
  <c r="S42" i="29"/>
  <c r="R42" i="29"/>
  <c r="O42" i="29"/>
  <c r="N42" i="29"/>
  <c r="M42" i="29"/>
  <c r="I42" i="29"/>
  <c r="H42" i="29"/>
  <c r="G42" i="29"/>
  <c r="E42" i="29"/>
  <c r="C42" i="29"/>
  <c r="DT41" i="29"/>
  <c r="CE42" i="29"/>
  <c r="CD42" i="29"/>
  <c r="CC42" i="29"/>
  <c r="CB42" i="29"/>
  <c r="CE41" i="29"/>
  <c r="CD41" i="29"/>
  <c r="CC41" i="29"/>
  <c r="CB41" i="29"/>
  <c r="BZ41" i="29"/>
  <c r="BY41" i="29"/>
  <c r="BX41" i="29"/>
  <c r="BW41" i="29"/>
  <c r="BV41" i="29"/>
  <c r="BU41" i="29"/>
  <c r="BT41" i="29"/>
  <c r="BS41" i="29"/>
  <c r="BR41" i="29"/>
  <c r="BM41" i="29"/>
  <c r="BL41" i="29"/>
  <c r="BK41" i="29"/>
  <c r="BJ41" i="29"/>
  <c r="BI41" i="29"/>
  <c r="BH41" i="29"/>
  <c r="BG41" i="29"/>
  <c r="BF41" i="29"/>
  <c r="AW42" i="29"/>
  <c r="AV42" i="29"/>
  <c r="AY41" i="29"/>
  <c r="AX41" i="29"/>
  <c r="AW41" i="29"/>
  <c r="AV41" i="29"/>
  <c r="AR42" i="29"/>
  <c r="AQ42" i="29"/>
  <c r="AT41" i="29"/>
  <c r="AS41" i="29"/>
  <c r="AR41" i="29"/>
  <c r="AQ41" i="29"/>
  <c r="AO42" i="29"/>
  <c r="AN42" i="29"/>
  <c r="AM42" i="29"/>
  <c r="AL42" i="29"/>
  <c r="AO41" i="29"/>
  <c r="AN41" i="29"/>
  <c r="AM41" i="29"/>
  <c r="AL41" i="29"/>
  <c r="AI42" i="29"/>
  <c r="AH42" i="29"/>
  <c r="AG42" i="29"/>
  <c r="AJ41" i="29"/>
  <c r="AI41" i="29"/>
  <c r="AH41" i="29"/>
  <c r="AG41" i="29"/>
  <c r="AD42" i="29"/>
  <c r="AC42" i="29"/>
  <c r="AB42" i="29"/>
  <c r="AE41" i="29"/>
  <c r="AD41" i="29"/>
  <c r="AC41" i="29"/>
  <c r="AB41" i="29"/>
  <c r="Y42" i="29"/>
  <c r="X42" i="29"/>
  <c r="W42" i="29"/>
  <c r="Y41" i="29"/>
  <c r="X41" i="29"/>
  <c r="W41" i="29"/>
  <c r="T41" i="29"/>
  <c r="S41" i="29"/>
  <c r="R41" i="29"/>
  <c r="Q41" i="29"/>
  <c r="P41" i="29"/>
  <c r="O41" i="29"/>
  <c r="N41" i="29"/>
  <c r="M41" i="29"/>
  <c r="L41" i="29"/>
  <c r="G41" i="29"/>
  <c r="F41" i="29"/>
  <c r="E41" i="29"/>
  <c r="D41" i="29"/>
  <c r="C41" i="29"/>
  <c r="AY40" i="29"/>
  <c r="AY47" i="29" s="1"/>
  <c r="AY36" i="29"/>
  <c r="AA40" i="29"/>
  <c r="AA45" i="29" s="1"/>
  <c r="AA46" i="29" s="1"/>
  <c r="V40" i="29"/>
  <c r="Q40" i="29"/>
  <c r="Q133" i="29" s="1"/>
  <c r="L40" i="29"/>
  <c r="CP39" i="29"/>
  <c r="BM39" i="29"/>
  <c r="BL39" i="29"/>
  <c r="BK39" i="29"/>
  <c r="BJ39" i="29"/>
  <c r="BI39" i="29"/>
  <c r="BH39" i="29"/>
  <c r="BG39" i="29"/>
  <c r="BF39" i="29"/>
  <c r="BE39" i="29"/>
  <c r="BD39" i="29"/>
  <c r="BC39" i="29"/>
  <c r="BB39" i="29"/>
  <c r="BA39" i="29"/>
  <c r="AE39" i="29"/>
  <c r="AD39" i="29"/>
  <c r="AC39" i="29"/>
  <c r="AB39" i="29"/>
  <c r="BJ38" i="29"/>
  <c r="BM37" i="29"/>
  <c r="BM38" i="29" s="1"/>
  <c r="BL37" i="29"/>
  <c r="BL38" i="29" s="1"/>
  <c r="BK37" i="29"/>
  <c r="BK38" i="29" s="1"/>
  <c r="BJ37" i="29"/>
  <c r="BI37" i="29"/>
  <c r="BI38" i="29" s="1"/>
  <c r="BH37" i="29"/>
  <c r="BH38" i="29" s="1"/>
  <c r="BG37" i="29"/>
  <c r="BG38" i="29" s="1"/>
  <c r="BF37" i="29"/>
  <c r="BF38" i="29" s="1"/>
  <c r="BE37" i="29"/>
  <c r="BE38" i="29" s="1"/>
  <c r="BD37" i="29"/>
  <c r="BD38" i="29" s="1"/>
  <c r="BC37" i="29"/>
  <c r="BC38" i="29" s="1"/>
  <c r="BB37" i="29"/>
  <c r="BB38" i="29" s="1"/>
  <c r="AC38" i="29"/>
  <c r="AE37" i="29"/>
  <c r="AE38" i="29" s="1"/>
  <c r="AD37" i="29"/>
  <c r="AD38" i="29" s="1"/>
  <c r="AC37" i="29"/>
  <c r="CE39" i="29"/>
  <c r="CD39" i="29"/>
  <c r="CC39" i="29"/>
  <c r="CB39" i="29"/>
  <c r="CD38" i="29"/>
  <c r="CE37" i="29"/>
  <c r="CE38" i="29" s="1"/>
  <c r="CD37" i="29"/>
  <c r="CC37" i="29"/>
  <c r="CC38" i="29" s="1"/>
  <c r="CE36" i="29"/>
  <c r="CD36" i="29"/>
  <c r="CC36" i="29"/>
  <c r="CB36" i="29"/>
  <c r="BZ39" i="29"/>
  <c r="BY39" i="29"/>
  <c r="BX39" i="29"/>
  <c r="BW39" i="29"/>
  <c r="BV39" i="29"/>
  <c r="BU39" i="29"/>
  <c r="BT39" i="29"/>
  <c r="BS39" i="29"/>
  <c r="BR39" i="29"/>
  <c r="BZ38" i="29"/>
  <c r="BY38" i="29"/>
  <c r="BV38" i="29"/>
  <c r="BU38" i="29"/>
  <c r="BR38" i="29"/>
  <c r="BZ37" i="29"/>
  <c r="BY37" i="29"/>
  <c r="BX37" i="29"/>
  <c r="BX38" i="29" s="1"/>
  <c r="BW37" i="29"/>
  <c r="BW38" i="29" s="1"/>
  <c r="BV37" i="29"/>
  <c r="BU37" i="29"/>
  <c r="BT37" i="29"/>
  <c r="BT38" i="29" s="1"/>
  <c r="BS37" i="29"/>
  <c r="BS38" i="29" s="1"/>
  <c r="BR37" i="29"/>
  <c r="BZ36" i="29"/>
  <c r="BY36" i="29"/>
  <c r="BX36" i="29"/>
  <c r="BW36" i="29"/>
  <c r="BV36" i="29"/>
  <c r="BU36" i="29"/>
  <c r="BT36" i="29"/>
  <c r="BS36" i="29"/>
  <c r="BR36" i="29"/>
  <c r="BM36" i="29"/>
  <c r="BL36" i="29"/>
  <c r="BK36" i="29"/>
  <c r="BJ36" i="29"/>
  <c r="BI36" i="29"/>
  <c r="BH36" i="29"/>
  <c r="BG36" i="29"/>
  <c r="BF36" i="29"/>
  <c r="AX39" i="29"/>
  <c r="AW39" i="29"/>
  <c r="AV39" i="29"/>
  <c r="AW38" i="29"/>
  <c r="AV38" i="29"/>
  <c r="AX37" i="29"/>
  <c r="AX38" i="29" s="1"/>
  <c r="AW37" i="29"/>
  <c r="AV37" i="29"/>
  <c r="AX36" i="29"/>
  <c r="AW36" i="29"/>
  <c r="AV36" i="29"/>
  <c r="AT39" i="29"/>
  <c r="AS39" i="29"/>
  <c r="AR39" i="29"/>
  <c r="AQ39" i="29"/>
  <c r="AT37" i="29"/>
  <c r="AT38" i="29" s="1"/>
  <c r="AS37" i="29"/>
  <c r="AS38" i="29" s="1"/>
  <c r="AR37" i="29"/>
  <c r="AR38" i="29" s="1"/>
  <c r="AQ37" i="29"/>
  <c r="AQ38" i="29" s="1"/>
  <c r="AT36" i="29"/>
  <c r="AS36" i="29"/>
  <c r="AR36" i="29"/>
  <c r="AQ36" i="29"/>
  <c r="AO39" i="29"/>
  <c r="AN39" i="29"/>
  <c r="AM39" i="29"/>
  <c r="AL39" i="29"/>
  <c r="AN38" i="29"/>
  <c r="AO37" i="29"/>
  <c r="AO38" i="29" s="1"/>
  <c r="AN37" i="29"/>
  <c r="AM37" i="29"/>
  <c r="AM38" i="29" s="1"/>
  <c r="AO36" i="29"/>
  <c r="AN36" i="29"/>
  <c r="AM36" i="29"/>
  <c r="AL36" i="29"/>
  <c r="AJ39" i="29"/>
  <c r="AI39" i="29"/>
  <c r="AH39" i="29"/>
  <c r="AG39" i="29"/>
  <c r="AI38" i="29"/>
  <c r="AJ37" i="29"/>
  <c r="AJ38" i="29" s="1"/>
  <c r="AI37" i="29"/>
  <c r="AH37" i="29"/>
  <c r="AH38" i="29" s="1"/>
  <c r="AJ36" i="29"/>
  <c r="AI36" i="29"/>
  <c r="AH36" i="29"/>
  <c r="AG36" i="29"/>
  <c r="AF35" i="29"/>
  <c r="AG37" i="29" s="1"/>
  <c r="AG38" i="29" s="1"/>
  <c r="AF34" i="29"/>
  <c r="CU33" i="29"/>
  <c r="CU32" i="29"/>
  <c r="CP34" i="29"/>
  <c r="CP33" i="29"/>
  <c r="BZ34" i="29"/>
  <c r="BX34" i="29"/>
  <c r="BW34" i="29"/>
  <c r="BV34" i="29"/>
  <c r="BT34" i="29"/>
  <c r="BR34" i="29"/>
  <c r="BL34" i="29"/>
  <c r="BK34" i="29"/>
  <c r="BI34" i="29"/>
  <c r="BG34" i="29"/>
  <c r="BF34" i="29"/>
  <c r="BE34" i="29"/>
  <c r="BC34" i="29"/>
  <c r="BB34" i="29"/>
  <c r="BA34" i="29"/>
  <c r="AE34" i="29"/>
  <c r="AD34" i="29"/>
  <c r="AC34" i="29"/>
  <c r="AB34" i="29"/>
  <c r="DT33" i="29"/>
  <c r="CE34" i="29"/>
  <c r="CD34" i="29"/>
  <c r="CC34" i="29"/>
  <c r="CE33" i="29"/>
  <c r="CD33" i="29"/>
  <c r="CC33" i="29"/>
  <c r="CB33" i="29"/>
  <c r="BZ33" i="29"/>
  <c r="BY33" i="29"/>
  <c r="BX33" i="29"/>
  <c r="BW33" i="29"/>
  <c r="BV33" i="29"/>
  <c r="BU33" i="29"/>
  <c r="BT33" i="29"/>
  <c r="BS33" i="29"/>
  <c r="BR33" i="29"/>
  <c r="BM33" i="29"/>
  <c r="BL33" i="29"/>
  <c r="BK33" i="29"/>
  <c r="BJ33" i="29"/>
  <c r="BI33" i="29"/>
  <c r="BH33" i="29"/>
  <c r="BG33" i="29"/>
  <c r="BF33" i="29"/>
  <c r="AW34" i="29"/>
  <c r="AV34" i="29"/>
  <c r="AX33" i="29"/>
  <c r="AW33" i="29"/>
  <c r="AV33" i="29"/>
  <c r="AR34" i="29"/>
  <c r="AQ34" i="29"/>
  <c r="AS33" i="29"/>
  <c r="AR33" i="29"/>
  <c r="AQ33" i="29"/>
  <c r="AO34" i="29"/>
  <c r="AN34" i="29"/>
  <c r="AM34" i="29"/>
  <c r="AL34" i="29"/>
  <c r="AO33" i="29"/>
  <c r="AN33" i="29"/>
  <c r="AM33" i="29"/>
  <c r="AL33" i="29"/>
  <c r="AI34" i="29"/>
  <c r="AH34" i="29"/>
  <c r="AG34" i="29"/>
  <c r="AJ33" i="29"/>
  <c r="AI33" i="29"/>
  <c r="AH33" i="29"/>
  <c r="AG33" i="29"/>
  <c r="CZ32" i="29"/>
  <c r="AY32" i="29"/>
  <c r="AY28" i="29"/>
  <c r="AT32" i="29"/>
  <c r="AT121" i="29" s="1"/>
  <c r="AT122" i="29" s="1"/>
  <c r="AF32" i="29"/>
  <c r="AF121" i="29" s="1"/>
  <c r="AF31" i="29"/>
  <c r="CP31" i="29"/>
  <c r="BM31" i="29"/>
  <c r="BL31" i="29"/>
  <c r="BK31" i="29"/>
  <c r="BJ31" i="29"/>
  <c r="BI31" i="29"/>
  <c r="BH31" i="29"/>
  <c r="BG31" i="29"/>
  <c r="BF31" i="29"/>
  <c r="BE31" i="29"/>
  <c r="BD31" i="29"/>
  <c r="BC31" i="29"/>
  <c r="BB31" i="29"/>
  <c r="BA31" i="29"/>
  <c r="AR31" i="29"/>
  <c r="AQ31" i="29"/>
  <c r="BM29" i="29"/>
  <c r="BM30" i="29" s="1"/>
  <c r="BL29" i="29"/>
  <c r="BL30" i="29" s="1"/>
  <c r="BK29" i="29"/>
  <c r="BK30" i="29" s="1"/>
  <c r="BJ29" i="29"/>
  <c r="BJ30" i="29" s="1"/>
  <c r="BI29" i="29"/>
  <c r="BI30" i="29" s="1"/>
  <c r="BH29" i="29"/>
  <c r="BH30" i="29" s="1"/>
  <c r="BG29" i="29"/>
  <c r="BG30" i="29" s="1"/>
  <c r="BF29" i="29"/>
  <c r="BF30" i="29" s="1"/>
  <c r="BE29" i="29"/>
  <c r="BE30" i="29" s="1"/>
  <c r="BD29" i="29"/>
  <c r="BD30" i="29" s="1"/>
  <c r="BC29" i="29"/>
  <c r="BC30" i="29" s="1"/>
  <c r="BB29" i="29"/>
  <c r="BB30" i="29" s="1"/>
  <c r="AC30" i="29"/>
  <c r="AE29" i="29"/>
  <c r="AE30" i="29" s="1"/>
  <c r="AD29" i="29"/>
  <c r="AD30" i="29" s="1"/>
  <c r="AC29" i="29"/>
  <c r="CE31" i="29"/>
  <c r="CD31" i="29"/>
  <c r="CC31" i="29"/>
  <c r="CB31" i="29"/>
  <c r="CE29" i="29"/>
  <c r="CE30" i="29" s="1"/>
  <c r="CD29" i="29"/>
  <c r="CD30" i="29" s="1"/>
  <c r="CC29" i="29"/>
  <c r="CC30" i="29" s="1"/>
  <c r="CE28" i="29"/>
  <c r="CD28" i="29"/>
  <c r="CC28" i="29"/>
  <c r="CB28" i="29"/>
  <c r="BZ31" i="29"/>
  <c r="BY31" i="29"/>
  <c r="BX31" i="29"/>
  <c r="BW31" i="29"/>
  <c r="BV31" i="29"/>
  <c r="BU31" i="29"/>
  <c r="BT31" i="29"/>
  <c r="BS31" i="29"/>
  <c r="BR31" i="29"/>
  <c r="BZ30" i="29"/>
  <c r="BY30" i="29"/>
  <c r="BV30" i="29"/>
  <c r="BU30" i="29"/>
  <c r="BR30" i="29"/>
  <c r="BZ29" i="29"/>
  <c r="BY29" i="29"/>
  <c r="BX29" i="29"/>
  <c r="BX30" i="29" s="1"/>
  <c r="BW29" i="29"/>
  <c r="BW30" i="29" s="1"/>
  <c r="BV29" i="29"/>
  <c r="BU29" i="29"/>
  <c r="BT29" i="29"/>
  <c r="BT30" i="29" s="1"/>
  <c r="BS29" i="29"/>
  <c r="BS30" i="29" s="1"/>
  <c r="BR29" i="29"/>
  <c r="BZ28" i="29"/>
  <c r="BY28" i="29"/>
  <c r="BX28" i="29"/>
  <c r="BW28" i="29"/>
  <c r="BV28" i="29"/>
  <c r="BU28" i="29"/>
  <c r="BT28" i="29"/>
  <c r="BS28" i="29"/>
  <c r="BR28" i="29"/>
  <c r="BM28" i="29"/>
  <c r="BL28" i="29"/>
  <c r="BK28" i="29"/>
  <c r="BJ28" i="29"/>
  <c r="BI28" i="29"/>
  <c r="BH28" i="29"/>
  <c r="BG28" i="29"/>
  <c r="BF28" i="29"/>
  <c r="AX31" i="29"/>
  <c r="AW31" i="29"/>
  <c r="AV31" i="29"/>
  <c r="AW30" i="29"/>
  <c r="AV30" i="29"/>
  <c r="AX29" i="29"/>
  <c r="AX30" i="29" s="1"/>
  <c r="AW29" i="29"/>
  <c r="AV29" i="29"/>
  <c r="AX28" i="29"/>
  <c r="AW28" i="29"/>
  <c r="AV28" i="29"/>
  <c r="AS30" i="29"/>
  <c r="AT29" i="29"/>
  <c r="AT30" i="29" s="1"/>
  <c r="AS29" i="29"/>
  <c r="AR29" i="29"/>
  <c r="AR30" i="29" s="1"/>
  <c r="AQ29" i="29"/>
  <c r="AQ30" i="29" s="1"/>
  <c r="AT28" i="29"/>
  <c r="AS28" i="29"/>
  <c r="AR28" i="29"/>
  <c r="AQ28" i="29"/>
  <c r="AO29" i="29"/>
  <c r="AO30" i="29" s="1"/>
  <c r="AN29" i="29"/>
  <c r="AN30" i="29" s="1"/>
  <c r="AM29" i="29"/>
  <c r="AM30" i="29" s="1"/>
  <c r="AO28" i="29"/>
  <c r="AN28" i="29"/>
  <c r="AM28" i="29"/>
  <c r="AL28" i="29"/>
  <c r="AJ29" i="29"/>
  <c r="AJ30" i="29" s="1"/>
  <c r="AI29" i="29"/>
  <c r="AI30" i="29" s="1"/>
  <c r="AH29" i="29"/>
  <c r="AH30" i="29" s="1"/>
  <c r="AJ28" i="29"/>
  <c r="AI28" i="29"/>
  <c r="AH28" i="29"/>
  <c r="AG28" i="29"/>
  <c r="AF27" i="29"/>
  <c r="AG29" i="29" s="1"/>
  <c r="AG30" i="29" s="1"/>
  <c r="AF26" i="29"/>
  <c r="CU25" i="29"/>
  <c r="CU24" i="29"/>
  <c r="CP25" i="29"/>
  <c r="BM26" i="29"/>
  <c r="BL26" i="29"/>
  <c r="BK26" i="29"/>
  <c r="BJ26" i="29"/>
  <c r="BI26" i="29"/>
  <c r="BG26" i="29"/>
  <c r="BF26" i="29"/>
  <c r="BE26" i="29"/>
  <c r="BC26" i="29"/>
  <c r="BB26" i="29"/>
  <c r="BA26" i="29"/>
  <c r="AE26" i="29"/>
  <c r="AD26" i="29"/>
  <c r="AC26" i="29"/>
  <c r="AB26" i="29"/>
  <c r="DT25" i="29"/>
  <c r="CE26" i="29"/>
  <c r="CD26" i="29"/>
  <c r="CC26" i="29"/>
  <c r="CE25" i="29"/>
  <c r="CD25" i="29"/>
  <c r="CC25" i="29"/>
  <c r="CB25" i="29"/>
  <c r="BZ26" i="29"/>
  <c r="BY26" i="29"/>
  <c r="BX26" i="29"/>
  <c r="BV26" i="29"/>
  <c r="BU26" i="29"/>
  <c r="BT26" i="29"/>
  <c r="BR26" i="29"/>
  <c r="BZ25" i="29"/>
  <c r="BY25" i="29"/>
  <c r="BX25" i="29"/>
  <c r="BW25" i="29"/>
  <c r="BV25" i="29"/>
  <c r="BU25" i="29"/>
  <c r="BT25" i="29"/>
  <c r="BS25" i="29"/>
  <c r="BR25" i="29"/>
  <c r="BM25" i="29"/>
  <c r="BL25" i="29"/>
  <c r="BK25" i="29"/>
  <c r="BJ25" i="29"/>
  <c r="BI25" i="29"/>
  <c r="BH25" i="29"/>
  <c r="BG25" i="29"/>
  <c r="BF25" i="29"/>
  <c r="AX26" i="29"/>
  <c r="AW26" i="29"/>
  <c r="AV26" i="29"/>
  <c r="AX25" i="29"/>
  <c r="AW25" i="29"/>
  <c r="AV25" i="29"/>
  <c r="AR26" i="29"/>
  <c r="AQ26" i="29"/>
  <c r="AT25" i="29"/>
  <c r="AS25" i="29"/>
  <c r="AR25" i="29"/>
  <c r="AQ25" i="29"/>
  <c r="AO26" i="29"/>
  <c r="AN26" i="29"/>
  <c r="AM26" i="29"/>
  <c r="AL26" i="29"/>
  <c r="AO25" i="29"/>
  <c r="AN25" i="29"/>
  <c r="AM25" i="29"/>
  <c r="AL25" i="29"/>
  <c r="AI26" i="29"/>
  <c r="AH26" i="29"/>
  <c r="AG26" i="29"/>
  <c r="AJ25" i="29"/>
  <c r="AI25" i="29"/>
  <c r="AH25" i="29"/>
  <c r="AG25" i="29"/>
  <c r="CZ24" i="29"/>
  <c r="AY24" i="29"/>
  <c r="AY29" i="29" s="1"/>
  <c r="AY30" i="29" s="1"/>
  <c r="AY20" i="29"/>
  <c r="AF24" i="29"/>
  <c r="AF105" i="29" s="1"/>
  <c r="AF106" i="29" s="1"/>
  <c r="AF19" i="29"/>
  <c r="AF16" i="29"/>
  <c r="AF97" i="29" s="1"/>
  <c r="AF12" i="29"/>
  <c r="AF11" i="29"/>
  <c r="BM23" i="29"/>
  <c r="BL23" i="29"/>
  <c r="BK23" i="29"/>
  <c r="BJ23" i="29"/>
  <c r="BI23" i="29"/>
  <c r="BH23" i="29"/>
  <c r="BG23" i="29"/>
  <c r="BF23" i="29"/>
  <c r="BE23" i="29"/>
  <c r="BD23" i="29"/>
  <c r="BC23" i="29"/>
  <c r="BB23" i="29"/>
  <c r="BA23" i="29"/>
  <c r="AE23" i="29"/>
  <c r="AD23" i="29"/>
  <c r="AC23" i="29"/>
  <c r="AB23" i="29"/>
  <c r="Y23" i="29"/>
  <c r="X23" i="29"/>
  <c r="W23" i="29"/>
  <c r="T23" i="29"/>
  <c r="S23" i="29"/>
  <c r="R23" i="29"/>
  <c r="P23" i="29"/>
  <c r="O23" i="29"/>
  <c r="N23" i="29"/>
  <c r="M23" i="29"/>
  <c r="K23" i="29"/>
  <c r="J23" i="29"/>
  <c r="I23" i="29"/>
  <c r="H23" i="29"/>
  <c r="G23" i="29"/>
  <c r="F23" i="29"/>
  <c r="E23" i="29"/>
  <c r="C23" i="29"/>
  <c r="BG22" i="29"/>
  <c r="BM21" i="29"/>
  <c r="BM22" i="29" s="1"/>
  <c r="BL21" i="29"/>
  <c r="BL22" i="29" s="1"/>
  <c r="BK21" i="29"/>
  <c r="BK22" i="29" s="1"/>
  <c r="BJ21" i="29"/>
  <c r="BJ22" i="29" s="1"/>
  <c r="BI21" i="29"/>
  <c r="BI22" i="29" s="1"/>
  <c r="BH21" i="29"/>
  <c r="BH22" i="29" s="1"/>
  <c r="BG21" i="29"/>
  <c r="BF21" i="29"/>
  <c r="BF22" i="29" s="1"/>
  <c r="BE21" i="29"/>
  <c r="BE22" i="29" s="1"/>
  <c r="BD21" i="29"/>
  <c r="BD22" i="29" s="1"/>
  <c r="BC21" i="29"/>
  <c r="BC22" i="29" s="1"/>
  <c r="BB21" i="29"/>
  <c r="BB22" i="29" s="1"/>
  <c r="T22" i="29"/>
  <c r="AE21" i="29"/>
  <c r="AE22" i="29" s="1"/>
  <c r="AD21" i="29"/>
  <c r="AD22" i="29" s="1"/>
  <c r="AC21" i="29"/>
  <c r="AC22" i="29" s="1"/>
  <c r="AB21" i="29"/>
  <c r="AB22" i="29" s="1"/>
  <c r="Y21" i="29"/>
  <c r="Y22" i="29" s="1"/>
  <c r="X21" i="29"/>
  <c r="X22" i="29" s="1"/>
  <c r="W21" i="29"/>
  <c r="W22" i="29" s="1"/>
  <c r="T21" i="29"/>
  <c r="S21" i="29"/>
  <c r="S22" i="29" s="1"/>
  <c r="R21" i="29"/>
  <c r="R22" i="29" s="1"/>
  <c r="P21" i="29"/>
  <c r="P22" i="29" s="1"/>
  <c r="O21" i="29"/>
  <c r="O22" i="29" s="1"/>
  <c r="N21" i="29"/>
  <c r="N22" i="29" s="1"/>
  <c r="M21" i="29"/>
  <c r="M22" i="29" s="1"/>
  <c r="K21" i="29"/>
  <c r="K22" i="29" s="1"/>
  <c r="J21" i="29"/>
  <c r="J22" i="29" s="1"/>
  <c r="I21" i="29"/>
  <c r="I22" i="29" s="1"/>
  <c r="H21" i="29"/>
  <c r="H22" i="29" s="1"/>
  <c r="G21" i="29"/>
  <c r="G22" i="29" s="1"/>
  <c r="F21" i="29"/>
  <c r="F22" i="29" s="1"/>
  <c r="E21" i="29"/>
  <c r="E22" i="29" s="1"/>
  <c r="C21" i="29"/>
  <c r="C22" i="29" s="1"/>
  <c r="BM20" i="29"/>
  <c r="BL20" i="29"/>
  <c r="BK20" i="29"/>
  <c r="BJ20" i="29"/>
  <c r="BI20" i="29"/>
  <c r="BH20" i="29"/>
  <c r="BG20" i="29"/>
  <c r="BF20" i="29"/>
  <c r="AX23" i="29"/>
  <c r="AW23" i="29"/>
  <c r="AV23" i="29"/>
  <c r="AX21" i="29"/>
  <c r="AX22" i="29" s="1"/>
  <c r="AW21" i="29"/>
  <c r="AW22" i="29" s="1"/>
  <c r="AX20" i="29"/>
  <c r="AW20" i="29"/>
  <c r="AV20" i="29"/>
  <c r="AT23" i="29"/>
  <c r="AS23" i="29"/>
  <c r="AR23" i="29"/>
  <c r="AQ23" i="29"/>
  <c r="AT21" i="29"/>
  <c r="AT22" i="29" s="1"/>
  <c r="AS21" i="29"/>
  <c r="AS22" i="29" s="1"/>
  <c r="AR21" i="29"/>
  <c r="AR22" i="29" s="1"/>
  <c r="AT20" i="29"/>
  <c r="AS20" i="29"/>
  <c r="AR20" i="29"/>
  <c r="AQ20" i="29"/>
  <c r="AO23" i="29"/>
  <c r="AN23" i="29"/>
  <c r="AM23" i="29"/>
  <c r="AL23" i="29"/>
  <c r="AO21" i="29"/>
  <c r="AO22" i="29" s="1"/>
  <c r="AN21" i="29"/>
  <c r="AN22" i="29" s="1"/>
  <c r="AM21" i="29"/>
  <c r="AM22" i="29" s="1"/>
  <c r="AL21" i="29"/>
  <c r="AL22" i="29" s="1"/>
  <c r="AO20" i="29"/>
  <c r="AN20" i="29"/>
  <c r="AM20" i="29"/>
  <c r="AL20" i="29"/>
  <c r="AJ23" i="29"/>
  <c r="AI23" i="29"/>
  <c r="AH23" i="29"/>
  <c r="AG23" i="29"/>
  <c r="AJ22" i="29"/>
  <c r="AJ21" i="29"/>
  <c r="AI21" i="29"/>
  <c r="AI22" i="29" s="1"/>
  <c r="AH21" i="29"/>
  <c r="AH22" i="29" s="1"/>
  <c r="AG21" i="29"/>
  <c r="AG22" i="29" s="1"/>
  <c r="AJ20" i="29"/>
  <c r="AI20" i="29"/>
  <c r="AH20" i="29"/>
  <c r="AG20" i="29"/>
  <c r="AD20" i="29"/>
  <c r="AC20" i="29"/>
  <c r="AB20" i="29"/>
  <c r="AA20" i="29"/>
  <c r="Y20" i="29"/>
  <c r="X20" i="29"/>
  <c r="W20" i="29"/>
  <c r="V20" i="29"/>
  <c r="T20" i="29"/>
  <c r="S20" i="29"/>
  <c r="R20" i="29"/>
  <c r="Q20" i="29"/>
  <c r="P20" i="29"/>
  <c r="O20" i="29"/>
  <c r="N20" i="29"/>
  <c r="M20" i="29"/>
  <c r="L20" i="29"/>
  <c r="G20" i="29"/>
  <c r="F20" i="29"/>
  <c r="E20" i="29"/>
  <c r="D20" i="29"/>
  <c r="C20" i="29"/>
  <c r="Z19" i="29"/>
  <c r="Z23" i="29" s="1"/>
  <c r="Z17" i="29"/>
  <c r="U19" i="29"/>
  <c r="U17" i="29"/>
  <c r="BL18" i="29"/>
  <c r="BK18" i="29"/>
  <c r="BJ18" i="29"/>
  <c r="BI18" i="29"/>
  <c r="BH18" i="29"/>
  <c r="BG18" i="29"/>
  <c r="BF18" i="29"/>
  <c r="BE18" i="29"/>
  <c r="BD18" i="29"/>
  <c r="BC18" i="29"/>
  <c r="BB18" i="29"/>
  <c r="BA18" i="29"/>
  <c r="T18" i="29"/>
  <c r="S18" i="29"/>
  <c r="R18" i="29"/>
  <c r="O18" i="29"/>
  <c r="N18" i="29"/>
  <c r="M18" i="29"/>
  <c r="I18" i="29"/>
  <c r="H18" i="29"/>
  <c r="G18" i="29"/>
  <c r="E18" i="29"/>
  <c r="C18" i="29"/>
  <c r="BM17" i="29"/>
  <c r="BL17" i="29"/>
  <c r="BK17" i="29"/>
  <c r="BJ17" i="29"/>
  <c r="BI17" i="29"/>
  <c r="BH17" i="29"/>
  <c r="BG17" i="29"/>
  <c r="BF17" i="29"/>
  <c r="AW18" i="29"/>
  <c r="AV18" i="29"/>
  <c r="AX17" i="29"/>
  <c r="AW17" i="29"/>
  <c r="AV17" i="29"/>
  <c r="AR18" i="29"/>
  <c r="AQ18" i="29"/>
  <c r="AT17" i="29"/>
  <c r="AS17" i="29"/>
  <c r="AR17" i="29"/>
  <c r="AQ17" i="29"/>
  <c r="AO18" i="29"/>
  <c r="AN18" i="29"/>
  <c r="AM18" i="29"/>
  <c r="AL18" i="29"/>
  <c r="AO17" i="29"/>
  <c r="AN17" i="29"/>
  <c r="AM17" i="29"/>
  <c r="AL17" i="29"/>
  <c r="AI18" i="29"/>
  <c r="AH18" i="29"/>
  <c r="AG18" i="29"/>
  <c r="AJ17" i="29"/>
  <c r="AI17" i="29"/>
  <c r="AH17" i="29"/>
  <c r="AG17" i="29"/>
  <c r="AD18" i="29"/>
  <c r="AC18" i="29"/>
  <c r="AB18" i="29"/>
  <c r="AE17" i="29"/>
  <c r="AD17" i="29"/>
  <c r="AC17" i="29"/>
  <c r="AB17" i="29"/>
  <c r="Y18" i="29"/>
  <c r="X18" i="29"/>
  <c r="W18" i="29"/>
  <c r="Y17" i="29"/>
  <c r="X17" i="29"/>
  <c r="W17" i="29"/>
  <c r="T17" i="29"/>
  <c r="S17" i="29"/>
  <c r="R17" i="29"/>
  <c r="Q17" i="29"/>
  <c r="P17" i="29"/>
  <c r="O17" i="29"/>
  <c r="N17" i="29"/>
  <c r="M17" i="29"/>
  <c r="G17" i="29"/>
  <c r="F17" i="29"/>
  <c r="E17" i="29"/>
  <c r="AY16" i="29"/>
  <c r="AY15" i="29"/>
  <c r="AY14" i="29"/>
  <c r="AY13" i="29"/>
  <c r="AY12" i="29"/>
  <c r="AA16" i="29"/>
  <c r="AA12" i="29"/>
  <c r="V16" i="29"/>
  <c r="V12" i="29"/>
  <c r="Q16" i="29"/>
  <c r="Q55" i="29" s="1"/>
  <c r="Q6" i="29" s="1"/>
  <c r="Q15" i="29"/>
  <c r="Q13" i="29"/>
  <c r="Q14" i="29" s="1"/>
  <c r="Q12" i="29"/>
  <c r="L16" i="29"/>
  <c r="L12" i="29"/>
  <c r="D16" i="29"/>
  <c r="D15" i="29"/>
  <c r="D13" i="29"/>
  <c r="D14" i="29" s="1"/>
  <c r="D12" i="29"/>
  <c r="B16" i="29"/>
  <c r="B15" i="29"/>
  <c r="CP15" i="29"/>
  <c r="BM15" i="29"/>
  <c r="BL15" i="29"/>
  <c r="BJ15" i="29"/>
  <c r="BI15" i="29"/>
  <c r="BH15" i="29"/>
  <c r="BG15" i="29"/>
  <c r="BE15" i="29"/>
  <c r="BD15" i="29"/>
  <c r="BC15" i="29"/>
  <c r="BB15" i="29"/>
  <c r="C15" i="29"/>
  <c r="C13" i="29"/>
  <c r="C14" i="29" s="1"/>
  <c r="C12" i="29"/>
  <c r="BJ14" i="29"/>
  <c r="BM13" i="29"/>
  <c r="BM14" i="29" s="1"/>
  <c r="BJ13" i="29"/>
  <c r="BI13" i="29"/>
  <c r="BI14" i="29" s="1"/>
  <c r="BH13" i="29"/>
  <c r="BH14" i="29" s="1"/>
  <c r="BE13" i="29"/>
  <c r="BE14" i="29" s="1"/>
  <c r="BD13" i="29"/>
  <c r="BD14" i="29" s="1"/>
  <c r="BC13" i="29"/>
  <c r="BC14" i="29" s="1"/>
  <c r="K15" i="29"/>
  <c r="J15" i="29"/>
  <c r="I15" i="29"/>
  <c r="H15" i="29"/>
  <c r="G15" i="29"/>
  <c r="F15" i="29"/>
  <c r="E15" i="29"/>
  <c r="H14" i="29"/>
  <c r="K13" i="29"/>
  <c r="K14" i="29" s="1"/>
  <c r="J13" i="29"/>
  <c r="J14" i="29" s="1"/>
  <c r="I13" i="29"/>
  <c r="I14" i="29" s="1"/>
  <c r="H13" i="29"/>
  <c r="G13" i="29"/>
  <c r="G14" i="29" s="1"/>
  <c r="F13" i="29"/>
  <c r="F14" i="29" s="1"/>
  <c r="E13" i="29"/>
  <c r="E14" i="29" s="1"/>
  <c r="CE15" i="29"/>
  <c r="CD15" i="29"/>
  <c r="CC15" i="29"/>
  <c r="CB15" i="29"/>
  <c r="BZ15" i="29"/>
  <c r="BY15" i="29"/>
  <c r="BX15" i="29"/>
  <c r="BW15" i="29"/>
  <c r="BV15" i="29"/>
  <c r="BU15" i="29"/>
  <c r="BT15" i="29"/>
  <c r="BS15" i="29"/>
  <c r="BR15" i="29"/>
  <c r="CD14" i="29"/>
  <c r="BZ14" i="29"/>
  <c r="BY14" i="29"/>
  <c r="BU14" i="29"/>
  <c r="BT14" i="29"/>
  <c r="CE13" i="29"/>
  <c r="CE14" i="29" s="1"/>
  <c r="CD13" i="29"/>
  <c r="CC13" i="29"/>
  <c r="CC14" i="29" s="1"/>
  <c r="CB13" i="29"/>
  <c r="CB14" i="29" s="1"/>
  <c r="BZ13" i="29"/>
  <c r="BY13" i="29"/>
  <c r="BX13" i="29"/>
  <c r="BX14" i="29" s="1"/>
  <c r="BW13" i="29"/>
  <c r="BW14" i="29" s="1"/>
  <c r="BU13" i="29"/>
  <c r="BT13" i="29"/>
  <c r="BS13" i="29"/>
  <c r="BS14" i="29" s="1"/>
  <c r="CF12" i="29"/>
  <c r="CE12" i="29"/>
  <c r="CD12" i="29"/>
  <c r="CC12" i="29"/>
  <c r="CB12" i="29"/>
  <c r="BZ12" i="29"/>
  <c r="BY12" i="29"/>
  <c r="BX12" i="29"/>
  <c r="BW12" i="29"/>
  <c r="BU12" i="29"/>
  <c r="BT12" i="29"/>
  <c r="BS12" i="29"/>
  <c r="BR12" i="29"/>
  <c r="BM12" i="29"/>
  <c r="BL12" i="29"/>
  <c r="BJ12" i="29"/>
  <c r="BI12" i="29"/>
  <c r="BH12" i="29"/>
  <c r="BG12" i="29"/>
  <c r="AX15" i="29"/>
  <c r="AW15" i="29"/>
  <c r="AV15" i="29"/>
  <c r="AV14" i="29"/>
  <c r="AX13" i="29"/>
  <c r="AX14" i="29" s="1"/>
  <c r="AW13" i="29"/>
  <c r="AW14" i="29" s="1"/>
  <c r="AV13" i="29"/>
  <c r="AX12" i="29"/>
  <c r="AW12" i="29"/>
  <c r="AV12" i="29"/>
  <c r="AT15" i="29"/>
  <c r="AS15" i="29"/>
  <c r="AR15" i="29"/>
  <c r="AQ15" i="29"/>
  <c r="AT13" i="29"/>
  <c r="AT14" i="29" s="1"/>
  <c r="AS13" i="29"/>
  <c r="AS14" i="29" s="1"/>
  <c r="AR13" i="29"/>
  <c r="AR14" i="29" s="1"/>
  <c r="AQ13" i="29"/>
  <c r="AQ14" i="29" s="1"/>
  <c r="AT12" i="29"/>
  <c r="AS12" i="29"/>
  <c r="AR12" i="29"/>
  <c r="AQ12" i="29"/>
  <c r="AO15" i="29"/>
  <c r="AN15" i="29"/>
  <c r="AM15" i="29"/>
  <c r="AL15" i="29"/>
  <c r="AO13" i="29"/>
  <c r="AO14" i="29" s="1"/>
  <c r="AN13" i="29"/>
  <c r="AN14" i="29" s="1"/>
  <c r="AM13" i="29"/>
  <c r="AM14" i="29" s="1"/>
  <c r="AL13" i="29"/>
  <c r="AL14" i="29" s="1"/>
  <c r="AO12" i="29"/>
  <c r="AN12" i="29"/>
  <c r="AM12" i="29"/>
  <c r="AL12" i="29"/>
  <c r="AJ15" i="29"/>
  <c r="AI15" i="29"/>
  <c r="AH15" i="29"/>
  <c r="AG15" i="29"/>
  <c r="AJ13" i="29"/>
  <c r="AJ14" i="29" s="1"/>
  <c r="AI13" i="29"/>
  <c r="AI14" i="29" s="1"/>
  <c r="AH13" i="29"/>
  <c r="AH14" i="29" s="1"/>
  <c r="AG13" i="29"/>
  <c r="AG14" i="29" s="1"/>
  <c r="AJ12" i="29"/>
  <c r="AI12" i="29"/>
  <c r="AH12" i="29"/>
  <c r="AG12" i="29"/>
  <c r="AE15" i="29"/>
  <c r="AD15" i="29"/>
  <c r="AC15" i="29"/>
  <c r="AB15" i="29"/>
  <c r="AE13" i="29"/>
  <c r="AE14" i="29" s="1"/>
  <c r="AD13" i="29"/>
  <c r="AD14" i="29" s="1"/>
  <c r="AC13" i="29"/>
  <c r="AC14" i="29" s="1"/>
  <c r="AB13" i="29"/>
  <c r="AB14" i="29" s="1"/>
  <c r="AD12" i="29"/>
  <c r="AC12" i="29"/>
  <c r="AB12" i="29"/>
  <c r="Y15" i="29"/>
  <c r="X15" i="29"/>
  <c r="W15" i="29"/>
  <c r="Y14" i="29"/>
  <c r="Y13" i="29"/>
  <c r="X13" i="29"/>
  <c r="X14" i="29" s="1"/>
  <c r="W13" i="29"/>
  <c r="W14" i="29" s="1"/>
  <c r="Y12" i="29"/>
  <c r="X12" i="29"/>
  <c r="W12" i="29"/>
  <c r="T15" i="29"/>
  <c r="S15" i="29"/>
  <c r="R15" i="29"/>
  <c r="T14" i="29"/>
  <c r="T13" i="29"/>
  <c r="S13" i="29"/>
  <c r="S14" i="29" s="1"/>
  <c r="R13" i="29"/>
  <c r="R14" i="29" s="1"/>
  <c r="T12" i="29"/>
  <c r="S12" i="29"/>
  <c r="R12" i="29"/>
  <c r="P15" i="29"/>
  <c r="O15" i="29"/>
  <c r="N15" i="29"/>
  <c r="M15" i="29"/>
  <c r="P13" i="29"/>
  <c r="P14" i="29" s="1"/>
  <c r="O13" i="29"/>
  <c r="O14" i="29" s="1"/>
  <c r="N13" i="29"/>
  <c r="N14" i="29" s="1"/>
  <c r="M13" i="29"/>
  <c r="M14" i="29" s="1"/>
  <c r="P12" i="29"/>
  <c r="O12" i="29"/>
  <c r="N12" i="29"/>
  <c r="M12" i="29"/>
  <c r="G12" i="29"/>
  <c r="F12" i="29"/>
  <c r="E12" i="29"/>
  <c r="CF11" i="29"/>
  <c r="CF10" i="29"/>
  <c r="CF9" i="29"/>
  <c r="CF8" i="29"/>
  <c r="CF7" i="29"/>
  <c r="CF4" i="29"/>
  <c r="CA11" i="29"/>
  <c r="CA71" i="29" s="1"/>
  <c r="CA10" i="29"/>
  <c r="CA9" i="29"/>
  <c r="CA8" i="29"/>
  <c r="CA7" i="29"/>
  <c r="CA4" i="29"/>
  <c r="BV11" i="29"/>
  <c r="BV10" i="29"/>
  <c r="BV9" i="29"/>
  <c r="BV8" i="29"/>
  <c r="BV7" i="29"/>
  <c r="BV6" i="29"/>
  <c r="BV5" i="29"/>
  <c r="BK11" i="29"/>
  <c r="BK13" i="29" s="1"/>
  <c r="BK14" i="29" s="1"/>
  <c r="BK10" i="29"/>
  <c r="BK9" i="29"/>
  <c r="BK8" i="29"/>
  <c r="BK7" i="29"/>
  <c r="BK6" i="29"/>
  <c r="BK5" i="29"/>
  <c r="BF11" i="29"/>
  <c r="BG13" i="29" s="1"/>
  <c r="BG14" i="29" s="1"/>
  <c r="BA11" i="29"/>
  <c r="BA71" i="29" s="1"/>
  <c r="Z11" i="29"/>
  <c r="U11" i="29"/>
  <c r="U15" i="29" s="1"/>
  <c r="CU9" i="29"/>
  <c r="CU7" i="29"/>
  <c r="CU4" i="29"/>
  <c r="BF7" i="29"/>
  <c r="BF6" i="29"/>
  <c r="BF5" i="29"/>
  <c r="AU7" i="29"/>
  <c r="AU5" i="29"/>
  <c r="AU4" i="29"/>
  <c r="AU85" i="29" s="1"/>
  <c r="CP6" i="29"/>
  <c r="CP5" i="29"/>
  <c r="BU6" i="29"/>
  <c r="BT6" i="29"/>
  <c r="BS6" i="29"/>
  <c r="BR6" i="29"/>
  <c r="BQ6" i="29"/>
  <c r="BE6" i="29"/>
  <c r="BD6" i="29"/>
  <c r="BC6" i="29"/>
  <c r="BB6" i="29"/>
  <c r="BA6" i="29"/>
  <c r="AX6" i="29"/>
  <c r="AW6" i="29"/>
  <c r="AV6" i="29"/>
  <c r="AR6" i="29"/>
  <c r="AQ6" i="29"/>
  <c r="AO6" i="29"/>
  <c r="AN6" i="29"/>
  <c r="AM6" i="29"/>
  <c r="AL6" i="29"/>
  <c r="AI6" i="29"/>
  <c r="AH6" i="29"/>
  <c r="AG6" i="29"/>
  <c r="AD6" i="29"/>
  <c r="AC6" i="29"/>
  <c r="AB6" i="29"/>
  <c r="Y6" i="29"/>
  <c r="X6" i="29"/>
  <c r="W6" i="29"/>
  <c r="T6" i="29"/>
  <c r="S6" i="29"/>
  <c r="R6" i="29"/>
  <c r="O6" i="29"/>
  <c r="N6" i="29"/>
  <c r="M6" i="29"/>
  <c r="I6" i="29"/>
  <c r="H6" i="29"/>
  <c r="G6" i="29"/>
  <c r="E6" i="29"/>
  <c r="C6" i="29"/>
  <c r="B6" i="29"/>
  <c r="CE6" i="29"/>
  <c r="CD6" i="29"/>
  <c r="CC6" i="29"/>
  <c r="CE5" i="29"/>
  <c r="CD5" i="29"/>
  <c r="CC5" i="29"/>
  <c r="CB5" i="29"/>
  <c r="BZ6" i="29"/>
  <c r="BY6" i="29"/>
  <c r="BX6" i="29"/>
  <c r="BZ5" i="29"/>
  <c r="BY5" i="29"/>
  <c r="BX5" i="29"/>
  <c r="BW5" i="29"/>
  <c r="BU5" i="29"/>
  <c r="BT5" i="29"/>
  <c r="BS5" i="29"/>
  <c r="BR5" i="29"/>
  <c r="BL6" i="29"/>
  <c r="BM5" i="29"/>
  <c r="BL5" i="29"/>
  <c r="BJ6" i="29"/>
  <c r="BI6" i="29"/>
  <c r="BH6" i="29"/>
  <c r="BG6" i="29"/>
  <c r="BJ5" i="29"/>
  <c r="BI5" i="29"/>
  <c r="BH5" i="29"/>
  <c r="BG5" i="29"/>
  <c r="AY5" i="29"/>
  <c r="AX5" i="29"/>
  <c r="AW5" i="29"/>
  <c r="AV5" i="29"/>
  <c r="AT5" i="29"/>
  <c r="AS5" i="29"/>
  <c r="AR5" i="29"/>
  <c r="AQ5" i="29"/>
  <c r="AO5" i="29"/>
  <c r="AN5" i="29"/>
  <c r="AM5" i="29"/>
  <c r="AL5" i="29"/>
  <c r="AJ5" i="29"/>
  <c r="AI5" i="29"/>
  <c r="AH5" i="29"/>
  <c r="AG5" i="29"/>
  <c r="AE5" i="29"/>
  <c r="AD5" i="29"/>
  <c r="AC5" i="29"/>
  <c r="AB5" i="29"/>
  <c r="Z5" i="29"/>
  <c r="Y5" i="29"/>
  <c r="X5" i="29"/>
  <c r="W5" i="29"/>
  <c r="V5" i="29"/>
  <c r="U5" i="29"/>
  <c r="T5" i="29"/>
  <c r="S5" i="29"/>
  <c r="R5" i="29"/>
  <c r="Q5" i="29"/>
  <c r="P5" i="29"/>
  <c r="O5" i="29"/>
  <c r="N5" i="29"/>
  <c r="M5" i="29"/>
  <c r="G5" i="29"/>
  <c r="F5" i="29"/>
  <c r="E5" i="29"/>
  <c r="D5" i="29"/>
  <c r="C5" i="29"/>
  <c r="DT4" i="29"/>
  <c r="CZ4" i="29"/>
  <c r="AZ4" i="29"/>
  <c r="AZ5" i="29" s="1"/>
  <c r="AP4" i="29"/>
  <c r="AK4" i="29"/>
  <c r="AF4" i="29"/>
  <c r="AA4" i="29"/>
  <c r="V4" i="29"/>
  <c r="L4" i="29"/>
  <c r="T61" i="150"/>
  <c r="S61" i="150"/>
  <c r="R61" i="150"/>
  <c r="Q61" i="150"/>
  <c r="P61" i="150"/>
  <c r="O61" i="150"/>
  <c r="N61" i="150"/>
  <c r="O50" i="150"/>
  <c r="N50" i="150"/>
  <c r="T48" i="150"/>
  <c r="S48" i="150"/>
  <c r="R48" i="150"/>
  <c r="Q48" i="150"/>
  <c r="P48" i="150"/>
  <c r="O48" i="150"/>
  <c r="N48" i="150"/>
  <c r="O47" i="150"/>
  <c r="N47" i="150"/>
  <c r="O46" i="150"/>
  <c r="N46" i="150"/>
  <c r="T44" i="150"/>
  <c r="T43" i="150" s="1"/>
  <c r="S44" i="150"/>
  <c r="S43" i="150" s="1"/>
  <c r="R44" i="150"/>
  <c r="R43" i="150" s="1"/>
  <c r="Q44" i="150"/>
  <c r="P44" i="150"/>
  <c r="P43" i="150" s="1"/>
  <c r="O44" i="150"/>
  <c r="O43" i="150" s="1"/>
  <c r="N44" i="150"/>
  <c r="N43" i="150" s="1"/>
  <c r="T42" i="150"/>
  <c r="S42" i="150"/>
  <c r="R42" i="150"/>
  <c r="Q42" i="150"/>
  <c r="P42" i="150"/>
  <c r="O42" i="150"/>
  <c r="N42" i="150"/>
  <c r="P40" i="150"/>
  <c r="P52" i="150" s="1"/>
  <c r="O40" i="150"/>
  <c r="O52" i="150" s="1"/>
  <c r="N40" i="150"/>
  <c r="N52" i="150" s="1"/>
  <c r="P36" i="150"/>
  <c r="O36" i="150"/>
  <c r="N36" i="150"/>
  <c r="P33" i="150"/>
  <c r="O33" i="150"/>
  <c r="N33" i="150"/>
  <c r="T32" i="150"/>
  <c r="S32" i="150"/>
  <c r="R32" i="150"/>
  <c r="P32" i="150"/>
  <c r="O32" i="150"/>
  <c r="N32" i="150"/>
  <c r="P31" i="150"/>
  <c r="O31" i="150"/>
  <c r="N31" i="150"/>
  <c r="T30" i="150"/>
  <c r="S30" i="150"/>
  <c r="R30" i="150"/>
  <c r="Q30" i="150"/>
  <c r="P30" i="150"/>
  <c r="G29" i="150"/>
  <c r="H29" i="150" s="1"/>
  <c r="P24" i="150"/>
  <c r="R23" i="150"/>
  <c r="Q23" i="150"/>
  <c r="P23" i="150"/>
  <c r="O23" i="150"/>
  <c r="Q20" i="150"/>
  <c r="G46" i="150" s="1"/>
  <c r="P20" i="150"/>
  <c r="F46" i="150" s="1"/>
  <c r="O20" i="150"/>
  <c r="N20" i="150"/>
  <c r="P19" i="150"/>
  <c r="F45" i="150" s="1"/>
  <c r="O19" i="150"/>
  <c r="N19" i="150"/>
  <c r="Q18" i="150"/>
  <c r="P18" i="150"/>
  <c r="F44" i="150" s="1"/>
  <c r="O18" i="150"/>
  <c r="E44" i="150" s="1"/>
  <c r="N18" i="150"/>
  <c r="P17" i="150"/>
  <c r="P21" i="150" s="1"/>
  <c r="O17" i="150"/>
  <c r="N17" i="150"/>
  <c r="N21" i="150" s="1"/>
  <c r="H10" i="150"/>
  <c r="F10" i="150"/>
  <c r="Q12" i="150"/>
  <c r="G40" i="150" s="1"/>
  <c r="P12" i="150"/>
  <c r="O12" i="150"/>
  <c r="E40" i="150" s="1"/>
  <c r="N12" i="150"/>
  <c r="R11" i="150"/>
  <c r="H39" i="150" s="1"/>
  <c r="Q11" i="150"/>
  <c r="G39" i="150" s="1"/>
  <c r="P11" i="150"/>
  <c r="O11" i="150"/>
  <c r="E39" i="150" s="1"/>
  <c r="N11" i="150"/>
  <c r="R10" i="150"/>
  <c r="Q10" i="150"/>
  <c r="G38" i="150" s="1"/>
  <c r="P10" i="150"/>
  <c r="F38" i="150" s="1"/>
  <c r="O10" i="150"/>
  <c r="E38" i="150" s="1"/>
  <c r="N10" i="150"/>
  <c r="Q9" i="150"/>
  <c r="P9" i="150"/>
  <c r="N9" i="150"/>
  <c r="N13" i="150" s="1"/>
  <c r="B2" i="150"/>
  <c r="CK309" i="149"/>
  <c r="CK308" i="149"/>
  <c r="CP301" i="149"/>
  <c r="CP300" i="149"/>
  <c r="CP299" i="149"/>
  <c r="CP298" i="149"/>
  <c r="CP297" i="149"/>
  <c r="CP294" i="149"/>
  <c r="CP293" i="149"/>
  <c r="CP292" i="149"/>
  <c r="CP291" i="149"/>
  <c r="CP288" i="149"/>
  <c r="CP289" i="149" s="1"/>
  <c r="CP287" i="149"/>
  <c r="CP285" i="149"/>
  <c r="CP286" i="149" s="1"/>
  <c r="CP283" i="149"/>
  <c r="CP290" i="149" s="1"/>
  <c r="CP280" i="149"/>
  <c r="CP279" i="149"/>
  <c r="CP278" i="149"/>
  <c r="CP277" i="149"/>
  <c r="CP276" i="149"/>
  <c r="CP273" i="149"/>
  <c r="CP272" i="149"/>
  <c r="CP270" i="149"/>
  <c r="CP268" i="149"/>
  <c r="CP263" i="149"/>
  <c r="CP262" i="149"/>
  <c r="CP261" i="149"/>
  <c r="CP260" i="149"/>
  <c r="CP258" i="149"/>
  <c r="CP257" i="149"/>
  <c r="CP256" i="149"/>
  <c r="CP255" i="149"/>
  <c r="CP254" i="149"/>
  <c r="CP253" i="149"/>
  <c r="CP241" i="149"/>
  <c r="CP240" i="149"/>
  <c r="CP239" i="149"/>
  <c r="CP238" i="149"/>
  <c r="CP237" i="149"/>
  <c r="CP231" i="149"/>
  <c r="CP228" i="149"/>
  <c r="CP224" i="149"/>
  <c r="CP222" i="149"/>
  <c r="CK221" i="149"/>
  <c r="CP220" i="149"/>
  <c r="CE198" i="149"/>
  <c r="CF14" i="149"/>
  <c r="C6" i="149"/>
  <c r="AU23" i="29" l="1"/>
  <c r="AV21" i="29"/>
  <c r="AV22" i="29" s="1"/>
  <c r="AU20" i="29"/>
  <c r="U18" i="29"/>
  <c r="U6" i="29"/>
  <c r="U50" i="29"/>
  <c r="AO56" i="29"/>
  <c r="AJ58" i="29"/>
  <c r="AJ26" i="29"/>
  <c r="AJ6" i="29"/>
  <c r="AJ34" i="29"/>
  <c r="AJ18" i="29"/>
  <c r="U21" i="29"/>
  <c r="U22" i="29" s="1"/>
  <c r="Z20" i="29"/>
  <c r="AP23" i="29"/>
  <c r="AQ21" i="29"/>
  <c r="AQ22" i="29" s="1"/>
  <c r="AP21" i="29"/>
  <c r="AP22" i="29" s="1"/>
  <c r="F50" i="29"/>
  <c r="F42" i="29"/>
  <c r="F6" i="29"/>
  <c r="F18" i="29"/>
  <c r="U56" i="29"/>
  <c r="P42" i="29"/>
  <c r="P6" i="29"/>
  <c r="P18" i="29"/>
  <c r="AE6" i="29"/>
  <c r="AE18" i="29"/>
  <c r="P60" i="29"/>
  <c r="AE42" i="29"/>
  <c r="AJ42" i="29"/>
  <c r="BS79" i="29"/>
  <c r="BS26" i="29"/>
  <c r="BS34" i="29"/>
  <c r="BW79" i="29"/>
  <c r="BW26" i="29"/>
  <c r="BW6" i="29"/>
  <c r="CB34" i="29"/>
  <c r="CB26" i="29"/>
  <c r="CB6" i="29"/>
  <c r="CP79" i="29"/>
  <c r="CP26" i="29"/>
  <c r="CP56" i="29"/>
  <c r="CP42" i="29"/>
  <c r="P58" i="29"/>
  <c r="C79" i="29"/>
  <c r="C75" i="29"/>
  <c r="C76" i="29" s="1"/>
  <c r="G79" i="29"/>
  <c r="G75" i="29"/>
  <c r="G76" i="29" s="1"/>
  <c r="J42" i="29"/>
  <c r="J6" i="29"/>
  <c r="J50" i="29"/>
  <c r="J18" i="29"/>
  <c r="Z42" i="29"/>
  <c r="Z56" i="29"/>
  <c r="Z18" i="29"/>
  <c r="Z6" i="29"/>
  <c r="AS58" i="29"/>
  <c r="AS42" i="29"/>
  <c r="AS34" i="29"/>
  <c r="AS26" i="29"/>
  <c r="AS56" i="29"/>
  <c r="AS6" i="29"/>
  <c r="AS18" i="29"/>
  <c r="U42" i="29"/>
  <c r="AX58" i="29"/>
  <c r="AX42" i="29"/>
  <c r="AX18" i="29"/>
  <c r="AX34" i="29"/>
  <c r="BD60" i="29"/>
  <c r="BD34" i="29"/>
  <c r="BD26" i="29"/>
  <c r="BH58" i="29"/>
  <c r="BH34" i="29"/>
  <c r="BH26" i="29"/>
  <c r="BM58" i="29"/>
  <c r="BM34" i="29"/>
  <c r="BM6" i="29"/>
  <c r="BM42" i="29"/>
  <c r="BM18" i="29"/>
  <c r="AH72" i="29"/>
  <c r="BM79" i="29"/>
  <c r="R94" i="29"/>
  <c r="AF23" i="29"/>
  <c r="AU71" i="29"/>
  <c r="AV77" i="29" s="1"/>
  <c r="AV78" i="29" s="1"/>
  <c r="BK56" i="29"/>
  <c r="H58" i="29"/>
  <c r="T58" i="29"/>
  <c r="BK58" i="29"/>
  <c r="U60" i="29"/>
  <c r="AO60" i="29"/>
  <c r="BA60" i="29"/>
  <c r="BF61" i="29"/>
  <c r="BF62" i="29" s="1"/>
  <c r="BA65" i="29"/>
  <c r="BV64" i="29"/>
  <c r="BA69" i="29"/>
  <c r="H77" i="29"/>
  <c r="H78" i="29" s="1"/>
  <c r="P77" i="29"/>
  <c r="P78" i="29" s="1"/>
  <c r="T77" i="29"/>
  <c r="T78" i="29" s="1"/>
  <c r="Y77" i="29"/>
  <c r="Y78" i="29" s="1"/>
  <c r="AD72" i="29"/>
  <c r="AI79" i="29"/>
  <c r="AN77" i="29"/>
  <c r="AN78" i="29" s="1"/>
  <c r="AS77" i="29"/>
  <c r="AS78" i="29" s="1"/>
  <c r="AX72" i="29"/>
  <c r="BD77" i="29"/>
  <c r="BD78" i="29" s="1"/>
  <c r="BI79" i="29"/>
  <c r="BR79" i="29"/>
  <c r="T72" i="29"/>
  <c r="AN72" i="29"/>
  <c r="AN94" i="29"/>
  <c r="AS94" i="29"/>
  <c r="BF94" i="29"/>
  <c r="BJ94" i="29"/>
  <c r="N94" i="29"/>
  <c r="S94" i="29"/>
  <c r="X94" i="29"/>
  <c r="AC94" i="29"/>
  <c r="Q93" i="29"/>
  <c r="U98" i="29"/>
  <c r="Z98" i="29"/>
  <c r="AE98" i="29"/>
  <c r="AI98" i="29"/>
  <c r="AQ98" i="29"/>
  <c r="AV98" i="29"/>
  <c r="BM98" i="29"/>
  <c r="W94" i="29"/>
  <c r="Q21" i="29"/>
  <c r="Q22" i="29" s="1"/>
  <c r="Z21" i="29"/>
  <c r="Z22" i="29" s="1"/>
  <c r="AF20" i="29"/>
  <c r="AK20" i="29"/>
  <c r="X58" i="29"/>
  <c r="AV58" i="29"/>
  <c r="AJ60" i="29"/>
  <c r="CE60" i="29"/>
  <c r="BF65" i="29"/>
  <c r="BK69" i="29"/>
  <c r="E77" i="29"/>
  <c r="E78" i="29" s="1"/>
  <c r="I77" i="29"/>
  <c r="I78" i="29" s="1"/>
  <c r="M77" i="29"/>
  <c r="M78" i="29" s="1"/>
  <c r="AE79" i="29"/>
  <c r="AJ77" i="29"/>
  <c r="AJ78" i="29" s="1"/>
  <c r="AO77" i="29"/>
  <c r="AO78" i="29" s="1"/>
  <c r="AT72" i="29"/>
  <c r="BE79" i="29"/>
  <c r="BJ79" i="29"/>
  <c r="BX77" i="29"/>
  <c r="BX78" i="29" s="1"/>
  <c r="CC72" i="29"/>
  <c r="BX72" i="29"/>
  <c r="X72" i="29"/>
  <c r="AR72" i="29"/>
  <c r="L75" i="29"/>
  <c r="L76" i="29" s="1"/>
  <c r="BX79" i="29"/>
  <c r="AT94" i="29"/>
  <c r="BK94" i="29"/>
  <c r="O94" i="29"/>
  <c r="T94" i="29"/>
  <c r="Y94" i="29"/>
  <c r="AD94" i="29"/>
  <c r="R98" i="29"/>
  <c r="W98" i="29"/>
  <c r="AB98" i="29"/>
  <c r="AJ98" i="29"/>
  <c r="AM98" i="29"/>
  <c r="AR98" i="29"/>
  <c r="AQ100" i="29"/>
  <c r="AV100" i="29"/>
  <c r="BH77" i="29"/>
  <c r="BH78" i="29" s="1"/>
  <c r="AR94" i="29"/>
  <c r="AF99" i="29"/>
  <c r="T98" i="29"/>
  <c r="AD98" i="29"/>
  <c r="AF21" i="29"/>
  <c r="AF22" i="29" s="1"/>
  <c r="AP17" i="29"/>
  <c r="AR56" i="29"/>
  <c r="Z58" i="29"/>
  <c r="BF58" i="29"/>
  <c r="CE79" i="29"/>
  <c r="BA61" i="29"/>
  <c r="BA62" i="29" s="1"/>
  <c r="BK60" i="29"/>
  <c r="J79" i="29"/>
  <c r="N72" i="29"/>
  <c r="R72" i="29"/>
  <c r="W79" i="29"/>
  <c r="AB77" i="29"/>
  <c r="AB78" i="29" s="1"/>
  <c r="AL72" i="29"/>
  <c r="AQ79" i="29"/>
  <c r="BB79" i="29"/>
  <c r="BG79" i="29"/>
  <c r="BT77" i="29"/>
  <c r="BT78" i="29" s="1"/>
  <c r="BY72" i="29"/>
  <c r="CD79" i="29"/>
  <c r="CB72" i="29"/>
  <c r="AB72" i="29"/>
  <c r="AL94" i="29"/>
  <c r="AQ94" i="29"/>
  <c r="AW94" i="29"/>
  <c r="BL94" i="29"/>
  <c r="P94" i="29"/>
  <c r="U94" i="29"/>
  <c r="Z94" i="29"/>
  <c r="AE94" i="29"/>
  <c r="S98" i="29"/>
  <c r="X98" i="29"/>
  <c r="AC98" i="29"/>
  <c r="AN98" i="29"/>
  <c r="AM100" i="29"/>
  <c r="AR100" i="29"/>
  <c r="F98" i="29"/>
  <c r="AA6" i="29"/>
  <c r="AA85" i="29"/>
  <c r="AA86" i="29" s="1"/>
  <c r="AA55" i="29"/>
  <c r="AA18" i="29" s="1"/>
  <c r="CA55" i="29"/>
  <c r="CA6" i="29"/>
  <c r="CA85" i="29"/>
  <c r="CA86" i="29" s="1"/>
  <c r="CA81" i="29"/>
  <c r="CA82" i="29" s="1"/>
  <c r="CA13" i="29"/>
  <c r="CA14" i="29" s="1"/>
  <c r="O9" i="150"/>
  <c r="E37" i="150" s="1"/>
  <c r="E45" i="150"/>
  <c r="V15" i="29"/>
  <c r="V81" i="29"/>
  <c r="V82" i="29" s="1"/>
  <c r="V85" i="29"/>
  <c r="V55" i="29"/>
  <c r="V18" i="29" s="1"/>
  <c r="AP13" i="29"/>
  <c r="AP14" i="29" s="1"/>
  <c r="AP55" i="29"/>
  <c r="AP5" i="29"/>
  <c r="AP6" i="29"/>
  <c r="AE12" i="29"/>
  <c r="Z15" i="29"/>
  <c r="Z13" i="29"/>
  <c r="Z14" i="29" s="1"/>
  <c r="Z12" i="29"/>
  <c r="BV13" i="29"/>
  <c r="BV14" i="29" s="1"/>
  <c r="BV71" i="29"/>
  <c r="CF6" i="29"/>
  <c r="CF85" i="29"/>
  <c r="CF86" i="29" s="1"/>
  <c r="CF81" i="29"/>
  <c r="CF82" i="29" s="1"/>
  <c r="CF55" i="29"/>
  <c r="BK12" i="29"/>
  <c r="CA12" i="29"/>
  <c r="B93" i="29"/>
  <c r="C94" i="29" s="1"/>
  <c r="C17" i="29"/>
  <c r="B97" i="29"/>
  <c r="C98" i="29" s="1"/>
  <c r="B55" i="29"/>
  <c r="B18" i="29" s="1"/>
  <c r="D21" i="29"/>
  <c r="D22" i="29" s="1"/>
  <c r="D55" i="29"/>
  <c r="D160" i="29" s="1"/>
  <c r="D93" i="29"/>
  <c r="D94" i="29" s="1"/>
  <c r="D97" i="29"/>
  <c r="D98" i="29" s="1"/>
  <c r="L21" i="29"/>
  <c r="L22" i="29" s="1"/>
  <c r="L97" i="29"/>
  <c r="L98" i="29" s="1"/>
  <c r="AA15" i="29"/>
  <c r="D17" i="29"/>
  <c r="L17" i="29"/>
  <c r="D18" i="29"/>
  <c r="U23" i="29"/>
  <c r="U20" i="29"/>
  <c r="D23" i="29"/>
  <c r="L23" i="29"/>
  <c r="DE24" i="29"/>
  <c r="CZ107" i="29"/>
  <c r="Z71" i="29"/>
  <c r="AA58" i="29"/>
  <c r="AP58" i="29"/>
  <c r="CF58" i="29"/>
  <c r="BR88" i="29"/>
  <c r="L93" i="29"/>
  <c r="L94" i="29" s="1"/>
  <c r="BH100" i="29"/>
  <c r="BK124" i="29"/>
  <c r="Q286" i="29"/>
  <c r="Q173" i="29"/>
  <c r="Q179" i="29" s="1"/>
  <c r="Q69" i="29"/>
  <c r="Q65" i="29"/>
  <c r="Q67" i="29"/>
  <c r="Q50" i="29"/>
  <c r="V97" i="29"/>
  <c r="V93" i="29"/>
  <c r="V94" i="29" s="1"/>
  <c r="V23" i="29"/>
  <c r="AA93" i="29"/>
  <c r="AA94" i="29" s="1"/>
  <c r="AA97" i="29"/>
  <c r="AA98" i="29" s="1"/>
  <c r="V17" i="29"/>
  <c r="AA17" i="29"/>
  <c r="Q18" i="29"/>
  <c r="AF15" i="29"/>
  <c r="CU133" i="29"/>
  <c r="CU134" i="29" s="1"/>
  <c r="CU41" i="29"/>
  <c r="CZ40" i="29"/>
  <c r="U47" i="29"/>
  <c r="U45" i="29"/>
  <c r="U46" i="29" s="1"/>
  <c r="U44" i="29"/>
  <c r="AK98" i="29"/>
  <c r="AP15" i="29"/>
  <c r="AU74" i="29"/>
  <c r="Q58" i="29"/>
  <c r="CB77" i="29"/>
  <c r="CB78" i="29" s="1"/>
  <c r="AO90" i="29"/>
  <c r="AO87" i="29"/>
  <c r="AO88" i="29" s="1"/>
  <c r="E94" i="29"/>
  <c r="AK99" i="29"/>
  <c r="AK100" i="29" s="1"/>
  <c r="AP102" i="29"/>
  <c r="AK102" i="29"/>
  <c r="BY114" i="29"/>
  <c r="BY111" i="29"/>
  <c r="CD114" i="29"/>
  <c r="BA79" i="29"/>
  <c r="BB77" i="29"/>
  <c r="BB78" i="29" s="1"/>
  <c r="BK71" i="29"/>
  <c r="BL77" i="29" s="1"/>
  <c r="BL78" i="29" s="1"/>
  <c r="BK15" i="29"/>
  <c r="BL13" i="29"/>
  <c r="BL14" i="29" s="1"/>
  <c r="CF5" i="29"/>
  <c r="Q13" i="150"/>
  <c r="F40" i="150"/>
  <c r="AF85" i="29"/>
  <c r="AF86" i="29" s="1"/>
  <c r="AF55" i="29"/>
  <c r="AF58" i="29" s="1"/>
  <c r="BR13" i="29"/>
  <c r="BR14" i="29" s="1"/>
  <c r="BF71" i="29"/>
  <c r="CA5" i="29"/>
  <c r="CF15" i="29"/>
  <c r="CF71" i="29"/>
  <c r="CF13" i="29"/>
  <c r="CF14" i="29" s="1"/>
  <c r="BA15" i="29"/>
  <c r="AY97" i="29"/>
  <c r="AY98" i="29" s="1"/>
  <c r="AY93" i="29"/>
  <c r="AY94" i="29" s="1"/>
  <c r="AZ16" i="29"/>
  <c r="AY23" i="29"/>
  <c r="AY17" i="29"/>
  <c r="V21" i="29"/>
  <c r="V22" i="29" s="1"/>
  <c r="B23" i="29"/>
  <c r="AF17" i="29"/>
  <c r="AY21" i="29"/>
  <c r="AY22" i="29" s="1"/>
  <c r="CZ119" i="29"/>
  <c r="CZ121" i="29" s="1"/>
  <c r="DE32" i="29"/>
  <c r="V133" i="29"/>
  <c r="V134" i="29" s="1"/>
  <c r="V45" i="29"/>
  <c r="V46" i="29" s="1"/>
  <c r="V47" i="29"/>
  <c r="V41" i="29"/>
  <c r="AA41" i="29"/>
  <c r="AZ13" i="29"/>
  <c r="AZ14" i="29" s="1"/>
  <c r="CF42" i="29"/>
  <c r="V58" i="29"/>
  <c r="V60" i="29"/>
  <c r="CF60" i="29"/>
  <c r="Q77" i="29"/>
  <c r="Q78" i="29" s="1"/>
  <c r="AA79" i="29"/>
  <c r="AA81" i="29"/>
  <c r="AA82" i="29" s="1"/>
  <c r="AT90" i="29"/>
  <c r="AP111" i="29"/>
  <c r="AP112" i="29" s="1"/>
  <c r="AP114" i="29"/>
  <c r="BK112" i="29"/>
  <c r="BV112" i="29"/>
  <c r="AZ85" i="29"/>
  <c r="AZ86" i="29" s="1"/>
  <c r="H38" i="150"/>
  <c r="O21" i="150"/>
  <c r="CZ85" i="29"/>
  <c r="CZ55" i="29"/>
  <c r="CZ83" i="29"/>
  <c r="AA5" i="29"/>
  <c r="AF6" i="29"/>
  <c r="R9" i="150"/>
  <c r="F39" i="150"/>
  <c r="G44" i="150"/>
  <c r="E46" i="150"/>
  <c r="L13" i="29"/>
  <c r="L14" i="29" s="1"/>
  <c r="L85" i="29"/>
  <c r="L86" i="29" s="1"/>
  <c r="L55" i="29"/>
  <c r="AK55" i="29"/>
  <c r="AK58" i="29" s="1"/>
  <c r="AK5" i="29"/>
  <c r="AK81" i="29"/>
  <c r="AK85" i="29"/>
  <c r="AK86" i="29" s="1"/>
  <c r="DE4" i="29"/>
  <c r="L5" i="29"/>
  <c r="AF5" i="29"/>
  <c r="L6" i="29"/>
  <c r="AK6" i="29"/>
  <c r="CU5" i="29"/>
  <c r="CU55" i="29"/>
  <c r="CU42" i="29" s="1"/>
  <c r="CA74" i="29"/>
  <c r="CA77" i="29"/>
  <c r="CA78" i="29" s="1"/>
  <c r="CA72" i="29"/>
  <c r="CA79" i="29"/>
  <c r="CA75" i="29"/>
  <c r="CA76" i="29" s="1"/>
  <c r="BF12" i="29"/>
  <c r="BV12" i="29"/>
  <c r="CA15" i="29"/>
  <c r="BF13" i="29"/>
  <c r="BF15" i="29"/>
  <c r="L15" i="29"/>
  <c r="V13" i="29"/>
  <c r="V14" i="29" s="1"/>
  <c r="AA13" i="29"/>
  <c r="AA14" i="29" s="1"/>
  <c r="AE20" i="29"/>
  <c r="AA21" i="29"/>
  <c r="AA22" i="29" s="1"/>
  <c r="AA23" i="29"/>
  <c r="AF13" i="29"/>
  <c r="AF14" i="29" s="1"/>
  <c r="AY109" i="29"/>
  <c r="AY110" i="29" s="1"/>
  <c r="AY105" i="29"/>
  <c r="AY106" i="29" s="1"/>
  <c r="AY31" i="29"/>
  <c r="AZ24" i="29"/>
  <c r="AY55" i="29"/>
  <c r="AY18" i="29" s="1"/>
  <c r="AY25" i="29"/>
  <c r="AF47" i="29"/>
  <c r="AF44" i="29"/>
  <c r="AK45" i="29"/>
  <c r="AK46" i="29" s="1"/>
  <c r="AG45" i="29"/>
  <c r="AG46" i="29" s="1"/>
  <c r="AF45" i="29"/>
  <c r="AF46" i="29" s="1"/>
  <c r="AZ21" i="29"/>
  <c r="AZ22" i="29" s="1"/>
  <c r="L58" i="29"/>
  <c r="AA60" i="29"/>
  <c r="B79" i="29"/>
  <c r="AT88" i="29"/>
  <c r="BV88" i="29"/>
  <c r="AZ87" i="29"/>
  <c r="BG100" i="29"/>
  <c r="BL100" i="29"/>
  <c r="AK112" i="29"/>
  <c r="AX124" i="29"/>
  <c r="AY121" i="29"/>
  <c r="AY122" i="29" s="1"/>
  <c r="AY117" i="29"/>
  <c r="AY37" i="29"/>
  <c r="AY38" i="29" s="1"/>
  <c r="Q42" i="29"/>
  <c r="AF42" i="29"/>
  <c r="AK13" i="29"/>
  <c r="AK14" i="29" s="1"/>
  <c r="AK17" i="29"/>
  <c r="AK21" i="29"/>
  <c r="AK22" i="29" s="1"/>
  <c r="AK25" i="29"/>
  <c r="AK29" i="29"/>
  <c r="AK30" i="29" s="1"/>
  <c r="AK33" i="29"/>
  <c r="AK37" i="29"/>
  <c r="AK38" i="29" s="1"/>
  <c r="AP12" i="29"/>
  <c r="AP20" i="29"/>
  <c r="AP28" i="29"/>
  <c r="AP36" i="29"/>
  <c r="AP129" i="29"/>
  <c r="AP133" i="29"/>
  <c r="AU15" i="29"/>
  <c r="CA26" i="29"/>
  <c r="CA34" i="29"/>
  <c r="CA42" i="29"/>
  <c r="CF26" i="29"/>
  <c r="CF34" i="29"/>
  <c r="AK44" i="29"/>
  <c r="AV45" i="29"/>
  <c r="AV46" i="29" s="1"/>
  <c r="AZ45" i="29"/>
  <c r="AZ46" i="29" s="1"/>
  <c r="CF44" i="29"/>
  <c r="CA47" i="29"/>
  <c r="AK47" i="29"/>
  <c r="Z52" i="29"/>
  <c r="U53" i="29"/>
  <c r="U54" i="29" s="1"/>
  <c r="F286" i="29"/>
  <c r="F173" i="29"/>
  <c r="F179" i="29" s="1"/>
  <c r="F151" i="29"/>
  <c r="J286" i="29"/>
  <c r="J173" i="29"/>
  <c r="J151" i="29"/>
  <c r="N286" i="29"/>
  <c r="N173" i="29"/>
  <c r="N151" i="29"/>
  <c r="R286" i="29"/>
  <c r="R173" i="29"/>
  <c r="R151" i="29"/>
  <c r="Z311" i="29"/>
  <c r="Z286" i="29"/>
  <c r="Z173" i="29"/>
  <c r="Z151" i="29"/>
  <c r="AD286" i="29"/>
  <c r="AD173" i="29"/>
  <c r="AD151" i="29"/>
  <c r="AH286" i="29"/>
  <c r="AH173" i="29"/>
  <c r="AH151" i="29"/>
  <c r="AH165" i="29"/>
  <c r="AH156" i="29"/>
  <c r="AL286" i="29"/>
  <c r="AL173" i="29"/>
  <c r="AL179" i="29" s="1"/>
  <c r="AL165" i="29"/>
  <c r="AL151" i="29"/>
  <c r="AL156" i="29"/>
  <c r="AQ311" i="29"/>
  <c r="AQ286" i="29"/>
  <c r="AQ173" i="29"/>
  <c r="AQ156" i="29"/>
  <c r="AQ151" i="29"/>
  <c r="AW286" i="29"/>
  <c r="AW173" i="29"/>
  <c r="AW165" i="29"/>
  <c r="AW156" i="29"/>
  <c r="AW151" i="29"/>
  <c r="AW56" i="29"/>
  <c r="BC286" i="29"/>
  <c r="BC173" i="29"/>
  <c r="BC179" i="29" s="1"/>
  <c r="BC151" i="29"/>
  <c r="BC165" i="29"/>
  <c r="BC156" i="29"/>
  <c r="BG286" i="29"/>
  <c r="BG173" i="29"/>
  <c r="BG151" i="29"/>
  <c r="BG156" i="29"/>
  <c r="BG56" i="29"/>
  <c r="BL286" i="29"/>
  <c r="BL156" i="29"/>
  <c r="BL151" i="29"/>
  <c r="BL173" i="29"/>
  <c r="BL179" i="29" s="1"/>
  <c r="BL165" i="29"/>
  <c r="BM56" i="29"/>
  <c r="BT173" i="29"/>
  <c r="BT158" i="29"/>
  <c r="BT156" i="29"/>
  <c r="BT151" i="29"/>
  <c r="BX286" i="29"/>
  <c r="BX173" i="29"/>
  <c r="BX179" i="29" s="1"/>
  <c r="BX165" i="29"/>
  <c r="BX158" i="29"/>
  <c r="BX156" i="29"/>
  <c r="BX151" i="29"/>
  <c r="CB286" i="29"/>
  <c r="CQ286" i="29" s="1"/>
  <c r="CQ285" i="29" s="1"/>
  <c r="CB173" i="29"/>
  <c r="CB165" i="29"/>
  <c r="CB158" i="29"/>
  <c r="CB156" i="29"/>
  <c r="CB151" i="29"/>
  <c r="BX56" i="29"/>
  <c r="CB56" i="29"/>
  <c r="CQ173" i="29"/>
  <c r="G56" i="29"/>
  <c r="AE58" i="29"/>
  <c r="BC58" i="29"/>
  <c r="CB58" i="29"/>
  <c r="AT55" i="29"/>
  <c r="F60" i="29"/>
  <c r="J60" i="29"/>
  <c r="N60" i="29"/>
  <c r="R60" i="29"/>
  <c r="Z60" i="29"/>
  <c r="AD60" i="29"/>
  <c r="AH60" i="29"/>
  <c r="AL60" i="29"/>
  <c r="AQ60" i="29"/>
  <c r="CB60" i="29"/>
  <c r="BV60" i="29"/>
  <c r="BV67" i="29"/>
  <c r="AF71" i="29"/>
  <c r="AZ71" i="29"/>
  <c r="BH72" i="29"/>
  <c r="BL72" i="29"/>
  <c r="BZ72" i="29"/>
  <c r="CD72" i="29"/>
  <c r="C72" i="29"/>
  <c r="G72" i="29"/>
  <c r="O72" i="29"/>
  <c r="S72" i="29"/>
  <c r="W72" i="29"/>
  <c r="AA72" i="29"/>
  <c r="AI72" i="29"/>
  <c r="AM72" i="29"/>
  <c r="AQ72" i="29"/>
  <c r="AY72" i="29"/>
  <c r="D74" i="29"/>
  <c r="B75" i="29"/>
  <c r="B76" i="29" s="1"/>
  <c r="F75" i="29"/>
  <c r="F76" i="29" s="1"/>
  <c r="L74" i="29"/>
  <c r="Q75" i="29"/>
  <c r="Q76" i="29" s="1"/>
  <c r="F77" i="29"/>
  <c r="F78" i="29" s="1"/>
  <c r="J77" i="29"/>
  <c r="J78" i="29" s="1"/>
  <c r="N77" i="29"/>
  <c r="N78" i="29" s="1"/>
  <c r="R77" i="29"/>
  <c r="R78" i="29" s="1"/>
  <c r="V77" i="29"/>
  <c r="V78" i="29" s="1"/>
  <c r="AD77" i="29"/>
  <c r="AD78" i="29" s="1"/>
  <c r="AH77" i="29"/>
  <c r="AH78" i="29" s="1"/>
  <c r="AX77" i="29"/>
  <c r="AX78" i="29" s="1"/>
  <c r="BE77" i="29"/>
  <c r="BE78" i="29" s="1"/>
  <c r="BI77" i="29"/>
  <c r="BI78" i="29" s="1"/>
  <c r="BM77" i="29"/>
  <c r="BM78" i="29" s="1"/>
  <c r="BU77" i="29"/>
  <c r="BU78" i="29" s="1"/>
  <c r="BY77" i="29"/>
  <c r="BY78" i="29" s="1"/>
  <c r="CC77" i="29"/>
  <c r="CC78" i="29" s="1"/>
  <c r="H79" i="29"/>
  <c r="L79" i="29"/>
  <c r="P79" i="29"/>
  <c r="T79" i="29"/>
  <c r="X79" i="29"/>
  <c r="AB79" i="29"/>
  <c r="AJ79" i="29"/>
  <c r="AN79" i="29"/>
  <c r="AR79" i="29"/>
  <c r="AV79" i="29"/>
  <c r="BD79" i="29"/>
  <c r="BH79" i="29"/>
  <c r="BL79" i="29"/>
  <c r="AO81" i="29"/>
  <c r="AO82" i="29" s="1"/>
  <c r="AR82" i="29"/>
  <c r="BX82" i="29"/>
  <c r="Q153" i="29"/>
  <c r="Q162" i="29"/>
  <c r="AK153" i="29"/>
  <c r="CA153" i="29"/>
  <c r="CQ162" i="29"/>
  <c r="CQ153" i="29"/>
  <c r="V84" i="29"/>
  <c r="AJ86" i="29"/>
  <c r="AO85" i="29"/>
  <c r="AO86" i="29" s="1"/>
  <c r="AK89" i="29"/>
  <c r="BG88" i="29"/>
  <c r="BI90" i="29"/>
  <c r="CB86" i="29"/>
  <c r="BW87" i="29"/>
  <c r="BW88" i="29" s="1"/>
  <c r="CB90" i="29"/>
  <c r="CF84" i="29"/>
  <c r="CQ85" i="29"/>
  <c r="CQ89" i="29"/>
  <c r="CQ87" i="29" s="1"/>
  <c r="AZ81" i="29"/>
  <c r="BJ87" i="29"/>
  <c r="BJ88" i="29" s="1"/>
  <c r="BM87" i="29"/>
  <c r="BM88" i="29" s="1"/>
  <c r="BU87" i="29"/>
  <c r="BU88" i="29" s="1"/>
  <c r="AK92" i="29"/>
  <c r="AA96" i="29"/>
  <c r="AG98" i="29"/>
  <c r="AP97" i="29"/>
  <c r="AP98" i="29" s="1"/>
  <c r="AP99" i="29"/>
  <c r="E98" i="29"/>
  <c r="BJ99" i="29"/>
  <c r="BJ100" i="29" s="1"/>
  <c r="BM99" i="29"/>
  <c r="BM100" i="29" s="1"/>
  <c r="BY106" i="29"/>
  <c r="AU109" i="29"/>
  <c r="AU110" i="29" s="1"/>
  <c r="AT110" i="29"/>
  <c r="AX110" i="29"/>
  <c r="AS111" i="29"/>
  <c r="AS112" i="29" s="1"/>
  <c r="AW111" i="29"/>
  <c r="AW112" i="29" s="1"/>
  <c r="AU113" i="29"/>
  <c r="AX114" i="29"/>
  <c r="BH114" i="29"/>
  <c r="BT110" i="29"/>
  <c r="BR112" i="29"/>
  <c r="BT114" i="29"/>
  <c r="BX111" i="29"/>
  <c r="BX112" i="29" s="1"/>
  <c r="BX116" i="29"/>
  <c r="AF109" i="29"/>
  <c r="AK110" i="29" s="1"/>
  <c r="CQ109" i="29"/>
  <c r="CQ113" i="29"/>
  <c r="CQ111" i="29" s="1"/>
  <c r="AK104" i="29"/>
  <c r="AK108" i="29"/>
  <c r="AZ105" i="29"/>
  <c r="AZ113" i="29"/>
  <c r="BJ111" i="29"/>
  <c r="BJ112" i="29" s="1"/>
  <c r="BM111" i="29"/>
  <c r="BM112" i="29" s="1"/>
  <c r="BU111" i="29"/>
  <c r="BU112" i="29" s="1"/>
  <c r="CE111" i="29"/>
  <c r="CF115" i="29"/>
  <c r="CF116" i="29" s="1"/>
  <c r="CE116" i="29"/>
  <c r="AT117" i="29"/>
  <c r="AT118" i="29" s="1"/>
  <c r="CE118" i="29"/>
  <c r="CQ116" i="29"/>
  <c r="AI122" i="29"/>
  <c r="AS126" i="29"/>
  <c r="AX126" i="29"/>
  <c r="BL124" i="29"/>
  <c r="BW122" i="29"/>
  <c r="CF121" i="29"/>
  <c r="CF122" i="29" s="1"/>
  <c r="CB122" i="29"/>
  <c r="CC124" i="29"/>
  <c r="CT121" i="29"/>
  <c r="AK120" i="29"/>
  <c r="AK125" i="29"/>
  <c r="AK117" i="29"/>
  <c r="AP116" i="29"/>
  <c r="AZ120" i="29"/>
  <c r="CP126" i="29"/>
  <c r="BJ128" i="29"/>
  <c r="BJ125" i="29"/>
  <c r="BU128" i="29"/>
  <c r="BU125" i="29"/>
  <c r="AS130" i="29"/>
  <c r="BX130" i="29"/>
  <c r="CB130" i="29"/>
  <c r="R130" i="29"/>
  <c r="Z130" i="29"/>
  <c r="AA132" i="29"/>
  <c r="L133" i="29"/>
  <c r="L134" i="29" s="1"/>
  <c r="U134" i="29"/>
  <c r="AN134" i="29"/>
  <c r="BR135" i="29"/>
  <c r="BR136" i="29" s="1"/>
  <c r="BR138" i="29"/>
  <c r="BV136" i="29"/>
  <c r="BW136" i="29"/>
  <c r="AY102" i="29"/>
  <c r="I160" i="29"/>
  <c r="BS158" i="29"/>
  <c r="AJ151" i="29"/>
  <c r="CD165" i="29"/>
  <c r="AU130" i="29"/>
  <c r="AZ15" i="29"/>
  <c r="AZ23" i="29"/>
  <c r="AZ31" i="29"/>
  <c r="CA31" i="29"/>
  <c r="CA39" i="29"/>
  <c r="CF31" i="29"/>
  <c r="CF39" i="29"/>
  <c r="CF47" i="29"/>
  <c r="K145" i="29"/>
  <c r="K141" i="29"/>
  <c r="C286" i="29"/>
  <c r="C173" i="29"/>
  <c r="C179" i="29" s="1"/>
  <c r="C151" i="29"/>
  <c r="G286" i="29"/>
  <c r="G173" i="29"/>
  <c r="G151" i="29"/>
  <c r="G152" i="29" s="1"/>
  <c r="K55" i="29"/>
  <c r="O286" i="29"/>
  <c r="O173" i="29"/>
  <c r="O151" i="29"/>
  <c r="O152" i="29" s="1"/>
  <c r="S286" i="29"/>
  <c r="S173" i="29"/>
  <c r="S151" i="29"/>
  <c r="S152" i="29" s="1"/>
  <c r="W286" i="29"/>
  <c r="W173" i="29"/>
  <c r="W151" i="29"/>
  <c r="W152" i="29" s="1"/>
  <c r="AE286" i="29"/>
  <c r="AE173" i="29"/>
  <c r="AE245" i="29" s="1"/>
  <c r="AE151" i="29"/>
  <c r="AE152" i="29" s="1"/>
  <c r="AI286" i="29"/>
  <c r="AI173" i="29"/>
  <c r="AI165" i="29"/>
  <c r="AI158" i="29"/>
  <c r="AI159" i="29" s="1"/>
  <c r="AI156" i="29"/>
  <c r="AI151" i="29"/>
  <c r="AI152" i="29" s="1"/>
  <c r="AM311" i="29"/>
  <c r="AM286" i="29"/>
  <c r="AM173" i="29"/>
  <c r="AM156" i="29"/>
  <c r="AR286" i="29"/>
  <c r="AR165" i="29"/>
  <c r="AR173" i="29"/>
  <c r="AR156" i="29"/>
  <c r="AR151" i="29"/>
  <c r="AX286" i="29"/>
  <c r="AX173" i="29"/>
  <c r="AX165" i="29"/>
  <c r="AX156" i="29"/>
  <c r="AX151" i="29"/>
  <c r="AX56" i="29"/>
  <c r="BD286" i="29"/>
  <c r="BD165" i="29"/>
  <c r="BD173" i="29"/>
  <c r="BD151" i="29"/>
  <c r="BD158" i="29"/>
  <c r="BD156" i="29"/>
  <c r="BH286" i="29"/>
  <c r="BH173" i="29"/>
  <c r="BH151" i="29"/>
  <c r="BH152" i="29" s="1"/>
  <c r="BH165" i="29"/>
  <c r="BH156" i="29"/>
  <c r="BH56" i="29"/>
  <c r="BM286" i="29"/>
  <c r="BM173" i="29"/>
  <c r="BM245" i="29" s="1"/>
  <c r="BM165" i="29"/>
  <c r="BM156" i="29"/>
  <c r="BM151" i="29"/>
  <c r="BM152" i="29" s="1"/>
  <c r="BQ165" i="29"/>
  <c r="BQ173" i="29"/>
  <c r="BQ151" i="29"/>
  <c r="BQ156" i="29"/>
  <c r="BU286" i="29"/>
  <c r="BU173" i="29"/>
  <c r="BU165" i="29"/>
  <c r="BU151" i="29"/>
  <c r="BU156" i="29"/>
  <c r="BY311" i="29"/>
  <c r="BY286" i="29"/>
  <c r="BY173" i="29"/>
  <c r="BY165" i="29"/>
  <c r="BY151" i="29"/>
  <c r="BY152" i="29" s="1"/>
  <c r="BY156" i="29"/>
  <c r="CC286" i="29"/>
  <c r="CR286" i="29" s="1"/>
  <c r="CR285" i="29" s="1"/>
  <c r="CC173" i="29"/>
  <c r="CC245" i="29" s="1"/>
  <c r="CC156" i="29"/>
  <c r="CC151" i="29"/>
  <c r="BY56" i="29"/>
  <c r="CC56" i="29"/>
  <c r="CR173" i="29"/>
  <c r="BD58" i="29"/>
  <c r="BQ58" i="29"/>
  <c r="CC58" i="29"/>
  <c r="BJ286" i="29"/>
  <c r="BJ173" i="29"/>
  <c r="BJ165" i="29"/>
  <c r="BJ156" i="29"/>
  <c r="BJ151" i="29"/>
  <c r="BJ59" i="29"/>
  <c r="BJ60" i="29" s="1"/>
  <c r="G60" i="29"/>
  <c r="O60" i="29"/>
  <c r="S60" i="29"/>
  <c r="W60" i="29"/>
  <c r="AE60" i="29"/>
  <c r="AI60" i="29"/>
  <c r="AM60" i="29"/>
  <c r="AR60" i="29"/>
  <c r="CC60" i="29"/>
  <c r="BQ60" i="29"/>
  <c r="U71" i="29"/>
  <c r="AK71" i="29"/>
  <c r="AL77" i="29" s="1"/>
  <c r="AL78" i="29" s="1"/>
  <c r="BI72" i="29"/>
  <c r="BM72" i="29"/>
  <c r="E74" i="29"/>
  <c r="C77" i="29"/>
  <c r="C78" i="29" s="1"/>
  <c r="G77" i="29"/>
  <c r="G78" i="29" s="1"/>
  <c r="O77" i="29"/>
  <c r="O78" i="29" s="1"/>
  <c r="S77" i="29"/>
  <c r="S78" i="29" s="1"/>
  <c r="W77" i="29"/>
  <c r="W78" i="29" s="1"/>
  <c r="AE77" i="29"/>
  <c r="AE78" i="29" s="1"/>
  <c r="AI77" i="29"/>
  <c r="AI78" i="29" s="1"/>
  <c r="AM77" i="29"/>
  <c r="AM78" i="29" s="1"/>
  <c r="BJ77" i="29"/>
  <c r="BJ78" i="29" s="1"/>
  <c r="BZ77" i="29"/>
  <c r="BZ78" i="29" s="1"/>
  <c r="CD77" i="29"/>
  <c r="CD78" i="29" s="1"/>
  <c r="E79" i="29"/>
  <c r="I79" i="29"/>
  <c r="M79" i="29"/>
  <c r="Q79" i="29"/>
  <c r="Y79" i="29"/>
  <c r="AC79" i="29"/>
  <c r="AG79" i="29"/>
  <c r="AO79" i="29"/>
  <c r="AS79" i="29"/>
  <c r="AW79" i="29"/>
  <c r="L162" i="29"/>
  <c r="L153" i="29"/>
  <c r="AF153" i="29"/>
  <c r="AO162" i="29"/>
  <c r="AO153" i="29"/>
  <c r="AU162" i="29"/>
  <c r="AU166" i="29" s="1"/>
  <c r="AU153" i="29"/>
  <c r="CR162" i="29"/>
  <c r="CR153" i="29"/>
  <c r="CR85" i="29"/>
  <c r="AF89" i="29"/>
  <c r="AF87" i="29" s="1"/>
  <c r="CR89" i="29"/>
  <c r="CR87" i="29" s="1"/>
  <c r="AF93" i="29"/>
  <c r="AK93" i="29"/>
  <c r="AK94" i="29" s="1"/>
  <c r="AU93" i="29"/>
  <c r="AU94" i="29" s="1"/>
  <c r="AU97" i="29"/>
  <c r="AU99" i="29"/>
  <c r="AU100" i="29" s="1"/>
  <c r="CU113" i="29"/>
  <c r="CU105" i="29"/>
  <c r="CU108" i="29"/>
  <c r="AK105" i="29"/>
  <c r="AK106" i="29" s="1"/>
  <c r="AU117" i="29"/>
  <c r="BF118" i="29"/>
  <c r="BY116" i="29"/>
  <c r="BT118" i="29"/>
  <c r="AF117" i="29"/>
  <c r="AF118" i="29" s="1"/>
  <c r="AU121" i="29"/>
  <c r="AU122" i="29" s="1"/>
  <c r="BV124" i="29"/>
  <c r="AF123" i="29"/>
  <c r="AP125" i="29"/>
  <c r="AP117" i="29"/>
  <c r="AP118" i="29" s="1"/>
  <c r="AZ116" i="29"/>
  <c r="L129" i="29"/>
  <c r="L130" i="29" s="1"/>
  <c r="AD130" i="29"/>
  <c r="AP128" i="29"/>
  <c r="CA105" i="29"/>
  <c r="CA106" i="29" s="1"/>
  <c r="CA117" i="29"/>
  <c r="CA118" i="29" s="1"/>
  <c r="CA129" i="29"/>
  <c r="CA130" i="29" s="1"/>
  <c r="CU140" i="29"/>
  <c r="CU137" i="29"/>
  <c r="CU129" i="29"/>
  <c r="CU132" i="29"/>
  <c r="AU135" i="29"/>
  <c r="AR138" i="29"/>
  <c r="AY114" i="29"/>
  <c r="CU116" i="29"/>
  <c r="J160" i="29"/>
  <c r="BK163" i="29"/>
  <c r="BK160" i="29"/>
  <c r="BK167" i="29"/>
  <c r="U178" i="29"/>
  <c r="U162" i="29"/>
  <c r="AD178" i="29"/>
  <c r="AD179" i="29" s="1"/>
  <c r="AD162" i="29"/>
  <c r="Z169" i="29"/>
  <c r="BG158" i="29"/>
  <c r="CD196" i="29"/>
  <c r="CD172" i="29"/>
  <c r="CD169" i="29"/>
  <c r="AV156" i="29"/>
  <c r="CA156" i="29"/>
  <c r="DJ149" i="29"/>
  <c r="AA129" i="29"/>
  <c r="AA133" i="29"/>
  <c r="AA134" i="29" s="1"/>
  <c r="AY39" i="29"/>
  <c r="AA42" i="29"/>
  <c r="AF133" i="29"/>
  <c r="AF134" i="29" s="1"/>
  <c r="AF129" i="29"/>
  <c r="AK15" i="29"/>
  <c r="AK23" i="29"/>
  <c r="AK31" i="29"/>
  <c r="AK39" i="29"/>
  <c r="AU13" i="29"/>
  <c r="AU14" i="29" s="1"/>
  <c r="AU17" i="29"/>
  <c r="AU21" i="29"/>
  <c r="AU22" i="29" s="1"/>
  <c r="AU25" i="29"/>
  <c r="AU29" i="29"/>
  <c r="AU30" i="29" s="1"/>
  <c r="AU33" i="29"/>
  <c r="AU37" i="29"/>
  <c r="AU38" i="29" s="1"/>
  <c r="AU41" i="29"/>
  <c r="AZ12" i="29"/>
  <c r="AZ20" i="29"/>
  <c r="AZ28" i="29"/>
  <c r="AZ32" i="29"/>
  <c r="AZ36" i="29"/>
  <c r="CA28" i="29"/>
  <c r="CA36" i="29"/>
  <c r="CF28" i="29"/>
  <c r="CF36" i="29"/>
  <c r="CF135" i="29"/>
  <c r="CF136" i="29" s="1"/>
  <c r="CF133" i="29"/>
  <c r="CF134" i="29" s="1"/>
  <c r="Q45" i="29"/>
  <c r="Q46" i="29" s="1"/>
  <c r="Q47" i="29"/>
  <c r="Z44" i="29"/>
  <c r="Z45" i="29"/>
  <c r="Z46" i="29" s="1"/>
  <c r="Z47" i="29"/>
  <c r="AU44" i="29"/>
  <c r="AL45" i="29"/>
  <c r="AL46" i="29" s="1"/>
  <c r="CA45" i="29"/>
  <c r="CA46" i="29" s="1"/>
  <c r="AU47" i="29"/>
  <c r="V141" i="29"/>
  <c r="V142" i="29" s="1"/>
  <c r="V145" i="29"/>
  <c r="V146" i="29" s="1"/>
  <c r="W50" i="29"/>
  <c r="C50" i="29"/>
  <c r="G50" i="29"/>
  <c r="K50" i="29"/>
  <c r="O50" i="29"/>
  <c r="S50" i="29"/>
  <c r="K53" i="29"/>
  <c r="K54" i="29" s="1"/>
  <c r="H286" i="29"/>
  <c r="H173" i="29"/>
  <c r="H151" i="29"/>
  <c r="P286" i="29"/>
  <c r="P173" i="29"/>
  <c r="P179" i="29" s="1"/>
  <c r="T286" i="29"/>
  <c r="T173" i="29"/>
  <c r="T151" i="29"/>
  <c r="X286" i="29"/>
  <c r="X173" i="29"/>
  <c r="X151" i="29"/>
  <c r="X152" i="29" s="1"/>
  <c r="AB286" i="29"/>
  <c r="AB173" i="29"/>
  <c r="AB151" i="29"/>
  <c r="AB152" i="29" s="1"/>
  <c r="AJ286" i="29"/>
  <c r="AJ173" i="29"/>
  <c r="AJ156" i="29"/>
  <c r="AN286" i="29"/>
  <c r="AN173" i="29"/>
  <c r="AN179" i="29" s="1"/>
  <c r="AN156" i="29"/>
  <c r="O56" i="29"/>
  <c r="S56" i="29"/>
  <c r="W56" i="29"/>
  <c r="AE56" i="29"/>
  <c r="AI56" i="29"/>
  <c r="AM56" i="29"/>
  <c r="AS286" i="29"/>
  <c r="AS173" i="29"/>
  <c r="AS165" i="29"/>
  <c r="AS156" i="29"/>
  <c r="AS151" i="29"/>
  <c r="AU55" i="29"/>
  <c r="BA173" i="29"/>
  <c r="BA165" i="29"/>
  <c r="BA151" i="29"/>
  <c r="BE311" i="29"/>
  <c r="BE286" i="29"/>
  <c r="BE173" i="29"/>
  <c r="BE151" i="29"/>
  <c r="BE152" i="29" s="1"/>
  <c r="BE156" i="29"/>
  <c r="BI286" i="29"/>
  <c r="BI173" i="29"/>
  <c r="BI151" i="29"/>
  <c r="BI152" i="29" s="1"/>
  <c r="BI165" i="29"/>
  <c r="BI156" i="29"/>
  <c r="BI56" i="29"/>
  <c r="BR311" i="29"/>
  <c r="BR173" i="29"/>
  <c r="BR151" i="29"/>
  <c r="BR158" i="29"/>
  <c r="BR156" i="29"/>
  <c r="BV173" i="29"/>
  <c r="BV151" i="29"/>
  <c r="BV158" i="29"/>
  <c r="BV156" i="29"/>
  <c r="BZ286" i="29"/>
  <c r="BZ173" i="29"/>
  <c r="BZ151" i="29"/>
  <c r="BZ152" i="29" s="1"/>
  <c r="BZ156" i="29"/>
  <c r="CD311" i="29"/>
  <c r="CD286" i="29"/>
  <c r="CS286" i="29" s="1"/>
  <c r="CS285" i="29" s="1"/>
  <c r="CD156" i="29"/>
  <c r="CD151" i="29"/>
  <c r="CD152" i="29" s="1"/>
  <c r="CD173" i="29"/>
  <c r="BZ56" i="29"/>
  <c r="CD56" i="29"/>
  <c r="CS173" i="29"/>
  <c r="CS179" i="29" s="1"/>
  <c r="U58" i="29"/>
  <c r="BA58" i="29"/>
  <c r="BV58" i="29"/>
  <c r="CD58" i="29"/>
  <c r="Q59" i="29"/>
  <c r="Q60" i="29" s="1"/>
  <c r="AK59" i="29"/>
  <c r="AK60" i="29" s="1"/>
  <c r="AO58" i="29"/>
  <c r="BJ56" i="29"/>
  <c r="CE311" i="29"/>
  <c r="CE286" i="29"/>
  <c r="CT286" i="29" s="1"/>
  <c r="CT285" i="29" s="1"/>
  <c r="CU285" i="29" s="1"/>
  <c r="CE173" i="29"/>
  <c r="CE151" i="29"/>
  <c r="H60" i="29"/>
  <c r="T60" i="29"/>
  <c r="X60" i="29"/>
  <c r="AB60" i="29"/>
  <c r="AN60" i="29"/>
  <c r="AS60" i="29"/>
  <c r="AX60" i="29"/>
  <c r="BG60" i="29"/>
  <c r="BL60" i="29"/>
  <c r="CD60" i="29"/>
  <c r="BQ61" i="29"/>
  <c r="BQ62" i="29" s="1"/>
  <c r="BV65" i="29"/>
  <c r="BQ69" i="29"/>
  <c r="AP71" i="29"/>
  <c r="BJ72" i="29"/>
  <c r="E72" i="29"/>
  <c r="M72" i="29"/>
  <c r="Q72" i="29"/>
  <c r="Y72" i="29"/>
  <c r="AC72" i="29"/>
  <c r="AG72" i="29"/>
  <c r="AO72" i="29"/>
  <c r="AS72" i="29"/>
  <c r="AW72" i="29"/>
  <c r="B74" i="29"/>
  <c r="F74" i="29"/>
  <c r="D75" i="29"/>
  <c r="D76" i="29" s="1"/>
  <c r="V74" i="29"/>
  <c r="BC77" i="29"/>
  <c r="BC78" i="29" s="1"/>
  <c r="BS77" i="29"/>
  <c r="BS78" i="29" s="1"/>
  <c r="CE77" i="29"/>
  <c r="CE78" i="29" s="1"/>
  <c r="BY79" i="29"/>
  <c r="CC79" i="29"/>
  <c r="F79" i="29"/>
  <c r="N79" i="29"/>
  <c r="R79" i="29"/>
  <c r="V79" i="29"/>
  <c r="AD79" i="29"/>
  <c r="AH79" i="29"/>
  <c r="AL79" i="29"/>
  <c r="AT79" i="29"/>
  <c r="AX79" i="29"/>
  <c r="AA162" i="29"/>
  <c r="AA153" i="29"/>
  <c r="AP83" i="29"/>
  <c r="AU84" i="29" s="1"/>
  <c r="CS153" i="29"/>
  <c r="CS162" i="29"/>
  <c r="L84" i="29"/>
  <c r="AF84" i="29"/>
  <c r="AK84" i="29"/>
  <c r="AO84" i="29"/>
  <c r="AU89" i="29"/>
  <c r="AZ90" i="29" s="1"/>
  <c r="BV90" i="29"/>
  <c r="CF91" i="29"/>
  <c r="CS85" i="29"/>
  <c r="CS89" i="29"/>
  <c r="CS87" i="29" s="1"/>
  <c r="AZ162" i="29"/>
  <c r="AZ153" i="29"/>
  <c r="BY91" i="29"/>
  <c r="CA91" i="29" s="1"/>
  <c r="CQ92" i="29"/>
  <c r="Q96" i="29"/>
  <c r="Q97" i="29"/>
  <c r="AZ92" i="29"/>
  <c r="AZ96" i="29"/>
  <c r="AP105" i="29"/>
  <c r="AP106" i="29" s="1"/>
  <c r="AU105" i="29"/>
  <c r="AU106" i="29" s="1"/>
  <c r="AR114" i="29"/>
  <c r="AV114" i="29"/>
  <c r="BK110" i="29"/>
  <c r="BZ115" i="29"/>
  <c r="AK114" i="29"/>
  <c r="CU119" i="29"/>
  <c r="CQ128" i="29"/>
  <c r="CQ125" i="29"/>
  <c r="CQ123" i="29" s="1"/>
  <c r="CQ121" i="29"/>
  <c r="AL122" i="29"/>
  <c r="AW123" i="29"/>
  <c r="AW124" i="29" s="1"/>
  <c r="BW123" i="29"/>
  <c r="BW124" i="29" s="1"/>
  <c r="BX122" i="29"/>
  <c r="CT125" i="29"/>
  <c r="CT123" i="29" s="1"/>
  <c r="AP120" i="29"/>
  <c r="AQ128" i="29"/>
  <c r="AQ125" i="29"/>
  <c r="BM128" i="29"/>
  <c r="BM125" i="29"/>
  <c r="CF127" i="29"/>
  <c r="CF128" i="29" s="1"/>
  <c r="CE125" i="29"/>
  <c r="AC134" i="29"/>
  <c r="AU133" i="29"/>
  <c r="AU134" i="29" s="1"/>
  <c r="AM135" i="29"/>
  <c r="AM136" i="29" s="1"/>
  <c r="AR136" i="29"/>
  <c r="AV136" i="29"/>
  <c r="BW134" i="29"/>
  <c r="AY86" i="29"/>
  <c r="CK178" i="29"/>
  <c r="CK162" i="29"/>
  <c r="CP155" i="29"/>
  <c r="CF156" i="29"/>
  <c r="BH158" i="29"/>
  <c r="BC158" i="29"/>
  <c r="BQ158" i="29"/>
  <c r="BU158" i="29"/>
  <c r="CA165" i="29"/>
  <c r="U12" i="29"/>
  <c r="U13" i="29"/>
  <c r="U14" i="29" s="1"/>
  <c r="Q23" i="29"/>
  <c r="AL29" i="29"/>
  <c r="AL30" i="29" s="1"/>
  <c r="CB29" i="29"/>
  <c r="CB30" i="29" s="1"/>
  <c r="AT33" i="29"/>
  <c r="AT34" i="29"/>
  <c r="AY33" i="29"/>
  <c r="AY34" i="29"/>
  <c r="BJ34" i="29"/>
  <c r="BQ34" i="29"/>
  <c r="BU34" i="29"/>
  <c r="BY34" i="29"/>
  <c r="AL37" i="29"/>
  <c r="AL38" i="29" s="1"/>
  <c r="CB37" i="29"/>
  <c r="CB38" i="29" s="1"/>
  <c r="AY133" i="29"/>
  <c r="AY134" i="29" s="1"/>
  <c r="AY129" i="29"/>
  <c r="AY130" i="29" s="1"/>
  <c r="BD42" i="29"/>
  <c r="BH42" i="29"/>
  <c r="AF41" i="29"/>
  <c r="AK135" i="29"/>
  <c r="AK133" i="29"/>
  <c r="AK134" i="29" s="1"/>
  <c r="AK129" i="29"/>
  <c r="AK130" i="29" s="1"/>
  <c r="AU42" i="29"/>
  <c r="AZ41" i="29"/>
  <c r="CA41" i="29"/>
  <c r="CF41" i="29"/>
  <c r="AZ44" i="29"/>
  <c r="AY45" i="29"/>
  <c r="AY46" i="29" s="1"/>
  <c r="CA44" i="29"/>
  <c r="X50" i="29"/>
  <c r="H50" i="29"/>
  <c r="P50" i="29"/>
  <c r="T50" i="29"/>
  <c r="AA47" i="29"/>
  <c r="Z50" i="29"/>
  <c r="E286" i="29"/>
  <c r="E173" i="29"/>
  <c r="E151" i="29"/>
  <c r="I286" i="29"/>
  <c r="I173" i="29"/>
  <c r="I151" i="29"/>
  <c r="M286" i="29"/>
  <c r="M173" i="29"/>
  <c r="M151" i="29"/>
  <c r="M152" i="29" s="1"/>
  <c r="U286" i="29"/>
  <c r="U173" i="29"/>
  <c r="U151" i="29"/>
  <c r="Y286" i="29"/>
  <c r="Y173" i="29"/>
  <c r="Y151" i="29"/>
  <c r="Y152" i="29" s="1"/>
  <c r="AC286" i="29"/>
  <c r="AC173" i="29"/>
  <c r="AC289" i="29" s="1"/>
  <c r="AC151" i="29"/>
  <c r="AG286" i="29"/>
  <c r="AG173" i="29"/>
  <c r="AG156" i="29"/>
  <c r="AG151" i="29"/>
  <c r="AG152" i="29" s="1"/>
  <c r="P56" i="29"/>
  <c r="T56" i="29"/>
  <c r="X56" i="29"/>
  <c r="AB56" i="29"/>
  <c r="AJ56" i="29"/>
  <c r="AN56" i="29"/>
  <c r="AQ56" i="29"/>
  <c r="AV311" i="29"/>
  <c r="AV286" i="29"/>
  <c r="AV165" i="29"/>
  <c r="AV173" i="29"/>
  <c r="AV289" i="29" s="1"/>
  <c r="AV151" i="29"/>
  <c r="AV56" i="29"/>
  <c r="BB286" i="29"/>
  <c r="BB173" i="29"/>
  <c r="BB289" i="29" s="1"/>
  <c r="BB156" i="29"/>
  <c r="BB151" i="29"/>
  <c r="BF286" i="29"/>
  <c r="BF173" i="29"/>
  <c r="BF151" i="29"/>
  <c r="BF56" i="29"/>
  <c r="BK286" i="29"/>
  <c r="BK173" i="29"/>
  <c r="BK284" i="29" s="1"/>
  <c r="BK156" i="29"/>
  <c r="BL56" i="29"/>
  <c r="BS173" i="29"/>
  <c r="BS165" i="29"/>
  <c r="BS151" i="29"/>
  <c r="BS156" i="29"/>
  <c r="BW286" i="29"/>
  <c r="BW173" i="29"/>
  <c r="BW179" i="29" s="1"/>
  <c r="BW151" i="29"/>
  <c r="BW152" i="29" s="1"/>
  <c r="BW165" i="29"/>
  <c r="BW156" i="29"/>
  <c r="BW56" i="29"/>
  <c r="CK286" i="29"/>
  <c r="CK173" i="29"/>
  <c r="CK151" i="29"/>
  <c r="CK156" i="29"/>
  <c r="CK165" i="29"/>
  <c r="CT173" i="29"/>
  <c r="F56" i="29"/>
  <c r="CP173" i="29"/>
  <c r="CP269" i="29" s="1"/>
  <c r="CP151" i="29"/>
  <c r="CP152" i="29" s="1"/>
  <c r="F58" i="29"/>
  <c r="J58" i="29"/>
  <c r="N58" i="29"/>
  <c r="R58" i="29"/>
  <c r="AD58" i="29"/>
  <c r="AH58" i="29"/>
  <c r="AL58" i="29"/>
  <c r="AR58" i="29"/>
  <c r="AW58" i="29"/>
  <c r="BB58" i="29"/>
  <c r="BG58" i="29"/>
  <c r="BL58" i="29"/>
  <c r="AO286" i="29"/>
  <c r="AO173" i="29"/>
  <c r="AO156" i="29"/>
  <c r="CE56" i="29"/>
  <c r="E60" i="29"/>
  <c r="I60" i="29"/>
  <c r="M60" i="29"/>
  <c r="Y60" i="29"/>
  <c r="AC60" i="29"/>
  <c r="AG60" i="29"/>
  <c r="BC60" i="29"/>
  <c r="BH60" i="29"/>
  <c r="BM60" i="29"/>
  <c r="BF60" i="29"/>
  <c r="BK61" i="29"/>
  <c r="BK62" i="29" s="1"/>
  <c r="BA64" i="29"/>
  <c r="BF64" i="29"/>
  <c r="BQ64" i="29"/>
  <c r="BQ67" i="29"/>
  <c r="BG72" i="29"/>
  <c r="V72" i="29"/>
  <c r="C74" i="29"/>
  <c r="G74" i="29"/>
  <c r="E75" i="29"/>
  <c r="E76" i="29" s="1"/>
  <c r="Q74" i="29"/>
  <c r="L81" i="29"/>
  <c r="L82" i="29" s="1"/>
  <c r="V153" i="29"/>
  <c r="V162" i="29"/>
  <c r="AF81" i="29"/>
  <c r="AF82" i="29" s="1"/>
  <c r="AU81" i="29"/>
  <c r="CF153" i="29"/>
  <c r="CT153" i="29"/>
  <c r="CT162" i="29"/>
  <c r="Q84" i="29"/>
  <c r="Q85" i="29"/>
  <c r="Q86" i="29" s="1"/>
  <c r="AT84" i="29"/>
  <c r="BX89" i="29"/>
  <c r="CT85" i="29"/>
  <c r="CT89" i="29"/>
  <c r="CT87" i="29" s="1"/>
  <c r="AZ84" i="29"/>
  <c r="BZ91" i="29"/>
  <c r="CU83" i="29"/>
  <c r="CU85" i="29" s="1"/>
  <c r="CU86" i="29" s="1"/>
  <c r="AO92" i="29"/>
  <c r="CR92" i="29"/>
  <c r="B162" i="29"/>
  <c r="B160" i="29" s="1"/>
  <c r="B153" i="29"/>
  <c r="AZ93" i="29"/>
  <c r="AZ94" i="29" s="1"/>
  <c r="AZ101" i="29"/>
  <c r="CT109" i="29"/>
  <c r="CT113" i="29"/>
  <c r="CT111" i="29" s="1"/>
  <c r="BL118" i="29"/>
  <c r="BV118" i="29"/>
  <c r="BZ118" i="29"/>
  <c r="BW118" i="29"/>
  <c r="CR128" i="29"/>
  <c r="CR125" i="29"/>
  <c r="CR123" i="29" s="1"/>
  <c r="CR121" i="29"/>
  <c r="AU120" i="29"/>
  <c r="AU125" i="29"/>
  <c r="AR126" i="29"/>
  <c r="BG122" i="29"/>
  <c r="BX126" i="29"/>
  <c r="CB123" i="29"/>
  <c r="CB124" i="29" s="1"/>
  <c r="CB126" i="29"/>
  <c r="AZ123" i="29"/>
  <c r="BM130" i="29"/>
  <c r="BW130" i="29"/>
  <c r="CE128" i="29"/>
  <c r="N130" i="29"/>
  <c r="Q129" i="29"/>
  <c r="Q130" i="29" s="1"/>
  <c r="CP130" i="29"/>
  <c r="V132" i="29"/>
  <c r="V129" i="29"/>
  <c r="AK128" i="29"/>
  <c r="CS137" i="29"/>
  <c r="CS135" i="29" s="1"/>
  <c r="CS133" i="29"/>
  <c r="CS140" i="29"/>
  <c r="Y134" i="29"/>
  <c r="AG134" i="29"/>
  <c r="AR134" i="29"/>
  <c r="AV134" i="29"/>
  <c r="BL136" i="29"/>
  <c r="AY90" i="29"/>
  <c r="AY167" i="29"/>
  <c r="AY166" i="29"/>
  <c r="AY160" i="29"/>
  <c r="P142" i="29"/>
  <c r="H160" i="29"/>
  <c r="BQ166" i="29"/>
  <c r="BQ167" i="29"/>
  <c r="BQ160" i="29"/>
  <c r="R178" i="29"/>
  <c r="R179" i="29" s="1"/>
  <c r="R162" i="29"/>
  <c r="P146" i="29"/>
  <c r="BF160" i="29"/>
  <c r="BW158" i="29"/>
  <c r="BW159" i="29" s="1"/>
  <c r="AZ166" i="29"/>
  <c r="AT125" i="29"/>
  <c r="BY127" i="29"/>
  <c r="K129" i="29"/>
  <c r="P129" i="29"/>
  <c r="CF105" i="29"/>
  <c r="CF106" i="29" s="1"/>
  <c r="CF113" i="29"/>
  <c r="CF117" i="29"/>
  <c r="CF118" i="29" s="1"/>
  <c r="CF125" i="29"/>
  <c r="CF129" i="29"/>
  <c r="CF130" i="29" s="1"/>
  <c r="AP137" i="29"/>
  <c r="CB135" i="29"/>
  <c r="CB136" i="29" s="1"/>
  <c r="CR133" i="29"/>
  <c r="AF137" i="29"/>
  <c r="CR137" i="29"/>
  <c r="CR135" i="29" s="1"/>
  <c r="AZ129" i="29"/>
  <c r="AZ130" i="29" s="1"/>
  <c r="AZ137" i="29"/>
  <c r="AY87" i="29"/>
  <c r="AY88" i="29" s="1"/>
  <c r="AY99" i="29"/>
  <c r="AY100" i="29" s="1"/>
  <c r="AY111" i="29"/>
  <c r="AY112" i="29" s="1"/>
  <c r="AY123" i="29"/>
  <c r="AY135" i="29"/>
  <c r="AY136" i="29" s="1"/>
  <c r="BJ135" i="29"/>
  <c r="BJ136" i="29" s="1"/>
  <c r="BM135" i="29"/>
  <c r="BM136" i="29" s="1"/>
  <c r="BU135" i="29"/>
  <c r="BU136" i="29" s="1"/>
  <c r="AZ140" i="29"/>
  <c r="AA141" i="29"/>
  <c r="AA142" i="29" s="1"/>
  <c r="L144" i="29"/>
  <c r="E178" i="29"/>
  <c r="E179" i="29" s="1"/>
  <c r="E162" i="29"/>
  <c r="Z179" i="29"/>
  <c r="AJ179" i="29"/>
  <c r="AQ179" i="29"/>
  <c r="AV162" i="29"/>
  <c r="AV178" i="29"/>
  <c r="BA166" i="29"/>
  <c r="BA160" i="29"/>
  <c r="BE162" i="29"/>
  <c r="BE178" i="29"/>
  <c r="BE179" i="29" s="1"/>
  <c r="BR178" i="29"/>
  <c r="BR179" i="29" s="1"/>
  <c r="BR162" i="29"/>
  <c r="BZ147" i="29"/>
  <c r="CF147" i="29"/>
  <c r="O171" i="29"/>
  <c r="S171" i="29"/>
  <c r="S311" i="29" s="1"/>
  <c r="W171" i="29"/>
  <c r="W311" i="29" s="1"/>
  <c r="AE171" i="29"/>
  <c r="AE311" i="29" s="1"/>
  <c r="AI171" i="29"/>
  <c r="O154" i="29"/>
  <c r="S154" i="29"/>
  <c r="W154" i="29"/>
  <c r="AE154" i="29"/>
  <c r="AI154" i="29"/>
  <c r="AN151" i="29"/>
  <c r="AN152" i="29" s="1"/>
  <c r="AL171" i="29"/>
  <c r="BJ154" i="29"/>
  <c r="BX171" i="29"/>
  <c r="BX311" i="29" s="1"/>
  <c r="CB171" i="29"/>
  <c r="BX154" i="29"/>
  <c r="CB154" i="29"/>
  <c r="C171" i="29"/>
  <c r="C311" i="29" s="1"/>
  <c r="G171" i="29"/>
  <c r="K153" i="29"/>
  <c r="AT153" i="29"/>
  <c r="AX171" i="29"/>
  <c r="BB171" i="29"/>
  <c r="BB311" i="29" s="1"/>
  <c r="BB158" i="29"/>
  <c r="BF171" i="29"/>
  <c r="BT171" i="29"/>
  <c r="BT311" i="29" s="1"/>
  <c r="BB154" i="29"/>
  <c r="AZ155" i="29"/>
  <c r="AP156" i="29"/>
  <c r="AV157" i="29"/>
  <c r="AH158" i="29"/>
  <c r="AH159" i="29" s="1"/>
  <c r="AL158" i="29"/>
  <c r="AX158" i="29"/>
  <c r="BC157" i="29"/>
  <c r="BG162" i="29"/>
  <c r="BJ157" i="29"/>
  <c r="BJ158" i="29"/>
  <c r="BJ162" i="29"/>
  <c r="BS157" i="29"/>
  <c r="BW157" i="29"/>
  <c r="CA157" i="29"/>
  <c r="BY158" i="29"/>
  <c r="BY162" i="29"/>
  <c r="CE156" i="29"/>
  <c r="CE157" i="29"/>
  <c r="CE158" i="29"/>
  <c r="CE162" i="29"/>
  <c r="CE164" i="29"/>
  <c r="P162" i="29"/>
  <c r="Z162" i="29"/>
  <c r="C162" i="29"/>
  <c r="AI162" i="29"/>
  <c r="AN162" i="29"/>
  <c r="AT162" i="29"/>
  <c r="AY163" i="29" s="1"/>
  <c r="BC162" i="29"/>
  <c r="AO164" i="29"/>
  <c r="BV164" i="29"/>
  <c r="AM165" i="29"/>
  <c r="AU165" i="29"/>
  <c r="BR165" i="29"/>
  <c r="CT140" i="29"/>
  <c r="M179" i="29"/>
  <c r="S178" i="29"/>
  <c r="S179" i="29" s="1"/>
  <c r="S162" i="29"/>
  <c r="W178" i="29"/>
  <c r="W179" i="29" s="1"/>
  <c r="W162" i="29"/>
  <c r="AB179" i="29"/>
  <c r="AF178" i="29"/>
  <c r="AG178" i="29"/>
  <c r="AG162" i="29"/>
  <c r="AP178" i="29"/>
  <c r="AR179" i="29"/>
  <c r="AW178" i="29"/>
  <c r="AW179" i="29" s="1"/>
  <c r="AW162" i="29"/>
  <c r="BB178" i="29"/>
  <c r="BB179" i="29" s="1"/>
  <c r="BB162" i="29"/>
  <c r="BG179" i="29"/>
  <c r="BS179" i="29"/>
  <c r="CB179" i="29"/>
  <c r="CP178" i="29"/>
  <c r="CP171" i="29"/>
  <c r="CP311" i="29" s="1"/>
  <c r="CP162" i="29"/>
  <c r="CT179" i="29"/>
  <c r="AF150" i="29"/>
  <c r="AF147" i="29" s="1"/>
  <c r="AF162" i="29" s="1"/>
  <c r="CE196" i="29"/>
  <c r="CE169" i="29"/>
  <c r="P153" i="29"/>
  <c r="T171" i="29"/>
  <c r="X171" i="29"/>
  <c r="AB171" i="29"/>
  <c r="AB311" i="29" s="1"/>
  <c r="T154" i="29"/>
  <c r="X154" i="29"/>
  <c r="AB154" i="29"/>
  <c r="AM196" i="29"/>
  <c r="AM184" i="29"/>
  <c r="AM169" i="29"/>
  <c r="BG171" i="29"/>
  <c r="BG311" i="29" s="1"/>
  <c r="BG154" i="29"/>
  <c r="BY196" i="29"/>
  <c r="BY184" i="29"/>
  <c r="BY169" i="29"/>
  <c r="CC171" i="29"/>
  <c r="CC311" i="29" s="1"/>
  <c r="BY154" i="29"/>
  <c r="CC154" i="29"/>
  <c r="D171" i="29"/>
  <c r="H171" i="29"/>
  <c r="AQ196" i="29"/>
  <c r="AQ184" i="29"/>
  <c r="AQ169" i="29"/>
  <c r="AQ172" i="29"/>
  <c r="AY153" i="29"/>
  <c r="BC171" i="29"/>
  <c r="BC311" i="29" s="1"/>
  <c r="BQ171" i="29"/>
  <c r="BC154" i="29"/>
  <c r="BA155" i="29"/>
  <c r="BK171" i="29"/>
  <c r="AM158" i="29"/>
  <c r="AM159" i="29" s="1"/>
  <c r="AQ158" i="29"/>
  <c r="AQ159" i="29" s="1"/>
  <c r="BH162" i="29"/>
  <c r="BK157" i="29"/>
  <c r="BK158" i="29"/>
  <c r="BZ158" i="29"/>
  <c r="BZ159" i="29" s="1"/>
  <c r="AE162" i="29"/>
  <c r="AJ162" i="29"/>
  <c r="BD162" i="29"/>
  <c r="AF165" i="29"/>
  <c r="AJ165" i="29"/>
  <c r="AN165" i="29"/>
  <c r="BK165" i="29"/>
  <c r="BT165" i="29"/>
  <c r="BK166" i="29"/>
  <c r="CP158" i="29"/>
  <c r="BX137" i="29"/>
  <c r="BW138" i="29"/>
  <c r="CT133" i="29"/>
  <c r="BY139" i="29"/>
  <c r="CQ140" i="29"/>
  <c r="N179" i="29"/>
  <c r="G179" i="29"/>
  <c r="T179" i="29"/>
  <c r="X179" i="29"/>
  <c r="AC178" i="29"/>
  <c r="AC162" i="29"/>
  <c r="AH179" i="29"/>
  <c r="AS178" i="29"/>
  <c r="AS179" i="29" s="1"/>
  <c r="AS162" i="29"/>
  <c r="AX179" i="29"/>
  <c r="BH179" i="29"/>
  <c r="BT162" i="29"/>
  <c r="BT178" i="29"/>
  <c r="BT179" i="29" s="1"/>
  <c r="CQ179" i="29"/>
  <c r="CQ238" i="29"/>
  <c r="CU238" i="29" s="1"/>
  <c r="CU148" i="29"/>
  <c r="AM179" i="29"/>
  <c r="CE179" i="29"/>
  <c r="AK147" i="29"/>
  <c r="AK162" i="29" s="1"/>
  <c r="M171" i="29"/>
  <c r="U171" i="29"/>
  <c r="U311" i="29" s="1"/>
  <c r="Y171" i="29"/>
  <c r="AC171" i="29"/>
  <c r="AG171" i="29"/>
  <c r="M154" i="29"/>
  <c r="U154" i="29"/>
  <c r="Y154" i="29"/>
  <c r="AC154" i="29"/>
  <c r="AG154" i="29"/>
  <c r="AN171" i="29"/>
  <c r="AM154" i="29"/>
  <c r="BH171" i="29"/>
  <c r="BH154" i="29"/>
  <c r="BM171" i="29"/>
  <c r="BZ154" i="29"/>
  <c r="CD154" i="29"/>
  <c r="E171" i="29"/>
  <c r="E311" i="29" s="1"/>
  <c r="I171" i="29"/>
  <c r="AR171" i="29"/>
  <c r="AV196" i="29"/>
  <c r="AV184" i="29"/>
  <c r="AV169" i="29"/>
  <c r="AV170" i="29" s="1"/>
  <c r="AV172" i="29"/>
  <c r="BD171" i="29"/>
  <c r="BR196" i="29"/>
  <c r="BR184" i="29"/>
  <c r="BR169" i="29"/>
  <c r="D154" i="29"/>
  <c r="AQ154" i="29"/>
  <c r="BD154" i="29"/>
  <c r="AJ171" i="29"/>
  <c r="BF155" i="29"/>
  <c r="BK154" i="29"/>
  <c r="AJ158" i="29"/>
  <c r="AJ159" i="29" s="1"/>
  <c r="AN158" i="29"/>
  <c r="AN159" i="29" s="1"/>
  <c r="AR158" i="29"/>
  <c r="AV158" i="29"/>
  <c r="AV159" i="29" s="1"/>
  <c r="BE157" i="29"/>
  <c r="BE158" i="29"/>
  <c r="BG157" i="29"/>
  <c r="BL157" i="29"/>
  <c r="BL158" i="29"/>
  <c r="BL159" i="29" s="1"/>
  <c r="BL162" i="29"/>
  <c r="BQ157" i="29"/>
  <c r="BU157" i="29"/>
  <c r="BY157" i="29"/>
  <c r="BW162" i="29"/>
  <c r="CC157" i="29"/>
  <c r="CC158" i="29"/>
  <c r="CC159" i="29" s="1"/>
  <c r="CC162" i="29"/>
  <c r="CC165" i="29"/>
  <c r="M162" i="29"/>
  <c r="X162" i="29"/>
  <c r="F162" i="29"/>
  <c r="K162" i="29"/>
  <c r="K160" i="29" s="1"/>
  <c r="AL162" i="29"/>
  <c r="AQ162" i="29"/>
  <c r="AX162" i="29"/>
  <c r="AG166" i="29"/>
  <c r="BB157" i="29"/>
  <c r="BE164" i="29"/>
  <c r="BF164" i="29" s="1"/>
  <c r="BL166" i="29"/>
  <c r="AQ165" i="29"/>
  <c r="AN166" i="29"/>
  <c r="BA167" i="29"/>
  <c r="BL171" i="29"/>
  <c r="BL311" i="29" s="1"/>
  <c r="BZ171" i="29"/>
  <c r="BZ311" i="29" s="1"/>
  <c r="AA165" i="29"/>
  <c r="CP165" i="29"/>
  <c r="CQ133" i="29"/>
  <c r="CQ137" i="29"/>
  <c r="CQ135" i="29" s="1"/>
  <c r="BZ139" i="29"/>
  <c r="CA139" i="29" s="1"/>
  <c r="O178" i="29"/>
  <c r="O179" i="29" s="1"/>
  <c r="O162" i="29"/>
  <c r="Y179" i="29"/>
  <c r="AI179" i="29"/>
  <c r="AO179" i="29"/>
  <c r="BD179" i="29"/>
  <c r="BI178" i="29"/>
  <c r="BI179" i="29" s="1"/>
  <c r="BI162" i="29"/>
  <c r="BY179" i="29"/>
  <c r="CD179" i="29"/>
  <c r="CR179" i="29"/>
  <c r="CE154" i="29"/>
  <c r="CU150" i="29"/>
  <c r="CZ150" i="29" s="1"/>
  <c r="N171" i="29"/>
  <c r="N311" i="29" s="1"/>
  <c r="R171" i="29"/>
  <c r="R311" i="29" s="1"/>
  <c r="Z196" i="29"/>
  <c r="Z184" i="29"/>
  <c r="Z172" i="29"/>
  <c r="AD171" i="29"/>
  <c r="AD311" i="29" s="1"/>
  <c r="AH171" i="29"/>
  <c r="AH311" i="29" s="1"/>
  <c r="N154" i="29"/>
  <c r="R154" i="29"/>
  <c r="Z154" i="29"/>
  <c r="AD154" i="29"/>
  <c r="AH154" i="29"/>
  <c r="AM151" i="29"/>
  <c r="AM152" i="29" s="1"/>
  <c r="AN154" i="29"/>
  <c r="BI158" i="29"/>
  <c r="BI159" i="29" s="1"/>
  <c r="BI171" i="29"/>
  <c r="BI154" i="29"/>
  <c r="BW171" i="29"/>
  <c r="BW311" i="29" s="1"/>
  <c r="BW154" i="29"/>
  <c r="F171" i="29"/>
  <c r="J171" i="29"/>
  <c r="J311" i="29" s="1"/>
  <c r="AS171" i="29"/>
  <c r="AS311" i="29" s="1"/>
  <c r="AW171" i="29"/>
  <c r="BA196" i="29"/>
  <c r="BA184" i="29"/>
  <c r="BA169" i="29"/>
  <c r="BE196" i="29"/>
  <c r="BE169" i="29"/>
  <c r="BS171" i="29"/>
  <c r="CK171" i="29"/>
  <c r="E154" i="29"/>
  <c r="AR154" i="29"/>
  <c r="AV154" i="29"/>
  <c r="BE154" i="29"/>
  <c r="AJ154" i="29"/>
  <c r="BK151" i="29"/>
  <c r="BK152" i="29" s="1"/>
  <c r="AM157" i="29"/>
  <c r="AQ157" i="29"/>
  <c r="AU157" i="29"/>
  <c r="AG158" i="29"/>
  <c r="AG159" i="29" s="1"/>
  <c r="AS158" i="29"/>
  <c r="AS159" i="29" s="1"/>
  <c r="AW158" i="29"/>
  <c r="AW159" i="29" s="1"/>
  <c r="BA158" i="29"/>
  <c r="BH157" i="29"/>
  <c r="BM157" i="29"/>
  <c r="BM158" i="29"/>
  <c r="BM159" i="29" s="1"/>
  <c r="BM162" i="29"/>
  <c r="BR157" i="29"/>
  <c r="BV157" i="29"/>
  <c r="BX162" i="29"/>
  <c r="CB162" i="29"/>
  <c r="CD157" i="29"/>
  <c r="CD158" i="29"/>
  <c r="CD159" i="29" s="1"/>
  <c r="CD162" i="29"/>
  <c r="CK158" i="29"/>
  <c r="N162" i="29"/>
  <c r="T162" i="29"/>
  <c r="Y162" i="29"/>
  <c r="G162" i="29"/>
  <c r="AB162" i="29"/>
  <c r="AH162" i="29"/>
  <c r="AM162" i="29"/>
  <c r="AR162" i="29"/>
  <c r="BS162" i="29"/>
  <c r="AH166" i="29"/>
  <c r="AL166" i="29"/>
  <c r="AT164" i="29"/>
  <c r="BG165" i="29"/>
  <c r="BB165" i="29"/>
  <c r="BT166" i="29"/>
  <c r="BZ165" i="29"/>
  <c r="BV179" i="29"/>
  <c r="AP164" i="29"/>
  <c r="AG165" i="29"/>
  <c r="AK165" i="29"/>
  <c r="AA166" i="29"/>
  <c r="CP154" i="29"/>
  <c r="CP166" i="29"/>
  <c r="K177" i="29"/>
  <c r="L177" i="29" s="1"/>
  <c r="AU180" i="29"/>
  <c r="BJ180" i="29"/>
  <c r="BJ208" i="29" s="1"/>
  <c r="AP194" i="29"/>
  <c r="CR193" i="29"/>
  <c r="CQ191" i="29"/>
  <c r="B208" i="29"/>
  <c r="B182" i="29"/>
  <c r="DJ182" i="29"/>
  <c r="DJ180" i="29" s="1"/>
  <c r="DE180" i="29"/>
  <c r="AZ180" i="29"/>
  <c r="AZ208" i="29" s="1"/>
  <c r="BK193" i="29"/>
  <c r="BK194" i="29" s="1"/>
  <c r="L208" i="29"/>
  <c r="L182" i="29"/>
  <c r="AF208" i="29"/>
  <c r="AF182" i="29"/>
  <c r="BU180" i="29"/>
  <c r="BV182" i="29"/>
  <c r="BV180" i="29" s="1"/>
  <c r="AA182" i="29"/>
  <c r="V177" i="29"/>
  <c r="Z177" i="29"/>
  <c r="AA177" i="29" s="1"/>
  <c r="CR195" i="29"/>
  <c r="CS183" i="29"/>
  <c r="AP180" i="29"/>
  <c r="CF180" i="29"/>
  <c r="CF208" i="29" s="1"/>
  <c r="BA193" i="29"/>
  <c r="BA194" i="29" s="1"/>
  <c r="AZ194" i="29"/>
  <c r="BQ192" i="29"/>
  <c r="CF194" i="29"/>
  <c r="CA194" i="29"/>
  <c r="CT220" i="29"/>
  <c r="CS221" i="29"/>
  <c r="CS223" i="29" s="1"/>
  <c r="AK193" i="29"/>
  <c r="AK194" i="29" s="1"/>
  <c r="AP193" i="29"/>
  <c r="BF193" i="29"/>
  <c r="BF194" i="29" s="1"/>
  <c r="V178" i="29"/>
  <c r="V182" i="29"/>
  <c r="BK216" i="29"/>
  <c r="BK202" i="29"/>
  <c r="AZ216" i="29"/>
  <c r="CR221" i="29"/>
  <c r="CR223" i="29" s="1"/>
  <c r="CR255" i="29" s="1"/>
  <c r="AZ221" i="29"/>
  <c r="BK221" i="29" s="1"/>
  <c r="AV222" i="29"/>
  <c r="AZ222" i="29" s="1"/>
  <c r="BK222" i="29" s="1"/>
  <c r="BT222" i="29"/>
  <c r="BV227" i="29"/>
  <c r="BV225" i="29"/>
  <c r="CK227" i="29"/>
  <c r="CA227" i="29"/>
  <c r="BV216" i="29"/>
  <c r="CS228" i="29"/>
  <c r="CT228" i="29" s="1"/>
  <c r="I245" i="29"/>
  <c r="BF213" i="29"/>
  <c r="CQ259" i="29"/>
  <c r="CF222" i="29"/>
  <c r="CA222" i="29"/>
  <c r="CA223" i="29" s="1"/>
  <c r="BM222" i="29"/>
  <c r="AI251" i="29"/>
  <c r="AI247" i="29"/>
  <c r="AI245" i="29"/>
  <c r="AI246" i="29"/>
  <c r="AQ222" i="29"/>
  <c r="AU222" i="29" s="1"/>
  <c r="BF222" i="29" s="1"/>
  <c r="BQ222" i="29" s="1"/>
  <c r="BR227" i="29"/>
  <c r="BQ227" i="29"/>
  <c r="BK228" i="29"/>
  <c r="AZ229" i="29"/>
  <c r="AU220" i="29"/>
  <c r="CU225" i="29"/>
  <c r="CZ225" i="29" s="1"/>
  <c r="DE225" i="29" s="1"/>
  <c r="DJ225" i="29" s="1"/>
  <c r="BS249" i="29"/>
  <c r="BM249" i="29"/>
  <c r="DE222" i="29"/>
  <c r="CA228" i="29"/>
  <c r="AA229" i="29"/>
  <c r="BG229" i="29"/>
  <c r="AZ231" i="29"/>
  <c r="AV232" i="29"/>
  <c r="CF232" i="29"/>
  <c r="AS238" i="29"/>
  <c r="AU238" i="29" s="1"/>
  <c r="AY237" i="29"/>
  <c r="BE237" i="29"/>
  <c r="BE184" i="29" s="1"/>
  <c r="BE238" i="29"/>
  <c r="BF238" i="29" s="1"/>
  <c r="BJ238" i="29"/>
  <c r="BT238" i="29"/>
  <c r="BU238" i="29" s="1"/>
  <c r="BZ237" i="29"/>
  <c r="CD237" i="29"/>
  <c r="CR237" i="29"/>
  <c r="K238" i="29"/>
  <c r="U240" i="29"/>
  <c r="AD261" i="29"/>
  <c r="AD247" i="29"/>
  <c r="AA239" i="29"/>
  <c r="Z239" i="29"/>
  <c r="AJ241" i="29"/>
  <c r="AS244" i="29"/>
  <c r="AY243" i="29"/>
  <c r="BD243" i="29"/>
  <c r="BF250" i="29"/>
  <c r="BJ243" i="29"/>
  <c r="BU241" i="29"/>
  <c r="BT243" i="29"/>
  <c r="BZ244" i="29"/>
  <c r="CF241" i="29"/>
  <c r="CP241" i="29" s="1"/>
  <c r="Y237" i="29"/>
  <c r="Y261" i="29"/>
  <c r="Y247" i="29"/>
  <c r="CD244" i="29"/>
  <c r="CQ252" i="29"/>
  <c r="CQ245" i="29"/>
  <c r="CR244" i="29"/>
  <c r="AP249" i="29"/>
  <c r="CC246" i="29"/>
  <c r="N249" i="29"/>
  <c r="BV249" i="29"/>
  <c r="AD258" i="29"/>
  <c r="AE259" i="29"/>
  <c r="BT228" i="29"/>
  <c r="BT229" i="29" s="1"/>
  <c r="CF228" i="29"/>
  <c r="AV229" i="29"/>
  <c r="BL229" i="29"/>
  <c r="CP226" i="29"/>
  <c r="BB232" i="29"/>
  <c r="CP231" i="29"/>
  <c r="AE238" i="29"/>
  <c r="AE240" i="29"/>
  <c r="Z240" i="29"/>
  <c r="AA240" i="29" s="1"/>
  <c r="AU250" i="29"/>
  <c r="AS250" i="29"/>
  <c r="BC249" i="29"/>
  <c r="BI247" i="29"/>
  <c r="BU246" i="29"/>
  <c r="BU245" i="29"/>
  <c r="BY245" i="29"/>
  <c r="BY252" i="29"/>
  <c r="CC247" i="29"/>
  <c r="CE243" i="29"/>
  <c r="I251" i="29"/>
  <c r="I247" i="29"/>
  <c r="I246" i="29"/>
  <c r="O251" i="29"/>
  <c r="O247" i="29"/>
  <c r="O245" i="29"/>
  <c r="X247" i="29"/>
  <c r="X251" i="29"/>
  <c r="AV249" i="29"/>
  <c r="AY251" i="29"/>
  <c r="AA254" i="29"/>
  <c r="CQ310" i="29"/>
  <c r="BQ228" i="29"/>
  <c r="BU228" i="29"/>
  <c r="BW229" i="29" s="1"/>
  <c r="AU231" i="29"/>
  <c r="BC232" i="29"/>
  <c r="CU231" i="29"/>
  <c r="AT237" i="29"/>
  <c r="AU237" i="29" s="1"/>
  <c r="BY238" i="29"/>
  <c r="BZ238" i="29" s="1"/>
  <c r="CD238" i="29"/>
  <c r="CE238" i="29" s="1"/>
  <c r="J239" i="29"/>
  <c r="K239" i="29" s="1"/>
  <c r="P239" i="29"/>
  <c r="T238" i="29"/>
  <c r="U238" i="29" s="1"/>
  <c r="AD238" i="29"/>
  <c r="AD240" i="29"/>
  <c r="AS243" i="29"/>
  <c r="AR247" i="29"/>
  <c r="AT250" i="29"/>
  <c r="AX241" i="29"/>
  <c r="AY241" i="29" s="1"/>
  <c r="AW246" i="29"/>
  <c r="AY244" i="29"/>
  <c r="AW252" i="29"/>
  <c r="AW261" i="29" s="1"/>
  <c r="AW245" i="29"/>
  <c r="AX244" i="29"/>
  <c r="BC252" i="29"/>
  <c r="BC261" i="29" s="1"/>
  <c r="BC246" i="29"/>
  <c r="BE244" i="29"/>
  <c r="BI241" i="29"/>
  <c r="BJ241" i="29" s="1"/>
  <c r="BJ246" i="29"/>
  <c r="BJ245" i="29"/>
  <c r="BT246" i="29"/>
  <c r="BT252" i="29"/>
  <c r="BT245" i="29"/>
  <c r="BX247" i="29"/>
  <c r="BX261" i="29"/>
  <c r="CD243" i="29"/>
  <c r="J244" i="29"/>
  <c r="P244" i="29"/>
  <c r="Y244" i="29"/>
  <c r="Z244" i="29" s="1"/>
  <c r="BM261" i="29"/>
  <c r="O246" i="29"/>
  <c r="X246" i="29"/>
  <c r="AW247" i="29"/>
  <c r="BG249" i="29"/>
  <c r="BK249" i="29"/>
  <c r="CB249" i="29"/>
  <c r="B249" i="29"/>
  <c r="F249" i="29"/>
  <c r="R249" i="29"/>
  <c r="AY253" i="29"/>
  <c r="U257" i="29"/>
  <c r="U310" i="29" s="1"/>
  <c r="CR226" i="29"/>
  <c r="AT238" i="29"/>
  <c r="AX238" i="29"/>
  <c r="AY238" i="29" s="1"/>
  <c r="BI237" i="29"/>
  <c r="BJ237" i="29" s="1"/>
  <c r="BT237" i="29"/>
  <c r="BU237" i="29" s="1"/>
  <c r="P240" i="29"/>
  <c r="AC249" i="29"/>
  <c r="AO238" i="29"/>
  <c r="AA237" i="29"/>
  <c r="Z238" i="29"/>
  <c r="AA238" i="29" s="1"/>
  <c r="AO241" i="29"/>
  <c r="AN241" i="29"/>
  <c r="AR252" i="29"/>
  <c r="AR261" i="29" s="1"/>
  <c r="AR245" i="29"/>
  <c r="AT251" i="29"/>
  <c r="AU251" i="29" s="1"/>
  <c r="BF241" i="29"/>
  <c r="BD244" i="29"/>
  <c r="BD251" i="29"/>
  <c r="BI246" i="29"/>
  <c r="BU243" i="29"/>
  <c r="BZ241" i="29"/>
  <c r="BY243" i="29"/>
  <c r="K244" i="29"/>
  <c r="S251" i="29"/>
  <c r="S247" i="29"/>
  <c r="S245" i="29"/>
  <c r="T244" i="29"/>
  <c r="AH251" i="29"/>
  <c r="AJ244" i="29"/>
  <c r="AH246" i="29"/>
  <c r="BM246" i="29"/>
  <c r="BM252" i="29"/>
  <c r="X245" i="29"/>
  <c r="AH247" i="29"/>
  <c r="BI245" i="29"/>
  <c r="BL249" i="29"/>
  <c r="BY246" i="29"/>
  <c r="V249" i="29"/>
  <c r="BQ249" i="29"/>
  <c r="AO245" i="29"/>
  <c r="AO246" i="29"/>
  <c r="AA253" i="29"/>
  <c r="AF253" i="29"/>
  <c r="AE253" i="29"/>
  <c r="BZ258" i="29"/>
  <c r="AA260" i="29"/>
  <c r="AA261" i="29" s="1"/>
  <c r="AM238" i="29"/>
  <c r="AU241" i="29"/>
  <c r="BH245" i="29"/>
  <c r="Z250" i="29"/>
  <c r="AA250" i="29" s="1"/>
  <c r="AA251" i="29" s="1"/>
  <c r="AM245" i="29"/>
  <c r="AM249" i="29"/>
  <c r="CP249" i="29"/>
  <c r="AX251" i="29"/>
  <c r="AX253" i="29"/>
  <c r="BH252" i="29"/>
  <c r="BS252" i="29"/>
  <c r="CE251" i="29"/>
  <c r="AE243" i="29"/>
  <c r="AO250" i="29"/>
  <c r="AO251" i="29" s="1"/>
  <c r="BX252" i="29"/>
  <c r="T255" i="29"/>
  <c r="BY254" i="29"/>
  <c r="BZ254" i="29" s="1"/>
  <c r="BY256" i="29"/>
  <c r="BZ256" i="29" s="1"/>
  <c r="BY258" i="29"/>
  <c r="AH258" i="29"/>
  <c r="AR258" i="29"/>
  <c r="AS258" i="29" s="1"/>
  <c r="AY258" i="29"/>
  <c r="BE256" i="29"/>
  <c r="BF256" i="29" s="1"/>
  <c r="BC258" i="29"/>
  <c r="BD258" i="29" s="1"/>
  <c r="BD259" i="29" s="1"/>
  <c r="BJ255" i="29"/>
  <c r="Z253" i="29"/>
  <c r="AX259" i="29"/>
  <c r="BH259" i="29"/>
  <c r="CC259" i="29"/>
  <c r="CC261" i="29" s="1"/>
  <c r="O260" i="29"/>
  <c r="O261" i="29" s="1"/>
  <c r="BE255" i="29"/>
  <c r="I261" i="29"/>
  <c r="AC261" i="29"/>
  <c r="AO243" i="29"/>
  <c r="J258" i="29"/>
  <c r="BX310" i="29"/>
  <c r="AR310" i="29"/>
  <c r="CD259" i="29"/>
  <c r="CE255" i="29"/>
  <c r="CE259" i="29" s="1"/>
  <c r="Z254" i="29"/>
  <c r="X310" i="29"/>
  <c r="Z257" i="29"/>
  <c r="Z310" i="29" s="1"/>
  <c r="AD310" i="29"/>
  <c r="AE257" i="29"/>
  <c r="AE310" i="29" s="1"/>
  <c r="BF255" i="29"/>
  <c r="AN258" i="29"/>
  <c r="BX259" i="29"/>
  <c r="AO259" i="29"/>
  <c r="AT258" i="29"/>
  <c r="AY257" i="29"/>
  <c r="AY310" i="29" s="1"/>
  <c r="BE257" i="29"/>
  <c r="BE310" i="29" s="1"/>
  <c r="BU251" i="29"/>
  <c r="BU255" i="29"/>
  <c r="BZ255" i="29"/>
  <c r="C262" i="29"/>
  <c r="AN247" i="29"/>
  <c r="J250" i="29"/>
  <c r="K250" i="29" s="1"/>
  <c r="BJ251" i="29"/>
  <c r="T253" i="29"/>
  <c r="U253" i="29" s="1"/>
  <c r="Z255" i="29"/>
  <c r="J254" i="29"/>
  <c r="K254" i="29" s="1"/>
  <c r="K255" i="29"/>
  <c r="BY257" i="29"/>
  <c r="BY310" i="29" s="1"/>
  <c r="AE255" i="29"/>
  <c r="AF255" i="29" s="1"/>
  <c r="AJ255" i="29"/>
  <c r="AS255" i="29"/>
  <c r="AS257" i="29"/>
  <c r="AS310" i="29" s="1"/>
  <c r="AW259" i="29"/>
  <c r="J257" i="29"/>
  <c r="J310" i="29" s="1"/>
  <c r="P257" i="29"/>
  <c r="P310" i="29" s="1"/>
  <c r="Y257" i="29"/>
  <c r="Y310" i="29" s="1"/>
  <c r="I258" i="29"/>
  <c r="BS259" i="29"/>
  <c r="BS261" i="29" s="1"/>
  <c r="K260" i="29"/>
  <c r="K261" i="29" s="1"/>
  <c r="T260" i="29"/>
  <c r="T261" i="29" s="1"/>
  <c r="Z260" i="29"/>
  <c r="Z261" i="29" s="1"/>
  <c r="AE260" i="29"/>
  <c r="AF260" i="29" s="1"/>
  <c r="AF261" i="29" s="1"/>
  <c r="BJ257" i="29"/>
  <c r="BJ310" i="29" s="1"/>
  <c r="BU252" i="29"/>
  <c r="BZ252" i="29"/>
  <c r="BI251" i="29"/>
  <c r="BI252" i="29" s="1"/>
  <c r="BI253" i="29"/>
  <c r="BI259" i="29" s="1"/>
  <c r="BT253" i="29"/>
  <c r="BU253" i="29" s="1"/>
  <c r="O255" i="29"/>
  <c r="O258" i="29" s="1"/>
  <c r="Y255" i="29"/>
  <c r="AA255" i="29"/>
  <c r="AI257" i="29"/>
  <c r="AI310" i="29" s="1"/>
  <c r="CD256" i="29"/>
  <c r="CE256" i="29" s="1"/>
  <c r="CE257" i="29"/>
  <c r="CE310" i="29" s="1"/>
  <c r="AE256" i="29"/>
  <c r="K257" i="29"/>
  <c r="K310" i="29" s="1"/>
  <c r="S310" i="29"/>
  <c r="T257" i="29"/>
  <c r="T310" i="29" s="1"/>
  <c r="AA257" i="29"/>
  <c r="AA310" i="29" s="1"/>
  <c r="AM310" i="29"/>
  <c r="AO257" i="29"/>
  <c r="AO310" i="29" s="1"/>
  <c r="X258" i="29"/>
  <c r="AC258" i="29"/>
  <c r="AM258" i="29"/>
  <c r="AN256" i="29"/>
  <c r="AO256" i="29" s="1"/>
  <c r="P260" i="29"/>
  <c r="P261" i="29" s="1"/>
  <c r="U260" i="29"/>
  <c r="U261" i="29" s="1"/>
  <c r="BU257" i="29"/>
  <c r="BU310" i="29" s="1"/>
  <c r="H267" i="29"/>
  <c r="H273" i="29" s="1"/>
  <c r="H274" i="29" s="1"/>
  <c r="I262" i="29"/>
  <c r="BF257" i="29"/>
  <c r="BF310" i="29" s="1"/>
  <c r="C263" i="29"/>
  <c r="BV280" i="29"/>
  <c r="CQ276" i="29"/>
  <c r="CR276" i="29" s="1"/>
  <c r="BC280" i="29"/>
  <c r="BD277" i="29"/>
  <c r="BB280" i="29"/>
  <c r="CP286" i="29"/>
  <c r="C289" i="29"/>
  <c r="G289" i="29"/>
  <c r="CP277" i="29"/>
  <c r="Q280" i="29"/>
  <c r="AK280" i="29"/>
  <c r="AS289" i="29"/>
  <c r="E289" i="29"/>
  <c r="I289" i="29"/>
  <c r="N289" i="29"/>
  <c r="AG289" i="29"/>
  <c r="BK288" i="29"/>
  <c r="BJ289" i="29"/>
  <c r="L286" i="29"/>
  <c r="AF286" i="29"/>
  <c r="J289" i="29"/>
  <c r="AH289" i="29"/>
  <c r="BG289" i="29"/>
  <c r="BZ289" i="29"/>
  <c r="CD289" i="29"/>
  <c r="CS289" i="29" s="1"/>
  <c r="CR309" i="29"/>
  <c r="CS297" i="29"/>
  <c r="BD287" i="29"/>
  <c r="BD288" i="29" s="1"/>
  <c r="BD289" i="29" s="1"/>
  <c r="U289" i="29"/>
  <c r="Y289" i="29"/>
  <c r="AD289" i="29"/>
  <c r="AR289" i="29"/>
  <c r="AW289" i="29"/>
  <c r="BW289" i="29"/>
  <c r="CE289" i="29"/>
  <c r="CT289" i="29" s="1"/>
  <c r="CT288" i="29" s="1"/>
  <c r="CU288" i="29" s="1"/>
  <c r="AO289" i="29"/>
  <c r="BV286" i="29"/>
  <c r="L288" i="29"/>
  <c r="AF288" i="29"/>
  <c r="M289" i="29"/>
  <c r="R289" i="29"/>
  <c r="V288" i="29"/>
  <c r="Z289" i="29"/>
  <c r="AX289" i="29"/>
  <c r="BX289" i="29"/>
  <c r="CB289" i="29"/>
  <c r="CQ289" i="29" s="1"/>
  <c r="CQ288" i="29" s="1"/>
  <c r="AP288" i="29"/>
  <c r="AZ288" i="29"/>
  <c r="BK294" i="29"/>
  <c r="CA286" i="29"/>
  <c r="AU302" i="29"/>
  <c r="AU303" i="29" s="1"/>
  <c r="CF309" i="29"/>
  <c r="CF302" i="29"/>
  <c r="CP297" i="29"/>
  <c r="CF288" i="29"/>
  <c r="AB309" i="29"/>
  <c r="Z309" i="29"/>
  <c r="Z302" i="29"/>
  <c r="Z303" i="29" s="1"/>
  <c r="Z304" i="29" s="1"/>
  <c r="L309" i="29"/>
  <c r="L302" i="29"/>
  <c r="L303" i="29" s="1"/>
  <c r="L304" i="29" s="1"/>
  <c r="Q309" i="29"/>
  <c r="V309" i="29"/>
  <c r="V302" i="29"/>
  <c r="V303" i="29" s="1"/>
  <c r="V304" i="29" s="1"/>
  <c r="AA309" i="29"/>
  <c r="AA302" i="29"/>
  <c r="AA303" i="29" s="1"/>
  <c r="AA304" i="29" s="1"/>
  <c r="AF309" i="29"/>
  <c r="AF302" i="29"/>
  <c r="AF303" i="29" s="1"/>
  <c r="AF304" i="29" s="1"/>
  <c r="AK309" i="29"/>
  <c r="AP309" i="29"/>
  <c r="AO294" i="29"/>
  <c r="BV284" i="29"/>
  <c r="CA288" i="29"/>
  <c r="CA290" i="29" s="1"/>
  <c r="CA295" i="29" s="1"/>
  <c r="CA303" i="29" s="1"/>
  <c r="AO309" i="29"/>
  <c r="AQ309" i="29"/>
  <c r="CP299" i="29"/>
  <c r="AO302" i="29"/>
  <c r="AO303" i="29" s="1"/>
  <c r="AO304" i="29" s="1"/>
  <c r="AU286" i="29"/>
  <c r="CF286" i="29"/>
  <c r="CQ309" i="29"/>
  <c r="CE309" i="29"/>
  <c r="CE302" i="29"/>
  <c r="CE303" i="29" s="1"/>
  <c r="CE304" i="29" s="1"/>
  <c r="AU309" i="29"/>
  <c r="AZ309" i="29"/>
  <c r="BB309" i="29"/>
  <c r="CA309" i="29"/>
  <c r="CA302" i="29"/>
  <c r="AZ302" i="29"/>
  <c r="O56" i="150"/>
  <c r="O54" i="150"/>
  <c r="E55" i="150"/>
  <c r="N15" i="150"/>
  <c r="P54" i="150"/>
  <c r="F55" i="150"/>
  <c r="N56" i="150"/>
  <c r="N54" i="150"/>
  <c r="O13" i="150"/>
  <c r="F29" i="150"/>
  <c r="G37" i="150"/>
  <c r="E43" i="150"/>
  <c r="P13" i="150"/>
  <c r="G41" i="150" s="1"/>
  <c r="H37" i="150"/>
  <c r="Q43" i="150"/>
  <c r="F43" i="150"/>
  <c r="F289" i="29" l="1"/>
  <c r="CP284" i="29"/>
  <c r="AL289" i="29"/>
  <c r="CC179" i="29"/>
  <c r="BM179" i="29"/>
  <c r="CP179" i="29"/>
  <c r="AE179" i="29"/>
  <c r="BH159" i="29"/>
  <c r="AF94" i="29"/>
  <c r="BL152" i="29"/>
  <c r="C56" i="29"/>
  <c r="V42" i="29"/>
  <c r="Q94" i="29"/>
  <c r="AU75" i="29"/>
  <c r="AU76" i="29" s="1"/>
  <c r="BC289" i="29"/>
  <c r="CC289" i="29"/>
  <c r="CR289" i="29" s="1"/>
  <c r="CR288" i="29" s="1"/>
  <c r="CP274" i="29"/>
  <c r="Q271" i="29"/>
  <c r="CP271" i="29"/>
  <c r="BC245" i="29"/>
  <c r="AC179" i="29"/>
  <c r="BB152" i="29"/>
  <c r="Q98" i="29"/>
  <c r="CU286" i="29"/>
  <c r="CZ286" i="29" s="1"/>
  <c r="DE286" i="29" s="1"/>
  <c r="AU98" i="29"/>
  <c r="CC152" i="29"/>
  <c r="BD152" i="29"/>
  <c r="D79" i="29"/>
  <c r="D77" i="29"/>
  <c r="D78" i="29" s="1"/>
  <c r="Q289" i="29"/>
  <c r="CS288" i="29"/>
  <c r="Q284" i="29"/>
  <c r="Q269" i="29"/>
  <c r="AN245" i="29"/>
  <c r="CE159" i="29"/>
  <c r="BY159" i="29"/>
  <c r="AV152" i="29"/>
  <c r="AC152" i="29"/>
  <c r="AU79" i="29"/>
  <c r="T152" i="29"/>
  <c r="AP100" i="29"/>
  <c r="BC152" i="29"/>
  <c r="BE186" i="29"/>
  <c r="BE187" i="29"/>
  <c r="CA140" i="29"/>
  <c r="CA137" i="29"/>
  <c r="BJ252" i="29"/>
  <c r="AK160" i="29"/>
  <c r="AK167" i="29"/>
  <c r="AK163" i="29"/>
  <c r="AK166" i="29"/>
  <c r="Z251" i="29"/>
  <c r="Z246" i="29"/>
  <c r="Z247" i="29"/>
  <c r="Z245" i="29"/>
  <c r="BI261" i="29"/>
  <c r="BF166" i="29"/>
  <c r="BF165" i="29"/>
  <c r="BF167" i="29"/>
  <c r="AF163" i="29"/>
  <c r="AF167" i="29"/>
  <c r="AF160" i="29"/>
  <c r="AF166" i="29"/>
  <c r="CA92" i="29"/>
  <c r="CA89" i="29"/>
  <c r="BE258" i="29"/>
  <c r="BF258" i="29" s="1"/>
  <c r="BF259" i="29" s="1"/>
  <c r="Z258" i="29"/>
  <c r="AO261" i="29"/>
  <c r="AO247" i="29"/>
  <c r="I263" i="29"/>
  <c r="AI258" i="29"/>
  <c r="BD252" i="29"/>
  <c r="BD246" i="29"/>
  <c r="BD245" i="29"/>
  <c r="P247" i="29"/>
  <c r="P251" i="29"/>
  <c r="P246" i="29"/>
  <c r="P245" i="29"/>
  <c r="BF244" i="29"/>
  <c r="AU258" i="29"/>
  <c r="BJ253" i="29"/>
  <c r="BJ259" i="29" s="1"/>
  <c r="BJ261" i="29" s="1"/>
  <c r="O249" i="29"/>
  <c r="BI249" i="29"/>
  <c r="CP232" i="29"/>
  <c r="AY259" i="29"/>
  <c r="CR252" i="29"/>
  <c r="CR245" i="29"/>
  <c r="CS244" i="29"/>
  <c r="CR246" i="29"/>
  <c r="CE237" i="29"/>
  <c r="CS237" i="29"/>
  <c r="BE251" i="29"/>
  <c r="BF251" i="29" s="1"/>
  <c r="AZ220" i="29"/>
  <c r="BK220" i="29" s="1"/>
  <c r="BF220" i="29"/>
  <c r="BF216" i="29"/>
  <c r="BF202" i="29"/>
  <c r="BF237" i="29"/>
  <c r="BQ193" i="29"/>
  <c r="BQ194" i="29" s="1"/>
  <c r="AP208" i="29"/>
  <c r="AP181" i="29"/>
  <c r="BU208" i="29"/>
  <c r="BU147" i="29"/>
  <c r="CS193" i="29"/>
  <c r="CR191" i="29"/>
  <c r="AU208" i="29"/>
  <c r="AU181" i="29"/>
  <c r="AH167" i="29"/>
  <c r="AH168" i="29" s="1"/>
  <c r="AH163" i="29"/>
  <c r="AH160" i="29"/>
  <c r="T163" i="29"/>
  <c r="T160" i="29"/>
  <c r="CD167" i="29"/>
  <c r="CD163" i="29"/>
  <c r="CD160" i="29"/>
  <c r="BX167" i="29"/>
  <c r="BX166" i="29"/>
  <c r="BX160" i="29"/>
  <c r="BX163" i="29"/>
  <c r="CK196" i="29"/>
  <c r="CK184" i="29"/>
  <c r="CK169" i="29"/>
  <c r="BA199" i="29"/>
  <c r="BA197" i="29"/>
  <c r="F196" i="29"/>
  <c r="F184" i="29"/>
  <c r="F172" i="29"/>
  <c r="F169" i="29"/>
  <c r="BI196" i="29"/>
  <c r="BI184" i="29"/>
  <c r="BI172" i="29"/>
  <c r="BI169" i="29"/>
  <c r="Z186" i="29"/>
  <c r="Z187" i="29"/>
  <c r="DE150" i="29"/>
  <c r="CZ147" i="29"/>
  <c r="BW166" i="29"/>
  <c r="BW160" i="29"/>
  <c r="BW167" i="29"/>
  <c r="BW163" i="29"/>
  <c r="BL167" i="29"/>
  <c r="BL163" i="29"/>
  <c r="BL160" i="29"/>
  <c r="BE159" i="29"/>
  <c r="AJ184" i="29"/>
  <c r="AJ196" i="29"/>
  <c r="AJ169" i="29"/>
  <c r="AJ172" i="29"/>
  <c r="BD196" i="29"/>
  <c r="BD184" i="29"/>
  <c r="BD169" i="29"/>
  <c r="BD172" i="29"/>
  <c r="AV199" i="29"/>
  <c r="AV197" i="29"/>
  <c r="BH196" i="29"/>
  <c r="BH184" i="29"/>
  <c r="BH172" i="29"/>
  <c r="BH169" i="29"/>
  <c r="AG184" i="29"/>
  <c r="AG196" i="29"/>
  <c r="AG172" i="29"/>
  <c r="AG169" i="29"/>
  <c r="M184" i="29"/>
  <c r="M196" i="29"/>
  <c r="M172" i="29"/>
  <c r="M169" i="29"/>
  <c r="CU147" i="29"/>
  <c r="AY171" i="29"/>
  <c r="AY157" i="29"/>
  <c r="AY154" i="29"/>
  <c r="AY158" i="29"/>
  <c r="AY151" i="29"/>
  <c r="AQ199" i="29"/>
  <c r="AQ197" i="29"/>
  <c r="BY187" i="29"/>
  <c r="BY186" i="29"/>
  <c r="AM172" i="29"/>
  <c r="X196" i="29"/>
  <c r="X184" i="29"/>
  <c r="X169" i="29"/>
  <c r="X172" i="29"/>
  <c r="AG160" i="29"/>
  <c r="AG163" i="29"/>
  <c r="AG167" i="29"/>
  <c r="AG168" i="29" s="1"/>
  <c r="W160" i="29"/>
  <c r="W161" i="29" s="1"/>
  <c r="W163" i="29"/>
  <c r="AO166" i="29"/>
  <c r="AO165" i="29"/>
  <c r="AI163" i="29"/>
  <c r="AI167" i="29"/>
  <c r="AI168" i="29" s="1"/>
  <c r="AI166" i="29"/>
  <c r="AI160" i="29"/>
  <c r="CE166" i="29"/>
  <c r="CE165" i="29"/>
  <c r="CF164" i="29"/>
  <c r="AL159" i="29"/>
  <c r="AZ157" i="29"/>
  <c r="BB159" i="29"/>
  <c r="K171" i="29"/>
  <c r="K151" i="29"/>
  <c r="BJ171" i="29"/>
  <c r="AI196" i="29"/>
  <c r="AI169" i="29"/>
  <c r="AI184" i="29"/>
  <c r="AI172" i="29"/>
  <c r="O196" i="29"/>
  <c r="O169" i="29"/>
  <c r="O172" i="29"/>
  <c r="O184" i="29"/>
  <c r="AV179" i="29"/>
  <c r="AZ178" i="29"/>
  <c r="E160" i="29"/>
  <c r="E161" i="29" s="1"/>
  <c r="E163" i="29"/>
  <c r="AP138" i="29"/>
  <c r="AP135" i="29"/>
  <c r="AP136" i="29" s="1"/>
  <c r="CF111" i="29"/>
  <c r="CF112" i="29" s="1"/>
  <c r="BY128" i="29"/>
  <c r="BZ127" i="29"/>
  <c r="BY125" i="29"/>
  <c r="R160" i="29"/>
  <c r="R163" i="29"/>
  <c r="V130" i="29"/>
  <c r="AZ99" i="29"/>
  <c r="AZ100" i="29" s="1"/>
  <c r="AZ102" i="29"/>
  <c r="CT158" i="29"/>
  <c r="CT151" i="29"/>
  <c r="CT155" i="29"/>
  <c r="CT164" i="29" s="1"/>
  <c r="BS245" i="29"/>
  <c r="BS175" i="29"/>
  <c r="BS177" i="29" s="1"/>
  <c r="BK245" i="29"/>
  <c r="BK175" i="29"/>
  <c r="AG284" i="29"/>
  <c r="AG271" i="29"/>
  <c r="AG269" i="29"/>
  <c r="AG245" i="29"/>
  <c r="AG174" i="29"/>
  <c r="AG175" i="29"/>
  <c r="AC284" i="29"/>
  <c r="AC271" i="29"/>
  <c r="AC269" i="29"/>
  <c r="AC245" i="29"/>
  <c r="AC174" i="29"/>
  <c r="AC175" i="29"/>
  <c r="Y284" i="29"/>
  <c r="Y269" i="29"/>
  <c r="Y271" i="29"/>
  <c r="Y174" i="29"/>
  <c r="Y175" i="29"/>
  <c r="U284" i="29"/>
  <c r="U269" i="29"/>
  <c r="U271" i="29"/>
  <c r="U174" i="29"/>
  <c r="U175" i="29"/>
  <c r="M284" i="29"/>
  <c r="M271" i="29"/>
  <c r="M269" i="29"/>
  <c r="M245" i="29"/>
  <c r="M174" i="29"/>
  <c r="M175" i="29"/>
  <c r="I284" i="29"/>
  <c r="I269" i="29"/>
  <c r="I271" i="29"/>
  <c r="I175" i="29"/>
  <c r="I179" i="29"/>
  <c r="E284" i="29"/>
  <c r="E271" i="29"/>
  <c r="E269" i="29"/>
  <c r="E245" i="29"/>
  <c r="E175" i="29"/>
  <c r="BC159" i="29"/>
  <c r="CP157" i="29"/>
  <c r="CP156" i="29"/>
  <c r="BM126" i="29"/>
  <c r="BM123" i="29"/>
  <c r="BM124" i="29" s="1"/>
  <c r="AZ163" i="29"/>
  <c r="CS160" i="29"/>
  <c r="AA160" i="29"/>
  <c r="AA167" i="29"/>
  <c r="AA163" i="29"/>
  <c r="CE284" i="29"/>
  <c r="CT284" i="29" s="1"/>
  <c r="CT283" i="29" s="1"/>
  <c r="CE274" i="29"/>
  <c r="CT274" i="29" s="1"/>
  <c r="CT273" i="29" s="1"/>
  <c r="CU273" i="29" s="1"/>
  <c r="CE271" i="29"/>
  <c r="CT271" i="29" s="1"/>
  <c r="CT270" i="29" s="1"/>
  <c r="CU270" i="29" s="1"/>
  <c r="CE269" i="29"/>
  <c r="CT269" i="29" s="1"/>
  <c r="CT268" i="29" s="1"/>
  <c r="CU268" i="29" s="1"/>
  <c r="CE175" i="29"/>
  <c r="CE174" i="29"/>
  <c r="BV245" i="29"/>
  <c r="BE284" i="29"/>
  <c r="BE274" i="29"/>
  <c r="BE289" i="29"/>
  <c r="BE269" i="29"/>
  <c r="BE271" i="29"/>
  <c r="BE175" i="29"/>
  <c r="BE174" i="29"/>
  <c r="AN289" i="29"/>
  <c r="AN284" i="29"/>
  <c r="AN269" i="29"/>
  <c r="AN271" i="29"/>
  <c r="AN174" i="29"/>
  <c r="AN175" i="29"/>
  <c r="AJ289" i="29"/>
  <c r="AJ284" i="29"/>
  <c r="AJ269" i="29"/>
  <c r="AJ271" i="29"/>
  <c r="AJ174" i="29"/>
  <c r="AJ175" i="29"/>
  <c r="AB289" i="29"/>
  <c r="AB284" i="29"/>
  <c r="AB271" i="29"/>
  <c r="AB269" i="29"/>
  <c r="AB245" i="29"/>
  <c r="AB174" i="29"/>
  <c r="AB175" i="29"/>
  <c r="X289" i="29"/>
  <c r="X284" i="29"/>
  <c r="X271" i="29"/>
  <c r="X269" i="29"/>
  <c r="X174" i="29"/>
  <c r="X175" i="29"/>
  <c r="T289" i="29"/>
  <c r="T284" i="29"/>
  <c r="T269" i="29"/>
  <c r="T271" i="29"/>
  <c r="T174" i="29"/>
  <c r="T175" i="29"/>
  <c r="AZ33" i="29"/>
  <c r="AZ117" i="29"/>
  <c r="AZ118" i="29" s="1"/>
  <c r="AZ121" i="29"/>
  <c r="AZ122" i="29" s="1"/>
  <c r="AF130" i="29"/>
  <c r="U160" i="29"/>
  <c r="U163" i="29"/>
  <c r="BK161" i="29"/>
  <c r="CU135" i="29"/>
  <c r="CU136" i="29" s="1"/>
  <c r="CU138" i="29"/>
  <c r="CR171" i="29"/>
  <c r="CR155" i="29"/>
  <c r="CR164" i="29" s="1"/>
  <c r="CR151" i="29"/>
  <c r="AO171" i="29"/>
  <c r="AO158" i="29"/>
  <c r="AO159" i="29" s="1"/>
  <c r="AO157" i="29"/>
  <c r="AO151" i="29"/>
  <c r="AO152" i="29" s="1"/>
  <c r="AO154" i="29"/>
  <c r="L171" i="29"/>
  <c r="L154" i="29"/>
  <c r="L151" i="29"/>
  <c r="L152" i="29" s="1"/>
  <c r="CR175" i="29"/>
  <c r="CR177" i="29" s="1"/>
  <c r="BY289" i="29"/>
  <c r="BY284" i="29"/>
  <c r="BY269" i="29"/>
  <c r="BY271" i="29"/>
  <c r="BY174" i="29"/>
  <c r="BY175" i="29"/>
  <c r="BM289" i="29"/>
  <c r="BM284" i="29"/>
  <c r="BM274" i="29"/>
  <c r="BM269" i="29"/>
  <c r="BM271" i="29"/>
  <c r="BM175" i="29"/>
  <c r="BM174" i="29"/>
  <c r="BD311" i="29"/>
  <c r="AR152" i="29"/>
  <c r="AI311" i="29"/>
  <c r="O311" i="29"/>
  <c r="AZ106" i="29"/>
  <c r="CU109" i="29"/>
  <c r="CU110" i="29" s="1"/>
  <c r="CQ160" i="29"/>
  <c r="AF77" i="29"/>
  <c r="AF78" i="29" s="1"/>
  <c r="AF75" i="29"/>
  <c r="AF76" i="29" s="1"/>
  <c r="AF72" i="29"/>
  <c r="AF79" i="29"/>
  <c r="AF74" i="29"/>
  <c r="BX159" i="29"/>
  <c r="BT175" i="29"/>
  <c r="BT177" i="29" s="1"/>
  <c r="BL274" i="29"/>
  <c r="BL284" i="29"/>
  <c r="BL289" i="29"/>
  <c r="BL269" i="29"/>
  <c r="BL271" i="29"/>
  <c r="BL245" i="29"/>
  <c r="BL174" i="29"/>
  <c r="BL175" i="29"/>
  <c r="BG284" i="29"/>
  <c r="BG274" i="29"/>
  <c r="BG269" i="29"/>
  <c r="BG271" i="29"/>
  <c r="BG245" i="29"/>
  <c r="BG175" i="29"/>
  <c r="BG174" i="29"/>
  <c r="AQ152" i="29"/>
  <c r="AL284" i="29"/>
  <c r="AL271" i="29"/>
  <c r="AL269" i="29"/>
  <c r="AL245" i="29"/>
  <c r="AL174" i="29"/>
  <c r="AL175" i="29"/>
  <c r="F311" i="29"/>
  <c r="AP134" i="29"/>
  <c r="Q134" i="29"/>
  <c r="AU18" i="29"/>
  <c r="AY26" i="29"/>
  <c r="L311" i="29"/>
  <c r="L173" i="29"/>
  <c r="L56" i="29"/>
  <c r="L50" i="29"/>
  <c r="L60" i="29"/>
  <c r="CZ84" i="29"/>
  <c r="R17" i="150"/>
  <c r="AU26" i="29"/>
  <c r="AZ97" i="29"/>
  <c r="AZ98" i="29" s="1"/>
  <c r="AZ17" i="29"/>
  <c r="BF79" i="29"/>
  <c r="BG77" i="29"/>
  <c r="BG78" i="29" s="1"/>
  <c r="BF72" i="29"/>
  <c r="BR77" i="29"/>
  <c r="BR78" i="29" s="1"/>
  <c r="BF77" i="29"/>
  <c r="BF78" i="29" s="1"/>
  <c r="CD112" i="29"/>
  <c r="BY112" i="29"/>
  <c r="AU34" i="29"/>
  <c r="AX112" i="29"/>
  <c r="AT86" i="29"/>
  <c r="L42" i="29"/>
  <c r="DE109" i="29"/>
  <c r="DE107" i="29"/>
  <c r="DJ24" i="29"/>
  <c r="S10" i="150"/>
  <c r="I38" i="150" s="1"/>
  <c r="B286" i="29"/>
  <c r="B173" i="29"/>
  <c r="B50" i="29"/>
  <c r="B42" i="29"/>
  <c r="AP286" i="29"/>
  <c r="AP173" i="29"/>
  <c r="AP64" i="29"/>
  <c r="AP61" i="29"/>
  <c r="AP62" i="29" s="1"/>
  <c r="AP42" i="29"/>
  <c r="AP34" i="29"/>
  <c r="AP26" i="29"/>
  <c r="AP18" i="29"/>
  <c r="AP67" i="29"/>
  <c r="AP60" i="29"/>
  <c r="AP56" i="29"/>
  <c r="AP69" i="29"/>
  <c r="AP65" i="29"/>
  <c r="V86" i="29"/>
  <c r="AA286" i="29"/>
  <c r="AA173" i="29"/>
  <c r="AA156" i="29"/>
  <c r="AA67" i="29"/>
  <c r="AA56" i="29"/>
  <c r="AA50" i="29"/>
  <c r="AA77" i="29"/>
  <c r="AA78" i="29" s="1"/>
  <c r="AA69" i="29"/>
  <c r="AA65" i="29"/>
  <c r="CP288" i="29"/>
  <c r="L289" i="29"/>
  <c r="BU259" i="29"/>
  <c r="AJ257" i="29"/>
  <c r="AJ310" i="29" s="1"/>
  <c r="AH249" i="29"/>
  <c r="T247" i="29"/>
  <c r="T251" i="29"/>
  <c r="T246" i="29"/>
  <c r="T245" i="29"/>
  <c r="K251" i="29"/>
  <c r="K247" i="29"/>
  <c r="K246" i="29"/>
  <c r="AW249" i="29"/>
  <c r="J251" i="29"/>
  <c r="J247" i="29"/>
  <c r="J246" i="29"/>
  <c r="J245" i="29"/>
  <c r="AY246" i="29"/>
  <c r="AR249" i="29"/>
  <c r="CP228" i="29"/>
  <c r="CF229" i="29"/>
  <c r="AE258" i="29"/>
  <c r="BY259" i="29"/>
  <c r="Y249" i="29"/>
  <c r="BZ245" i="29"/>
  <c r="BZ246" i="29"/>
  <c r="BH261" i="29"/>
  <c r="BD261" i="29"/>
  <c r="BD247" i="29"/>
  <c r="BE243" i="29"/>
  <c r="AS252" i="29"/>
  <c r="AS246" i="29"/>
  <c r="AS245" i="29"/>
  <c r="AT244" i="29"/>
  <c r="BK231" i="29"/>
  <c r="AZ232" i="29"/>
  <c r="CK228" i="29"/>
  <c r="U244" i="29"/>
  <c r="CF223" i="29"/>
  <c r="CP222" i="29"/>
  <c r="CP223" i="29" s="1"/>
  <c r="CT183" i="29"/>
  <c r="CT195" i="29" s="1"/>
  <c r="CS195" i="29"/>
  <c r="CU195" i="29" s="1"/>
  <c r="Q32" i="150" s="1"/>
  <c r="DE208" i="29"/>
  <c r="S23" i="150"/>
  <c r="BS163" i="29"/>
  <c r="BS166" i="29"/>
  <c r="BS167" i="29"/>
  <c r="BS160" i="29"/>
  <c r="AB163" i="29"/>
  <c r="AB160" i="29"/>
  <c r="AB161" i="29" s="1"/>
  <c r="N163" i="29"/>
  <c r="N160" i="29"/>
  <c r="N161" i="29" s="1"/>
  <c r="BS196" i="29"/>
  <c r="BS184" i="29"/>
  <c r="BS169" i="29"/>
  <c r="BE199" i="29"/>
  <c r="BE197" i="29"/>
  <c r="AW196" i="29"/>
  <c r="AW184" i="29"/>
  <c r="AW172" i="29"/>
  <c r="AW169" i="29"/>
  <c r="AH196" i="29"/>
  <c r="AH184" i="29"/>
  <c r="AH172" i="29"/>
  <c r="AH169" i="29"/>
  <c r="Z199" i="29"/>
  <c r="Z197" i="29"/>
  <c r="BI167" i="29"/>
  <c r="BI163" i="29"/>
  <c r="BI160" i="29"/>
  <c r="O163" i="29"/>
  <c r="O160" i="29"/>
  <c r="O161" i="29" s="1"/>
  <c r="BZ196" i="29"/>
  <c r="BZ184" i="29"/>
  <c r="BZ172" i="29"/>
  <c r="BZ169" i="29"/>
  <c r="BE166" i="29"/>
  <c r="BE165" i="29"/>
  <c r="AX167" i="29"/>
  <c r="AX166" i="29"/>
  <c r="AX163" i="29"/>
  <c r="AX160" i="29"/>
  <c r="F163" i="29"/>
  <c r="F160" i="29"/>
  <c r="F161" i="29" s="1"/>
  <c r="CC167" i="29"/>
  <c r="CC168" i="29" s="1"/>
  <c r="CC163" i="29"/>
  <c r="CC160" i="29"/>
  <c r="CC161" i="29" s="1"/>
  <c r="AR184" i="29"/>
  <c r="AR196" i="29"/>
  <c r="AR169" i="29"/>
  <c r="AR170" i="29" s="1"/>
  <c r="AR172" i="29"/>
  <c r="AC196" i="29"/>
  <c r="AC184" i="29"/>
  <c r="AC172" i="29"/>
  <c r="AC169" i="29"/>
  <c r="AC170" i="29" s="1"/>
  <c r="BD163" i="29"/>
  <c r="BD167" i="29"/>
  <c r="BD166" i="29"/>
  <c r="BD160" i="29"/>
  <c r="BU171" i="29"/>
  <c r="H184" i="29"/>
  <c r="H196" i="29"/>
  <c r="H169" i="29"/>
  <c r="CC196" i="29"/>
  <c r="CC184" i="29"/>
  <c r="CC172" i="29"/>
  <c r="CC169" i="29"/>
  <c r="BY199" i="29"/>
  <c r="BY197" i="29"/>
  <c r="AM170" i="29"/>
  <c r="T184" i="29"/>
  <c r="T196" i="29"/>
  <c r="T169" i="29"/>
  <c r="T170" i="29" s="1"/>
  <c r="T172" i="29"/>
  <c r="CE199" i="29"/>
  <c r="CE197" i="29"/>
  <c r="CP160" i="29"/>
  <c r="CP161" i="29" s="1"/>
  <c r="CP167" i="29"/>
  <c r="CP163" i="29"/>
  <c r="BB167" i="29"/>
  <c r="BB168" i="29" s="1"/>
  <c r="BB163" i="29"/>
  <c r="BB160" i="29"/>
  <c r="BB161" i="29" s="1"/>
  <c r="AG179" i="29"/>
  <c r="AK178" i="29"/>
  <c r="BV165" i="29"/>
  <c r="BC163" i="29"/>
  <c r="BC167" i="29"/>
  <c r="BC160" i="29"/>
  <c r="BC166" i="29"/>
  <c r="C163" i="29"/>
  <c r="C160" i="29"/>
  <c r="C161" i="29" s="1"/>
  <c r="CE167" i="29"/>
  <c r="CE160" i="29"/>
  <c r="BY167" i="29"/>
  <c r="BY163" i="29"/>
  <c r="BY166" i="29"/>
  <c r="BY160" i="29"/>
  <c r="BG166" i="29"/>
  <c r="BG167" i="29"/>
  <c r="BG163" i="29"/>
  <c r="BG160" i="29"/>
  <c r="BB196" i="29"/>
  <c r="BB184" i="29"/>
  <c r="BB172" i="29"/>
  <c r="BB169" i="29"/>
  <c r="BB170" i="29" s="1"/>
  <c r="G196" i="29"/>
  <c r="G184" i="29"/>
  <c r="G169" i="29"/>
  <c r="G170" i="29" s="1"/>
  <c r="G172" i="29"/>
  <c r="CB184" i="29"/>
  <c r="CB196" i="29"/>
  <c r="CB169" i="29"/>
  <c r="CB172" i="29"/>
  <c r="AL196" i="29"/>
  <c r="AL184" i="29"/>
  <c r="AL169" i="29"/>
  <c r="AL170" i="29" s="1"/>
  <c r="AL172" i="29"/>
  <c r="AE196" i="29"/>
  <c r="AE169" i="29"/>
  <c r="AE170" i="29" s="1"/>
  <c r="AE172" i="29"/>
  <c r="AE184" i="29"/>
  <c r="CF178" i="29"/>
  <c r="BR167" i="29"/>
  <c r="BR163" i="29"/>
  <c r="BR160" i="29"/>
  <c r="BE163" i="29"/>
  <c r="BE160" i="29"/>
  <c r="BE167" i="29"/>
  <c r="AV163" i="29"/>
  <c r="AV167" i="29"/>
  <c r="AV160" i="29"/>
  <c r="AV166" i="29"/>
  <c r="AF135" i="29"/>
  <c r="AK138" i="29"/>
  <c r="AT126" i="29"/>
  <c r="AT123" i="29"/>
  <c r="AT124" i="29" s="1"/>
  <c r="AU126" i="29"/>
  <c r="AU123" i="29"/>
  <c r="CF162" i="29"/>
  <c r="V160" i="29"/>
  <c r="V163" i="29"/>
  <c r="CK311" i="29"/>
  <c r="BS311" i="29"/>
  <c r="BF274" i="29"/>
  <c r="BF284" i="29"/>
  <c r="BF271" i="29"/>
  <c r="BF269" i="29"/>
  <c r="BF175" i="29"/>
  <c r="CK167" i="29"/>
  <c r="CK166" i="29"/>
  <c r="CK160" i="29"/>
  <c r="CU125" i="29"/>
  <c r="CU117" i="29"/>
  <c r="CU120" i="29"/>
  <c r="Q19" i="150"/>
  <c r="G45" i="150" s="1"/>
  <c r="CS171" i="29"/>
  <c r="CS158" i="29"/>
  <c r="CS151" i="29"/>
  <c r="CS155" i="29"/>
  <c r="CS164" i="29" s="1"/>
  <c r="AP75" i="29"/>
  <c r="AP76" i="29" s="1"/>
  <c r="AP72" i="29"/>
  <c r="AP79" i="29"/>
  <c r="AP74" i="29"/>
  <c r="AQ77" i="29"/>
  <c r="AQ78" i="29" s="1"/>
  <c r="AP77" i="29"/>
  <c r="AP78" i="29" s="1"/>
  <c r="CZ285" i="29"/>
  <c r="BR245" i="29"/>
  <c r="BR175" i="29"/>
  <c r="BR177" i="29" s="1"/>
  <c r="BI311" i="29"/>
  <c r="BA245" i="29"/>
  <c r="BA175" i="29"/>
  <c r="H311" i="29"/>
  <c r="AA130" i="29"/>
  <c r="CD199" i="29"/>
  <c r="CD197" i="29"/>
  <c r="U179" i="29"/>
  <c r="AY126" i="29"/>
  <c r="AU136" i="29"/>
  <c r="CR167" i="29"/>
  <c r="CR160" i="29"/>
  <c r="AO160" i="29"/>
  <c r="AO163" i="29"/>
  <c r="AO167" i="29"/>
  <c r="L163" i="29"/>
  <c r="L160" i="29"/>
  <c r="BH311" i="29"/>
  <c r="BD274" i="29"/>
  <c r="BD284" i="29"/>
  <c r="BD271" i="29"/>
  <c r="BD269" i="29"/>
  <c r="BD175" i="29"/>
  <c r="BD174" i="29"/>
  <c r="AX284" i="29"/>
  <c r="AX274" i="29"/>
  <c r="AX271" i="29"/>
  <c r="AX269" i="29"/>
  <c r="AX174" i="29"/>
  <c r="AX175" i="29"/>
  <c r="AR311" i="29"/>
  <c r="K311" i="29"/>
  <c r="K286" i="29"/>
  <c r="K173" i="29"/>
  <c r="K6" i="29"/>
  <c r="K42" i="29"/>
  <c r="K77" i="29"/>
  <c r="K78" i="29" s="1"/>
  <c r="K60" i="29"/>
  <c r="K18" i="29"/>
  <c r="G311" i="29"/>
  <c r="AZ39" i="29"/>
  <c r="AJ152" i="29"/>
  <c r="AU138" i="29"/>
  <c r="BJ126" i="29"/>
  <c r="BJ123" i="29"/>
  <c r="BJ124" i="29" s="1"/>
  <c r="AZ82" i="29"/>
  <c r="Q160" i="29"/>
  <c r="Q163" i="29"/>
  <c r="AT286" i="29"/>
  <c r="AT173" i="29"/>
  <c r="AT156" i="29"/>
  <c r="AT42" i="29"/>
  <c r="AT56" i="29"/>
  <c r="AT59" i="29"/>
  <c r="AT60" i="29" s="1"/>
  <c r="AT26" i="29"/>
  <c r="AT18" i="29"/>
  <c r="AT6" i="29"/>
  <c r="K58" i="29"/>
  <c r="CB159" i="29"/>
  <c r="CB311" i="29"/>
  <c r="AW274" i="29"/>
  <c r="AW284" i="29"/>
  <c r="AW271" i="29"/>
  <c r="AW269" i="29"/>
  <c r="AW174" i="29"/>
  <c r="AW175" i="29"/>
  <c r="AH152" i="29"/>
  <c r="AD152" i="29"/>
  <c r="Z152" i="29"/>
  <c r="R152" i="29"/>
  <c r="N152" i="29"/>
  <c r="F152" i="29"/>
  <c r="AP130" i="29"/>
  <c r="AY118" i="29"/>
  <c r="AY311" i="29"/>
  <c r="AY286" i="29"/>
  <c r="AY173" i="29"/>
  <c r="AY165" i="29"/>
  <c r="AY156" i="29"/>
  <c r="AY56" i="29"/>
  <c r="AY42" i="29"/>
  <c r="AY77" i="29"/>
  <c r="AY78" i="29" s="1"/>
  <c r="AY59" i="29"/>
  <c r="AY60" i="29" s="1"/>
  <c r="AY58" i="29"/>
  <c r="AY6" i="29"/>
  <c r="AK82" i="29"/>
  <c r="CZ173" i="29"/>
  <c r="CZ56" i="29"/>
  <c r="CZ6" i="29"/>
  <c r="AP94" i="29"/>
  <c r="DE119" i="29"/>
  <c r="DJ32" i="29"/>
  <c r="DE121" i="29"/>
  <c r="DE122" i="29" s="1"/>
  <c r="S11" i="150"/>
  <c r="I39" i="150" s="1"/>
  <c r="CF77" i="29"/>
  <c r="CF78" i="29" s="1"/>
  <c r="CF75" i="29"/>
  <c r="CF76" i="29" s="1"/>
  <c r="CF74" i="29"/>
  <c r="CF72" i="29"/>
  <c r="CF79" i="29"/>
  <c r="AU72" i="29"/>
  <c r="V98" i="29"/>
  <c r="AT82" i="29"/>
  <c r="CZ108" i="29"/>
  <c r="R18" i="150"/>
  <c r="H44" i="150" s="1"/>
  <c r="L18" i="29"/>
  <c r="CF290" i="29"/>
  <c r="CF295" i="29" s="1"/>
  <c r="CF303" i="29" s="1"/>
  <c r="AZ290" i="29"/>
  <c r="AZ295" i="29" s="1"/>
  <c r="AZ303" i="29" s="1"/>
  <c r="BD192" i="29"/>
  <c r="BD193" i="29" s="1"/>
  <c r="CS276" i="29"/>
  <c r="AA258" i="29"/>
  <c r="AS259" i="29"/>
  <c r="K258" i="29"/>
  <c r="AN249" i="29"/>
  <c r="AO258" i="29"/>
  <c r="AT255" i="29"/>
  <c r="BE259" i="29"/>
  <c r="T258" i="29"/>
  <c r="U255" i="29"/>
  <c r="U258" i="29" s="1"/>
  <c r="AE261" i="29"/>
  <c r="AE247" i="29"/>
  <c r="BY261" i="29"/>
  <c r="BY247" i="29"/>
  <c r="BU261" i="29"/>
  <c r="BU247" i="29"/>
  <c r="CF255" i="29"/>
  <c r="CD247" i="29"/>
  <c r="BX249" i="29"/>
  <c r="BE252" i="29"/>
  <c r="BE245" i="29"/>
  <c r="BE246" i="29"/>
  <c r="AX252" i="29"/>
  <c r="AX246" i="29"/>
  <c r="AX245" i="29"/>
  <c r="AS261" i="29"/>
  <c r="AS247" i="29"/>
  <c r="CU232" i="29"/>
  <c r="CZ231" i="29"/>
  <c r="AU232" i="29"/>
  <c r="BF231" i="29"/>
  <c r="AT257" i="29"/>
  <c r="AT310" i="29" s="1"/>
  <c r="X249" i="29"/>
  <c r="CC249" i="29"/>
  <c r="AX247" i="29"/>
  <c r="AT243" i="29"/>
  <c r="CP227" i="29"/>
  <c r="CP225" i="29"/>
  <c r="CP198" i="29"/>
  <c r="CP216" i="29"/>
  <c r="BT247" i="29"/>
  <c r="BJ247" i="29"/>
  <c r="DJ222" i="29"/>
  <c r="AI249" i="29"/>
  <c r="CS255" i="29"/>
  <c r="DJ208" i="29"/>
  <c r="T23" i="150"/>
  <c r="AT166" i="29"/>
  <c r="AT165" i="29"/>
  <c r="AR163" i="29"/>
  <c r="AR167" i="29"/>
  <c r="AR166" i="29"/>
  <c r="AR160" i="29"/>
  <c r="G163" i="29"/>
  <c r="G160" i="29"/>
  <c r="G161" i="29" s="1"/>
  <c r="AS184" i="29"/>
  <c r="BE185" i="29" s="1"/>
  <c r="AS196" i="29"/>
  <c r="AS172" i="29"/>
  <c r="AS169" i="29"/>
  <c r="BW196" i="29"/>
  <c r="BW184" i="29"/>
  <c r="BW169" i="29"/>
  <c r="BW170" i="29" s="1"/>
  <c r="BW172" i="29"/>
  <c r="AD196" i="29"/>
  <c r="AD184" i="29"/>
  <c r="AD172" i="29"/>
  <c r="AD169" i="29"/>
  <c r="AD170" i="29" s="1"/>
  <c r="R196" i="29"/>
  <c r="R184" i="29"/>
  <c r="R172" i="29"/>
  <c r="R169" i="29"/>
  <c r="R170" i="29" s="1"/>
  <c r="CC166" i="29"/>
  <c r="AQ163" i="29"/>
  <c r="AQ167" i="29"/>
  <c r="AQ160" i="29"/>
  <c r="X163" i="29"/>
  <c r="X160" i="29"/>
  <c r="BR187" i="29"/>
  <c r="BR189" i="29" s="1"/>
  <c r="BR186" i="29"/>
  <c r="I184" i="29"/>
  <c r="I196" i="29"/>
  <c r="I169" i="29"/>
  <c r="BM184" i="29"/>
  <c r="BM196" i="29"/>
  <c r="BM169" i="29"/>
  <c r="BM170" i="29" s="1"/>
  <c r="BM172" i="29"/>
  <c r="AN184" i="29"/>
  <c r="AN196" i="29"/>
  <c r="AN169" i="29"/>
  <c r="AN170" i="29" s="1"/>
  <c r="AN172" i="29"/>
  <c r="Y184" i="29"/>
  <c r="Y196" i="29"/>
  <c r="Y172" i="29"/>
  <c r="Y169" i="29"/>
  <c r="Y170" i="29" s="1"/>
  <c r="BT163" i="29"/>
  <c r="BT160" i="29"/>
  <c r="BT167" i="29"/>
  <c r="BT168" i="29" s="1"/>
  <c r="BX138" i="29"/>
  <c r="BX135" i="29"/>
  <c r="AJ163" i="29"/>
  <c r="AJ160" i="29"/>
  <c r="AJ167" i="29"/>
  <c r="AJ168" i="29" s="1"/>
  <c r="BK196" i="29"/>
  <c r="BK184" i="29"/>
  <c r="BK169" i="29"/>
  <c r="BQ196" i="29"/>
  <c r="BQ184" i="29"/>
  <c r="BQ169" i="29"/>
  <c r="AQ170" i="29"/>
  <c r="D184" i="29"/>
  <c r="D196" i="29"/>
  <c r="D169" i="29"/>
  <c r="D172" i="29"/>
  <c r="AM187" i="29"/>
  <c r="AM185" i="29"/>
  <c r="AM186" i="29"/>
  <c r="P171" i="29"/>
  <c r="P154" i="29"/>
  <c r="P151" i="29"/>
  <c r="P152" i="29" s="1"/>
  <c r="CP196" i="29"/>
  <c r="CP199" i="29" s="1"/>
  <c r="CP169" i="29"/>
  <c r="CP170" i="29" s="1"/>
  <c r="CP172" i="29"/>
  <c r="AP179" i="29"/>
  <c r="BA178" i="29"/>
  <c r="BA179" i="29" s="1"/>
  <c r="S163" i="29"/>
  <c r="S160" i="29"/>
  <c r="S161" i="29" s="1"/>
  <c r="BR166" i="29"/>
  <c r="AT167" i="29"/>
  <c r="AT168" i="29" s="1"/>
  <c r="AT163" i="29"/>
  <c r="AT160" i="29"/>
  <c r="Z163" i="29"/>
  <c r="Z160" i="29"/>
  <c r="BJ166" i="29"/>
  <c r="BJ167" i="29"/>
  <c r="BJ168" i="29" s="1"/>
  <c r="BJ163" i="29"/>
  <c r="BJ160" i="29"/>
  <c r="BJ161" i="29" s="1"/>
  <c r="BT196" i="29"/>
  <c r="BT184" i="29"/>
  <c r="BY185" i="29" s="1"/>
  <c r="BT169" i="29"/>
  <c r="BY170" i="29" s="1"/>
  <c r="AX196" i="29"/>
  <c r="AX184" i="29"/>
  <c r="AX169" i="29"/>
  <c r="AX172" i="29"/>
  <c r="C196" i="29"/>
  <c r="C169" i="29"/>
  <c r="C184" i="29"/>
  <c r="BX196" i="29"/>
  <c r="BX184" i="29"/>
  <c r="BX169" i="29"/>
  <c r="BX170" i="29" s="1"/>
  <c r="BX172" i="29"/>
  <c r="W196" i="29"/>
  <c r="W184" i="29"/>
  <c r="W169" i="29"/>
  <c r="W170" i="29" s="1"/>
  <c r="W172" i="29"/>
  <c r="BZ178" i="29"/>
  <c r="BZ179" i="29" s="1"/>
  <c r="BZ162" i="29"/>
  <c r="CE163" i="29" s="1"/>
  <c r="AU178" i="29"/>
  <c r="AY124" i="29"/>
  <c r="AZ135" i="29"/>
  <c r="AZ136" i="29" s="1"/>
  <c r="AZ138" i="29"/>
  <c r="CF123" i="29"/>
  <c r="CF124" i="29" s="1"/>
  <c r="U130" i="29"/>
  <c r="P130" i="29"/>
  <c r="D161" i="29"/>
  <c r="AZ126" i="29"/>
  <c r="B171" i="29"/>
  <c r="B311" i="29" s="1"/>
  <c r="B151" i="29"/>
  <c r="C154" i="29"/>
  <c r="CU153" i="29"/>
  <c r="CU162" i="29"/>
  <c r="CU92" i="29"/>
  <c r="CU89" i="29"/>
  <c r="CU81" i="29"/>
  <c r="CU84" i="29"/>
  <c r="Q17" i="150"/>
  <c r="CF171" i="29"/>
  <c r="CF151" i="29"/>
  <c r="CF158" i="29"/>
  <c r="CF159" i="29" s="1"/>
  <c r="CF154" i="29"/>
  <c r="V171" i="29"/>
  <c r="V154" i="29"/>
  <c r="V151" i="29"/>
  <c r="BW274" i="29"/>
  <c r="BW284" i="29"/>
  <c r="BW269" i="29"/>
  <c r="BW271" i="29"/>
  <c r="BW245" i="29"/>
  <c r="BW175" i="29"/>
  <c r="BW174" i="29"/>
  <c r="BK311" i="29"/>
  <c r="BB284" i="29"/>
  <c r="BB271" i="29"/>
  <c r="BB269" i="29"/>
  <c r="BB245" i="29"/>
  <c r="BB175" i="29"/>
  <c r="BB174" i="29"/>
  <c r="AG311" i="29"/>
  <c r="AC311" i="29"/>
  <c r="Y311" i="29"/>
  <c r="M311" i="29"/>
  <c r="I311" i="29"/>
  <c r="AK136" i="29"/>
  <c r="CU121" i="29"/>
  <c r="CU122" i="29" s="1"/>
  <c r="CK179" i="29"/>
  <c r="CC138" i="29"/>
  <c r="CE123" i="29"/>
  <c r="AV126" i="29"/>
  <c r="AQ126" i="29"/>
  <c r="AQ123" i="29"/>
  <c r="BY92" i="29"/>
  <c r="BY89" i="29"/>
  <c r="AP153" i="29"/>
  <c r="AU154" i="29" s="1"/>
  <c r="AP162" i="29"/>
  <c r="AP84" i="29"/>
  <c r="AP89" i="29"/>
  <c r="AP81" i="29"/>
  <c r="AP82" i="29" s="1"/>
  <c r="AP92" i="29"/>
  <c r="BZ284" i="29"/>
  <c r="BZ271" i="29"/>
  <c r="BZ269" i="29"/>
  <c r="BZ174" i="29"/>
  <c r="BZ175" i="29"/>
  <c r="AU173" i="29"/>
  <c r="AU156" i="29"/>
  <c r="AU69" i="29"/>
  <c r="AU67" i="29"/>
  <c r="AU65" i="29"/>
  <c r="AU56" i="29"/>
  <c r="AU64" i="29"/>
  <c r="AU61" i="29"/>
  <c r="AU62" i="29" s="1"/>
  <c r="AU58" i="29"/>
  <c r="AU60" i="29"/>
  <c r="AU6" i="29"/>
  <c r="AS284" i="29"/>
  <c r="AS274" i="29"/>
  <c r="AS269" i="29"/>
  <c r="AS271" i="29"/>
  <c r="AS174" i="29"/>
  <c r="AS175" i="29"/>
  <c r="AN311" i="29"/>
  <c r="AJ311" i="29"/>
  <c r="X311" i="29"/>
  <c r="T311" i="29"/>
  <c r="AZ134" i="29"/>
  <c r="AQ166" i="29"/>
  <c r="CD184" i="29"/>
  <c r="AD163" i="29"/>
  <c r="AD160" i="29"/>
  <c r="AP126" i="29"/>
  <c r="AP123" i="29"/>
  <c r="CU106" i="29"/>
  <c r="CZ106" i="29"/>
  <c r="AU171" i="29"/>
  <c r="AU311" i="29" s="1"/>
  <c r="AU158" i="29"/>
  <c r="AU151" i="29"/>
  <c r="AF171" i="29"/>
  <c r="AF158" i="29"/>
  <c r="AF154" i="29"/>
  <c r="AF151" i="29"/>
  <c r="AF157" i="29"/>
  <c r="AK77" i="29"/>
  <c r="AK78" i="29" s="1"/>
  <c r="AK74" i="29"/>
  <c r="AK72" i="29"/>
  <c r="AK79" i="29"/>
  <c r="AK75" i="29"/>
  <c r="AK76" i="29" s="1"/>
  <c r="BJ284" i="29"/>
  <c r="BJ271" i="29"/>
  <c r="BJ269" i="29"/>
  <c r="BV269" i="29" s="1"/>
  <c r="BJ175" i="29"/>
  <c r="BJ174" i="29"/>
  <c r="CC274" i="29"/>
  <c r="CR274" i="29" s="1"/>
  <c r="CR273" i="29" s="1"/>
  <c r="CC284" i="29"/>
  <c r="CR284" i="29" s="1"/>
  <c r="CR283" i="29" s="1"/>
  <c r="CC269" i="29"/>
  <c r="CR269" i="29" s="1"/>
  <c r="CR268" i="29" s="1"/>
  <c r="CC271" i="29"/>
  <c r="CR271" i="29" s="1"/>
  <c r="CR270" i="29" s="1"/>
  <c r="CC174" i="29"/>
  <c r="CC175" i="29"/>
  <c r="BU289" i="29"/>
  <c r="BU284" i="29"/>
  <c r="BU274" i="29"/>
  <c r="BU271" i="29"/>
  <c r="BU269" i="29"/>
  <c r="BU175" i="29"/>
  <c r="BM311" i="29"/>
  <c r="AX152" i="29"/>
  <c r="AR284" i="29"/>
  <c r="AR271" i="29"/>
  <c r="AR269" i="29"/>
  <c r="AR174" i="29"/>
  <c r="AR175" i="29"/>
  <c r="AI289" i="29"/>
  <c r="AI284" i="29"/>
  <c r="AI271" i="29"/>
  <c r="AI269" i="29"/>
  <c r="AI175" i="29"/>
  <c r="AI174" i="29"/>
  <c r="AE284" i="29"/>
  <c r="AE289" i="29"/>
  <c r="AE269" i="29"/>
  <c r="AE271" i="29"/>
  <c r="AE175" i="29"/>
  <c r="AE174" i="29"/>
  <c r="W284" i="29"/>
  <c r="W289" i="29"/>
  <c r="W271" i="29"/>
  <c r="W269" i="29"/>
  <c r="W245" i="29"/>
  <c r="W175" i="29"/>
  <c r="W174" i="29"/>
  <c r="S289" i="29"/>
  <c r="S284" i="29"/>
  <c r="S269" i="29"/>
  <c r="S271" i="29"/>
  <c r="S175" i="29"/>
  <c r="S174" i="29"/>
  <c r="O289" i="29"/>
  <c r="O284" i="29"/>
  <c r="O271" i="29"/>
  <c r="O269" i="29"/>
  <c r="O175" i="29"/>
  <c r="O174" i="29"/>
  <c r="C152" i="29"/>
  <c r="AJ166" i="29"/>
  <c r="AK118" i="29"/>
  <c r="AU111" i="29"/>
  <c r="AU112" i="29" s="1"/>
  <c r="AU114" i="29"/>
  <c r="AK90" i="29"/>
  <c r="AK87" i="29"/>
  <c r="AK88" i="29" s="1"/>
  <c r="CA154" i="29"/>
  <c r="CA151" i="29"/>
  <c r="CA152" i="29" s="1"/>
  <c r="CA158" i="29"/>
  <c r="CA159" i="29" s="1"/>
  <c r="Q171" i="29"/>
  <c r="Q154" i="29"/>
  <c r="Q151" i="29"/>
  <c r="Q152" i="29" s="1"/>
  <c r="BX152" i="29"/>
  <c r="BX274" i="29"/>
  <c r="BX284" i="29"/>
  <c r="BX271" i="29"/>
  <c r="BX269" i="29"/>
  <c r="BX245" i="29"/>
  <c r="BX175" i="29"/>
  <c r="BX174" i="29"/>
  <c r="BC284" i="29"/>
  <c r="BC269" i="29"/>
  <c r="BC271" i="29"/>
  <c r="BC175" i="29"/>
  <c r="BC174" i="29"/>
  <c r="AW152" i="29"/>
  <c r="AQ284" i="29"/>
  <c r="AQ289" i="29"/>
  <c r="AQ271" i="29"/>
  <c r="AQ269" i="29"/>
  <c r="AQ245" i="29"/>
  <c r="AQ175" i="29"/>
  <c r="AQ174" i="29"/>
  <c r="AL152" i="29"/>
  <c r="AL311" i="29"/>
  <c r="AH284" i="29"/>
  <c r="AH269" i="29"/>
  <c r="AH271" i="29"/>
  <c r="AH245" i="29"/>
  <c r="AH174" i="29"/>
  <c r="AH175" i="29"/>
  <c r="AH176" i="29" s="1"/>
  <c r="AD284" i="29"/>
  <c r="AD271" i="29"/>
  <c r="AD269" i="29"/>
  <c r="AD245" i="29"/>
  <c r="AD174" i="29"/>
  <c r="AD175" i="29"/>
  <c r="AD176" i="29" s="1"/>
  <c r="Z284" i="29"/>
  <c r="Z269" i="29"/>
  <c r="Z271" i="29"/>
  <c r="Z174" i="29"/>
  <c r="Z175" i="29"/>
  <c r="Z176" i="29" s="1"/>
  <c r="R284" i="29"/>
  <c r="R271" i="29"/>
  <c r="R269" i="29"/>
  <c r="R245" i="29"/>
  <c r="R174" i="29"/>
  <c r="R175" i="29"/>
  <c r="R176" i="29" s="1"/>
  <c r="N284" i="29"/>
  <c r="N269" i="29"/>
  <c r="N271" i="29"/>
  <c r="N245" i="29"/>
  <c r="N174" i="29"/>
  <c r="N175" i="29"/>
  <c r="N176" i="29" s="1"/>
  <c r="J284" i="29"/>
  <c r="J271" i="29"/>
  <c r="J269" i="29"/>
  <c r="J179" i="29"/>
  <c r="J175" i="29"/>
  <c r="F284" i="29"/>
  <c r="F269" i="29"/>
  <c r="F271" i="29"/>
  <c r="F245" i="29"/>
  <c r="F174" i="29"/>
  <c r="F175" i="29"/>
  <c r="AG77" i="29"/>
  <c r="AG78" i="29" s="1"/>
  <c r="AZ25" i="29"/>
  <c r="AZ109" i="29"/>
  <c r="AZ110" i="29" s="1"/>
  <c r="BB13" i="29"/>
  <c r="BB14" i="29" s="1"/>
  <c r="BF14" i="29"/>
  <c r="CZ86" i="29"/>
  <c r="AY79" i="29"/>
  <c r="AT58" i="29"/>
  <c r="CZ34" i="29"/>
  <c r="BK79" i="29"/>
  <c r="BK72" i="29"/>
  <c r="BK77" i="29"/>
  <c r="BK78" i="29" s="1"/>
  <c r="K79" i="29"/>
  <c r="Z72" i="29"/>
  <c r="Z79" i="29"/>
  <c r="Z77" i="29"/>
  <c r="Z78" i="29" s="1"/>
  <c r="AE72" i="29"/>
  <c r="CZ26" i="29"/>
  <c r="D311" i="29"/>
  <c r="D286" i="29"/>
  <c r="D173" i="29"/>
  <c r="D151" i="29"/>
  <c r="D152" i="29" s="1"/>
  <c r="D50" i="29"/>
  <c r="D42" i="29"/>
  <c r="E56" i="29"/>
  <c r="D56" i="29"/>
  <c r="D6" i="29"/>
  <c r="AP85" i="29"/>
  <c r="CP309" i="29"/>
  <c r="CP302" i="29"/>
  <c r="AP289" i="29"/>
  <c r="CS309" i="29"/>
  <c r="CT297" i="29"/>
  <c r="C267" i="29"/>
  <c r="C273" i="29" s="1"/>
  <c r="C274" i="29" s="1"/>
  <c r="D262" i="29"/>
  <c r="D263" i="29" s="1"/>
  <c r="Y258" i="29"/>
  <c r="AF257" i="29"/>
  <c r="AF310" i="29" s="1"/>
  <c r="CF256" i="29"/>
  <c r="CP256" i="29" s="1"/>
  <c r="AJ258" i="29"/>
  <c r="CF257" i="29"/>
  <c r="AU255" i="29"/>
  <c r="BT259" i="29"/>
  <c r="BT261" i="29" s="1"/>
  <c r="BZ257" i="29"/>
  <c r="BZ310" i="29" s="1"/>
  <c r="P255" i="29"/>
  <c r="P258" i="29" s="1"/>
  <c r="AJ247" i="29"/>
  <c r="AJ251" i="29"/>
  <c r="AJ246" i="29"/>
  <c r="AJ245" i="29"/>
  <c r="S249" i="29"/>
  <c r="CR257" i="29"/>
  <c r="CR259" i="29" s="1"/>
  <c r="CR224" i="29"/>
  <c r="CS226" i="29"/>
  <c r="CR216" i="29"/>
  <c r="Y251" i="29"/>
  <c r="Y246" i="29"/>
  <c r="Y245" i="29"/>
  <c r="BZ243" i="29"/>
  <c r="BU229" i="29"/>
  <c r="I249" i="29"/>
  <c r="CD246" i="29"/>
  <c r="CD252" i="29"/>
  <c r="CE252" i="29" s="1"/>
  <c r="CE261" i="29" s="1"/>
  <c r="CD245" i="29"/>
  <c r="CE244" i="29"/>
  <c r="AY247" i="29"/>
  <c r="AD249" i="29"/>
  <c r="CF238" i="29"/>
  <c r="CP238" i="29" s="1"/>
  <c r="BV228" i="29"/>
  <c r="CA229" i="29" s="1"/>
  <c r="BK229" i="29"/>
  <c r="BV229" i="29" s="1"/>
  <c r="CU228" i="29"/>
  <c r="CT221" i="29"/>
  <c r="CT223" i="29" s="1"/>
  <c r="CT255" i="29" s="1"/>
  <c r="CU220" i="29"/>
  <c r="BV208" i="29"/>
  <c r="N23" i="150"/>
  <c r="AP166" i="29"/>
  <c r="AP165" i="29"/>
  <c r="AM163" i="29"/>
  <c r="AM167" i="29"/>
  <c r="AM168" i="29" s="1"/>
  <c r="AM166" i="29"/>
  <c r="AM160" i="29"/>
  <c r="AM161" i="29" s="1"/>
  <c r="Y160" i="29"/>
  <c r="Y161" i="29" s="1"/>
  <c r="Y163" i="29"/>
  <c r="CD166" i="29"/>
  <c r="CB167" i="29"/>
  <c r="CB168" i="29" s="1"/>
  <c r="CB160" i="29"/>
  <c r="CB161" i="29" s="1"/>
  <c r="CB166" i="29"/>
  <c r="CB163" i="29"/>
  <c r="BM167" i="29"/>
  <c r="BM163" i="29"/>
  <c r="BM160" i="29"/>
  <c r="BM166" i="29"/>
  <c r="BE172" i="29"/>
  <c r="BA186" i="29"/>
  <c r="BA187" i="29"/>
  <c r="BA189" i="29" s="1"/>
  <c r="J196" i="29"/>
  <c r="J184" i="29"/>
  <c r="J169" i="29"/>
  <c r="N196" i="29"/>
  <c r="N184" i="29"/>
  <c r="N172" i="29"/>
  <c r="N169" i="29"/>
  <c r="N170" i="29" s="1"/>
  <c r="BZ140" i="29"/>
  <c r="BZ137" i="29"/>
  <c r="BL196" i="29"/>
  <c r="BL184" i="29"/>
  <c r="BL172" i="29"/>
  <c r="BL169" i="29"/>
  <c r="AL167" i="29"/>
  <c r="AL168" i="29" s="1"/>
  <c r="AL160" i="29"/>
  <c r="AL161" i="29" s="1"/>
  <c r="AL163" i="29"/>
  <c r="M160" i="29"/>
  <c r="M161" i="29" s="1"/>
  <c r="M163" i="29"/>
  <c r="AR159" i="29"/>
  <c r="BF158" i="29"/>
  <c r="BK159" i="29" s="1"/>
  <c r="BF157" i="29"/>
  <c r="BF156" i="29"/>
  <c r="BR199" i="29"/>
  <c r="BR197" i="29"/>
  <c r="AV187" i="29"/>
  <c r="AV185" i="29"/>
  <c r="AV186" i="29"/>
  <c r="E184" i="29"/>
  <c r="E196" i="29"/>
  <c r="E172" i="29"/>
  <c r="E169" i="29"/>
  <c r="E170" i="29" s="1"/>
  <c r="U184" i="29"/>
  <c r="Z185" i="29" s="1"/>
  <c r="U196" i="29"/>
  <c r="U172" i="29"/>
  <c r="U169" i="29"/>
  <c r="AS166" i="29"/>
  <c r="AS160" i="29"/>
  <c r="AS167" i="29"/>
  <c r="AS168" i="29" s="1"/>
  <c r="AS163" i="29"/>
  <c r="AC160" i="29"/>
  <c r="AC161" i="29" s="1"/>
  <c r="AC163" i="29"/>
  <c r="BY137" i="29"/>
  <c r="BY140" i="29"/>
  <c r="CP159" i="29"/>
  <c r="BB166" i="29"/>
  <c r="AE163" i="29"/>
  <c r="AE160" i="29"/>
  <c r="AE161" i="29" s="1"/>
  <c r="BH167" i="29"/>
  <c r="BH168" i="29" s="1"/>
  <c r="BH163" i="29"/>
  <c r="BH160" i="29"/>
  <c r="BH161" i="29" s="1"/>
  <c r="BH166" i="29"/>
  <c r="BA156" i="29"/>
  <c r="BA157" i="29"/>
  <c r="BC196" i="29"/>
  <c r="BC184" i="29"/>
  <c r="BC169" i="29"/>
  <c r="BC170" i="29" s="1"/>
  <c r="BC172" i="29"/>
  <c r="AQ187" i="29"/>
  <c r="AQ185" i="29"/>
  <c r="AQ186" i="29"/>
  <c r="BY172" i="29"/>
  <c r="BG196" i="29"/>
  <c r="BG184" i="29"/>
  <c r="BG172" i="29"/>
  <c r="BG169" i="29"/>
  <c r="BG170" i="29" s="1"/>
  <c r="AM199" i="29"/>
  <c r="AM197" i="29"/>
  <c r="AB196" i="29"/>
  <c r="AB184" i="29"/>
  <c r="AB169" i="29"/>
  <c r="AB172" i="29"/>
  <c r="CE172" i="29"/>
  <c r="AW166" i="29"/>
  <c r="AW160" i="29"/>
  <c r="AW163" i="29"/>
  <c r="AW167" i="29"/>
  <c r="AW168" i="29" s="1"/>
  <c r="BI166" i="29"/>
  <c r="AN163" i="29"/>
  <c r="AN167" i="29"/>
  <c r="AN168" i="29" s="1"/>
  <c r="AN160" i="29"/>
  <c r="AN161" i="29" s="1"/>
  <c r="P163" i="29"/>
  <c r="P160" i="29"/>
  <c r="P161" i="29" s="1"/>
  <c r="BJ159" i="29"/>
  <c r="AX159" i="29"/>
  <c r="BF196" i="29"/>
  <c r="BF184" i="29"/>
  <c r="BF169" i="29"/>
  <c r="AT171" i="29"/>
  <c r="AT311" i="29" s="1"/>
  <c r="AT157" i="29"/>
  <c r="AT154" i="29"/>
  <c r="AT158" i="29"/>
  <c r="AT159" i="29" s="1"/>
  <c r="AT151" i="29"/>
  <c r="AT152" i="29" s="1"/>
  <c r="S196" i="29"/>
  <c r="S169" i="29"/>
  <c r="S170" i="29" s="1"/>
  <c r="S184" i="29"/>
  <c r="S172" i="29"/>
  <c r="CA147" i="29"/>
  <c r="CA171" i="29" s="1"/>
  <c r="BJ178" i="29"/>
  <c r="BJ179" i="29" s="1"/>
  <c r="D163" i="29"/>
  <c r="AY168" i="29"/>
  <c r="BZ92" i="29"/>
  <c r="BZ89" i="29"/>
  <c r="CC90" i="29"/>
  <c r="BX87" i="29"/>
  <c r="BX90" i="29"/>
  <c r="CT160" i="29"/>
  <c r="CT167" i="29"/>
  <c r="AU82" i="29"/>
  <c r="AO284" i="29"/>
  <c r="AO269" i="29"/>
  <c r="AO271" i="29"/>
  <c r="AO174" i="29"/>
  <c r="AO175" i="29"/>
  <c r="CP245" i="29"/>
  <c r="CP175" i="29"/>
  <c r="CP174" i="29"/>
  <c r="CK289" i="29"/>
  <c r="CK284" i="29"/>
  <c r="CK269" i="29"/>
  <c r="CK271" i="29"/>
  <c r="CK245" i="29"/>
  <c r="CK175" i="29"/>
  <c r="CK177" i="29" s="1"/>
  <c r="BF311" i="29"/>
  <c r="AV274" i="29"/>
  <c r="AV284" i="29"/>
  <c r="AV271" i="29"/>
  <c r="AV269" i="29"/>
  <c r="AV245" i="29"/>
  <c r="AV174" i="29"/>
  <c r="AV175" i="29"/>
  <c r="E152" i="29"/>
  <c r="CF157" i="29"/>
  <c r="CU128" i="29"/>
  <c r="BZ116" i="29"/>
  <c r="BZ113" i="29"/>
  <c r="AZ171" i="29"/>
  <c r="AZ154" i="29"/>
  <c r="CF92" i="29"/>
  <c r="CF89" i="29"/>
  <c r="AU87" i="29"/>
  <c r="AU90" i="29"/>
  <c r="AA171" i="29"/>
  <c r="AA311" i="29" s="1"/>
  <c r="AA157" i="29"/>
  <c r="AA158" i="29"/>
  <c r="AA154" i="29"/>
  <c r="AA151" i="29"/>
  <c r="AA152" i="29" s="1"/>
  <c r="CE152" i="29"/>
  <c r="CS175" i="29"/>
  <c r="CS177" i="29" s="1"/>
  <c r="CD274" i="29"/>
  <c r="CS274" i="29" s="1"/>
  <c r="CS273" i="29" s="1"/>
  <c r="CD284" i="29"/>
  <c r="CS284" i="29" s="1"/>
  <c r="CS283" i="29" s="1"/>
  <c r="CS290" i="29" s="1"/>
  <c r="CD271" i="29"/>
  <c r="CS271" i="29" s="1"/>
  <c r="CS270" i="29" s="1"/>
  <c r="CD269" i="29"/>
  <c r="CS269" i="29" s="1"/>
  <c r="CS268" i="29" s="1"/>
  <c r="CD174" i="29"/>
  <c r="CD175" i="29"/>
  <c r="BI284" i="29"/>
  <c r="BI274" i="29"/>
  <c r="BI289" i="29"/>
  <c r="BI269" i="29"/>
  <c r="BI271" i="29"/>
  <c r="BI175" i="29"/>
  <c r="BI174" i="29"/>
  <c r="AS152" i="29"/>
  <c r="P289" i="29"/>
  <c r="P284" i="29"/>
  <c r="P269" i="29"/>
  <c r="P271" i="29"/>
  <c r="P174" i="29"/>
  <c r="P175" i="29"/>
  <c r="H289" i="29"/>
  <c r="H284" i="29"/>
  <c r="H271" i="29"/>
  <c r="H269" i="29"/>
  <c r="H245" i="29"/>
  <c r="H179" i="29"/>
  <c r="H175" i="29"/>
  <c r="CD170" i="29"/>
  <c r="BG159" i="29"/>
  <c r="BK168" i="29"/>
  <c r="CZ130" i="29"/>
  <c r="CU130" i="29"/>
  <c r="AU118" i="29"/>
  <c r="CU111" i="29"/>
  <c r="CU112" i="29" s="1"/>
  <c r="CU114" i="29"/>
  <c r="AU163" i="29"/>
  <c r="AU167" i="29"/>
  <c r="AU160" i="29"/>
  <c r="U77" i="29"/>
  <c r="U78" i="29" s="1"/>
  <c r="U72" i="29"/>
  <c r="U79" i="29"/>
  <c r="BJ152" i="29"/>
  <c r="BQ245" i="29"/>
  <c r="BQ175" i="29"/>
  <c r="BH289" i="29"/>
  <c r="BH284" i="29"/>
  <c r="BH269" i="29"/>
  <c r="BH271" i="29"/>
  <c r="BH274" i="29"/>
  <c r="BH174" i="29"/>
  <c r="BH175" i="29"/>
  <c r="BD159" i="29"/>
  <c r="AX311" i="29"/>
  <c r="AM284" i="29"/>
  <c r="AM289" i="29"/>
  <c r="AM269" i="29"/>
  <c r="AM271" i="29"/>
  <c r="AM175" i="29"/>
  <c r="AM176" i="29" s="1"/>
  <c r="AM174" i="29"/>
  <c r="G284" i="29"/>
  <c r="G269" i="29"/>
  <c r="G271" i="29"/>
  <c r="G245" i="29"/>
  <c r="G175" i="29"/>
  <c r="G176" i="29" s="1"/>
  <c r="G174" i="29"/>
  <c r="C284" i="29"/>
  <c r="C269" i="29"/>
  <c r="C271" i="29"/>
  <c r="C245" i="29"/>
  <c r="C175" i="29"/>
  <c r="C174" i="29"/>
  <c r="BU126" i="29"/>
  <c r="BU123" i="29"/>
  <c r="BU124" i="29" s="1"/>
  <c r="AK126" i="29"/>
  <c r="AK123" i="29"/>
  <c r="AK124" i="29" s="1"/>
  <c r="AZ111" i="29"/>
  <c r="AZ112" i="29" s="1"/>
  <c r="AZ114" i="29"/>
  <c r="CA115" i="29"/>
  <c r="CQ171" i="29"/>
  <c r="CQ151" i="29"/>
  <c r="CQ155" i="29"/>
  <c r="CQ158" i="29" s="1"/>
  <c r="AK171" i="29"/>
  <c r="AK158" i="29"/>
  <c r="AK159" i="29" s="1"/>
  <c r="AK157" i="29"/>
  <c r="AK151" i="29"/>
  <c r="AK152" i="29" s="1"/>
  <c r="AK154" i="29"/>
  <c r="AT77" i="29"/>
  <c r="AT78" i="29" s="1"/>
  <c r="AZ72" i="29"/>
  <c r="CQ175" i="29"/>
  <c r="CQ177" i="29" s="1"/>
  <c r="CB152" i="29"/>
  <c r="CB284" i="29"/>
  <c r="CQ284" i="29" s="1"/>
  <c r="CQ283" i="29" s="1"/>
  <c r="CQ290" i="29" s="1"/>
  <c r="CB269" i="29"/>
  <c r="CQ269" i="29" s="1"/>
  <c r="CQ268" i="29" s="1"/>
  <c r="CB271" i="29"/>
  <c r="CQ271" i="29" s="1"/>
  <c r="CQ270" i="29" s="1"/>
  <c r="CB245" i="29"/>
  <c r="CB175" i="29"/>
  <c r="CB174" i="29"/>
  <c r="BG152" i="29"/>
  <c r="AW311" i="29"/>
  <c r="Q82" i="29"/>
  <c r="CU173" i="29"/>
  <c r="CU289" i="29" s="1"/>
  <c r="CZ289" i="29" s="1"/>
  <c r="CU56" i="29"/>
  <c r="CU26" i="29"/>
  <c r="CU34" i="29"/>
  <c r="CU6" i="29"/>
  <c r="DE83" i="29"/>
  <c r="DJ4" i="29"/>
  <c r="S9" i="150"/>
  <c r="AK311" i="29"/>
  <c r="AK286" i="29"/>
  <c r="AK173" i="29"/>
  <c r="AK156" i="29"/>
  <c r="AK69" i="29"/>
  <c r="AK65" i="29"/>
  <c r="AK42" i="29"/>
  <c r="AK34" i="29"/>
  <c r="AK26" i="29"/>
  <c r="AK18" i="29"/>
  <c r="AK67" i="29"/>
  <c r="AK56" i="29"/>
  <c r="AZ55" i="29"/>
  <c r="AZ160" i="29" s="1"/>
  <c r="AZ161" i="29" s="1"/>
  <c r="CZ120" i="29"/>
  <c r="R19" i="150"/>
  <c r="H45" i="150" s="1"/>
  <c r="AF311" i="29"/>
  <c r="AF173" i="29"/>
  <c r="AF289" i="29" s="1"/>
  <c r="AF156" i="29"/>
  <c r="AF67" i="29"/>
  <c r="AF56" i="29"/>
  <c r="AF69" i="29"/>
  <c r="AF60" i="29"/>
  <c r="AF65" i="29"/>
  <c r="AF18" i="29"/>
  <c r="CC112" i="29"/>
  <c r="CB88" i="29"/>
  <c r="L77" i="29"/>
  <c r="L78" i="29" s="1"/>
  <c r="AZ37" i="29"/>
  <c r="AZ38" i="29" s="1"/>
  <c r="AU77" i="29"/>
  <c r="AU78" i="29" s="1"/>
  <c r="CZ131" i="29"/>
  <c r="CZ153" i="29" s="1"/>
  <c r="CZ42" i="29"/>
  <c r="DE40" i="29"/>
  <c r="DE55" i="29" s="1"/>
  <c r="R12" i="150"/>
  <c r="H40" i="150" s="1"/>
  <c r="AF98" i="29"/>
  <c r="Q56" i="29"/>
  <c r="Q245" i="29"/>
  <c r="Q174" i="29"/>
  <c r="Q175" i="29"/>
  <c r="AZ29" i="29"/>
  <c r="AZ30" i="29" s="1"/>
  <c r="CZ109" i="29"/>
  <c r="CZ110" i="29" s="1"/>
  <c r="CF311" i="29"/>
  <c r="CF173" i="29"/>
  <c r="CF65" i="29"/>
  <c r="CF67" i="29"/>
  <c r="CF56" i="29"/>
  <c r="CF63" i="29"/>
  <c r="CF64" i="29" s="1"/>
  <c r="CF69" i="29"/>
  <c r="BV79" i="29"/>
  <c r="BW77" i="29"/>
  <c r="BW78" i="29" s="1"/>
  <c r="BV77" i="29"/>
  <c r="BV78" i="29" s="1"/>
  <c r="BV75" i="29"/>
  <c r="BV76" i="29" s="1"/>
  <c r="BV74" i="29"/>
  <c r="V311" i="29"/>
  <c r="V286" i="29"/>
  <c r="V173" i="29"/>
  <c r="V289" i="29" s="1"/>
  <c r="V65" i="29"/>
  <c r="V67" i="29"/>
  <c r="V56" i="29"/>
  <c r="V50" i="29"/>
  <c r="V69" i="29"/>
  <c r="V6" i="29"/>
  <c r="CA173" i="29"/>
  <c r="CA289" i="29" s="1"/>
  <c r="CA64" i="29"/>
  <c r="CA60" i="29"/>
  <c r="CA58" i="29"/>
  <c r="CA56" i="29"/>
  <c r="CA69" i="29"/>
  <c r="CA67" i="29"/>
  <c r="CA65" i="29"/>
  <c r="CA61" i="29"/>
  <c r="CA62" i="29" s="1"/>
  <c r="F37" i="150"/>
  <c r="F41" i="150"/>
  <c r="P15" i="150"/>
  <c r="P25" i="150" s="1"/>
  <c r="P27" i="150" s="1"/>
  <c r="E41" i="150"/>
  <c r="O15" i="150"/>
  <c r="F47" i="150"/>
  <c r="E47" i="150"/>
  <c r="U152" i="29" l="1"/>
  <c r="F176" i="29"/>
  <c r="AE176" i="29"/>
  <c r="CR290" i="29"/>
  <c r="Z161" i="29"/>
  <c r="AW161" i="29"/>
  <c r="AB170" i="29"/>
  <c r="BM168" i="29"/>
  <c r="CF61" i="29"/>
  <c r="CF62" i="29" s="1"/>
  <c r="AZ77" i="29"/>
  <c r="AZ78" i="29" s="1"/>
  <c r="AS161" i="29"/>
  <c r="AI176" i="29"/>
  <c r="AX170" i="29"/>
  <c r="AT161" i="29"/>
  <c r="BR168" i="29"/>
  <c r="BG168" i="29"/>
  <c r="AL176" i="29"/>
  <c r="DT16" i="29"/>
  <c r="CZ158" i="29"/>
  <c r="CZ171" i="29"/>
  <c r="CZ154" i="29"/>
  <c r="CZ155" i="29"/>
  <c r="CZ151" i="29"/>
  <c r="CZ288" i="29"/>
  <c r="DE289" i="29"/>
  <c r="DE173" i="29"/>
  <c r="DE56" i="29"/>
  <c r="DE34" i="29"/>
  <c r="DE6" i="29"/>
  <c r="DE26" i="29"/>
  <c r="CA196" i="29"/>
  <c r="CA184" i="29"/>
  <c r="CA169" i="29"/>
  <c r="CA311" i="29"/>
  <c r="I37" i="150"/>
  <c r="CB177" i="29"/>
  <c r="CB176" i="29"/>
  <c r="CA116" i="29"/>
  <c r="CA113" i="29"/>
  <c r="BH177" i="29"/>
  <c r="BH176" i="29"/>
  <c r="BI176" i="29"/>
  <c r="BI177" i="29"/>
  <c r="AZ158" i="29"/>
  <c r="AZ159" i="29" s="1"/>
  <c r="CP176" i="29"/>
  <c r="CP177" i="29"/>
  <c r="S187" i="29"/>
  <c r="S185" i="29"/>
  <c r="S186" i="29"/>
  <c r="BG185" i="29"/>
  <c r="BG187" i="29"/>
  <c r="BG186" i="29"/>
  <c r="BC187" i="29"/>
  <c r="BC186" i="29"/>
  <c r="BC185" i="29"/>
  <c r="BR209" i="29"/>
  <c r="BR210" i="29" s="1"/>
  <c r="BR203" i="29"/>
  <c r="BR215" i="29"/>
  <c r="BR200" i="29"/>
  <c r="BR233" i="29" s="1"/>
  <c r="BL186" i="29"/>
  <c r="BL187" i="29"/>
  <c r="BL185" i="29"/>
  <c r="CU229" i="29"/>
  <c r="CZ228" i="29"/>
  <c r="DE228" i="29" s="1"/>
  <c r="DJ228" i="29" s="1"/>
  <c r="BZ247" i="29"/>
  <c r="CT309" i="29"/>
  <c r="CU297" i="29"/>
  <c r="BX177" i="29"/>
  <c r="BX176" i="29"/>
  <c r="S176" i="29"/>
  <c r="AR177" i="29"/>
  <c r="AR176" i="29"/>
  <c r="BJ177" i="29"/>
  <c r="BJ176" i="29"/>
  <c r="AF159" i="29"/>
  <c r="AP124" i="29"/>
  <c r="CD187" i="29"/>
  <c r="CD185" i="29"/>
  <c r="CD186" i="29"/>
  <c r="AP90" i="29"/>
  <c r="AP87" i="29"/>
  <c r="AP88" i="29" s="1"/>
  <c r="BY87" i="29"/>
  <c r="BY90" i="29"/>
  <c r="CD90" i="29"/>
  <c r="BW177" i="29"/>
  <c r="BW176" i="29"/>
  <c r="CF152" i="29"/>
  <c r="CU82" i="29"/>
  <c r="CZ82" i="29"/>
  <c r="CU171" i="29"/>
  <c r="CU151" i="29"/>
  <c r="CU152" i="29" s="1"/>
  <c r="CU154" i="29"/>
  <c r="C172" i="29"/>
  <c r="P184" i="29"/>
  <c r="P196" i="29"/>
  <c r="P169" i="29"/>
  <c r="P172" i="29"/>
  <c r="P311" i="29"/>
  <c r="D187" i="29"/>
  <c r="D185" i="29"/>
  <c r="D186" i="29"/>
  <c r="BQ199" i="29"/>
  <c r="BQ197" i="29"/>
  <c r="AQ168" i="29"/>
  <c r="AR168" i="29"/>
  <c r="BT249" i="29"/>
  <c r="AT247" i="29"/>
  <c r="CP255" i="29"/>
  <c r="CF259" i="29"/>
  <c r="CF261" i="29" s="1"/>
  <c r="DE120" i="29"/>
  <c r="S19" i="150"/>
  <c r="I45" i="150" s="1"/>
  <c r="CZ273" i="29"/>
  <c r="CZ268" i="29"/>
  <c r="CZ245" i="29"/>
  <c r="CZ174" i="29"/>
  <c r="CZ175" i="29"/>
  <c r="AY284" i="29"/>
  <c r="AY274" i="29"/>
  <c r="AY269" i="29"/>
  <c r="AY271" i="29"/>
  <c r="AY175" i="29"/>
  <c r="AY174" i="29"/>
  <c r="AY179" i="29"/>
  <c r="AY289" i="29"/>
  <c r="K284" i="29"/>
  <c r="K289" i="29"/>
  <c r="K269" i="29"/>
  <c r="K271" i="29"/>
  <c r="K175" i="29"/>
  <c r="P176" i="29" s="1"/>
  <c r="K179" i="29"/>
  <c r="AX177" i="29"/>
  <c r="AX176" i="29"/>
  <c r="CD215" i="29"/>
  <c r="CD209" i="29"/>
  <c r="CD210" i="29" s="1"/>
  <c r="CD203" i="29"/>
  <c r="CD200" i="29"/>
  <c r="DE285" i="29"/>
  <c r="DJ286" i="29"/>
  <c r="CS165" i="29"/>
  <c r="CS166" i="29"/>
  <c r="CF167" i="29"/>
  <c r="CF160" i="29"/>
  <c r="CF161" i="29" s="1"/>
  <c r="AY161" i="29"/>
  <c r="AE187" i="29"/>
  <c r="AE185" i="29"/>
  <c r="AE186" i="29"/>
  <c r="BG161" i="29"/>
  <c r="BY161" i="29"/>
  <c r="CE200" i="29"/>
  <c r="CE215" i="29"/>
  <c r="CE209" i="29"/>
  <c r="CE210" i="29" s="1"/>
  <c r="CE203" i="29"/>
  <c r="T187" i="29"/>
  <c r="T185" i="29"/>
  <c r="T186" i="29"/>
  <c r="CC170" i="29"/>
  <c r="AC197" i="29"/>
  <c r="AC199" i="29"/>
  <c r="AR187" i="29"/>
  <c r="AR185" i="29"/>
  <c r="AR186" i="29"/>
  <c r="BI168" i="29"/>
  <c r="BE215" i="29"/>
  <c r="BE209" i="29"/>
  <c r="BE210" i="29" s="1"/>
  <c r="BE203" i="29"/>
  <c r="BE200" i="29"/>
  <c r="AT252" i="29"/>
  <c r="AT245" i="29"/>
  <c r="AT246" i="29"/>
  <c r="AU244" i="29"/>
  <c r="BE261" i="29"/>
  <c r="BE247" i="29"/>
  <c r="CP229" i="29"/>
  <c r="K245" i="29"/>
  <c r="CP289" i="29"/>
  <c r="CP290" i="29"/>
  <c r="CP295" i="29" s="1"/>
  <c r="CP303" i="29" s="1"/>
  <c r="DE108" i="29"/>
  <c r="S18" i="150"/>
  <c r="I44" i="150" s="1"/>
  <c r="BG177" i="29"/>
  <c r="BG176" i="29"/>
  <c r="BY177" i="29"/>
  <c r="BY176" i="29"/>
  <c r="CR158" i="29"/>
  <c r="Z170" i="29"/>
  <c r="X176" i="29"/>
  <c r="CU269" i="29"/>
  <c r="CS167" i="29"/>
  <c r="M176" i="29"/>
  <c r="AC176" i="29"/>
  <c r="CT166" i="29"/>
  <c r="CT165" i="29"/>
  <c r="R161" i="29"/>
  <c r="O187" i="29"/>
  <c r="O185" i="29"/>
  <c r="O186" i="29"/>
  <c r="BJ196" i="29"/>
  <c r="BJ184" i="29"/>
  <c r="BJ169" i="29"/>
  <c r="BJ170" i="29" s="1"/>
  <c r="BJ172" i="29"/>
  <c r="BJ311" i="29"/>
  <c r="AG161" i="29"/>
  <c r="X187" i="29"/>
  <c r="X185" i="29"/>
  <c r="X186" i="29"/>
  <c r="AY152" i="29"/>
  <c r="AY196" i="29"/>
  <c r="AY169" i="29"/>
  <c r="AY184" i="29"/>
  <c r="AY172" i="29"/>
  <c r="M197" i="29"/>
  <c r="M199" i="29"/>
  <c r="AG199" i="29"/>
  <c r="AG197" i="29"/>
  <c r="BH187" i="29"/>
  <c r="BH186" i="29"/>
  <c r="BH185" i="29"/>
  <c r="CZ178" i="29"/>
  <c r="CZ179" i="29" s="1"/>
  <c r="R24" i="150"/>
  <c r="BI199" i="29"/>
  <c r="BI197" i="29"/>
  <c r="F199" i="29"/>
  <c r="F197" i="29"/>
  <c r="CK186" i="29"/>
  <c r="CK187" i="29"/>
  <c r="CK189" i="29" s="1"/>
  <c r="CD168" i="29"/>
  <c r="BQ220" i="29"/>
  <c r="BV221" i="29" s="1"/>
  <c r="BR221" i="29"/>
  <c r="BR222" i="29" s="1"/>
  <c r="BV222" i="29" s="1"/>
  <c r="CT237" i="29"/>
  <c r="CU237" i="29" s="1"/>
  <c r="CZ237" i="29" s="1"/>
  <c r="DE237" i="29" s="1"/>
  <c r="DJ237" i="29" s="1"/>
  <c r="CE184" i="29"/>
  <c r="CF237" i="29"/>
  <c r="CP237" i="29" s="1"/>
  <c r="CP184" i="29" s="1"/>
  <c r="AO249" i="29"/>
  <c r="AF161" i="29"/>
  <c r="Z249" i="29"/>
  <c r="AF258" i="29"/>
  <c r="AK161" i="29"/>
  <c r="CF284" i="29"/>
  <c r="CF274" i="29"/>
  <c r="CF245" i="29"/>
  <c r="CF175" i="29"/>
  <c r="CF174" i="29"/>
  <c r="CF271" i="29"/>
  <c r="CF269" i="29"/>
  <c r="CZ132" i="29"/>
  <c r="R20" i="150"/>
  <c r="H46" i="150" s="1"/>
  <c r="AK269" i="29"/>
  <c r="AK245" i="29"/>
  <c r="AK174" i="29"/>
  <c r="AK175" i="29"/>
  <c r="AK284" i="29"/>
  <c r="AK289" i="29"/>
  <c r="AK271" i="29"/>
  <c r="DJ83" i="29"/>
  <c r="DJ85" i="29"/>
  <c r="T9" i="150"/>
  <c r="DE84" i="29"/>
  <c r="S17" i="150"/>
  <c r="CU155" i="29"/>
  <c r="CQ164" i="29"/>
  <c r="CF87" i="29"/>
  <c r="CF90" i="29"/>
  <c r="AV177" i="29"/>
  <c r="AV176" i="29"/>
  <c r="BZ87" i="29"/>
  <c r="BZ90" i="29"/>
  <c r="CE90" i="29"/>
  <c r="BF186" i="29"/>
  <c r="BF187" i="29"/>
  <c r="BF189" i="29" s="1"/>
  <c r="AM215" i="29"/>
  <c r="AM209" i="29"/>
  <c r="AM210" i="29" s="1"/>
  <c r="AM203" i="29"/>
  <c r="AM200" i="29"/>
  <c r="BG199" i="29"/>
  <c r="BG197" i="29"/>
  <c r="AQ189" i="29"/>
  <c r="BC199" i="29"/>
  <c r="BC197" i="29"/>
  <c r="CD138" i="29"/>
  <c r="BY135" i="29"/>
  <c r="BY138" i="29"/>
  <c r="BL199" i="29"/>
  <c r="BL197" i="29"/>
  <c r="J186" i="29"/>
  <c r="J187" i="29"/>
  <c r="J189" i="29" s="1"/>
  <c r="CE245" i="29"/>
  <c r="CE246" i="29"/>
  <c r="CS257" i="29"/>
  <c r="CS310" i="29" s="1"/>
  <c r="CS224" i="29"/>
  <c r="CS216" i="29"/>
  <c r="CT226" i="29"/>
  <c r="CU226" i="29"/>
  <c r="AJ249" i="29"/>
  <c r="Q184" i="29"/>
  <c r="Q196" i="29"/>
  <c r="Q172" i="29"/>
  <c r="Q169" i="29"/>
  <c r="Q311" i="29"/>
  <c r="CC177" i="29"/>
  <c r="CC176" i="29"/>
  <c r="AF184" i="29"/>
  <c r="AF196" i="29"/>
  <c r="AF169" i="29"/>
  <c r="AF172" i="29"/>
  <c r="AU196" i="29"/>
  <c r="AU169" i="29"/>
  <c r="AU184" i="29"/>
  <c r="BZ176" i="29"/>
  <c r="BZ177" i="29"/>
  <c r="BB177" i="29"/>
  <c r="BB176" i="29"/>
  <c r="V196" i="29"/>
  <c r="V184" i="29"/>
  <c r="V172" i="29"/>
  <c r="V169" i="29"/>
  <c r="CF184" i="29"/>
  <c r="CF196" i="29"/>
  <c r="CF169" i="29"/>
  <c r="CF170" i="29" s="1"/>
  <c r="CF172" i="29"/>
  <c r="CU87" i="29"/>
  <c r="CU88" i="29" s="1"/>
  <c r="CU90" i="29"/>
  <c r="BF178" i="29"/>
  <c r="AU179" i="29"/>
  <c r="C187" i="29"/>
  <c r="C186" i="29"/>
  <c r="BT186" i="29"/>
  <c r="BT187" i="29"/>
  <c r="BT189" i="29" s="1"/>
  <c r="CP203" i="29"/>
  <c r="CP209" i="29"/>
  <c r="CP210" i="29" s="1"/>
  <c r="CP215" i="29"/>
  <c r="CP200" i="29"/>
  <c r="BK170" i="29"/>
  <c r="AJ161" i="29"/>
  <c r="I197" i="29"/>
  <c r="I199" i="29"/>
  <c r="X161" i="29"/>
  <c r="R186" i="29"/>
  <c r="R187" i="29"/>
  <c r="R185" i="29"/>
  <c r="AD186" i="29"/>
  <c r="AD187" i="29"/>
  <c r="AD185" i="29"/>
  <c r="BW186" i="29"/>
  <c r="BW187" i="29"/>
  <c r="BW185" i="29"/>
  <c r="AS199" i="29"/>
  <c r="AS197" i="29"/>
  <c r="CP197" i="29"/>
  <c r="AX249" i="29"/>
  <c r="AS249" i="29"/>
  <c r="CD249" i="29"/>
  <c r="BU249" i="29"/>
  <c r="BY249" i="29"/>
  <c r="L161" i="29"/>
  <c r="AO161" i="29"/>
  <c r="AU124" i="29"/>
  <c r="BE168" i="29"/>
  <c r="CB170" i="29"/>
  <c r="CP168" i="29"/>
  <c r="H197" i="29"/>
  <c r="H199" i="29"/>
  <c r="BD161" i="29"/>
  <c r="AX168" i="29"/>
  <c r="AH186" i="29"/>
  <c r="AH187" i="29"/>
  <c r="AH185" i="29"/>
  <c r="AW185" i="29"/>
  <c r="AW186" i="29"/>
  <c r="AW187" i="29"/>
  <c r="BS168" i="29"/>
  <c r="CE247" i="29"/>
  <c r="K249" i="29"/>
  <c r="CF289" i="29"/>
  <c r="CZ162" i="29"/>
  <c r="L284" i="29"/>
  <c r="L271" i="29"/>
  <c r="L245" i="29"/>
  <c r="L174" i="29"/>
  <c r="L175" i="29"/>
  <c r="L176" i="29" s="1"/>
  <c r="L179" i="29"/>
  <c r="L269" i="29"/>
  <c r="L196" i="29"/>
  <c r="L184" i="29"/>
  <c r="L169" i="29"/>
  <c r="L170" i="29" s="1"/>
  <c r="L172" i="29"/>
  <c r="CR166" i="29"/>
  <c r="CR165" i="29"/>
  <c r="AJ176" i="29"/>
  <c r="CU271" i="29"/>
  <c r="CZ271" i="29" s="1"/>
  <c r="AZ167" i="29"/>
  <c r="AZ168" i="29" s="1"/>
  <c r="BY123" i="29"/>
  <c r="CD126" i="29"/>
  <c r="BY126" i="29"/>
  <c r="AI187" i="29"/>
  <c r="AI185" i="29"/>
  <c r="AI186" i="29"/>
  <c r="AZ156" i="29"/>
  <c r="CE170" i="29"/>
  <c r="X197" i="29"/>
  <c r="X199" i="29"/>
  <c r="BY189" i="29"/>
  <c r="AY159" i="29"/>
  <c r="CU178" i="29"/>
  <c r="CU179" i="29" s="1"/>
  <c r="Q24" i="150"/>
  <c r="M185" i="29"/>
  <c r="M186" i="29"/>
  <c r="M187" i="29"/>
  <c r="AG185" i="29"/>
  <c r="AG186" i="29"/>
  <c r="AG187" i="29"/>
  <c r="BH199" i="29"/>
  <c r="BH197" i="29"/>
  <c r="BD170" i="29"/>
  <c r="AJ170" i="29"/>
  <c r="BL161" i="29"/>
  <c r="BW168" i="29"/>
  <c r="DJ150" i="29"/>
  <c r="DJ147" i="29" s="1"/>
  <c r="DE147" i="29"/>
  <c r="BI170" i="29"/>
  <c r="F170" i="29"/>
  <c r="CK199" i="29"/>
  <c r="CK197" i="29"/>
  <c r="BX168" i="29"/>
  <c r="T161" i="29"/>
  <c r="CS191" i="29"/>
  <c r="CT193" i="29"/>
  <c r="CT191" i="29" s="1"/>
  <c r="CA90" i="29"/>
  <c r="CA87" i="29"/>
  <c r="CA88" i="29" s="1"/>
  <c r="AF168" i="29"/>
  <c r="CZ122" i="29"/>
  <c r="CA135" i="29"/>
  <c r="CA136" i="29" s="1"/>
  <c r="CA138" i="29"/>
  <c r="CF138" i="29"/>
  <c r="CZ133" i="29"/>
  <c r="CZ134" i="29" s="1"/>
  <c r="CU245" i="29"/>
  <c r="CU175" i="29"/>
  <c r="CU174" i="29"/>
  <c r="CD177" i="29"/>
  <c r="CD176" i="29"/>
  <c r="AA196" i="29"/>
  <c r="AA184" i="29"/>
  <c r="AA169" i="29"/>
  <c r="AA170" i="29" s="1"/>
  <c r="AA172" i="29"/>
  <c r="AZ196" i="29"/>
  <c r="AZ184" i="29"/>
  <c r="AZ169" i="29"/>
  <c r="AZ170" i="29" s="1"/>
  <c r="AZ172" i="29"/>
  <c r="AO176" i="29"/>
  <c r="AO177" i="29"/>
  <c r="CA178" i="29"/>
  <c r="CA179" i="29" s="1"/>
  <c r="O24" i="150"/>
  <c r="O25" i="150" s="1"/>
  <c r="O27" i="150" s="1"/>
  <c r="CA162" i="29"/>
  <c r="S199" i="29"/>
  <c r="S197" i="29"/>
  <c r="BF199" i="29"/>
  <c r="BF197" i="29"/>
  <c r="AB187" i="29"/>
  <c r="AB185" i="29"/>
  <c r="AB186" i="29"/>
  <c r="U199" i="29"/>
  <c r="U197" i="29"/>
  <c r="E199" i="29"/>
  <c r="E197" i="29"/>
  <c r="AV189" i="29"/>
  <c r="AV188" i="29"/>
  <c r="BL170" i="29"/>
  <c r="CE138" i="29"/>
  <c r="BZ135" i="29"/>
  <c r="BZ138" i="29"/>
  <c r="N186" i="29"/>
  <c r="N187" i="29"/>
  <c r="N185" i="29"/>
  <c r="J199" i="29"/>
  <c r="J197" i="29"/>
  <c r="CZ220" i="29"/>
  <c r="CU221" i="29"/>
  <c r="CU223" i="29" s="1"/>
  <c r="AY249" i="29"/>
  <c r="AU259" i="29"/>
  <c r="E262" i="29"/>
  <c r="E263" i="29" s="1"/>
  <c r="D267" i="29"/>
  <c r="D273" i="29" s="1"/>
  <c r="D274" i="29" s="1"/>
  <c r="D289" i="29"/>
  <c r="D284" i="29"/>
  <c r="D271" i="29"/>
  <c r="D269" i="29"/>
  <c r="D245" i="29"/>
  <c r="D174" i="29"/>
  <c r="D179" i="29"/>
  <c r="D175" i="29"/>
  <c r="D176" i="29" s="1"/>
  <c r="O176" i="29"/>
  <c r="W176" i="29"/>
  <c r="AF152" i="29"/>
  <c r="AD161" i="29"/>
  <c r="AP167" i="29"/>
  <c r="AP168" i="29" s="1"/>
  <c r="AP163" i="29"/>
  <c r="AP160" i="29"/>
  <c r="AP161" i="29" s="1"/>
  <c r="AQ124" i="29"/>
  <c r="AV124" i="29"/>
  <c r="Q21" i="150"/>
  <c r="G43" i="150"/>
  <c r="BZ163" i="29"/>
  <c r="BZ167" i="29"/>
  <c r="CE168" i="29" s="1"/>
  <c r="BZ160" i="29"/>
  <c r="BZ166" i="29"/>
  <c r="W187" i="29"/>
  <c r="W185" i="29"/>
  <c r="W186" i="29"/>
  <c r="BX186" i="29"/>
  <c r="BX187" i="29"/>
  <c r="BX185" i="29"/>
  <c r="AX186" i="29"/>
  <c r="AX187" i="29"/>
  <c r="AX185" i="29"/>
  <c r="BT199" i="29"/>
  <c r="BT197" i="29"/>
  <c r="D170" i="29"/>
  <c r="BK187" i="29"/>
  <c r="BK189" i="29" s="1"/>
  <c r="BK186" i="29"/>
  <c r="Y199" i="29"/>
  <c r="Y197" i="29"/>
  <c r="AN197" i="29"/>
  <c r="AN199" i="29"/>
  <c r="BM199" i="29"/>
  <c r="BM197" i="29"/>
  <c r="I186" i="29"/>
  <c r="I187" i="29"/>
  <c r="I189" i="29" s="1"/>
  <c r="R197" i="29"/>
  <c r="R199" i="29"/>
  <c r="AD199" i="29"/>
  <c r="AD197" i="29"/>
  <c r="BW199" i="29"/>
  <c r="BW197" i="29"/>
  <c r="AS185" i="29"/>
  <c r="AS186" i="29"/>
  <c r="AS187" i="29"/>
  <c r="AR161" i="29"/>
  <c r="CS259" i="29"/>
  <c r="CU255" i="29"/>
  <c r="BJ249" i="29"/>
  <c r="AY252" i="29"/>
  <c r="AY261" i="29" s="1"/>
  <c r="AX261" i="29"/>
  <c r="CD261" i="29"/>
  <c r="AT259" i="29"/>
  <c r="AT261" i="29" s="1"/>
  <c r="DJ119" i="29"/>
  <c r="DJ121" i="29" s="1"/>
  <c r="DJ122" i="29" s="1"/>
  <c r="T11" i="150"/>
  <c r="J39" i="150" s="1"/>
  <c r="R13" i="150"/>
  <c r="CU118" i="29"/>
  <c r="CZ118" i="29"/>
  <c r="AV161" i="29"/>
  <c r="BE161" i="29"/>
  <c r="AL186" i="29"/>
  <c r="AL187" i="29"/>
  <c r="AL185" i="29"/>
  <c r="CB199" i="29"/>
  <c r="CB197" i="29"/>
  <c r="G187" i="29"/>
  <c r="G185" i="29"/>
  <c r="G186" i="29"/>
  <c r="BB186" i="29"/>
  <c r="BB185" i="29"/>
  <c r="BB187" i="29"/>
  <c r="BC161" i="29"/>
  <c r="CC187" i="29"/>
  <c r="CC185" i="29"/>
  <c r="CC186" i="29"/>
  <c r="H187" i="29"/>
  <c r="H189" i="29" s="1"/>
  <c r="H186" i="29"/>
  <c r="AX161" i="29"/>
  <c r="BZ187" i="29"/>
  <c r="BZ186" i="29"/>
  <c r="BI161" i="29"/>
  <c r="Z215" i="29"/>
  <c r="Z209" i="29"/>
  <c r="Z210" i="29" s="1"/>
  <c r="Z203" i="29"/>
  <c r="Z200" i="29"/>
  <c r="AH199" i="29"/>
  <c r="AH197" i="29"/>
  <c r="AW197" i="29"/>
  <c r="AW199" i="29"/>
  <c r="BS187" i="29"/>
  <c r="BS189" i="29" s="1"/>
  <c r="BS186" i="29"/>
  <c r="U251" i="29"/>
  <c r="U247" i="29"/>
  <c r="U246" i="29"/>
  <c r="U245" i="29"/>
  <c r="BL232" i="29"/>
  <c r="BD249" i="29"/>
  <c r="AY245" i="29"/>
  <c r="T249" i="29"/>
  <c r="AP269" i="29"/>
  <c r="AP245" i="29"/>
  <c r="AP174" i="29"/>
  <c r="AP271" i="29"/>
  <c r="AP284" i="29"/>
  <c r="DE110" i="29"/>
  <c r="AZ18" i="29"/>
  <c r="H43" i="150"/>
  <c r="R21" i="150"/>
  <c r="H47" i="150" s="1"/>
  <c r="BL177" i="29"/>
  <c r="BL176" i="29"/>
  <c r="BM177" i="29"/>
  <c r="BM176" i="29"/>
  <c r="AO184" i="29"/>
  <c r="AO196" i="29"/>
  <c r="AO172" i="29"/>
  <c r="AO169" i="29"/>
  <c r="AO170" i="29" s="1"/>
  <c r="AO311" i="29"/>
  <c r="CR196" i="29"/>
  <c r="CR169" i="29"/>
  <c r="CR184" i="29"/>
  <c r="CR311" i="29"/>
  <c r="AZ34" i="29"/>
  <c r="T176" i="29"/>
  <c r="AB176" i="29"/>
  <c r="BE177" i="29"/>
  <c r="BE176" i="29"/>
  <c r="CU274" i="29"/>
  <c r="AA161" i="29"/>
  <c r="E174" i="29"/>
  <c r="U176" i="29"/>
  <c r="AG176" i="29"/>
  <c r="BZ125" i="29"/>
  <c r="BZ128" i="29"/>
  <c r="CA127" i="29"/>
  <c r="BK178" i="29"/>
  <c r="BK179" i="29" s="1"/>
  <c r="O170" i="29"/>
  <c r="AI170" i="29"/>
  <c r="K196" i="29"/>
  <c r="K184" i="29"/>
  <c r="K169" i="29"/>
  <c r="AI161" i="29"/>
  <c r="M170" i="29"/>
  <c r="AG170" i="29"/>
  <c r="BH170" i="29"/>
  <c r="BD187" i="29"/>
  <c r="BD186" i="29"/>
  <c r="BD185" i="29"/>
  <c r="AJ197" i="29"/>
  <c r="AJ199" i="29"/>
  <c r="BW161" i="29"/>
  <c r="BA209" i="29"/>
  <c r="BA210" i="29" s="1"/>
  <c r="BA203" i="29"/>
  <c r="BA215" i="29"/>
  <c r="BA200" i="29"/>
  <c r="BA233" i="29" s="1"/>
  <c r="CD161" i="29"/>
  <c r="BU178" i="29"/>
  <c r="BU179" i="29" s="1"/>
  <c r="BU162" i="29"/>
  <c r="BV147" i="29"/>
  <c r="J262" i="29"/>
  <c r="J263" i="29" s="1"/>
  <c r="I267" i="29"/>
  <c r="I273" i="29" s="1"/>
  <c r="I274" i="29" s="1"/>
  <c r="AU257" i="29"/>
  <c r="AU310" i="29" s="1"/>
  <c r="CA284" i="29"/>
  <c r="CA269" i="29"/>
  <c r="CA271" i="29"/>
  <c r="CA245" i="29"/>
  <c r="CA175" i="29"/>
  <c r="CA174" i="29"/>
  <c r="V271" i="29"/>
  <c r="V245" i="29"/>
  <c r="V174" i="29"/>
  <c r="V175" i="29"/>
  <c r="V176" i="29" s="1"/>
  <c r="V284" i="29"/>
  <c r="V269" i="29"/>
  <c r="DE131" i="29"/>
  <c r="DE153" i="29" s="1"/>
  <c r="DJ40" i="29"/>
  <c r="DE42" i="29"/>
  <c r="S12" i="150"/>
  <c r="I40" i="150" s="1"/>
  <c r="AF284" i="29"/>
  <c r="AF271" i="29"/>
  <c r="AF245" i="29"/>
  <c r="AF174" i="29"/>
  <c r="AF175" i="29"/>
  <c r="AF269" i="29"/>
  <c r="AZ311" i="29"/>
  <c r="AZ173" i="29"/>
  <c r="AZ67" i="29"/>
  <c r="AZ64" i="29"/>
  <c r="AZ56" i="29"/>
  <c r="AZ58" i="29"/>
  <c r="AZ69" i="29"/>
  <c r="AZ65" i="29"/>
  <c r="AZ61" i="29"/>
  <c r="AZ62" i="29" s="1"/>
  <c r="AZ60" i="29"/>
  <c r="AZ286" i="29"/>
  <c r="AZ42" i="29"/>
  <c r="AZ6" i="29"/>
  <c r="AZ165" i="29"/>
  <c r="DE85" i="29"/>
  <c r="DE86" i="29" s="1"/>
  <c r="AZ79" i="29"/>
  <c r="AK184" i="29"/>
  <c r="AK196" i="29"/>
  <c r="AK172" i="29"/>
  <c r="AK169" i="29"/>
  <c r="AK170" i="29" s="1"/>
  <c r="CQ196" i="29"/>
  <c r="CQ184" i="29"/>
  <c r="CQ169" i="29"/>
  <c r="CQ311" i="29"/>
  <c r="AZ151" i="29"/>
  <c r="AZ152" i="29" s="1"/>
  <c r="BZ114" i="29"/>
  <c r="BZ111" i="29"/>
  <c r="CE114" i="29"/>
  <c r="BX88" i="29"/>
  <c r="CC88" i="29"/>
  <c r="AT196" i="29"/>
  <c r="AT184" i="29"/>
  <c r="AT169" i="29"/>
  <c r="AT170" i="29" s="1"/>
  <c r="AT172" i="29"/>
  <c r="AB197" i="29"/>
  <c r="AB199" i="29"/>
  <c r="U185" i="29"/>
  <c r="U186" i="29"/>
  <c r="U187" i="29"/>
  <c r="E185" i="29"/>
  <c r="E186" i="29"/>
  <c r="E187" i="29"/>
  <c r="N197" i="29"/>
  <c r="N199" i="29"/>
  <c r="BM161" i="29"/>
  <c r="CR310" i="29"/>
  <c r="CF310" i="29"/>
  <c r="CP257" i="29"/>
  <c r="AP86" i="29"/>
  <c r="AU86" i="29"/>
  <c r="AZ26" i="29"/>
  <c r="AZ88" i="29"/>
  <c r="AQ176" i="29"/>
  <c r="AQ177" i="29"/>
  <c r="BC177" i="29"/>
  <c r="BC176" i="29"/>
  <c r="AS177" i="29"/>
  <c r="AS176" i="29"/>
  <c r="AU289" i="29"/>
  <c r="BF289" i="29" s="1"/>
  <c r="AU284" i="29"/>
  <c r="AU175" i="29"/>
  <c r="AU174" i="29"/>
  <c r="AU271" i="29"/>
  <c r="AU269" i="29"/>
  <c r="AU274" i="29"/>
  <c r="AP171" i="29"/>
  <c r="AP175" i="29" s="1"/>
  <c r="AP176" i="29" s="1"/>
  <c r="AP151" i="29"/>
  <c r="AP152" i="29" s="1"/>
  <c r="AP158" i="29"/>
  <c r="AP159" i="29" s="1"/>
  <c r="AP154" i="29"/>
  <c r="AP157" i="29"/>
  <c r="V152" i="29"/>
  <c r="CU163" i="29"/>
  <c r="CU160" i="29"/>
  <c r="CU161" i="29" s="1"/>
  <c r="B196" i="29"/>
  <c r="B184" i="29"/>
  <c r="C185" i="29" s="1"/>
  <c r="B169" i="29"/>
  <c r="C170" i="29" s="1"/>
  <c r="W199" i="29"/>
  <c r="W197" i="29"/>
  <c r="BX197" i="29"/>
  <c r="BX199" i="29"/>
  <c r="C199" i="29"/>
  <c r="C197" i="29"/>
  <c r="AX197" i="29"/>
  <c r="AX199" i="29"/>
  <c r="AF179" i="29"/>
  <c r="AM189" i="29"/>
  <c r="AM188" i="29"/>
  <c r="D199" i="29"/>
  <c r="D197" i="29"/>
  <c r="BQ186" i="29"/>
  <c r="BQ187" i="29"/>
  <c r="BQ189" i="29" s="1"/>
  <c r="BK199" i="29"/>
  <c r="BK197" i="29"/>
  <c r="BX136" i="29"/>
  <c r="CC136" i="29"/>
  <c r="Y185" i="29"/>
  <c r="Y186" i="29"/>
  <c r="Y187" i="29"/>
  <c r="AN187" i="29"/>
  <c r="AN185" i="29"/>
  <c r="AN186" i="29"/>
  <c r="BM186" i="29"/>
  <c r="BM187" i="29"/>
  <c r="BM185" i="29"/>
  <c r="AQ161" i="29"/>
  <c r="AS170" i="29"/>
  <c r="BE170" i="29"/>
  <c r="V179" i="29"/>
  <c r="BQ231" i="29"/>
  <c r="BG232" i="29"/>
  <c r="DE231" i="29"/>
  <c r="AE249" i="29"/>
  <c r="AW177" i="29"/>
  <c r="AW176" i="29"/>
  <c r="AT289" i="29"/>
  <c r="AT284" i="29"/>
  <c r="AT274" i="29"/>
  <c r="AT269" i="29"/>
  <c r="AT271" i="29"/>
  <c r="AT174" i="29"/>
  <c r="AT175" i="29"/>
  <c r="AT179" i="29"/>
  <c r="Q161" i="29"/>
  <c r="BD177" i="29"/>
  <c r="BD176" i="29"/>
  <c r="AO168" i="29"/>
  <c r="CS184" i="29"/>
  <c r="CS196" i="29"/>
  <c r="CS169" i="29"/>
  <c r="CS311" i="29"/>
  <c r="CU123" i="29"/>
  <c r="CU124" i="29" s="1"/>
  <c r="CU126" i="29"/>
  <c r="V161" i="29"/>
  <c r="AZ124" i="29"/>
  <c r="AV168" i="29"/>
  <c r="CF179" i="29"/>
  <c r="AE199" i="29"/>
  <c r="AE197" i="29"/>
  <c r="AL197" i="29"/>
  <c r="AL199" i="29"/>
  <c r="CB186" i="29"/>
  <c r="CB187" i="29"/>
  <c r="CB185" i="29"/>
  <c r="G199" i="29"/>
  <c r="G197" i="29"/>
  <c r="BB197" i="29"/>
  <c r="BB199" i="29"/>
  <c r="BY168" i="29"/>
  <c r="BC168" i="29"/>
  <c r="AK179" i="29"/>
  <c r="T199" i="29"/>
  <c r="T197" i="29"/>
  <c r="BY209" i="29"/>
  <c r="BY210" i="29" s="1"/>
  <c r="BY203" i="29"/>
  <c r="BY215" i="29"/>
  <c r="BY200" i="29"/>
  <c r="CC199" i="29"/>
  <c r="CC197" i="29"/>
  <c r="BU196" i="29"/>
  <c r="BU184" i="29"/>
  <c r="BU169" i="29"/>
  <c r="BZ170" i="29" s="1"/>
  <c r="BU311" i="29"/>
  <c r="BD168" i="29"/>
  <c r="AC185" i="29"/>
  <c r="AC186" i="29"/>
  <c r="AC187" i="29"/>
  <c r="AR197" i="29"/>
  <c r="AR199" i="29"/>
  <c r="BZ199" i="29"/>
  <c r="BZ197" i="29"/>
  <c r="AH170" i="29"/>
  <c r="AW170" i="29"/>
  <c r="BS199" i="29"/>
  <c r="BS197" i="29"/>
  <c r="J249" i="29"/>
  <c r="AA284" i="29"/>
  <c r="AA289" i="29"/>
  <c r="AA269" i="29"/>
  <c r="AA245" i="29"/>
  <c r="AA175" i="29"/>
  <c r="AA176" i="29" s="1"/>
  <c r="AA174" i="29"/>
  <c r="AA179" i="29"/>
  <c r="AA271" i="29"/>
  <c r="B284" i="29"/>
  <c r="B269" i="29"/>
  <c r="B271" i="29"/>
  <c r="B245" i="29"/>
  <c r="B175" i="29"/>
  <c r="C176" i="29" s="1"/>
  <c r="B274" i="29"/>
  <c r="B289" i="29"/>
  <c r="B179" i="29"/>
  <c r="DJ107" i="29"/>
  <c r="DJ109" i="29" s="1"/>
  <c r="DJ110" i="29" s="1"/>
  <c r="T10" i="150"/>
  <c r="J38" i="150" s="1"/>
  <c r="U161" i="29"/>
  <c r="AN177" i="29"/>
  <c r="AN176" i="29"/>
  <c r="CE177" i="29"/>
  <c r="CE176" i="29"/>
  <c r="CU283" i="29"/>
  <c r="CT290" i="29"/>
  <c r="Y176" i="29"/>
  <c r="CT171" i="29"/>
  <c r="O199" i="29"/>
  <c r="O197" i="29"/>
  <c r="AI199" i="29"/>
  <c r="AI197" i="29"/>
  <c r="CF165" i="29"/>
  <c r="CF166" i="29"/>
  <c r="X170" i="29"/>
  <c r="AQ215" i="29"/>
  <c r="AQ209" i="29"/>
  <c r="AQ210" i="29" s="1"/>
  <c r="AQ200" i="29"/>
  <c r="AQ203" i="29"/>
  <c r="AV200" i="29"/>
  <c r="AV209" i="29"/>
  <c r="AV210" i="29" s="1"/>
  <c r="AV211" i="29" s="1"/>
  <c r="AV203" i="29"/>
  <c r="AV215" i="29"/>
  <c r="BD199" i="29"/>
  <c r="BD197" i="29"/>
  <c r="AJ187" i="29"/>
  <c r="AJ185" i="29"/>
  <c r="AJ186" i="29"/>
  <c r="BL168" i="29"/>
  <c r="Z189" i="29"/>
  <c r="Z188" i="29"/>
  <c r="BI186" i="29"/>
  <c r="BI185" i="29"/>
  <c r="BI187" i="29"/>
  <c r="F186" i="29"/>
  <c r="F187" i="29"/>
  <c r="F185" i="29"/>
  <c r="BX161" i="29"/>
  <c r="AH161" i="29"/>
  <c r="CS246" i="29"/>
  <c r="CS252" i="29"/>
  <c r="CT252" i="29" s="1"/>
  <c r="CS245" i="29"/>
  <c r="CT244" i="29"/>
  <c r="BF245" i="29"/>
  <c r="BF252" i="29"/>
  <c r="BF246" i="29"/>
  <c r="P249" i="29"/>
  <c r="BZ259" i="29"/>
  <c r="BZ261" i="29" s="1"/>
  <c r="AK168" i="29"/>
  <c r="BE188" i="29"/>
  <c r="BE189" i="29"/>
  <c r="P35" i="150"/>
  <c r="F49" i="150"/>
  <c r="CZ152" i="29" l="1"/>
  <c r="V170" i="29"/>
  <c r="AP177" i="29"/>
  <c r="DT17" i="29"/>
  <c r="DU17" i="29" s="1"/>
  <c r="DV17" i="29" s="1"/>
  <c r="DW17" i="29" s="1"/>
  <c r="DE171" i="29"/>
  <c r="DE154" i="29"/>
  <c r="DE155" i="29"/>
  <c r="DE158" i="29" s="1"/>
  <c r="DE159" i="29" s="1"/>
  <c r="DE151" i="29"/>
  <c r="DE152" i="29" s="1"/>
  <c r="E49" i="150"/>
  <c r="O35" i="150"/>
  <c r="O215" i="29"/>
  <c r="O209" i="29"/>
  <c r="O210" i="29" s="1"/>
  <c r="O203" i="29"/>
  <c r="O200" i="29"/>
  <c r="CU290" i="29"/>
  <c r="CU284" i="29"/>
  <c r="CZ284" i="29" s="1"/>
  <c r="BU199" i="29"/>
  <c r="BU197" i="29"/>
  <c r="BY308" i="29"/>
  <c r="BY236" i="29"/>
  <c r="BY217" i="29"/>
  <c r="T215" i="29"/>
  <c r="T209" i="29"/>
  <c r="T210" i="29" s="1"/>
  <c r="T211" i="29" s="1"/>
  <c r="T203" i="29"/>
  <c r="T200" i="29"/>
  <c r="BB215" i="29"/>
  <c r="BB209" i="29"/>
  <c r="BB210" i="29" s="1"/>
  <c r="BB211" i="29" s="1"/>
  <c r="BB203" i="29"/>
  <c r="BB200" i="29"/>
  <c r="CS187" i="29"/>
  <c r="CS189" i="29" s="1"/>
  <c r="CS186" i="29"/>
  <c r="Y188" i="29"/>
  <c r="Y189" i="29"/>
  <c r="B199" i="29"/>
  <c r="B197" i="29"/>
  <c r="BU177" i="29"/>
  <c r="U189" i="29"/>
  <c r="AT199" i="29"/>
  <c r="AT197" i="29"/>
  <c r="BZ112" i="29"/>
  <c r="CP112" i="29"/>
  <c r="CE112" i="29"/>
  <c r="BU167" i="29"/>
  <c r="BU168" i="29" s="1"/>
  <c r="BU160" i="29"/>
  <c r="BU166" i="29"/>
  <c r="BU163" i="29"/>
  <c r="BA236" i="29"/>
  <c r="BA217" i="29"/>
  <c r="AJ236" i="29"/>
  <c r="AJ215" i="29"/>
  <c r="AJ200" i="29"/>
  <c r="AJ209" i="29"/>
  <c r="AJ210" i="29" s="1"/>
  <c r="AJ203" i="29"/>
  <c r="BD189" i="29"/>
  <c r="BD188" i="29"/>
  <c r="CA128" i="29"/>
  <c r="CA125" i="29"/>
  <c r="CR199" i="29"/>
  <c r="CR198" i="29"/>
  <c r="AO199" i="29"/>
  <c r="AO197" i="29"/>
  <c r="AH215" i="29"/>
  <c r="AH209" i="29"/>
  <c r="AH210" i="29" s="1"/>
  <c r="AH203" i="29"/>
  <c r="AH200" i="29"/>
  <c r="Z308" i="29"/>
  <c r="Z236" i="29"/>
  <c r="Z217" i="29"/>
  <c r="BZ189" i="29"/>
  <c r="CB215" i="29"/>
  <c r="CB200" i="29"/>
  <c r="CB209" i="29"/>
  <c r="CB210" i="29" s="1"/>
  <c r="CB203" i="29"/>
  <c r="H41" i="150"/>
  <c r="R15" i="150"/>
  <c r="R25" i="150" s="1"/>
  <c r="R27" i="150" s="1"/>
  <c r="Q46" i="150"/>
  <c r="AN200" i="29"/>
  <c r="AN215" i="29"/>
  <c r="AN209" i="29"/>
  <c r="AN210" i="29" s="1"/>
  <c r="AN203" i="29"/>
  <c r="BT215" i="29"/>
  <c r="BT209" i="29"/>
  <c r="BT210" i="29" s="1"/>
  <c r="BT200" i="29"/>
  <c r="BT233" i="29" s="1"/>
  <c r="BT203" i="29"/>
  <c r="BZ161" i="29"/>
  <c r="G47" i="150"/>
  <c r="Q15" i="150"/>
  <c r="Q25" i="150" s="1"/>
  <c r="Q27" i="150" s="1"/>
  <c r="F262" i="29"/>
  <c r="F263" i="29" s="1"/>
  <c r="E267" i="29"/>
  <c r="E273" i="29" s="1"/>
  <c r="E274" i="29" s="1"/>
  <c r="BZ136" i="29"/>
  <c r="CE136" i="29"/>
  <c r="CP136" i="29"/>
  <c r="U209" i="29"/>
  <c r="U210" i="29" s="1"/>
  <c r="U203" i="29"/>
  <c r="U215" i="29"/>
  <c r="U200" i="29"/>
  <c r="CA167" i="29"/>
  <c r="CA160" i="29"/>
  <c r="CA161" i="29" s="1"/>
  <c r="CA166" i="29"/>
  <c r="AZ199" i="29"/>
  <c r="AZ197" i="29"/>
  <c r="AA199" i="29"/>
  <c r="AA197" i="29"/>
  <c r="AU168" i="29"/>
  <c r="L199" i="29"/>
  <c r="L197" i="29"/>
  <c r="CZ163" i="29"/>
  <c r="CZ160" i="29"/>
  <c r="CZ161" i="29" s="1"/>
  <c r="CE249" i="29"/>
  <c r="AD189" i="29"/>
  <c r="AD188" i="29"/>
  <c r="BF179" i="29"/>
  <c r="BQ178" i="29"/>
  <c r="BQ179" i="29" s="1"/>
  <c r="AU187" i="29"/>
  <c r="AU186" i="29"/>
  <c r="Q170" i="29"/>
  <c r="BL209" i="29"/>
  <c r="BL210" i="29" s="1"/>
  <c r="BL203" i="29"/>
  <c r="BL215" i="29"/>
  <c r="BL200" i="29"/>
  <c r="AM211" i="29"/>
  <c r="BV223" i="29"/>
  <c r="BI209" i="29"/>
  <c r="BI210" i="29" s="1"/>
  <c r="BI211" i="29" s="1"/>
  <c r="BI203" i="29"/>
  <c r="BI215" i="29"/>
  <c r="BI200" i="29"/>
  <c r="M209" i="29"/>
  <c r="M210" i="29" s="1"/>
  <c r="M203" i="29"/>
  <c r="M215" i="29"/>
  <c r="M200" i="29"/>
  <c r="AY170" i="29"/>
  <c r="BE308" i="29"/>
  <c r="BE236" i="29"/>
  <c r="BE242" i="29" s="1"/>
  <c r="BE217" i="29"/>
  <c r="CE206" i="29"/>
  <c r="CE204" i="29"/>
  <c r="CE161" i="29"/>
  <c r="CF163" i="29"/>
  <c r="CD211" i="29"/>
  <c r="BQ200" i="29"/>
  <c r="BQ209" i="29"/>
  <c r="BQ210" i="29" s="1"/>
  <c r="BQ203" i="29"/>
  <c r="BQ215" i="29"/>
  <c r="P187" i="29"/>
  <c r="P185" i="29"/>
  <c r="P186" i="29"/>
  <c r="BZ249" i="29"/>
  <c r="BL189" i="29"/>
  <c r="BL188" i="29"/>
  <c r="BR206" i="29"/>
  <c r="BR204" i="29"/>
  <c r="CA186" i="29"/>
  <c r="CA187" i="29"/>
  <c r="O28" i="150"/>
  <c r="CZ164" i="29"/>
  <c r="CZ165" i="29" s="1"/>
  <c r="CZ156" i="29"/>
  <c r="F189" i="29"/>
  <c r="F188" i="29"/>
  <c r="BD200" i="29"/>
  <c r="BD215" i="29"/>
  <c r="BD209" i="29"/>
  <c r="BD210" i="29" s="1"/>
  <c r="BD203" i="29"/>
  <c r="AV201" i="29"/>
  <c r="AV233" i="29"/>
  <c r="AQ236" i="29"/>
  <c r="AQ217" i="29"/>
  <c r="AQ308" i="29"/>
  <c r="CT184" i="29"/>
  <c r="CT196" i="29"/>
  <c r="CT169" i="29"/>
  <c r="CT311" i="29"/>
  <c r="CT175" i="29"/>
  <c r="CT177" i="29" s="1"/>
  <c r="DJ108" i="29"/>
  <c r="T18" i="150"/>
  <c r="J44" i="150" s="1"/>
  <c r="AC188" i="29"/>
  <c r="AC189" i="29"/>
  <c r="BY204" i="29"/>
  <c r="BY206" i="29"/>
  <c r="CB188" i="29"/>
  <c r="CB189" i="29"/>
  <c r="C236" i="29"/>
  <c r="C215" i="29"/>
  <c r="C209" i="29"/>
  <c r="C210" i="29" s="1"/>
  <c r="C203" i="29"/>
  <c r="C200" i="29"/>
  <c r="W215" i="29"/>
  <c r="W209" i="29"/>
  <c r="W210" i="29" s="1"/>
  <c r="W203" i="29"/>
  <c r="W200" i="29"/>
  <c r="AP196" i="29"/>
  <c r="AP184" i="29"/>
  <c r="AU185" i="29" s="1"/>
  <c r="AP169" i="29"/>
  <c r="AP170" i="29" s="1"/>
  <c r="AP172" i="29"/>
  <c r="AP311" i="29"/>
  <c r="CP310" i="29"/>
  <c r="P47" i="150"/>
  <c r="E188" i="29"/>
  <c r="E189" i="29"/>
  <c r="CQ187" i="29"/>
  <c r="CQ189" i="29" s="1"/>
  <c r="CQ186" i="29"/>
  <c r="AK199" i="29"/>
  <c r="AK197" i="29"/>
  <c r="DJ131" i="29"/>
  <c r="DJ133" i="29" s="1"/>
  <c r="DJ134" i="29" s="1"/>
  <c r="T12" i="150"/>
  <c r="J40" i="150" s="1"/>
  <c r="BA206" i="29"/>
  <c r="BA204" i="29"/>
  <c r="AO185" i="29"/>
  <c r="AO186" i="29"/>
  <c r="AO187" i="29"/>
  <c r="U249" i="29"/>
  <c r="AW209" i="29"/>
  <c r="AW210" i="29" s="1"/>
  <c r="AW203" i="29"/>
  <c r="AW215" i="29"/>
  <c r="AW200" i="29"/>
  <c r="Z233" i="29"/>
  <c r="Z201" i="29"/>
  <c r="BB188" i="29"/>
  <c r="BB189" i="29"/>
  <c r="AD215" i="29"/>
  <c r="AD209" i="29"/>
  <c r="AD210" i="29" s="1"/>
  <c r="AD203" i="29"/>
  <c r="AD200" i="29"/>
  <c r="BZ168" i="29"/>
  <c r="DE220" i="29"/>
  <c r="CZ221" i="29"/>
  <c r="CZ223" i="29" s="1"/>
  <c r="CZ255" i="29" s="1"/>
  <c r="N189" i="29"/>
  <c r="N188" i="29"/>
  <c r="BF215" i="29"/>
  <c r="BF209" i="29"/>
  <c r="BF210" i="29" s="1"/>
  <c r="BF203" i="29"/>
  <c r="BF200" i="29"/>
  <c r="BF233" i="29" s="1"/>
  <c r="BH200" i="29"/>
  <c r="BH209" i="29"/>
  <c r="BH210" i="29" s="1"/>
  <c r="BH211" i="29" s="1"/>
  <c r="BH203" i="29"/>
  <c r="BH215" i="29"/>
  <c r="M188" i="29"/>
  <c r="M189" i="29"/>
  <c r="X215" i="29"/>
  <c r="X209" i="29"/>
  <c r="X210" i="29" s="1"/>
  <c r="X203" i="29"/>
  <c r="X200" i="29"/>
  <c r="DE271" i="29"/>
  <c r="CZ270" i="29"/>
  <c r="BW189" i="29"/>
  <c r="BW188" i="29"/>
  <c r="CP206" i="29"/>
  <c r="CP204" i="29"/>
  <c r="CF199" i="29"/>
  <c r="CF197" i="29"/>
  <c r="V186" i="29"/>
  <c r="V187" i="29"/>
  <c r="V185" i="29"/>
  <c r="AU172" i="29"/>
  <c r="AF170" i="29"/>
  <c r="BC215" i="29"/>
  <c r="BC209" i="29"/>
  <c r="BC210" i="29" s="1"/>
  <c r="BC211" i="29" s="1"/>
  <c r="BC203" i="29"/>
  <c r="BC200" i="29"/>
  <c r="BG215" i="29"/>
  <c r="BG209" i="29"/>
  <c r="BG210" i="29" s="1"/>
  <c r="BG211" i="29" s="1"/>
  <c r="BG200" i="29"/>
  <c r="BG203" i="29"/>
  <c r="AM308" i="29"/>
  <c r="AM236" i="29"/>
  <c r="AM217" i="29"/>
  <c r="CQ166" i="29"/>
  <c r="CQ165" i="29"/>
  <c r="CQ167" i="29"/>
  <c r="DJ86" i="29"/>
  <c r="Q176" i="29"/>
  <c r="CF177" i="29"/>
  <c r="CF176" i="29"/>
  <c r="CP187" i="29"/>
  <c r="CP186" i="29"/>
  <c r="CP185" i="29"/>
  <c r="P28" i="150"/>
  <c r="BH189" i="29"/>
  <c r="BH188" i="29"/>
  <c r="AY199" i="29"/>
  <c r="AY197" i="29"/>
  <c r="X189" i="29"/>
  <c r="X188" i="29"/>
  <c r="AU245" i="29"/>
  <c r="AU252" i="29"/>
  <c r="AU246" i="29"/>
  <c r="BE233" i="29"/>
  <c r="AR189" i="29"/>
  <c r="AR188" i="29"/>
  <c r="AE189" i="29"/>
  <c r="AE188" i="29"/>
  <c r="CF168" i="29"/>
  <c r="CD308" i="29"/>
  <c r="CD236" i="29"/>
  <c r="CD217" i="29"/>
  <c r="CD218" i="29" s="1"/>
  <c r="AY177" i="29"/>
  <c r="AZ177" i="29" s="1"/>
  <c r="AY176" i="29"/>
  <c r="CT276" i="29"/>
  <c r="CU276" i="29" s="1"/>
  <c r="AT249" i="29"/>
  <c r="CU184" i="29"/>
  <c r="CU169" i="29"/>
  <c r="CU170" i="29" s="1"/>
  <c r="CU172" i="29"/>
  <c r="CU311" i="29"/>
  <c r="BY88" i="29"/>
  <c r="CD88" i="29"/>
  <c r="BC189" i="29"/>
  <c r="BC188" i="29"/>
  <c r="CA197" i="29"/>
  <c r="CA199" i="29"/>
  <c r="DE288" i="29"/>
  <c r="DJ289" i="29"/>
  <c r="CT245" i="29"/>
  <c r="CT246" i="29"/>
  <c r="AV308" i="29"/>
  <c r="AV236" i="29"/>
  <c r="AV217" i="29"/>
  <c r="AV218" i="29" s="1"/>
  <c r="AQ204" i="29"/>
  <c r="AQ206" i="29"/>
  <c r="AI215" i="29"/>
  <c r="AI209" i="29"/>
  <c r="AI210" i="29" s="1"/>
  <c r="AI211" i="29" s="1"/>
  <c r="AI203" i="29"/>
  <c r="AI200" i="29"/>
  <c r="BS215" i="29"/>
  <c r="BS209" i="29"/>
  <c r="BS210" i="29" s="1"/>
  <c r="BS203" i="29"/>
  <c r="BS200" i="29"/>
  <c r="BS233" i="29" s="1"/>
  <c r="BZ215" i="29"/>
  <c r="BZ209" i="29"/>
  <c r="BZ210" i="29" s="1"/>
  <c r="CE211" i="29" s="1"/>
  <c r="BZ203" i="29"/>
  <c r="BZ200" i="29"/>
  <c r="CC209" i="29"/>
  <c r="CC210" i="29" s="1"/>
  <c r="CC211" i="29" s="1"/>
  <c r="CC203" i="29"/>
  <c r="CC215" i="29"/>
  <c r="CC200" i="29"/>
  <c r="BY211" i="29"/>
  <c r="AE215" i="29"/>
  <c r="AE209" i="29"/>
  <c r="AE210" i="29" s="1"/>
  <c r="AE211" i="29" s="1"/>
  <c r="AE203" i="29"/>
  <c r="AE200" i="29"/>
  <c r="AT177" i="29"/>
  <c r="AU177" i="29" s="1"/>
  <c r="AT176" i="29"/>
  <c r="BK215" i="29"/>
  <c r="BK209" i="29"/>
  <c r="BK210" i="29" s="1"/>
  <c r="BK203" i="29"/>
  <c r="BK200" i="29"/>
  <c r="BK233" i="29" s="1"/>
  <c r="D236" i="29"/>
  <c r="D215" i="29"/>
  <c r="D209" i="29"/>
  <c r="D210" i="29" s="1"/>
  <c r="D211" i="29" s="1"/>
  <c r="D203" i="29"/>
  <c r="D200" i="29"/>
  <c r="D201" i="29" s="1"/>
  <c r="AX215" i="29"/>
  <c r="AX209" i="29"/>
  <c r="AX210" i="29" s="1"/>
  <c r="AX203" i="29"/>
  <c r="AX200" i="29"/>
  <c r="BX215" i="29"/>
  <c r="BX200" i="29"/>
  <c r="BX203" i="29"/>
  <c r="BX209" i="29"/>
  <c r="BX210" i="29" s="1"/>
  <c r="AU176" i="29"/>
  <c r="CQ199" i="29"/>
  <c r="CQ198" i="29"/>
  <c r="AK185" i="29"/>
  <c r="AK186" i="29"/>
  <c r="AK187" i="29"/>
  <c r="AF176" i="29"/>
  <c r="DE132" i="29"/>
  <c r="S20" i="150"/>
  <c r="I46" i="150" s="1"/>
  <c r="J267" i="29"/>
  <c r="J273" i="29" s="1"/>
  <c r="J274" i="29" s="1"/>
  <c r="K262" i="29"/>
  <c r="K263" i="29" s="1"/>
  <c r="K187" i="29"/>
  <c r="K189" i="29" s="1"/>
  <c r="K186" i="29"/>
  <c r="BZ126" i="29"/>
  <c r="BZ123" i="29"/>
  <c r="CE126" i="29"/>
  <c r="CR187" i="29"/>
  <c r="CR189" i="29" s="1"/>
  <c r="CR186" i="29"/>
  <c r="Z206" i="29"/>
  <c r="Z204" i="29"/>
  <c r="CC189" i="29"/>
  <c r="CC188" i="29"/>
  <c r="G189" i="29"/>
  <c r="G188" i="29"/>
  <c r="AL189" i="29"/>
  <c r="AL188" i="29"/>
  <c r="R215" i="29"/>
  <c r="R209" i="29"/>
  <c r="R210" i="29" s="1"/>
  <c r="R211" i="29" s="1"/>
  <c r="R203" i="29"/>
  <c r="R200" i="29"/>
  <c r="AX189" i="29"/>
  <c r="AX188" i="29"/>
  <c r="BX188" i="29"/>
  <c r="BX189" i="29"/>
  <c r="W189" i="29"/>
  <c r="W188" i="29"/>
  <c r="E236" i="29"/>
  <c r="E209" i="29"/>
  <c r="E210" i="29" s="1"/>
  <c r="E211" i="29" s="1"/>
  <c r="E203" i="29"/>
  <c r="E215" i="29"/>
  <c r="E200" i="29"/>
  <c r="CU177" i="29"/>
  <c r="CU176" i="29"/>
  <c r="DE178" i="29"/>
  <c r="DE179" i="29" s="1"/>
  <c r="S24" i="150"/>
  <c r="AG188" i="29"/>
  <c r="AG189" i="29"/>
  <c r="BY124" i="29"/>
  <c r="CD124" i="29"/>
  <c r="AW188" i="29"/>
  <c r="AW189" i="29"/>
  <c r="AH189" i="29"/>
  <c r="AH188" i="29"/>
  <c r="H215" i="29"/>
  <c r="H209" i="29"/>
  <c r="H210" i="29" s="1"/>
  <c r="H203" i="29"/>
  <c r="H200" i="29"/>
  <c r="H233" i="29" s="1"/>
  <c r="I215" i="29"/>
  <c r="I209" i="29"/>
  <c r="I210" i="29" s="1"/>
  <c r="I203" i="29"/>
  <c r="I200" i="29"/>
  <c r="I233" i="29" s="1"/>
  <c r="CP233" i="29"/>
  <c r="C189" i="29"/>
  <c r="CF186" i="29"/>
  <c r="CF187" i="29"/>
  <c r="CF185" i="29"/>
  <c r="V199" i="29"/>
  <c r="V197" i="29"/>
  <c r="AU170" i="29"/>
  <c r="AF199" i="29"/>
  <c r="AF197" i="29"/>
  <c r="Q199" i="29"/>
  <c r="Q197" i="29"/>
  <c r="CU224" i="29"/>
  <c r="CZ226" i="29"/>
  <c r="CU227" i="29"/>
  <c r="CU216" i="29"/>
  <c r="Q36" i="150"/>
  <c r="BY136" i="29"/>
  <c r="CD136" i="29"/>
  <c r="AQ188" i="29"/>
  <c r="AM233" i="29"/>
  <c r="AM201" i="29"/>
  <c r="BZ88" i="29"/>
  <c r="CE88" i="29"/>
  <c r="CF88" i="29"/>
  <c r="CU164" i="29"/>
  <c r="CU157" i="29"/>
  <c r="CU156" i="29"/>
  <c r="DE162" i="29"/>
  <c r="DJ55" i="29"/>
  <c r="DJ285" i="29" s="1"/>
  <c r="CE186" i="29"/>
  <c r="CE187" i="29"/>
  <c r="CE185" i="29"/>
  <c r="F236" i="29"/>
  <c r="F215" i="29"/>
  <c r="F209" i="29"/>
  <c r="F210" i="29" s="1"/>
  <c r="F211" i="29" s="1"/>
  <c r="F203" i="29"/>
  <c r="F200" i="29"/>
  <c r="BJ186" i="29"/>
  <c r="BJ185" i="29"/>
  <c r="BJ187" i="29"/>
  <c r="O189" i="29"/>
  <c r="O188" i="29"/>
  <c r="BK177" i="29"/>
  <c r="BE248" i="29"/>
  <c r="BE249" i="29"/>
  <c r="BE206" i="29"/>
  <c r="BE204" i="29"/>
  <c r="AC209" i="29"/>
  <c r="AC210" i="29" s="1"/>
  <c r="AC211" i="29" s="1"/>
  <c r="AC203" i="29"/>
  <c r="AC215" i="29"/>
  <c r="AC200" i="29"/>
  <c r="CE308" i="29"/>
  <c r="CE236" i="29"/>
  <c r="CE242" i="29" s="1"/>
  <c r="CE217" i="29"/>
  <c r="CD233" i="29"/>
  <c r="CD201" i="29"/>
  <c r="CZ176" i="29"/>
  <c r="CZ177" i="29"/>
  <c r="CP261" i="29"/>
  <c r="P170" i="29"/>
  <c r="CD189" i="29"/>
  <c r="CD188" i="29"/>
  <c r="U170" i="29"/>
  <c r="CA111" i="29"/>
  <c r="CA112" i="29" s="1"/>
  <c r="CA114" i="29"/>
  <c r="CF114" i="29"/>
  <c r="DE273" i="29"/>
  <c r="DE268" i="29"/>
  <c r="DE245" i="29"/>
  <c r="DE175" i="29"/>
  <c r="DE174" i="29"/>
  <c r="CZ184" i="29"/>
  <c r="CZ172" i="29"/>
  <c r="CZ169" i="29"/>
  <c r="CZ170" i="29" s="1"/>
  <c r="CZ311" i="29"/>
  <c r="BI188" i="29"/>
  <c r="BI189" i="29"/>
  <c r="AJ189" i="29"/>
  <c r="AJ188" i="29"/>
  <c r="AV206" i="29"/>
  <c r="AV207" i="29" s="1"/>
  <c r="AV204" i="29"/>
  <c r="AV205" i="29" s="1"/>
  <c r="AQ233" i="29"/>
  <c r="AR200" i="29"/>
  <c r="AR209" i="29"/>
  <c r="AR210" i="29" s="1"/>
  <c r="AR211" i="29" s="1"/>
  <c r="AR203" i="29"/>
  <c r="AR215" i="29"/>
  <c r="BU186" i="29"/>
  <c r="BU187" i="29"/>
  <c r="BU189" i="29" s="1"/>
  <c r="BY233" i="29"/>
  <c r="BY201" i="29"/>
  <c r="G236" i="29"/>
  <c r="G215" i="29"/>
  <c r="G209" i="29"/>
  <c r="G210" i="29" s="1"/>
  <c r="G211" i="29" s="1"/>
  <c r="G203" i="29"/>
  <c r="G200" i="29"/>
  <c r="AL215" i="29"/>
  <c r="AL209" i="29"/>
  <c r="AL210" i="29" s="1"/>
  <c r="AL211" i="29" s="1"/>
  <c r="AL203" i="29"/>
  <c r="AL200" i="29"/>
  <c r="AQ201" i="29" s="1"/>
  <c r="CS198" i="29"/>
  <c r="CS199" i="29"/>
  <c r="DJ231" i="29"/>
  <c r="BQ233" i="29"/>
  <c r="BM188" i="29"/>
  <c r="BM189" i="29"/>
  <c r="AN189" i="29"/>
  <c r="AN188" i="29"/>
  <c r="B186" i="29"/>
  <c r="B187" i="29"/>
  <c r="B189" i="29" s="1"/>
  <c r="AU159" i="29"/>
  <c r="N215" i="29"/>
  <c r="N209" i="29"/>
  <c r="N210" i="29" s="1"/>
  <c r="N211" i="29" s="1"/>
  <c r="N203" i="29"/>
  <c r="N200" i="29"/>
  <c r="AB200" i="29"/>
  <c r="AB209" i="29"/>
  <c r="AB210" i="29" s="1"/>
  <c r="AB211" i="29" s="1"/>
  <c r="AB203" i="29"/>
  <c r="AB215" i="29"/>
  <c r="AT186" i="29"/>
  <c r="AT187" i="29"/>
  <c r="AT185" i="29"/>
  <c r="AZ284" i="29"/>
  <c r="AZ271" i="29"/>
  <c r="BK271" i="29" s="1"/>
  <c r="AZ269" i="29"/>
  <c r="BK269" i="29" s="1"/>
  <c r="AZ245" i="29"/>
  <c r="AZ174" i="29"/>
  <c r="AZ175" i="29"/>
  <c r="AZ176" i="29" s="1"/>
  <c r="AZ274" i="29"/>
  <c r="BK274" i="29" s="1"/>
  <c r="AZ289" i="29"/>
  <c r="BK289" i="29" s="1"/>
  <c r="DE133" i="29"/>
  <c r="DE134" i="29" s="1"/>
  <c r="CA177" i="29"/>
  <c r="BV162" i="29"/>
  <c r="N24" i="150"/>
  <c r="N25" i="150" s="1"/>
  <c r="N27" i="150" s="1"/>
  <c r="N35" i="150" s="1"/>
  <c r="BV171" i="29"/>
  <c r="K199" i="29"/>
  <c r="K197" i="29"/>
  <c r="AZ179" i="29"/>
  <c r="Z211" i="29"/>
  <c r="BZ185" i="29"/>
  <c r="DJ120" i="29"/>
  <c r="T19" i="150"/>
  <c r="J45" i="150" s="1"/>
  <c r="AS188" i="29"/>
  <c r="AS189" i="29"/>
  <c r="BW200" i="29"/>
  <c r="BW215" i="29"/>
  <c r="BW209" i="29"/>
  <c r="BW210" i="29" s="1"/>
  <c r="BW211" i="29" s="1"/>
  <c r="BW203" i="29"/>
  <c r="BM215" i="29"/>
  <c r="BM209" i="29"/>
  <c r="BM210" i="29" s="1"/>
  <c r="BM211" i="29" s="1"/>
  <c r="BM203" i="29"/>
  <c r="BM200" i="29"/>
  <c r="Y215" i="29"/>
  <c r="Y209" i="29"/>
  <c r="Y210" i="29" s="1"/>
  <c r="Y211" i="29" s="1"/>
  <c r="Y203" i="29"/>
  <c r="Y200" i="29"/>
  <c r="AU152" i="29"/>
  <c r="J215" i="29"/>
  <c r="J209" i="29"/>
  <c r="J210" i="29" s="1"/>
  <c r="J203" i="29"/>
  <c r="J200" i="29"/>
  <c r="J233" i="29" s="1"/>
  <c r="AB189" i="29"/>
  <c r="AB188" i="29"/>
  <c r="S215" i="29"/>
  <c r="S209" i="29"/>
  <c r="S210" i="29" s="1"/>
  <c r="S211" i="29" s="1"/>
  <c r="S203" i="29"/>
  <c r="S200" i="29"/>
  <c r="AZ187" i="29"/>
  <c r="AZ185" i="29"/>
  <c r="AZ186" i="29"/>
  <c r="AA187" i="29"/>
  <c r="AA185" i="29"/>
  <c r="AA186" i="29"/>
  <c r="CU191" i="29"/>
  <c r="CK215" i="29"/>
  <c r="CK209" i="29"/>
  <c r="CK210" i="29" s="1"/>
  <c r="CP211" i="29" s="1"/>
  <c r="CK203" i="29"/>
  <c r="CK200" i="29"/>
  <c r="CK233" i="29" s="1"/>
  <c r="DJ178" i="29"/>
  <c r="T24" i="150"/>
  <c r="BY188" i="29"/>
  <c r="AI189" i="29"/>
  <c r="AI188" i="29"/>
  <c r="E176" i="29"/>
  <c r="L187" i="29"/>
  <c r="L185" i="29"/>
  <c r="L186" i="29"/>
  <c r="AS209" i="29"/>
  <c r="AS210" i="29" s="1"/>
  <c r="AS211" i="29" s="1"/>
  <c r="AS203" i="29"/>
  <c r="AS215" i="29"/>
  <c r="AS200" i="29"/>
  <c r="R189" i="29"/>
  <c r="R188" i="29"/>
  <c r="CP217" i="29"/>
  <c r="CP236" i="29"/>
  <c r="CP308" i="29"/>
  <c r="AU199" i="29"/>
  <c r="AU197" i="29"/>
  <c r="AF187" i="29"/>
  <c r="AF185" i="29"/>
  <c r="AF186" i="29"/>
  <c r="Q185" i="29"/>
  <c r="Q186" i="29"/>
  <c r="Q187" i="29"/>
  <c r="CT224" i="29"/>
  <c r="CT216" i="29"/>
  <c r="CT257" i="29"/>
  <c r="AM204" i="29"/>
  <c r="AM206" i="29"/>
  <c r="AU161" i="29"/>
  <c r="S21" i="150"/>
  <c r="I43" i="150"/>
  <c r="J37" i="150"/>
  <c r="T13" i="150"/>
  <c r="DJ162" i="29"/>
  <c r="DJ153" i="29"/>
  <c r="DJ84" i="29"/>
  <c r="T17" i="150"/>
  <c r="AK176" i="29"/>
  <c r="AG209" i="29"/>
  <c r="AG210" i="29" s="1"/>
  <c r="AG203" i="29"/>
  <c r="AG215" i="29"/>
  <c r="AG200" i="29"/>
  <c r="AY187" i="29"/>
  <c r="AY185" i="29"/>
  <c r="AY186" i="29"/>
  <c r="BJ199" i="29"/>
  <c r="BJ197" i="29"/>
  <c r="BE211" i="29"/>
  <c r="T189" i="29"/>
  <c r="T188" i="29"/>
  <c r="CE233" i="29"/>
  <c r="CE201" i="29"/>
  <c r="CD204" i="29"/>
  <c r="CD205" i="29" s="1"/>
  <c r="CD206" i="29"/>
  <c r="CD207" i="29" s="1"/>
  <c r="CP259" i="29"/>
  <c r="P50" i="150" s="1"/>
  <c r="P46" i="150"/>
  <c r="P56" i="150" s="1"/>
  <c r="D189" i="29"/>
  <c r="D188" i="29"/>
  <c r="P199" i="29"/>
  <c r="P197" i="29"/>
  <c r="CU158" i="29"/>
  <c r="CU159" i="29" s="1"/>
  <c r="CZ297" i="29"/>
  <c r="CU309" i="29"/>
  <c r="BR308" i="29"/>
  <c r="BR236" i="29"/>
  <c r="BR217" i="29"/>
  <c r="BG188" i="29"/>
  <c r="BG189" i="29"/>
  <c r="S189" i="29"/>
  <c r="S188" i="29"/>
  <c r="AU88" i="29"/>
  <c r="S13" i="150"/>
  <c r="P37" i="150"/>
  <c r="F53" i="150" s="1"/>
  <c r="P53" i="150"/>
  <c r="O37" i="150"/>
  <c r="E53" i="150" s="1"/>
  <c r="O53" i="150"/>
  <c r="DT18" i="29" l="1"/>
  <c r="CZ159" i="29"/>
  <c r="P209" i="29"/>
  <c r="P210" i="29" s="1"/>
  <c r="P215" i="29"/>
  <c r="P200" i="29"/>
  <c r="P203" i="29"/>
  <c r="P49" i="150"/>
  <c r="AY189" i="29"/>
  <c r="AY188" i="29"/>
  <c r="AG211" i="29"/>
  <c r="DJ158" i="29"/>
  <c r="DJ159" i="29" s="1"/>
  <c r="DJ171" i="29"/>
  <c r="DJ154" i="29"/>
  <c r="DJ155" i="29"/>
  <c r="DJ151" i="29"/>
  <c r="DJ152" i="29" s="1"/>
  <c r="Q188" i="29"/>
  <c r="Q189" i="29"/>
  <c r="AZ189" i="29"/>
  <c r="AZ188" i="29"/>
  <c r="S308" i="29"/>
  <c r="S236" i="29"/>
  <c r="S217" i="29"/>
  <c r="J206" i="29"/>
  <c r="J204" i="29"/>
  <c r="Y233" i="29"/>
  <c r="Y201" i="29"/>
  <c r="BM233" i="29"/>
  <c r="BM201" i="29"/>
  <c r="BW206" i="29"/>
  <c r="BW207" i="29" s="1"/>
  <c r="BW204" i="29"/>
  <c r="BW205" i="29" s="1"/>
  <c r="BV163" i="29"/>
  <c r="BV167" i="29"/>
  <c r="BV168" i="29" s="1"/>
  <c r="BV160" i="29"/>
  <c r="BV166" i="29"/>
  <c r="AB206" i="29"/>
  <c r="AB204" i="29"/>
  <c r="N206" i="29"/>
  <c r="N204" i="29"/>
  <c r="AL308" i="29"/>
  <c r="AL236" i="29"/>
  <c r="AL217" i="29"/>
  <c r="G308" i="29"/>
  <c r="G217" i="29"/>
  <c r="BJ188" i="29"/>
  <c r="BJ189" i="29"/>
  <c r="F206" i="29"/>
  <c r="F204" i="29"/>
  <c r="DE163" i="29"/>
  <c r="DE160" i="29"/>
  <c r="DE161" i="29" s="1"/>
  <c r="AF200" i="29"/>
  <c r="AF209" i="29"/>
  <c r="AF210" i="29" s="1"/>
  <c r="AF203" i="29"/>
  <c r="AF215" i="29"/>
  <c r="I206" i="29"/>
  <c r="I204" i="29"/>
  <c r="H206" i="29"/>
  <c r="H204" i="29"/>
  <c r="E308" i="29"/>
  <c r="E217" i="29"/>
  <c r="BX211" i="29"/>
  <c r="AX233" i="29"/>
  <c r="AX201" i="29"/>
  <c r="D248" i="29"/>
  <c r="D242" i="29"/>
  <c r="BK308" i="29"/>
  <c r="BK236" i="29"/>
  <c r="BK217" i="29"/>
  <c r="AE204" i="29"/>
  <c r="AE205" i="29" s="1"/>
  <c r="AE206" i="29"/>
  <c r="AE207" i="29" s="1"/>
  <c r="CC233" i="29"/>
  <c r="CC201" i="29"/>
  <c r="BZ233" i="29"/>
  <c r="AI233" i="29"/>
  <c r="AI201" i="29"/>
  <c r="BG204" i="29"/>
  <c r="BG206" i="29"/>
  <c r="BC233" i="29"/>
  <c r="BC201" i="29"/>
  <c r="DE270" i="29"/>
  <c r="DJ271" i="29"/>
  <c r="X308" i="29"/>
  <c r="X236" i="29"/>
  <c r="X217" i="29"/>
  <c r="X218" i="29" s="1"/>
  <c r="BH206" i="29"/>
  <c r="BH207" i="29" s="1"/>
  <c r="BH204" i="29"/>
  <c r="BH205" i="29" s="1"/>
  <c r="BF206" i="29"/>
  <c r="BF204" i="29"/>
  <c r="AD233" i="29"/>
  <c r="AD201" i="29"/>
  <c r="AW211" i="29"/>
  <c r="AP199" i="29"/>
  <c r="AP197" i="29"/>
  <c r="W308" i="29"/>
  <c r="W236" i="29"/>
  <c r="W217" i="29"/>
  <c r="C308" i="29"/>
  <c r="C217" i="29"/>
  <c r="BY207" i="29"/>
  <c r="AQ218" i="29"/>
  <c r="BD206" i="29"/>
  <c r="BD204" i="29"/>
  <c r="O65" i="150"/>
  <c r="E50" i="150"/>
  <c r="P189" i="29"/>
  <c r="P188" i="29"/>
  <c r="M233" i="29"/>
  <c r="M201" i="29"/>
  <c r="BI233" i="29"/>
  <c r="BI201" i="29"/>
  <c r="BL308" i="29"/>
  <c r="BL236" i="29"/>
  <c r="BL217" i="29"/>
  <c r="BL218" i="29" s="1"/>
  <c r="CE248" i="29"/>
  <c r="CZ167" i="29"/>
  <c r="U233" i="29"/>
  <c r="U201" i="29"/>
  <c r="F267" i="29"/>
  <c r="F273" i="29" s="1"/>
  <c r="F274" i="29" s="1"/>
  <c r="G262" i="29"/>
  <c r="G263" i="29" s="1"/>
  <c r="BT204" i="29"/>
  <c r="BT206" i="29"/>
  <c r="AN206" i="29"/>
  <c r="AN204" i="29"/>
  <c r="CB308" i="29"/>
  <c r="CB236" i="29"/>
  <c r="CB217" i="29"/>
  <c r="Z242" i="29"/>
  <c r="Z248" i="29"/>
  <c r="AH211" i="29"/>
  <c r="AJ233" i="29"/>
  <c r="AJ201" i="29"/>
  <c r="BA248" i="29"/>
  <c r="BA242" i="29"/>
  <c r="BB206" i="29"/>
  <c r="BB207" i="29" s="1"/>
  <c r="BB204" i="29"/>
  <c r="BB205" i="29" s="1"/>
  <c r="T206" i="29"/>
  <c r="T204" i="29"/>
  <c r="BY242" i="29"/>
  <c r="BY248" i="29"/>
  <c r="DE284" i="29"/>
  <c r="CZ283" i="29"/>
  <c r="CZ290" i="29" s="1"/>
  <c r="O211" i="29"/>
  <c r="BR242" i="29"/>
  <c r="BR248" i="29"/>
  <c r="DE297" i="29"/>
  <c r="CZ309" i="29"/>
  <c r="BJ215" i="29"/>
  <c r="BJ209" i="29"/>
  <c r="BJ210" i="29" s="1"/>
  <c r="BJ211" i="29" s="1"/>
  <c r="BJ203" i="29"/>
  <c r="BJ200" i="29"/>
  <c r="AG233" i="29"/>
  <c r="AG201" i="29"/>
  <c r="DJ160" i="29"/>
  <c r="DJ163" i="29"/>
  <c r="I47" i="150"/>
  <c r="CT310" i="29"/>
  <c r="CU257" i="29"/>
  <c r="CT259" i="29"/>
  <c r="AF189" i="29"/>
  <c r="AF188" i="29"/>
  <c r="CP242" i="29"/>
  <c r="CP248" i="29"/>
  <c r="AS233" i="29"/>
  <c r="AS201" i="29"/>
  <c r="CK308" i="29"/>
  <c r="CK236" i="29"/>
  <c r="CK217" i="29"/>
  <c r="AA189" i="29"/>
  <c r="AA188" i="29"/>
  <c r="S233" i="29"/>
  <c r="S201" i="29"/>
  <c r="Y206" i="29"/>
  <c r="Y207" i="29" s="1"/>
  <c r="Y204" i="29"/>
  <c r="BM204" i="29"/>
  <c r="BM205" i="29" s="1"/>
  <c r="BM206" i="29"/>
  <c r="BM207" i="29" s="1"/>
  <c r="K215" i="29"/>
  <c r="K209" i="29"/>
  <c r="K210" i="29" s="1"/>
  <c r="K200" i="29"/>
  <c r="K233" i="29" s="1"/>
  <c r="K203" i="29"/>
  <c r="AT189" i="29"/>
  <c r="AT188" i="29"/>
  <c r="AL233" i="29"/>
  <c r="AL201" i="29"/>
  <c r="G233" i="29"/>
  <c r="G201" i="29"/>
  <c r="G248" i="29"/>
  <c r="G242" i="29"/>
  <c r="AR233" i="29"/>
  <c r="AR201" i="29"/>
  <c r="DE176" i="29"/>
  <c r="DE177" i="29"/>
  <c r="AC233" i="29"/>
  <c r="AC201" i="29"/>
  <c r="CE189" i="29"/>
  <c r="CE188" i="29"/>
  <c r="CF188" i="29"/>
  <c r="CF189" i="29"/>
  <c r="E206" i="29"/>
  <c r="E204" i="29"/>
  <c r="R308" i="29"/>
  <c r="R236" i="29"/>
  <c r="R217" i="29"/>
  <c r="BZ124" i="29"/>
  <c r="CP124" i="29"/>
  <c r="CE124" i="29"/>
  <c r="K267" i="29"/>
  <c r="K273" i="29" s="1"/>
  <c r="K274" i="29" s="1"/>
  <c r="M262" i="29"/>
  <c r="M263" i="29" s="1"/>
  <c r="CU198" i="29"/>
  <c r="BX206" i="29"/>
  <c r="BX204" i="29"/>
  <c r="BX205" i="29" s="1"/>
  <c r="AX206" i="29"/>
  <c r="AX204" i="29"/>
  <c r="D206" i="29"/>
  <c r="D204" i="29"/>
  <c r="CC308" i="29"/>
  <c r="CC236" i="29"/>
  <c r="CC217" i="29"/>
  <c r="BZ206" i="29"/>
  <c r="BZ204" i="29"/>
  <c r="BS206" i="29"/>
  <c r="BS204" i="29"/>
  <c r="AI204" i="29"/>
  <c r="AI205" i="29" s="1"/>
  <c r="AI206" i="29"/>
  <c r="CA215" i="29"/>
  <c r="CA200" i="29"/>
  <c r="CA203" i="29"/>
  <c r="CA209" i="29"/>
  <c r="CA210" i="29" s="1"/>
  <c r="CP188" i="29"/>
  <c r="CP189" i="29"/>
  <c r="BG201" i="29"/>
  <c r="BG233" i="29"/>
  <c r="BC204" i="29"/>
  <c r="BC205" i="29" s="1"/>
  <c r="BC206" i="29"/>
  <c r="BC207" i="29" s="1"/>
  <c r="X233" i="29"/>
  <c r="X201" i="29"/>
  <c r="R46" i="150"/>
  <c r="AD206" i="29"/>
  <c r="AD207" i="29" s="1"/>
  <c r="AD204" i="29"/>
  <c r="AD205" i="29" s="1"/>
  <c r="AW233" i="29"/>
  <c r="AW201" i="29"/>
  <c r="DJ42" i="29"/>
  <c r="AK209" i="29"/>
  <c r="AK210" i="29" s="1"/>
  <c r="AK211" i="29" s="1"/>
  <c r="AK203" i="29"/>
  <c r="AK215" i="29"/>
  <c r="AK200" i="29"/>
  <c r="W233" i="29"/>
  <c r="W201" i="29"/>
  <c r="C242" i="29"/>
  <c r="C248" i="29"/>
  <c r="BY205" i="29"/>
  <c r="CT198" i="29"/>
  <c r="CT199" i="29"/>
  <c r="AQ242" i="29"/>
  <c r="AQ248" i="29"/>
  <c r="BD211" i="29"/>
  <c r="BQ236" i="29"/>
  <c r="BQ217" i="29"/>
  <c r="CE205" i="29"/>
  <c r="M308" i="29"/>
  <c r="M236" i="29"/>
  <c r="M217" i="29"/>
  <c r="BI308" i="29"/>
  <c r="BI236" i="29"/>
  <c r="BI217" i="29"/>
  <c r="BL206" i="29"/>
  <c r="BL204" i="29"/>
  <c r="AA215" i="29"/>
  <c r="AA209" i="29"/>
  <c r="AA210" i="29" s="1"/>
  <c r="AA200" i="29"/>
  <c r="AA203" i="29"/>
  <c r="CA163" i="29"/>
  <c r="U308" i="29"/>
  <c r="U236" i="29"/>
  <c r="U217" i="29"/>
  <c r="G49" i="150"/>
  <c r="AN211" i="29"/>
  <c r="CB206" i="29"/>
  <c r="CB207" i="29" s="1"/>
  <c r="CB204" i="29"/>
  <c r="CB205" i="29" s="1"/>
  <c r="BZ188" i="29"/>
  <c r="AH308" i="29"/>
  <c r="AH236" i="29"/>
  <c r="AH217" i="29"/>
  <c r="CR215" i="29"/>
  <c r="CR209" i="29"/>
  <c r="CR210" i="29" s="1"/>
  <c r="CR203" i="29"/>
  <c r="CR200" i="29"/>
  <c r="CR233" i="29" s="1"/>
  <c r="AJ308" i="29"/>
  <c r="AJ217" i="29"/>
  <c r="AT215" i="29"/>
  <c r="AT209" i="29"/>
  <c r="AT210" i="29" s="1"/>
  <c r="AT203" i="29"/>
  <c r="AT200" i="29"/>
  <c r="O308" i="29"/>
  <c r="O236" i="29"/>
  <c r="O217" i="29"/>
  <c r="O218" i="29" s="1"/>
  <c r="DE184" i="29"/>
  <c r="DE172" i="29"/>
  <c r="DE169" i="29"/>
  <c r="DE170" i="29" s="1"/>
  <c r="DE311" i="29"/>
  <c r="I41" i="150"/>
  <c r="S15" i="150"/>
  <c r="S25" i="150" s="1"/>
  <c r="S27" i="150" s="1"/>
  <c r="AG308" i="29"/>
  <c r="AG236" i="29"/>
  <c r="AG217" i="29"/>
  <c r="J43" i="150"/>
  <c r="J41" i="150"/>
  <c r="CP218" i="29"/>
  <c r="AS308" i="29"/>
  <c r="AS236" i="29"/>
  <c r="AS217" i="29"/>
  <c r="CU194" i="29"/>
  <c r="CU193" i="29" s="1"/>
  <c r="CZ193" i="29" s="1"/>
  <c r="Q31" i="150"/>
  <c r="S204" i="29"/>
  <c r="S205" i="29" s="1"/>
  <c r="S206" i="29"/>
  <c r="S207" i="29" s="1"/>
  <c r="J308" i="29"/>
  <c r="J236" i="29"/>
  <c r="J217" i="29"/>
  <c r="BW308" i="29"/>
  <c r="BW236" i="29"/>
  <c r="BW217" i="29"/>
  <c r="BW218" i="29" s="1"/>
  <c r="BV196" i="29"/>
  <c r="BV184" i="29"/>
  <c r="BV169" i="29"/>
  <c r="CA170" i="29" s="1"/>
  <c r="BV311" i="29"/>
  <c r="BV175" i="29"/>
  <c r="CA172" i="29"/>
  <c r="AB233" i="29"/>
  <c r="AB201" i="29"/>
  <c r="N308" i="29"/>
  <c r="N236" i="29"/>
  <c r="N217" i="29"/>
  <c r="N218" i="29" s="1"/>
  <c r="AL206" i="29"/>
  <c r="AL204" i="29"/>
  <c r="G204" i="29"/>
  <c r="G205" i="29" s="1"/>
  <c r="G206" i="29"/>
  <c r="G207" i="29" s="1"/>
  <c r="AR308" i="29"/>
  <c r="AR236" i="29"/>
  <c r="AR217" i="29"/>
  <c r="AR218" i="29" s="1"/>
  <c r="CZ186" i="29"/>
  <c r="CZ185" i="29"/>
  <c r="CZ187" i="29"/>
  <c r="R28" i="150"/>
  <c r="AC308" i="29"/>
  <c r="AC236" i="29"/>
  <c r="AC217" i="29"/>
  <c r="AC218" i="29" s="1"/>
  <c r="F308" i="29"/>
  <c r="F217" i="29"/>
  <c r="F218" i="29" s="1"/>
  <c r="Q209" i="29"/>
  <c r="Q210" i="29" s="1"/>
  <c r="Q203" i="29"/>
  <c r="Q215" i="29"/>
  <c r="Q200" i="29"/>
  <c r="CP201" i="29"/>
  <c r="I308" i="29"/>
  <c r="I236" i="29"/>
  <c r="I217" i="29"/>
  <c r="H308" i="29"/>
  <c r="H236" i="29"/>
  <c r="H217" i="29"/>
  <c r="R233" i="29"/>
  <c r="R201" i="29"/>
  <c r="AK188" i="29"/>
  <c r="AK189" i="29"/>
  <c r="CQ215" i="29"/>
  <c r="CQ209" i="29"/>
  <c r="CQ210" i="29" s="1"/>
  <c r="CQ203" i="29"/>
  <c r="CQ200" i="29"/>
  <c r="CQ233" i="29" s="1"/>
  <c r="BX233" i="29"/>
  <c r="BX201" i="29"/>
  <c r="AX211" i="29"/>
  <c r="BK204" i="29"/>
  <c r="BK206" i="29"/>
  <c r="AE308" i="29"/>
  <c r="AE236" i="29"/>
  <c r="AE217" i="29"/>
  <c r="AE218" i="29" s="1"/>
  <c r="CC206" i="29"/>
  <c r="CC207" i="29" s="1"/>
  <c r="CC204" i="29"/>
  <c r="CC205" i="29" s="1"/>
  <c r="CU187" i="29"/>
  <c r="CU186" i="29"/>
  <c r="CU185" i="29"/>
  <c r="Q28" i="150"/>
  <c r="CZ276" i="29"/>
  <c r="CZ246" i="29"/>
  <c r="P65" i="150"/>
  <c r="F50" i="150"/>
  <c r="AM242" i="29"/>
  <c r="AM248" i="29"/>
  <c r="CF215" i="29"/>
  <c r="CF200" i="29"/>
  <c r="CF203" i="29"/>
  <c r="CF209" i="29"/>
  <c r="CF210" i="29" s="1"/>
  <c r="CF211" i="29" s="1"/>
  <c r="X206" i="29"/>
  <c r="X207" i="29" s="1"/>
  <c r="X204" i="29"/>
  <c r="X205" i="29" s="1"/>
  <c r="BH233" i="29"/>
  <c r="BH201" i="29"/>
  <c r="BF308" i="29"/>
  <c r="BF236" i="29"/>
  <c r="BF217" i="29"/>
  <c r="DE221" i="29"/>
  <c r="DE223" i="29" s="1"/>
  <c r="DE255" i="29" s="1"/>
  <c r="DJ220" i="29"/>
  <c r="DJ221" i="29" s="1"/>
  <c r="DJ223" i="29" s="1"/>
  <c r="DJ255" i="29" s="1"/>
  <c r="AD211" i="29"/>
  <c r="AW308" i="29"/>
  <c r="AW236" i="29"/>
  <c r="AW217" i="29"/>
  <c r="AW218" i="29" s="1"/>
  <c r="W204" i="29"/>
  <c r="W206" i="29"/>
  <c r="C204" i="29"/>
  <c r="C206" i="29"/>
  <c r="CT187" i="29"/>
  <c r="CT189" i="29" s="1"/>
  <c r="CT186" i="29"/>
  <c r="BD308" i="29"/>
  <c r="BD236" i="29"/>
  <c r="BD217" i="29"/>
  <c r="BD218" i="29" s="1"/>
  <c r="CA189" i="29"/>
  <c r="BQ206" i="29"/>
  <c r="BQ204" i="29"/>
  <c r="CE207" i="29"/>
  <c r="M206" i="29"/>
  <c r="M207" i="29" s="1"/>
  <c r="M204" i="29"/>
  <c r="M205" i="29" s="1"/>
  <c r="BI206" i="29"/>
  <c r="BI204" i="29"/>
  <c r="BL211" i="29"/>
  <c r="AU189" i="29"/>
  <c r="L209" i="29"/>
  <c r="L210" i="29" s="1"/>
  <c r="L211" i="29" s="1"/>
  <c r="L215" i="29"/>
  <c r="L200" i="29"/>
  <c r="L203" i="29"/>
  <c r="U206" i="29"/>
  <c r="U204" i="29"/>
  <c r="AN308" i="29"/>
  <c r="AN236" i="29"/>
  <c r="AN217" i="29"/>
  <c r="CB211" i="29"/>
  <c r="AH233" i="29"/>
  <c r="AH201" i="29"/>
  <c r="CA123" i="29"/>
  <c r="CA124" i="29" s="1"/>
  <c r="CA126" i="29"/>
  <c r="CF126" i="29"/>
  <c r="AJ206" i="29"/>
  <c r="AJ207" i="29" s="1"/>
  <c r="AJ204" i="29"/>
  <c r="AJ205" i="29" s="1"/>
  <c r="AJ242" i="29"/>
  <c r="AJ248" i="29"/>
  <c r="B236" i="29"/>
  <c r="B215" i="29"/>
  <c r="B217" i="29" s="1"/>
  <c r="B209" i="29"/>
  <c r="B210" i="29" s="1"/>
  <c r="B203" i="29"/>
  <c r="B200" i="29"/>
  <c r="C201" i="29" s="1"/>
  <c r="BB236" i="29"/>
  <c r="BB217" i="29"/>
  <c r="BB218" i="29" s="1"/>
  <c r="BB308" i="29"/>
  <c r="T308" i="29"/>
  <c r="T236" i="29"/>
  <c r="T217" i="29"/>
  <c r="T218" i="29" s="1"/>
  <c r="O233" i="29"/>
  <c r="O201" i="29"/>
  <c r="AQ211" i="29"/>
  <c r="DE164" i="29"/>
  <c r="DE165" i="29" s="1"/>
  <c r="DE156" i="29"/>
  <c r="AG206" i="29"/>
  <c r="AG207" i="29" s="1"/>
  <c r="AG204" i="29"/>
  <c r="AG205" i="29" s="1"/>
  <c r="AU215" i="29"/>
  <c r="AU209" i="29"/>
  <c r="AU210" i="29" s="1"/>
  <c r="AU203" i="29"/>
  <c r="AU200" i="29"/>
  <c r="AS206" i="29"/>
  <c r="AS207" i="29" s="1"/>
  <c r="AS204" i="29"/>
  <c r="AS205" i="29" s="1"/>
  <c r="L189" i="29"/>
  <c r="L188" i="29"/>
  <c r="CK206" i="29"/>
  <c r="CP207" i="29" s="1"/>
  <c r="CK204" i="29"/>
  <c r="Y308" i="29"/>
  <c r="Y236" i="29"/>
  <c r="Y217" i="29"/>
  <c r="Y218" i="29" s="1"/>
  <c r="BM308" i="29"/>
  <c r="BM236" i="29"/>
  <c r="BM217" i="29"/>
  <c r="BM218" i="29" s="1"/>
  <c r="BW233" i="29"/>
  <c r="BW201" i="29"/>
  <c r="N37" i="150"/>
  <c r="N53" i="150"/>
  <c r="AB308" i="29"/>
  <c r="AB236" i="29"/>
  <c r="AB217" i="29"/>
  <c r="AB218" i="29" s="1"/>
  <c r="N233" i="29"/>
  <c r="N201" i="29"/>
  <c r="CS215" i="29"/>
  <c r="CS209" i="29"/>
  <c r="CS210" i="29" s="1"/>
  <c r="CS203" i="29"/>
  <c r="CS200" i="29"/>
  <c r="CS233" i="29" s="1"/>
  <c r="AR206" i="29"/>
  <c r="AR207" i="29" s="1"/>
  <c r="AR204" i="29"/>
  <c r="AR205" i="29" s="1"/>
  <c r="AC206" i="29"/>
  <c r="AC207" i="29" s="1"/>
  <c r="AC204" i="29"/>
  <c r="AC205" i="29" s="1"/>
  <c r="F233" i="29"/>
  <c r="F201" i="29"/>
  <c r="F242" i="29"/>
  <c r="F248" i="29"/>
  <c r="DJ311" i="29"/>
  <c r="DJ173" i="29"/>
  <c r="DJ288" i="29" s="1"/>
  <c r="DJ56" i="29"/>
  <c r="DJ26" i="29"/>
  <c r="DJ34" i="29"/>
  <c r="DJ6" i="29"/>
  <c r="CU166" i="29"/>
  <c r="CZ166" i="29" s="1"/>
  <c r="DE166" i="29" s="1"/>
  <c r="DJ166" i="29" s="1"/>
  <c r="CU165" i="29"/>
  <c r="CU167" i="29"/>
  <c r="CU168" i="29" s="1"/>
  <c r="CZ224" i="29"/>
  <c r="DE226" i="29"/>
  <c r="CZ216" i="29"/>
  <c r="R36" i="150"/>
  <c r="G34" i="150" s="1"/>
  <c r="V215" i="29"/>
  <c r="V209" i="29"/>
  <c r="V210" i="29" s="1"/>
  <c r="V211" i="29" s="1"/>
  <c r="V203" i="29"/>
  <c r="V200" i="29"/>
  <c r="C188" i="29"/>
  <c r="E233" i="29"/>
  <c r="E201" i="29"/>
  <c r="E248" i="29"/>
  <c r="E242" i="29"/>
  <c r="R206" i="29"/>
  <c r="R207" i="29" s="1"/>
  <c r="R204" i="29"/>
  <c r="R205" i="29" s="1"/>
  <c r="BX308" i="29"/>
  <c r="BX236" i="29"/>
  <c r="BX217" i="29"/>
  <c r="AX308" i="29"/>
  <c r="AX236" i="29"/>
  <c r="AX217" i="29"/>
  <c r="AX218" i="29" s="1"/>
  <c r="D308" i="29"/>
  <c r="D217" i="29"/>
  <c r="D218" i="29" s="1"/>
  <c r="AE233" i="29"/>
  <c r="AE201" i="29"/>
  <c r="BZ308" i="29"/>
  <c r="BZ236" i="29"/>
  <c r="BZ217" i="29"/>
  <c r="BS308" i="29"/>
  <c r="BS236" i="29"/>
  <c r="BS217" i="29"/>
  <c r="AI308" i="29"/>
  <c r="AI236" i="29"/>
  <c r="AI217" i="29"/>
  <c r="AV242" i="29"/>
  <c r="AV248" i="29"/>
  <c r="CU196" i="29"/>
  <c r="CU199" i="29" s="1"/>
  <c r="CD242" i="29"/>
  <c r="CD248" i="29"/>
  <c r="BE201" i="29"/>
  <c r="AY215" i="29"/>
  <c r="AY209" i="29"/>
  <c r="AY210" i="29" s="1"/>
  <c r="AY211" i="29" s="1"/>
  <c r="AY203" i="29"/>
  <c r="AY200" i="29"/>
  <c r="BG308" i="29"/>
  <c r="BG236" i="29"/>
  <c r="BG217" i="29"/>
  <c r="BG218" i="29" s="1"/>
  <c r="BC308" i="29"/>
  <c r="BC236" i="29"/>
  <c r="BC217" i="29"/>
  <c r="BC218" i="29" s="1"/>
  <c r="V189" i="29"/>
  <c r="V188" i="29"/>
  <c r="CP205" i="29"/>
  <c r="X211" i="29"/>
  <c r="BH308" i="29"/>
  <c r="BH236" i="29"/>
  <c r="BH217" i="29"/>
  <c r="BH218" i="29" s="1"/>
  <c r="AD308" i="29"/>
  <c r="AD236" i="29"/>
  <c r="AD217" i="29"/>
  <c r="AD218" i="29" s="1"/>
  <c r="AW206" i="29"/>
  <c r="AW204" i="29"/>
  <c r="AW205" i="29" s="1"/>
  <c r="AO188" i="29"/>
  <c r="AO189" i="29"/>
  <c r="DJ132" i="29"/>
  <c r="T20" i="150"/>
  <c r="J46" i="150" s="1"/>
  <c r="AP186" i="29"/>
  <c r="AP187" i="29"/>
  <c r="AP185" i="29"/>
  <c r="W211" i="29"/>
  <c r="C211" i="29"/>
  <c r="BD233" i="29"/>
  <c r="BD201" i="29"/>
  <c r="BE218" i="29"/>
  <c r="M211" i="29"/>
  <c r="BL233" i="29"/>
  <c r="BL201" i="29"/>
  <c r="AZ215" i="29"/>
  <c r="AZ200" i="29"/>
  <c r="AZ209" i="29"/>
  <c r="AZ210" i="29" s="1"/>
  <c r="AZ211" i="29" s="1"/>
  <c r="AZ203" i="29"/>
  <c r="CA168" i="29"/>
  <c r="U211" i="29"/>
  <c r="BT308" i="29"/>
  <c r="BT236" i="29"/>
  <c r="BT217" i="29"/>
  <c r="AN233" i="29"/>
  <c r="AN201" i="29"/>
  <c r="H49" i="150"/>
  <c r="CB233" i="29"/>
  <c r="CB201" i="29"/>
  <c r="Z218" i="29"/>
  <c r="AH206" i="29"/>
  <c r="AH207" i="29" s="1"/>
  <c r="AH204" i="29"/>
  <c r="AH205" i="29" s="1"/>
  <c r="AO215" i="29"/>
  <c r="AO209" i="29"/>
  <c r="AO210" i="29" s="1"/>
  <c r="AO211" i="29" s="1"/>
  <c r="AO203" i="29"/>
  <c r="AO200" i="29"/>
  <c r="AJ211" i="29"/>
  <c r="U188" i="29"/>
  <c r="BB201" i="29"/>
  <c r="BB233" i="29"/>
  <c r="T233" i="29"/>
  <c r="T201" i="29"/>
  <c r="BY218" i="29"/>
  <c r="BU200" i="29"/>
  <c r="BU233" i="29" s="1"/>
  <c r="BU209" i="29"/>
  <c r="BU210" i="29" s="1"/>
  <c r="BZ211" i="29" s="1"/>
  <c r="BU203" i="29"/>
  <c r="BU215" i="29"/>
  <c r="O204" i="29"/>
  <c r="O205" i="29" s="1"/>
  <c r="O206" i="29"/>
  <c r="O207" i="29" s="1"/>
  <c r="DJ161" i="29" l="1"/>
  <c r="DU16" i="29"/>
  <c r="DU18" i="29" s="1"/>
  <c r="AO236" i="29"/>
  <c r="AO217" i="29"/>
  <c r="AO218" i="29" s="1"/>
  <c r="AO308" i="29"/>
  <c r="AO233" i="29"/>
  <c r="AO201" i="29"/>
  <c r="BT242" i="29"/>
  <c r="BT248" i="29"/>
  <c r="AZ206" i="29"/>
  <c r="AZ204" i="29"/>
  <c r="AW207" i="29"/>
  <c r="BG242" i="29"/>
  <c r="BG248" i="29"/>
  <c r="AX242" i="29"/>
  <c r="AX248" i="29"/>
  <c r="V233" i="29"/>
  <c r="V201" i="29"/>
  <c r="CZ310" i="29"/>
  <c r="R47" i="150"/>
  <c r="DJ273" i="29"/>
  <c r="DJ268" i="29"/>
  <c r="DJ245" i="29"/>
  <c r="DJ174" i="29"/>
  <c r="DJ175" i="29"/>
  <c r="CS206" i="29"/>
  <c r="CS204" i="29"/>
  <c r="Y242" i="29"/>
  <c r="Y248" i="29"/>
  <c r="AU233" i="29"/>
  <c r="AM207" i="29"/>
  <c r="L236" i="29"/>
  <c r="L217" i="29"/>
  <c r="L218" i="29" s="1"/>
  <c r="L308" i="29"/>
  <c r="AW242" i="29"/>
  <c r="AW248" i="29"/>
  <c r="S46" i="150"/>
  <c r="CQ217" i="29"/>
  <c r="CQ236" i="29"/>
  <c r="CQ299" i="29"/>
  <c r="Q233" i="29"/>
  <c r="Q201" i="29"/>
  <c r="AC242" i="29"/>
  <c r="AC248" i="29"/>
  <c r="CZ189" i="29"/>
  <c r="CZ188" i="29"/>
  <c r="AR242" i="29"/>
  <c r="AR248" i="29"/>
  <c r="AL205" i="29"/>
  <c r="BV177" i="29"/>
  <c r="CA176" i="29"/>
  <c r="BV199" i="29"/>
  <c r="BV197" i="29"/>
  <c r="AS242" i="29"/>
  <c r="AS248" i="29"/>
  <c r="AG242" i="29"/>
  <c r="AG277" i="29" s="1"/>
  <c r="AG280" i="29" s="1"/>
  <c r="AG248" i="29"/>
  <c r="DE187" i="29"/>
  <c r="DE186" i="29"/>
  <c r="DE185" i="29"/>
  <c r="S28" i="150"/>
  <c r="AT211" i="29"/>
  <c r="AH218" i="29"/>
  <c r="AA236" i="29"/>
  <c r="AA217" i="29"/>
  <c r="AA308" i="29"/>
  <c r="BI242" i="29"/>
  <c r="BI248" i="29"/>
  <c r="AK236" i="29"/>
  <c r="AK217" i="29"/>
  <c r="AK308" i="29"/>
  <c r="AM218" i="29"/>
  <c r="CA206" i="29"/>
  <c r="CA204" i="29"/>
  <c r="AI207" i="29"/>
  <c r="AX207" i="29"/>
  <c r="N262" i="29"/>
  <c r="N263" i="29" s="1"/>
  <c r="M267" i="29"/>
  <c r="M273" i="29" s="1"/>
  <c r="M274" i="29" s="1"/>
  <c r="Y205" i="29"/>
  <c r="BJ308" i="29"/>
  <c r="BJ236" i="29"/>
  <c r="BJ217" i="29"/>
  <c r="BJ218" i="29" s="1"/>
  <c r="DJ284" i="29"/>
  <c r="DJ283" i="29" s="1"/>
  <c r="DJ290" i="29" s="1"/>
  <c r="DE283" i="29"/>
  <c r="DE290" i="29" s="1"/>
  <c r="T207" i="29"/>
  <c r="BD207" i="29"/>
  <c r="DJ270" i="29"/>
  <c r="Z205" i="29"/>
  <c r="AF206" i="29"/>
  <c r="AF204" i="29"/>
  <c r="F207" i="29"/>
  <c r="AB205" i="29"/>
  <c r="P233" i="29"/>
  <c r="P201" i="29"/>
  <c r="AP189" i="29"/>
  <c r="AP188" i="29"/>
  <c r="BH248" i="29"/>
  <c r="BH242" i="29"/>
  <c r="BC248" i="29"/>
  <c r="BC242" i="29"/>
  <c r="AY308" i="29"/>
  <c r="AY236" i="29"/>
  <c r="AY217" i="29"/>
  <c r="AY218" i="29" s="1"/>
  <c r="BZ242" i="29"/>
  <c r="BZ248" i="29"/>
  <c r="V206" i="29"/>
  <c r="V204" i="29"/>
  <c r="H34" i="150"/>
  <c r="F34" i="150"/>
  <c r="BM248" i="29"/>
  <c r="BM242" i="29"/>
  <c r="AU204" i="29"/>
  <c r="AU206" i="29"/>
  <c r="T242" i="29"/>
  <c r="T248" i="29"/>
  <c r="BB248" i="29"/>
  <c r="BB242" i="29"/>
  <c r="AN218" i="29"/>
  <c r="BI205" i="29"/>
  <c r="W207" i="29"/>
  <c r="CF206" i="29"/>
  <c r="CF207" i="29" s="1"/>
  <c r="CF204" i="29"/>
  <c r="CF205" i="29" s="1"/>
  <c r="DE276" i="29"/>
  <c r="DE246" i="29"/>
  <c r="CU189" i="29"/>
  <c r="CU188" i="29"/>
  <c r="I242" i="29"/>
  <c r="I248" i="29"/>
  <c r="Q236" i="29"/>
  <c r="Q217" i="29"/>
  <c r="Q218" i="29" s="1"/>
  <c r="Q308" i="29"/>
  <c r="AL207" i="29"/>
  <c r="J242" i="29"/>
  <c r="J248" i="29"/>
  <c r="AT308" i="29"/>
  <c r="AT236" i="29"/>
  <c r="AT217" i="29"/>
  <c r="AT218" i="29" s="1"/>
  <c r="CR204" i="29"/>
  <c r="CR206" i="29"/>
  <c r="AH242" i="29"/>
  <c r="AH248" i="29"/>
  <c r="U218" i="29"/>
  <c r="AA204" i="29"/>
  <c r="AA206" i="29"/>
  <c r="AA207" i="29" s="1"/>
  <c r="BL205" i="29"/>
  <c r="AK206" i="29"/>
  <c r="AK207" i="29" s="1"/>
  <c r="AK204" i="29"/>
  <c r="AK205" i="29" s="1"/>
  <c r="CZ259" i="29"/>
  <c r="R50" i="150" s="1"/>
  <c r="R49" i="150" s="1"/>
  <c r="CA233" i="29"/>
  <c r="D205" i="29"/>
  <c r="Z207" i="29"/>
  <c r="E205" i="29"/>
  <c r="K308" i="29"/>
  <c r="K236" i="29"/>
  <c r="K217" i="29"/>
  <c r="DJ179" i="29"/>
  <c r="CU310" i="29"/>
  <c r="Q47" i="150"/>
  <c r="CU259" i="29"/>
  <c r="Q50" i="150" s="1"/>
  <c r="Q49" i="150" s="1"/>
  <c r="BJ233" i="29"/>
  <c r="BJ201" i="29"/>
  <c r="BL242" i="29"/>
  <c r="BL248" i="29"/>
  <c r="W218" i="29"/>
  <c r="AP215" i="29"/>
  <c r="AP209" i="29"/>
  <c r="AP210" i="29" s="1"/>
  <c r="AP211" i="29" s="1"/>
  <c r="AP203" i="29"/>
  <c r="AP200" i="29"/>
  <c r="BG207" i="29"/>
  <c r="BK248" i="29"/>
  <c r="BK242" i="29"/>
  <c r="E218" i="29"/>
  <c r="AF211" i="29"/>
  <c r="AL218" i="29"/>
  <c r="AB207" i="29"/>
  <c r="AM205" i="29"/>
  <c r="DJ172" i="29"/>
  <c r="DJ184" i="29"/>
  <c r="DJ169" i="29"/>
  <c r="DJ170" i="29" s="1"/>
  <c r="P308" i="29"/>
  <c r="P236" i="29"/>
  <c r="P217" i="29"/>
  <c r="P218" i="29" s="1"/>
  <c r="BU308" i="29"/>
  <c r="BU236" i="29"/>
  <c r="BU217" i="29"/>
  <c r="BZ218" i="29" s="1"/>
  <c r="AO206" i="29"/>
  <c r="AO207" i="29" s="1"/>
  <c r="AO204" i="29"/>
  <c r="AO205" i="29" s="1"/>
  <c r="AD242" i="29"/>
  <c r="AD248" i="29"/>
  <c r="AY233" i="29"/>
  <c r="AY201" i="29"/>
  <c r="CU215" i="29"/>
  <c r="CU209" i="29"/>
  <c r="CU210" i="29" s="1"/>
  <c r="CU211" i="29" s="1"/>
  <c r="CU200" i="29"/>
  <c r="CU203" i="29"/>
  <c r="AI218" i="29"/>
  <c r="BS248" i="29"/>
  <c r="BS242" i="29"/>
  <c r="BX218" i="29"/>
  <c r="CS236" i="29"/>
  <c r="CS217" i="29"/>
  <c r="AB248" i="29"/>
  <c r="AB242" i="29"/>
  <c r="AU211" i="29"/>
  <c r="B242" i="29"/>
  <c r="B248" i="29"/>
  <c r="AN242" i="29"/>
  <c r="AN248" i="29"/>
  <c r="L206" i="29"/>
  <c r="L207" i="29" s="1"/>
  <c r="L204" i="29"/>
  <c r="L205" i="29" s="1"/>
  <c r="AU188" i="29"/>
  <c r="BI207" i="29"/>
  <c r="W205" i="29"/>
  <c r="CF201" i="29"/>
  <c r="CF233" i="29"/>
  <c r="Q65" i="150"/>
  <c r="G50" i="150"/>
  <c r="AE242" i="29"/>
  <c r="AE248" i="29"/>
  <c r="CQ204" i="29"/>
  <c r="CQ206" i="29"/>
  <c r="H248" i="29"/>
  <c r="H242" i="29"/>
  <c r="Q206" i="29"/>
  <c r="Q207" i="29" s="1"/>
  <c r="Q204" i="29"/>
  <c r="Q205" i="29" s="1"/>
  <c r="BE207" i="29"/>
  <c r="CE218" i="29"/>
  <c r="BW242" i="29"/>
  <c r="BW248" i="29"/>
  <c r="DE193" i="29"/>
  <c r="CZ194" i="29"/>
  <c r="CZ191" i="29" s="1"/>
  <c r="T21" i="150"/>
  <c r="I49" i="150"/>
  <c r="AT233" i="29"/>
  <c r="AT201" i="29"/>
  <c r="AJ218" i="29"/>
  <c r="U242" i="29"/>
  <c r="U248" i="29"/>
  <c r="AA233" i="29"/>
  <c r="AA201" i="29"/>
  <c r="BL207" i="29"/>
  <c r="M218" i="29"/>
  <c r="CA236" i="29"/>
  <c r="CA217" i="29"/>
  <c r="CA308" i="29"/>
  <c r="CC218" i="29"/>
  <c r="D207" i="29"/>
  <c r="BX207" i="29"/>
  <c r="R218" i="29"/>
  <c r="E207" i="29"/>
  <c r="K204" i="29"/>
  <c r="K206" i="29"/>
  <c r="BJ206" i="29"/>
  <c r="BJ207" i="29" s="1"/>
  <c r="BJ204" i="29"/>
  <c r="BJ205" i="29" s="1"/>
  <c r="CB218" i="29"/>
  <c r="AN205" i="29"/>
  <c r="G267" i="29"/>
  <c r="G273" i="29" s="1"/>
  <c r="G274" i="29" s="1"/>
  <c r="L262" i="29"/>
  <c r="L263" i="29" s="1"/>
  <c r="CZ168" i="29"/>
  <c r="W248" i="29"/>
  <c r="W242" i="29"/>
  <c r="X242" i="29"/>
  <c r="X248" i="29"/>
  <c r="BG205" i="29"/>
  <c r="BZ201" i="29"/>
  <c r="AF233" i="29"/>
  <c r="AF201" i="29"/>
  <c r="DE167" i="29"/>
  <c r="DE168" i="29" s="1"/>
  <c r="AL248" i="29"/>
  <c r="AL242" i="29"/>
  <c r="N205" i="29"/>
  <c r="S218" i="29"/>
  <c r="P211" i="29"/>
  <c r="BU206" i="29"/>
  <c r="BZ207" i="29" s="1"/>
  <c r="BU204" i="29"/>
  <c r="BZ205" i="29" s="1"/>
  <c r="AZ201" i="29"/>
  <c r="AZ233" i="29"/>
  <c r="AZ236" i="29"/>
  <c r="AZ217" i="29"/>
  <c r="AZ218" i="29" s="1"/>
  <c r="AZ308" i="29"/>
  <c r="AY204" i="29"/>
  <c r="AY206" i="29"/>
  <c r="AI242" i="29"/>
  <c r="AI248" i="29"/>
  <c r="BX242" i="29"/>
  <c r="BX248" i="29"/>
  <c r="V236" i="29"/>
  <c r="V217" i="29"/>
  <c r="V218" i="29" s="1"/>
  <c r="V308" i="29"/>
  <c r="DJ226" i="29"/>
  <c r="DE224" i="29"/>
  <c r="DE216" i="29"/>
  <c r="S36" i="150"/>
  <c r="DE257" i="29"/>
  <c r="DE259" i="29" s="1"/>
  <c r="S50" i="150" s="1"/>
  <c r="AU236" i="29"/>
  <c r="AU217" i="29"/>
  <c r="AU308" i="29"/>
  <c r="B206" i="29"/>
  <c r="B204" i="29"/>
  <c r="C205" i="29" s="1"/>
  <c r="L233" i="29"/>
  <c r="L201" i="29"/>
  <c r="BD242" i="29"/>
  <c r="BD248" i="29"/>
  <c r="C207" i="29"/>
  <c r="T46" i="150"/>
  <c r="CF236" i="29"/>
  <c r="CF248" i="29" s="1"/>
  <c r="CF217" i="29"/>
  <c r="CF218" i="29" s="1"/>
  <c r="CF308" i="29"/>
  <c r="Q211" i="29"/>
  <c r="R65" i="150"/>
  <c r="H50" i="150"/>
  <c r="N242" i="29"/>
  <c r="N248" i="29"/>
  <c r="BV187" i="29"/>
  <c r="BV186" i="29"/>
  <c r="N28" i="150"/>
  <c r="N65" i="150" s="1"/>
  <c r="CA185" i="29"/>
  <c r="AS218" i="29"/>
  <c r="AG218" i="29"/>
  <c r="O242" i="29"/>
  <c r="O248" i="29"/>
  <c r="AT206" i="29"/>
  <c r="AT207" i="29" s="1"/>
  <c r="AT204" i="29"/>
  <c r="AT205" i="29" s="1"/>
  <c r="CR236" i="29"/>
  <c r="CR217" i="29"/>
  <c r="AA211" i="29"/>
  <c r="BI218" i="29"/>
  <c r="M248" i="29"/>
  <c r="M242" i="29"/>
  <c r="BQ242" i="29"/>
  <c r="BQ248" i="29"/>
  <c r="CT215" i="29"/>
  <c r="CT209" i="29"/>
  <c r="CT210" i="29" s="1"/>
  <c r="CT203" i="29"/>
  <c r="CT200" i="29"/>
  <c r="CT233" i="29" s="1"/>
  <c r="AK201" i="29"/>
  <c r="AK233" i="29"/>
  <c r="AQ205" i="29"/>
  <c r="CC242" i="29"/>
  <c r="CC248" i="29"/>
  <c r="AX205" i="29"/>
  <c r="CU197" i="29"/>
  <c r="CZ197" i="29" s="1"/>
  <c r="Q33" i="150"/>
  <c r="Q35" i="150" s="1"/>
  <c r="Q37" i="150" s="1"/>
  <c r="G53" i="150" s="1"/>
  <c r="R242" i="29"/>
  <c r="R248" i="29"/>
  <c r="BE205" i="29"/>
  <c r="CK242" i="29"/>
  <c r="CK248" i="29"/>
  <c r="DJ297" i="29"/>
  <c r="DE309" i="29"/>
  <c r="T205" i="29"/>
  <c r="CB242" i="29"/>
  <c r="CF242" i="29" s="1"/>
  <c r="CB248" i="29"/>
  <c r="AN207" i="29"/>
  <c r="BD205" i="29"/>
  <c r="C218" i="29"/>
  <c r="AQ207" i="29"/>
  <c r="AF236" i="29"/>
  <c r="AF217" i="29"/>
  <c r="AF218" i="29" s="1"/>
  <c r="AF308" i="29"/>
  <c r="F205" i="29"/>
  <c r="G218" i="29"/>
  <c r="N207" i="29"/>
  <c r="S242" i="29"/>
  <c r="S248" i="29"/>
  <c r="DJ164" i="29"/>
  <c r="DJ156" i="29"/>
  <c r="P206" i="29"/>
  <c r="P207" i="29" s="1"/>
  <c r="P204" i="29"/>
  <c r="DV16" i="29" l="1"/>
  <c r="DV18" i="29" s="1"/>
  <c r="DJ309" i="29"/>
  <c r="P205" i="29"/>
  <c r="CT236" i="29"/>
  <c r="CT217" i="29"/>
  <c r="AY205" i="29"/>
  <c r="R31" i="150"/>
  <c r="CZ196" i="29"/>
  <c r="P242" i="29"/>
  <c r="P248" i="29"/>
  <c r="K242" i="29"/>
  <c r="K248" i="29"/>
  <c r="AT242" i="29"/>
  <c r="AU242" i="29" s="1"/>
  <c r="AT248" i="29"/>
  <c r="BF242" i="29"/>
  <c r="BF243" i="29" s="1"/>
  <c r="AF207" i="29"/>
  <c r="BJ242" i="29"/>
  <c r="BJ248" i="29"/>
  <c r="N267" i="29"/>
  <c r="N273" i="29" s="1"/>
  <c r="N274" i="29" s="1"/>
  <c r="O262" i="29"/>
  <c r="O263" i="29" s="1"/>
  <c r="AA242" i="29"/>
  <c r="AA248" i="29"/>
  <c r="BV209" i="29"/>
  <c r="BV210" i="29" s="1"/>
  <c r="CA211" i="29" s="1"/>
  <c r="BV203" i="29"/>
  <c r="BV215" i="29"/>
  <c r="BV200" i="29"/>
  <c r="CQ308" i="29"/>
  <c r="CR299" i="29"/>
  <c r="DE197" i="29"/>
  <c r="DJ197" i="29" s="1"/>
  <c r="G27" i="150"/>
  <c r="AU218" i="29"/>
  <c r="DJ193" i="29"/>
  <c r="DJ194" i="29" s="1"/>
  <c r="DJ191" i="29" s="1"/>
  <c r="DE194" i="29"/>
  <c r="DE191" i="29" s="1"/>
  <c r="CU236" i="29"/>
  <c r="CU217" i="29"/>
  <c r="CU218" i="29" s="1"/>
  <c r="BU242" i="29"/>
  <c r="BU248" i="29"/>
  <c r="AP236" i="29"/>
  <c r="AP217" i="29"/>
  <c r="AP218" i="29" s="1"/>
  <c r="AP308" i="29"/>
  <c r="AA205" i="29"/>
  <c r="DJ276" i="29"/>
  <c r="DJ246" i="29"/>
  <c r="AU205" i="29"/>
  <c r="V242" i="29"/>
  <c r="V248" i="29"/>
  <c r="CU206" i="29"/>
  <c r="CU207" i="29" s="1"/>
  <c r="CU204" i="29"/>
  <c r="CU205" i="29" s="1"/>
  <c r="AP201" i="29"/>
  <c r="AP233" i="29"/>
  <c r="U207" i="29"/>
  <c r="V205" i="29"/>
  <c r="AK218" i="29"/>
  <c r="DE188" i="29"/>
  <c r="DE189" i="29"/>
  <c r="L248" i="29"/>
  <c r="L242" i="29"/>
  <c r="AU201" i="29"/>
  <c r="AZ205" i="29"/>
  <c r="AO242" i="29"/>
  <c r="AO248" i="29"/>
  <c r="CT206" i="29"/>
  <c r="CT204" i="29"/>
  <c r="BV189" i="29"/>
  <c r="CA188" i="29"/>
  <c r="AU243" i="29"/>
  <c r="CA242" i="29"/>
  <c r="CA248" i="29"/>
  <c r="DJ165" i="29"/>
  <c r="DJ167" i="29"/>
  <c r="DJ168" i="29" s="1"/>
  <c r="AF248" i="29"/>
  <c r="AF242" i="29"/>
  <c r="DE310" i="29"/>
  <c r="S47" i="150"/>
  <c r="S49" i="150" s="1"/>
  <c r="DJ224" i="29"/>
  <c r="DJ216" i="29"/>
  <c r="T36" i="150"/>
  <c r="DJ257" i="29"/>
  <c r="AY207" i="29"/>
  <c r="AZ242" i="29"/>
  <c r="AZ248" i="29"/>
  <c r="L267" i="29"/>
  <c r="L273" i="29" s="1"/>
  <c r="L274" i="29" s="1"/>
  <c r="Q262" i="29"/>
  <c r="Q263" i="29" s="1"/>
  <c r="J47" i="150"/>
  <c r="T15" i="150"/>
  <c r="T25" i="150" s="1"/>
  <c r="T27" i="150" s="1"/>
  <c r="CU201" i="29"/>
  <c r="CU233" i="29"/>
  <c r="DJ186" i="29"/>
  <c r="DJ185" i="29"/>
  <c r="DJ187" i="29"/>
  <c r="T28" i="150"/>
  <c r="AP206" i="29"/>
  <c r="AP207" i="29" s="1"/>
  <c r="AP204" i="29"/>
  <c r="AP205" i="29" s="1"/>
  <c r="Q248" i="29"/>
  <c r="Q242" i="29"/>
  <c r="V207" i="29"/>
  <c r="AY242" i="29"/>
  <c r="AY248" i="29"/>
  <c r="AF205" i="29"/>
  <c r="AK242" i="29"/>
  <c r="AK248" i="29"/>
  <c r="AA218" i="29"/>
  <c r="S65" i="150"/>
  <c r="I50" i="150"/>
  <c r="U205" i="29"/>
  <c r="DJ176" i="29"/>
  <c r="DJ177" i="29"/>
  <c r="AZ207" i="29"/>
  <c r="DW16" i="29" l="1"/>
  <c r="DW18" i="29" s="1"/>
  <c r="DJ189" i="29"/>
  <c r="DJ188" i="29"/>
  <c r="DJ310" i="29"/>
  <c r="T47" i="150"/>
  <c r="DJ259" i="29"/>
  <c r="T50" i="150" s="1"/>
  <c r="T49" i="150" s="1"/>
  <c r="J49" i="150"/>
  <c r="AU261" i="29"/>
  <c r="AU247" i="29"/>
  <c r="T31" i="150"/>
  <c r="DJ196" i="29"/>
  <c r="BV233" i="29"/>
  <c r="CA201" i="29"/>
  <c r="AU207" i="29"/>
  <c r="BF261" i="29"/>
  <c r="BF247" i="29"/>
  <c r="CZ199" i="29"/>
  <c r="CZ198" i="29"/>
  <c r="R33" i="150" s="1"/>
  <c r="AP242" i="29"/>
  <c r="AP248" i="29"/>
  <c r="BV308" i="29"/>
  <c r="BV236" i="29"/>
  <c r="BV217" i="29"/>
  <c r="CA218" i="29" s="1"/>
  <c r="T65" i="150"/>
  <c r="J50" i="150"/>
  <c r="Q267" i="29"/>
  <c r="Q273" i="29" s="1"/>
  <c r="Q274" i="29" s="1"/>
  <c r="V262" i="29"/>
  <c r="V263" i="29" s="1"/>
  <c r="CR308" i="29"/>
  <c r="CS299" i="29"/>
  <c r="BV206" i="29"/>
  <c r="CA207" i="29" s="1"/>
  <c r="BV204" i="29"/>
  <c r="CA205" i="29" s="1"/>
  <c r="H21" i="150"/>
  <c r="R35" i="150"/>
  <c r="S31" i="150"/>
  <c r="DE196" i="29"/>
  <c r="F27" i="150"/>
  <c r="H27" i="150"/>
  <c r="O267" i="29"/>
  <c r="O273" i="29" s="1"/>
  <c r="O274" i="29" s="1"/>
  <c r="P262" i="29"/>
  <c r="P263" i="29" s="1"/>
  <c r="P267" i="29" l="1"/>
  <c r="P273" i="29" s="1"/>
  <c r="P274" i="29" s="1"/>
  <c r="R262" i="29"/>
  <c r="R263" i="29" s="1"/>
  <c r="BF249" i="29"/>
  <c r="BF248" i="29"/>
  <c r="H20" i="150"/>
  <c r="H19" i="150"/>
  <c r="R37" i="150"/>
  <c r="H53" i="150" s="1"/>
  <c r="G18" i="150"/>
  <c r="V267" i="29"/>
  <c r="V273" i="29" s="1"/>
  <c r="V274" i="29" s="1"/>
  <c r="AA262" i="29"/>
  <c r="AA263" i="29" s="1"/>
  <c r="DJ198" i="29"/>
  <c r="T33" i="150" s="1"/>
  <c r="T35" i="150" s="1"/>
  <c r="T37" i="150" s="1"/>
  <c r="J53" i="150" s="1"/>
  <c r="F19" i="150"/>
  <c r="F20" i="150"/>
  <c r="F21" i="150"/>
  <c r="BV242" i="29"/>
  <c r="BV248" i="29"/>
  <c r="DE198" i="29"/>
  <c r="S33" i="150" s="1"/>
  <c r="S35" i="150" s="1"/>
  <c r="S37" i="150" s="1"/>
  <c r="I53" i="150" s="1"/>
  <c r="CS308" i="29"/>
  <c r="CT299" i="29"/>
  <c r="CZ215" i="29"/>
  <c r="CZ209" i="29"/>
  <c r="CZ210" i="29" s="1"/>
  <c r="CZ211" i="29" s="1"/>
  <c r="CZ200" i="29"/>
  <c r="CZ203" i="29"/>
  <c r="AU249" i="29"/>
  <c r="AU248" i="29"/>
  <c r="CU292" i="29" l="1"/>
  <c r="CZ204" i="29"/>
  <c r="CZ205" i="29" s="1"/>
  <c r="CZ206" i="29"/>
  <c r="CZ207" i="29" s="1"/>
  <c r="DE199" i="29"/>
  <c r="DJ199" i="29"/>
  <c r="G22" i="150"/>
  <c r="G25" i="150" s="1"/>
  <c r="G33" i="150" s="1"/>
  <c r="G9" i="150" s="1"/>
  <c r="H18" i="150"/>
  <c r="H22" i="150" s="1"/>
  <c r="H25" i="150" s="1"/>
  <c r="H33" i="150" s="1"/>
  <c r="H9" i="150" s="1"/>
  <c r="F18" i="150"/>
  <c r="F22" i="150" s="1"/>
  <c r="F25" i="150" s="1"/>
  <c r="F33" i="150" s="1"/>
  <c r="F9" i="150" s="1"/>
  <c r="CZ201" i="29"/>
  <c r="CZ233" i="29"/>
  <c r="CT308" i="29"/>
  <c r="CU299" i="29"/>
  <c r="AA267" i="29"/>
  <c r="AA273" i="29" s="1"/>
  <c r="AA274" i="29" s="1"/>
  <c r="AF262" i="29"/>
  <c r="AF263" i="29" s="1"/>
  <c r="R267" i="29"/>
  <c r="R273" i="29" s="1"/>
  <c r="R274" i="29" s="1"/>
  <c r="S262" i="29"/>
  <c r="S263" i="29" s="1"/>
  <c r="CZ236" i="29"/>
  <c r="CZ217" i="29"/>
  <c r="CZ218" i="29" s="1"/>
  <c r="H14" i="150" l="1"/>
  <c r="H11" i="150"/>
  <c r="H13" i="150"/>
  <c r="G14" i="150"/>
  <c r="G13" i="150"/>
  <c r="G11" i="150"/>
  <c r="C5" i="149"/>
  <c r="S267" i="29"/>
  <c r="S273" i="29" s="1"/>
  <c r="S274" i="29" s="1"/>
  <c r="T262" i="29"/>
  <c r="T263" i="29" s="1"/>
  <c r="DJ215" i="29"/>
  <c r="DJ203" i="29"/>
  <c r="DJ209" i="29"/>
  <c r="DJ210" i="29" s="1"/>
  <c r="DJ200" i="29"/>
  <c r="CU308" i="29"/>
  <c r="CZ299" i="29"/>
  <c r="F13" i="150"/>
  <c r="F14" i="150"/>
  <c r="F11" i="150"/>
  <c r="DE215" i="29"/>
  <c r="DE200" i="29"/>
  <c r="DE203" i="29"/>
  <c r="DE209" i="29"/>
  <c r="DE210" i="29" s="1"/>
  <c r="DE211" i="29" s="1"/>
  <c r="AF267" i="29"/>
  <c r="AF273" i="29" s="1"/>
  <c r="AF274" i="29" s="1"/>
  <c r="AK262" i="29"/>
  <c r="AK263" i="29" s="1"/>
  <c r="DJ211" i="29" l="1"/>
  <c r="DE204" i="29"/>
  <c r="DE205" i="29" s="1"/>
  <c r="DE206" i="29"/>
  <c r="DE207" i="29" s="1"/>
  <c r="DE236" i="29"/>
  <c r="DE217" i="29"/>
  <c r="DE218" i="29" s="1"/>
  <c r="CZ308" i="29"/>
  <c r="DE299" i="29"/>
  <c r="DJ206" i="29"/>
  <c r="DJ204" i="29"/>
  <c r="DJ236" i="29"/>
  <c r="DJ217" i="29"/>
  <c r="AK267" i="29"/>
  <c r="AK273" i="29" s="1"/>
  <c r="AK274" i="29" s="1"/>
  <c r="AP262" i="29"/>
  <c r="DE201" i="29"/>
  <c r="DE233" i="29"/>
  <c r="DJ201" i="29"/>
  <c r="DJ233" i="29"/>
  <c r="T267" i="29"/>
  <c r="T273" i="29" s="1"/>
  <c r="T274" i="29" s="1"/>
  <c r="U262" i="29"/>
  <c r="U263" i="29" s="1"/>
  <c r="DJ218" i="29" l="1"/>
  <c r="DJ205" i="29"/>
  <c r="BA262" i="29"/>
  <c r="BA263" i="29" s="1"/>
  <c r="AP263" i="29"/>
  <c r="DJ207" i="29"/>
  <c r="U267" i="29"/>
  <c r="U273" i="29" s="1"/>
  <c r="U274" i="29" s="1"/>
  <c r="W262" i="29"/>
  <c r="W263" i="29" s="1"/>
  <c r="DE308" i="29"/>
  <c r="DJ299" i="29"/>
  <c r="AP267" i="29" l="1"/>
  <c r="AU262" i="29"/>
  <c r="W267" i="29"/>
  <c r="W273" i="29" s="1"/>
  <c r="W274" i="29" s="1"/>
  <c r="X262" i="29"/>
  <c r="X263" i="29" s="1"/>
  <c r="DJ308" i="29"/>
  <c r="BF262" i="29" l="1"/>
  <c r="BB262" i="29"/>
  <c r="BB263" i="29" s="1"/>
  <c r="AU263" i="29"/>
  <c r="X267" i="29"/>
  <c r="X273" i="29" s="1"/>
  <c r="X274" i="29" s="1"/>
  <c r="Y262" i="29"/>
  <c r="Y263" i="29" s="1"/>
  <c r="AU267" i="29" l="1"/>
  <c r="AU275" i="29" s="1"/>
  <c r="AZ262" i="29"/>
  <c r="BB267" i="29"/>
  <c r="BB273" i="29" s="1"/>
  <c r="BB274" i="29" s="1"/>
  <c r="BC262" i="29"/>
  <c r="BC263" i="29" s="1"/>
  <c r="Z262" i="29"/>
  <c r="Z263" i="29" s="1"/>
  <c r="Y267" i="29"/>
  <c r="Y273" i="29" s="1"/>
  <c r="Y274" i="29" s="1"/>
  <c r="BQ262" i="29"/>
  <c r="BQ263" i="29" s="1"/>
  <c r="BF263" i="29"/>
  <c r="BF267" i="29" s="1"/>
  <c r="BF275" i="29" s="1"/>
  <c r="BF280" i="29" s="1"/>
  <c r="BC267" i="29" l="1"/>
  <c r="BC273" i="29" s="1"/>
  <c r="BC274" i="29" s="1"/>
  <c r="BD262" i="29"/>
  <c r="BD263" i="29" s="1"/>
  <c r="BK262" i="29"/>
  <c r="BG262" i="29"/>
  <c r="BG263" i="29" s="1"/>
  <c r="AZ263" i="29"/>
  <c r="AZ267" i="29" s="1"/>
  <c r="AZ275" i="29" s="1"/>
  <c r="Z267" i="29"/>
  <c r="Z273" i="29" s="1"/>
  <c r="Z274" i="29" s="1"/>
  <c r="AB262" i="29"/>
  <c r="AB263" i="29" s="1"/>
  <c r="BG267" i="29" l="1"/>
  <c r="BG275" i="29" s="1"/>
  <c r="BG281" i="29" s="1"/>
  <c r="BG304" i="29" s="1"/>
  <c r="BH262" i="29"/>
  <c r="BH263" i="29" s="1"/>
  <c r="AB267" i="29"/>
  <c r="AB273" i="29" s="1"/>
  <c r="AB274" i="29" s="1"/>
  <c r="AC262" i="29"/>
  <c r="AC263" i="29" s="1"/>
  <c r="BR262" i="29"/>
  <c r="BK263" i="29"/>
  <c r="BD267" i="29"/>
  <c r="BD275" i="29" s="1"/>
  <c r="BD280" i="29" s="1"/>
  <c r="BE262" i="29"/>
  <c r="BE263" i="29" s="1"/>
  <c r="BE267" i="29" s="1"/>
  <c r="BE275" i="29" s="1"/>
  <c r="BE280" i="29" s="1"/>
  <c r="AD262" i="29" l="1"/>
  <c r="AD263" i="29" s="1"/>
  <c r="AC267" i="29"/>
  <c r="AC273" i="29" s="1"/>
  <c r="AC274" i="29" s="1"/>
  <c r="BK267" i="29"/>
  <c r="BL262" i="29"/>
  <c r="BL263" i="29" s="1"/>
  <c r="BH267" i="29"/>
  <c r="BH275" i="29" s="1"/>
  <c r="BH281" i="29" s="1"/>
  <c r="BH304" i="29" s="1"/>
  <c r="BI262" i="29"/>
  <c r="BI263" i="29" s="1"/>
  <c r="BV262" i="29"/>
  <c r="BV263" i="29" s="1"/>
  <c r="BR263" i="29"/>
  <c r="BS262" i="29" s="1"/>
  <c r="BS263" i="29" s="1"/>
  <c r="BT262" i="29" s="1"/>
  <c r="BT263" i="29" s="1"/>
  <c r="BU262" i="29" s="1"/>
  <c r="BU263" i="29" s="1"/>
  <c r="BU267" i="29" s="1"/>
  <c r="BL267" i="29" l="1"/>
  <c r="BL275" i="29" s="1"/>
  <c r="BL280" i="29" s="1"/>
  <c r="BM262" i="29"/>
  <c r="BM263" i="29" s="1"/>
  <c r="BM267" i="29" s="1"/>
  <c r="BM275" i="29" s="1"/>
  <c r="BM280" i="29" s="1"/>
  <c r="BV267" i="29"/>
  <c r="N59" i="150" s="1"/>
  <c r="CK262" i="29"/>
  <c r="CK263" i="29" s="1"/>
  <c r="CA262" i="29"/>
  <c r="CA263" i="29" s="1"/>
  <c r="BW262" i="29"/>
  <c r="BW263" i="29" s="1"/>
  <c r="BI267" i="29"/>
  <c r="BI275" i="29" s="1"/>
  <c r="BI281" i="29" s="1"/>
  <c r="BI304" i="29" s="1"/>
  <c r="BJ262" i="29"/>
  <c r="BJ263" i="29" s="1"/>
  <c r="BJ267" i="29" s="1"/>
  <c r="BJ273" i="29" s="1"/>
  <c r="AD267" i="29"/>
  <c r="AD273" i="29" s="1"/>
  <c r="AD274" i="29" s="1"/>
  <c r="AE262" i="29"/>
  <c r="AE263" i="29" s="1"/>
  <c r="CQ302" i="29" l="1"/>
  <c r="BK273" i="29"/>
  <c r="BJ274" i="29"/>
  <c r="N62" i="150"/>
  <c r="N64" i="150"/>
  <c r="AE267" i="29"/>
  <c r="AE273" i="29" s="1"/>
  <c r="AE274" i="29" s="1"/>
  <c r="AG262" i="29"/>
  <c r="AG263" i="29" s="1"/>
  <c r="BW267" i="29"/>
  <c r="BW275" i="29" s="1"/>
  <c r="BW280" i="29" s="1"/>
  <c r="BX262" i="29"/>
  <c r="BX263" i="29" s="1"/>
  <c r="CF262" i="29"/>
  <c r="CB262" i="29"/>
  <c r="CB263" i="29" s="1"/>
  <c r="CR302" i="29" l="1"/>
  <c r="BY262" i="29"/>
  <c r="BY263" i="29" s="1"/>
  <c r="BX267" i="29"/>
  <c r="BX275" i="29" s="1"/>
  <c r="BX280" i="29" s="1"/>
  <c r="CC262" i="29"/>
  <c r="CC263" i="29" s="1"/>
  <c r="CB267" i="29"/>
  <c r="CB273" i="29" s="1"/>
  <c r="CB274" i="29" s="1"/>
  <c r="CQ274" i="29" s="1"/>
  <c r="CQ273" i="29" s="1"/>
  <c r="AH262" i="29"/>
  <c r="AH263" i="29" s="1"/>
  <c r="AG267" i="29"/>
  <c r="AG273" i="29" s="1"/>
  <c r="AG274" i="29" s="1"/>
  <c r="CP262" i="29"/>
  <c r="CF263" i="29"/>
  <c r="CS302" i="29" l="1"/>
  <c r="CU241" i="29"/>
  <c r="CC267" i="29"/>
  <c r="CD262" i="29"/>
  <c r="CD263" i="29" s="1"/>
  <c r="CF267" i="29"/>
  <c r="CF275" i="29" s="1"/>
  <c r="CP263" i="29"/>
  <c r="CP267" i="29" s="1"/>
  <c r="CU262" i="29"/>
  <c r="CQ262" i="29"/>
  <c r="AH267" i="29"/>
  <c r="AH273" i="29" s="1"/>
  <c r="AH274" i="29" s="1"/>
  <c r="AI262" i="29"/>
  <c r="AI263" i="29" s="1"/>
  <c r="BY267" i="29"/>
  <c r="BY273" i="29" s="1"/>
  <c r="BY274" i="29" s="1"/>
  <c r="BZ262" i="29"/>
  <c r="BZ263" i="29" s="1"/>
  <c r="CU300" i="29" l="1"/>
  <c r="CT302" i="29"/>
  <c r="CQ295" i="29"/>
  <c r="CQ303" i="29" s="1"/>
  <c r="CU279" i="29"/>
  <c r="AI267" i="29"/>
  <c r="AI273" i="29" s="1"/>
  <c r="AI274" i="29" s="1"/>
  <c r="AJ262" i="29"/>
  <c r="AJ263" i="29" s="1"/>
  <c r="CP275" i="29"/>
  <c r="P59" i="150"/>
  <c r="BZ267" i="29"/>
  <c r="CK267" i="29"/>
  <c r="CK273" i="29" s="1"/>
  <c r="CK274" i="29" s="1"/>
  <c r="CD267" i="29"/>
  <c r="CD275" i="29" s="1"/>
  <c r="CD280" i="29" s="1"/>
  <c r="CE262" i="29"/>
  <c r="CE263" i="29" s="1"/>
  <c r="CE267" i="29" s="1"/>
  <c r="CE275" i="29" s="1"/>
  <c r="CE280" i="29" s="1"/>
  <c r="CF280" i="29" s="1"/>
  <c r="CU302" i="29" l="1"/>
  <c r="CR295" i="29"/>
  <c r="CR303" i="29" s="1"/>
  <c r="P62" i="150"/>
  <c r="P64" i="150"/>
  <c r="F54" i="150"/>
  <c r="CP281" i="29"/>
  <c r="CP304" i="29" s="1"/>
  <c r="BZ273" i="29"/>
  <c r="CA267" i="29"/>
  <c r="AJ267" i="29"/>
  <c r="AJ273" i="29" s="1"/>
  <c r="AJ274" i="29" s="1"/>
  <c r="AL262" i="29"/>
  <c r="AL263" i="29" s="1"/>
  <c r="CQ280" i="29"/>
  <c r="CP280" i="29"/>
  <c r="CQ242" i="29"/>
  <c r="CF281" i="29"/>
  <c r="CF304" i="29" s="1"/>
  <c r="CZ302" i="29" l="1"/>
  <c r="CS295" i="29"/>
  <c r="CS303" i="29" s="1"/>
  <c r="AL267" i="29"/>
  <c r="AL273" i="29" s="1"/>
  <c r="AL274" i="29" s="1"/>
  <c r="AM262" i="29"/>
  <c r="AM263" i="29" s="1"/>
  <c r="CQ243" i="29"/>
  <c r="O59" i="150"/>
  <c r="CR280" i="29"/>
  <c r="CR242" i="29"/>
  <c r="CR243" i="29" s="1"/>
  <c r="CA273" i="29"/>
  <c r="CA274" i="29" s="1"/>
  <c r="BZ274" i="29"/>
  <c r="DJ302" i="29" l="1"/>
  <c r="DE302" i="29"/>
  <c r="CU293" i="29"/>
  <c r="CT295" i="29"/>
  <c r="CT303" i="29" s="1"/>
  <c r="CR247" i="29"/>
  <c r="CR261" i="29"/>
  <c r="CQ261" i="29"/>
  <c r="CQ263" i="29" s="1"/>
  <c r="CQ247" i="29"/>
  <c r="CS280" i="29"/>
  <c r="CS242" i="29"/>
  <c r="CS243" i="29" s="1"/>
  <c r="O62" i="150"/>
  <c r="E54" i="150"/>
  <c r="O64" i="150"/>
  <c r="AM267" i="29"/>
  <c r="AM273" i="29" s="1"/>
  <c r="AM274" i="29" s="1"/>
  <c r="AN262" i="29"/>
  <c r="AN263" i="29" s="1"/>
  <c r="CA275" i="29"/>
  <c r="CA281" i="29" s="1"/>
  <c r="CA304" i="29" s="1"/>
  <c r="CU295" i="29" l="1"/>
  <c r="CU303" i="29" s="1"/>
  <c r="AN267" i="29"/>
  <c r="AN273" i="29" s="1"/>
  <c r="AN274" i="29" s="1"/>
  <c r="AO262" i="29"/>
  <c r="AO263" i="29" s="1"/>
  <c r="CQ248" i="29"/>
  <c r="CQ249" i="29"/>
  <c r="CR262" i="29"/>
  <c r="CQ267" i="29"/>
  <c r="CQ275" i="29" s="1"/>
  <c r="CQ281" i="29" s="1"/>
  <c r="CQ304" i="29" s="1"/>
  <c r="CS261" i="29"/>
  <c r="CS247" i="29"/>
  <c r="CR263" i="29"/>
  <c r="CT280" i="29"/>
  <c r="CU280" i="29" s="1"/>
  <c r="CR248" i="29"/>
  <c r="CR249" i="29"/>
  <c r="CZ295" i="29" l="1"/>
  <c r="CZ303" i="29" s="1"/>
  <c r="CT242" i="29"/>
  <c r="CZ280" i="29"/>
  <c r="CZ242" i="29"/>
  <c r="CZ243" i="29" s="1"/>
  <c r="CR267" i="29"/>
  <c r="CR275" i="29" s="1"/>
  <c r="CR281" i="29" s="1"/>
  <c r="CR304" i="29" s="1"/>
  <c r="CS262" i="29"/>
  <c r="CS263" i="29" s="1"/>
  <c r="AO267" i="29"/>
  <c r="AO273" i="29" s="1"/>
  <c r="AQ262" i="29"/>
  <c r="AQ263" i="29" s="1"/>
  <c r="CS249" i="29"/>
  <c r="CS248" i="29"/>
  <c r="DJ295" i="29" l="1"/>
  <c r="DJ303" i="29" s="1"/>
  <c r="DE295" i="29"/>
  <c r="DE303" i="29" s="1"/>
  <c r="CS267" i="29"/>
  <c r="CS275" i="29" s="1"/>
  <c r="CS281" i="29" s="1"/>
  <c r="CS304" i="29" s="1"/>
  <c r="CT262" i="29"/>
  <c r="CZ261" i="29"/>
  <c r="CZ247" i="29"/>
  <c r="R40" i="150"/>
  <c r="R52" i="150" s="1"/>
  <c r="AQ267" i="29"/>
  <c r="AQ273" i="29" s="1"/>
  <c r="AQ274" i="29" s="1"/>
  <c r="AR262" i="29"/>
  <c r="AR263" i="29" s="1"/>
  <c r="AO274" i="29"/>
  <c r="AP273" i="29"/>
  <c r="DE280" i="29"/>
  <c r="CT243" i="29"/>
  <c r="CU242" i="29"/>
  <c r="CU243" i="29" s="1"/>
  <c r="DJ280" i="29" l="1"/>
  <c r="DJ242" i="29"/>
  <c r="DJ243" i="29" s="1"/>
  <c r="CT261" i="29"/>
  <c r="CT263" i="29" s="1"/>
  <c r="CT267" i="29" s="1"/>
  <c r="CT275" i="29" s="1"/>
  <c r="CT281" i="29" s="1"/>
  <c r="CT304" i="29" s="1"/>
  <c r="CT247" i="29"/>
  <c r="CZ249" i="29"/>
  <c r="CZ248" i="29"/>
  <c r="DE242" i="29"/>
  <c r="DE243" i="29" s="1"/>
  <c r="AR267" i="29"/>
  <c r="AR273" i="29" s="1"/>
  <c r="AR274" i="29" s="1"/>
  <c r="AS262" i="29"/>
  <c r="AS263" i="29" s="1"/>
  <c r="CU261" i="29"/>
  <c r="CU263" i="29" s="1"/>
  <c r="CU247" i="29"/>
  <c r="Q40" i="150"/>
  <c r="Q52" i="150" s="1"/>
  <c r="AP274" i="29"/>
  <c r="AP275" i="29"/>
  <c r="AP281" i="29" s="1"/>
  <c r="AP304" i="29" s="1"/>
  <c r="H55" i="150"/>
  <c r="R54" i="150"/>
  <c r="R53" i="150"/>
  <c r="R56" i="150"/>
  <c r="F16" i="150"/>
  <c r="G16" i="150"/>
  <c r="H16" i="150"/>
  <c r="CU267" i="29" l="1"/>
  <c r="CZ262" i="29"/>
  <c r="CZ263" i="29" s="1"/>
  <c r="CU248" i="29"/>
  <c r="CU249" i="29"/>
  <c r="CT249" i="29"/>
  <c r="CT248" i="29"/>
  <c r="DE261" i="29"/>
  <c r="DE247" i="29"/>
  <c r="S40" i="150"/>
  <c r="S52" i="150" s="1"/>
  <c r="DJ261" i="29"/>
  <c r="DJ247" i="29"/>
  <c r="T40" i="150"/>
  <c r="T52" i="150" s="1"/>
  <c r="Q54" i="150"/>
  <c r="G55" i="150"/>
  <c r="Q53" i="150"/>
  <c r="Q56" i="150"/>
  <c r="AT262" i="29"/>
  <c r="AT263" i="29" s="1"/>
  <c r="AS267" i="29"/>
  <c r="AS275" i="29" s="1"/>
  <c r="AS280" i="29" s="1"/>
  <c r="T54" i="150" l="1"/>
  <c r="J55" i="150"/>
  <c r="T53" i="150"/>
  <c r="T56" i="150"/>
  <c r="DE249" i="29"/>
  <c r="DE248" i="29"/>
  <c r="DJ248" i="29"/>
  <c r="DJ249" i="29"/>
  <c r="CZ267" i="29"/>
  <c r="DE262" i="29"/>
  <c r="DE263" i="29" s="1"/>
  <c r="AT267" i="29"/>
  <c r="AT275" i="29" s="1"/>
  <c r="AT280" i="29" s="1"/>
  <c r="AU280" i="29" s="1"/>
  <c r="AU281" i="29" s="1"/>
  <c r="AU304" i="29" s="1"/>
  <c r="AV262" i="29"/>
  <c r="AV263" i="29" s="1"/>
  <c r="S54" i="150"/>
  <c r="I55" i="150"/>
  <c r="S53" i="150"/>
  <c r="S56" i="150"/>
  <c r="CU275" i="29"/>
  <c r="CU281" i="29" s="1"/>
  <c r="CU304" i="29" s="1"/>
  <c r="Q59" i="150"/>
  <c r="DE267" i="29" l="1"/>
  <c r="DJ262" i="29"/>
  <c r="DJ263" i="29" s="1"/>
  <c r="DJ267" i="29" s="1"/>
  <c r="Q62" i="150"/>
  <c r="G54" i="150"/>
  <c r="Q64" i="150"/>
  <c r="CZ275" i="29"/>
  <c r="CZ281" i="29" s="1"/>
  <c r="CZ304" i="29" s="1"/>
  <c r="R59" i="150"/>
  <c r="AV267" i="29"/>
  <c r="AV275" i="29" s="1"/>
  <c r="AV281" i="29" s="1"/>
  <c r="AV304" i="29" s="1"/>
  <c r="AW262" i="29"/>
  <c r="AW263" i="29" s="1"/>
  <c r="R62" i="150" l="1"/>
  <c r="G30" i="150"/>
  <c r="R64" i="150"/>
  <c r="H54" i="150"/>
  <c r="DJ275" i="29"/>
  <c r="DJ281" i="29" s="1"/>
  <c r="DJ304" i="29" s="1"/>
  <c r="T59" i="150"/>
  <c r="AX262" i="29"/>
  <c r="AX263" i="29" s="1"/>
  <c r="AW267" i="29"/>
  <c r="AW275" i="29" s="1"/>
  <c r="AW281" i="29" s="1"/>
  <c r="AW304" i="29" s="1"/>
  <c r="DE275" i="29"/>
  <c r="DE281" i="29" s="1"/>
  <c r="DE304" i="29" s="1"/>
  <c r="S59" i="150"/>
  <c r="AX267" i="29" l="1"/>
  <c r="AX275" i="29" s="1"/>
  <c r="AX281" i="29" s="1"/>
  <c r="AX304" i="29" s="1"/>
  <c r="AY262" i="29"/>
  <c r="AY263" i="29" s="1"/>
  <c r="AY267" i="29" s="1"/>
  <c r="AY275" i="29" s="1"/>
  <c r="AY280" i="29" s="1"/>
  <c r="AZ280" i="29" s="1"/>
  <c r="AZ281" i="29" s="1"/>
  <c r="AZ304" i="29" s="1"/>
  <c r="S64" i="150"/>
  <c r="S62" i="150"/>
  <c r="I54" i="150"/>
  <c r="J54" i="150"/>
  <c r="T62" i="150"/>
  <c r="T64" i="150"/>
  <c r="F30" i="150"/>
  <c r="F31" i="150" s="1"/>
  <c r="F15" i="150" s="1"/>
  <c r="H30" i="150"/>
  <c r="H31" i="150" s="1"/>
  <c r="H15" i="150" s="1"/>
  <c r="G31" i="150"/>
  <c r="G15" i="150" s="1"/>
</calcChain>
</file>

<file path=xl/comments1.xml><?xml version="1.0" encoding="utf-8"?>
<comments xmlns="http://schemas.openxmlformats.org/spreadsheetml/2006/main">
  <authors>
    <author>Sharpe, Matt (Research)</author>
    <author>Michael Ashby Brown</author>
    <author>javierl</author>
    <author>hernaand</author>
    <author>boonekev</author>
    <author>heidiw</author>
    <author>Matthew McDonnell</author>
    <author>Giuseppe Incitti</author>
    <author>corralab</author>
    <author>sang</author>
    <author>noelkjac</author>
    <author>Corrales, Abel (Research)</author>
    <author>Streger, David W (Research)</author>
    <author>Laura Sanchez Bolaños</author>
  </authors>
  <commentList>
    <comment ref="CK1" authorId="0">
      <text>
        <r>
          <rPr>
            <b/>
            <sz val="9"/>
            <color indexed="81"/>
            <rFont val="Tahoma"/>
            <family val="2"/>
          </rPr>
          <t>Restated in January 2018 for ASC 606 (Rev. Rec.) and reclassification for new pension standard</t>
        </r>
        <r>
          <rPr>
            <sz val="9"/>
            <color indexed="81"/>
            <rFont val="Tahoma"/>
            <family val="2"/>
          </rPr>
          <t xml:space="preserve">
</t>
        </r>
      </text>
    </comment>
    <comment ref="CP1" authorId="0">
      <text>
        <r>
          <rPr>
            <b/>
            <sz val="9"/>
            <color indexed="81"/>
            <rFont val="Tahoma"/>
            <family val="2"/>
          </rPr>
          <t>Restated in January 2018 for ASC 606 (Rev. Rec.) and reclassification for new pension standard</t>
        </r>
        <r>
          <rPr>
            <sz val="9"/>
            <color indexed="81"/>
            <rFont val="Tahoma"/>
            <family val="2"/>
          </rPr>
          <t xml:space="preserve">
</t>
        </r>
      </text>
    </comment>
    <comment ref="W4" authorId="1">
      <text>
        <r>
          <rPr>
            <b/>
            <sz val="8"/>
            <color indexed="81"/>
            <rFont val="Tahoma"/>
            <family val="2"/>
          </rPr>
          <t>Michael Ashby Brown:</t>
        </r>
        <r>
          <rPr>
            <sz val="8"/>
            <color indexed="81"/>
            <rFont val="Tahoma"/>
            <family val="2"/>
          </rPr>
          <t xml:space="preserve">
So you should think of that as the back half of the year being much more heavily loaded with C-
130s than the first half. </t>
        </r>
        <r>
          <rPr>
            <sz val="8"/>
            <color indexed="81"/>
            <rFont val="Tahoma"/>
            <family val="2"/>
          </rPr>
          <t>And when I say much more heavily, I’m talking 25% of the deliveries in the
first half of the year, maybe 30%, and 70 to 75% of deliveries in the second half.</t>
        </r>
        <r>
          <rPr>
            <sz val="8"/>
            <color indexed="81"/>
            <rFont val="Tahoma"/>
            <family val="2"/>
          </rPr>
          <t xml:space="preserve"> And again, that’s
just the phenomena of the first-time buyers and the special packages that are going on these
particular aircraft.</t>
        </r>
      </text>
    </comment>
    <comment ref="AA4" authorId="2">
      <text>
        <r>
          <rPr>
            <sz val="8"/>
            <color indexed="81"/>
            <rFont val="Tahoma"/>
            <family val="2"/>
          </rPr>
          <t xml:space="preserve">10/10 guide: $13.1 - $13.35
</t>
        </r>
        <r>
          <rPr>
            <b/>
            <sz val="8"/>
            <color indexed="81"/>
            <rFont val="Tahoma"/>
            <family val="2"/>
          </rPr>
          <t>expected in middle of range</t>
        </r>
        <r>
          <rPr>
            <sz val="8"/>
            <color indexed="81"/>
            <rFont val="Tahoma"/>
            <family val="2"/>
          </rPr>
          <t xml:space="preserve">
7/10 guide: $13.1 - $13.35
4/10 guide: $13.1 - $13.35
1/10 guide: $13.1 - $13.35
10/09 guide: $13.1 - $13.35</t>
        </r>
      </text>
    </comment>
    <comment ref="AC4" authorId="3">
      <text>
        <r>
          <rPr>
            <b/>
            <sz val="8"/>
            <color indexed="81"/>
            <rFont val="Tahoma"/>
            <family val="2"/>
          </rPr>
          <t>hernaand:</t>
        </r>
        <r>
          <rPr>
            <sz val="8"/>
            <color indexed="81"/>
            <rFont val="Tahoma"/>
            <family val="2"/>
          </rPr>
          <t xml:space="preserve">
Restated in 2Q12. Prev. $3,423m</t>
        </r>
      </text>
    </comment>
    <comment ref="AF4" authorId="4">
      <text>
        <r>
          <rPr>
            <b/>
            <sz val="8"/>
            <color indexed="81"/>
            <rFont val="Tahoma"/>
            <family val="2"/>
          </rPr>
          <t>boonekev:</t>
        </r>
        <r>
          <rPr>
            <sz val="8"/>
            <color indexed="81"/>
            <rFont val="Tahoma"/>
            <family val="2"/>
          </rPr>
          <t xml:space="preserve">
1/11 Guide: $14,350 - $14,750
3Q: $14.300 - 14.550B</t>
        </r>
      </text>
    </comment>
    <comment ref="W16" authorId="1">
      <text>
        <r>
          <rPr>
            <b/>
            <sz val="8"/>
            <color indexed="81"/>
            <rFont val="Tahoma"/>
            <family val="2"/>
          </rPr>
          <t>Michael Ashby Brown:</t>
        </r>
        <r>
          <rPr>
            <sz val="8"/>
            <color indexed="81"/>
            <rFont val="Tahoma"/>
            <family val="2"/>
          </rPr>
          <t xml:space="preserve">
And then if I go to IS&amp;GS, it’s somewhat similar to the other business areas in that there’s probably more back end loaded in the second half than there is in the first half. Also in particular, earnings will be light in the first quarter of IS&amp;GS, at least. I think they’ll be lighter than the overall margin level in 2009. And this is because of the phasing. Again, this is a business area that has probably the largest portion of its overall earnings in the form of award fees. And as we look at the award fee
plan in 2010, it is pushed further to the right than it has been historically, and other I’ll call margin improvement opportunities for programmatic events tend to also be shifted to the right as well. So that first quarter we think is going to be a little lighter than the rest of the year.</t>
        </r>
      </text>
    </comment>
    <comment ref="AA16" authorId="2">
      <text>
        <r>
          <rPr>
            <sz val="8"/>
            <color indexed="81"/>
            <rFont val="Tahoma"/>
            <family val="2"/>
          </rPr>
          <t xml:space="preserve">10/10 guide: $13.1 - $13.35
</t>
        </r>
        <r>
          <rPr>
            <b/>
            <sz val="8"/>
            <color indexed="81"/>
            <rFont val="Tahoma"/>
            <family val="2"/>
          </rPr>
          <t>expected in middle of range</t>
        </r>
        <r>
          <rPr>
            <sz val="8"/>
            <color indexed="81"/>
            <rFont val="Tahoma"/>
            <family val="2"/>
          </rPr>
          <t xml:space="preserve">
7/10 guide: $13.1 - $13.35
4/10 guide: $13.1 - $13.35
1/10 guide: $13.1 - $13.35
10/09 guide: $13.1 - $13.35</t>
        </r>
      </text>
    </comment>
    <comment ref="AF16" authorId="4">
      <text>
        <r>
          <rPr>
            <b/>
            <sz val="8"/>
            <color indexed="81"/>
            <rFont val="Tahoma"/>
            <family val="2"/>
          </rPr>
          <t>boonekev:</t>
        </r>
        <r>
          <rPr>
            <sz val="8"/>
            <color indexed="81"/>
            <rFont val="Tahoma"/>
            <family val="2"/>
          </rPr>
          <t xml:space="preserve">
1/11 Guide: $9,500 - $9,850
3Q: $9,400 - 9,650</t>
        </r>
      </text>
    </comment>
    <comment ref="V19" authorId="1">
      <text>
        <r>
          <rPr>
            <b/>
            <sz val="8"/>
            <color indexed="81"/>
            <rFont val="Tahoma"/>
            <family val="2"/>
          </rPr>
          <t>Michael Ashby Brown:</t>
        </r>
        <r>
          <rPr>
            <sz val="8"/>
            <color indexed="81"/>
            <rFont val="Tahoma"/>
            <family val="2"/>
          </rPr>
          <t xml:space="preserve">
TSAT cancellation reduced backlog by $1.6Bn</t>
        </r>
      </text>
    </comment>
    <comment ref="Z40" authorId="1">
      <text>
        <r>
          <rPr>
            <b/>
            <sz val="8"/>
            <color indexed="81"/>
            <rFont val="Tahoma"/>
            <family val="2"/>
          </rPr>
          <t>Michael Ashby Brown:</t>
        </r>
        <r>
          <rPr>
            <sz val="8"/>
            <color indexed="81"/>
            <rFont val="Tahoma"/>
            <family val="2"/>
          </rPr>
          <t xml:space="preserve">
If I look at Space, I think earnings there are also going to be back loaded, particularly due to the
equity earnings on the ULA, United Launch Alliance and United Space Alliance joint ventures. I
expect to have a very large fourth quarter from an earnings perspective, primarily associated with
the United States Alliance operation as the shuttle operations come to a close at the end of 2010.
So fourth quarter is going to be an earnings spike compared to the rest of the year in Space.</t>
        </r>
      </text>
    </comment>
    <comment ref="AA40" authorId="2">
      <text>
        <r>
          <rPr>
            <sz val="8"/>
            <color indexed="81"/>
            <rFont val="Tahoma"/>
            <family val="2"/>
          </rPr>
          <t xml:space="preserve">10/10 guide: $13.1 - $13.35
</t>
        </r>
        <r>
          <rPr>
            <b/>
            <sz val="8"/>
            <color indexed="81"/>
            <rFont val="Tahoma"/>
            <family val="2"/>
          </rPr>
          <t>expected in middle of range</t>
        </r>
        <r>
          <rPr>
            <sz val="8"/>
            <color indexed="81"/>
            <rFont val="Tahoma"/>
            <family val="2"/>
          </rPr>
          <t xml:space="preserve">
7/10 guide: $13.1 - $13.35
4/10 guide: $13.1 - $13.35
1/10 guide: $13.1 - $13.35
10/09 guide: $13.1 - $13.35</t>
        </r>
      </text>
    </comment>
    <comment ref="AF40" authorId="4">
      <text>
        <r>
          <rPr>
            <b/>
            <sz val="8"/>
            <color indexed="81"/>
            <rFont val="Tahoma"/>
            <family val="2"/>
          </rPr>
          <t>boonekev:</t>
        </r>
        <r>
          <rPr>
            <sz val="8"/>
            <color indexed="81"/>
            <rFont val="Tahoma"/>
            <family val="2"/>
          </rPr>
          <t xml:space="preserve">
1/11 Guide: $8,100 - $8,450
3Q: 8,000 to 8,250</t>
        </r>
      </text>
    </comment>
    <comment ref="W48" authorId="1">
      <text>
        <r>
          <rPr>
            <b/>
            <sz val="8"/>
            <color indexed="81"/>
            <rFont val="Tahoma"/>
            <family val="2"/>
          </rPr>
          <t>Michael Ashby Brown:</t>
        </r>
        <r>
          <rPr>
            <sz val="8"/>
            <color indexed="81"/>
            <rFont val="Tahoma"/>
            <family val="2"/>
          </rPr>
          <t xml:space="preserve">
Electronics Systems, if I just compare that to the first half of 2009, the first half of 2009 had the presidential helicopter in it, and we don’t have that obviously in 2010. So we’re going to have a
slower compare to the first half of 2010 for that event. If you just take a look at the 2000 plan in general, I think there are more deliveries or program events in the second half than in the first half of the year.</t>
        </r>
      </text>
    </comment>
    <comment ref="Z48" authorId="5">
      <text>
        <r>
          <rPr>
            <b/>
            <sz val="8"/>
            <color indexed="81"/>
            <rFont val="Tahoma"/>
            <family val="2"/>
          </rPr>
          <t>heidiw:</t>
        </r>
        <r>
          <rPr>
            <sz val="8"/>
            <color indexed="81"/>
            <rFont val="Tahoma"/>
            <family val="2"/>
          </rPr>
          <t xml:space="preserve">
hot w/ JASM, Hellfire, Pac</t>
        </r>
      </text>
    </comment>
    <comment ref="AA48" authorId="2">
      <text>
        <r>
          <rPr>
            <sz val="8"/>
            <color indexed="81"/>
            <rFont val="Tahoma"/>
            <family val="2"/>
          </rPr>
          <t xml:space="preserve">10/10 guide: $13.1 - $13.35
</t>
        </r>
        <r>
          <rPr>
            <b/>
            <sz val="8"/>
            <color indexed="81"/>
            <rFont val="Tahoma"/>
            <family val="2"/>
          </rPr>
          <t>expected in middle of range</t>
        </r>
        <r>
          <rPr>
            <sz val="8"/>
            <color indexed="81"/>
            <rFont val="Tahoma"/>
            <family val="2"/>
          </rPr>
          <t xml:space="preserve">
7/10 guide: $13.1 - $13.35
4/10 guide: $13.1 - $13.35
1/10 guide: $13.1 - $13.35
10/09 guide: $13.1 - $13.35</t>
        </r>
      </text>
    </comment>
    <comment ref="AC48" authorId="3">
      <text>
        <r>
          <rPr>
            <b/>
            <sz val="8"/>
            <color indexed="81"/>
            <rFont val="Tahoma"/>
            <family val="2"/>
          </rPr>
          <t>hernaand:</t>
        </r>
        <r>
          <rPr>
            <sz val="8"/>
            <color indexed="81"/>
            <rFont val="Tahoma"/>
            <family val="2"/>
          </rPr>
          <t xml:space="preserve">
Restated in 2Q12. Prev. $3,755m</t>
        </r>
      </text>
    </comment>
    <comment ref="AF48" authorId="4">
      <text>
        <r>
          <rPr>
            <b/>
            <sz val="8"/>
            <color indexed="81"/>
            <rFont val="Tahoma"/>
            <family val="2"/>
          </rPr>
          <t>boonekev:</t>
        </r>
        <r>
          <rPr>
            <sz val="8"/>
            <color indexed="81"/>
            <rFont val="Tahoma"/>
            <family val="2"/>
          </rPr>
          <t xml:space="preserve">
1/11 Guide: $13,800 - $14,200
3Q: $14,300 to $14,550</t>
        </r>
      </text>
    </comment>
    <comment ref="V51" authorId="1">
      <text>
        <r>
          <rPr>
            <b/>
            <sz val="8"/>
            <color indexed="81"/>
            <rFont val="Tahoma"/>
            <family val="2"/>
          </rPr>
          <t>Michael Ashby Brown:</t>
        </r>
        <r>
          <rPr>
            <sz val="8"/>
            <color indexed="81"/>
            <rFont val="Tahoma"/>
            <family val="2"/>
          </rPr>
          <t xml:space="preserve">
VH-71 cancellation reduced backlog by $985MM</t>
        </r>
      </text>
    </comment>
    <comment ref="B55" authorId="1">
      <text>
        <r>
          <rPr>
            <b/>
            <sz val="8"/>
            <color indexed="81"/>
            <rFont val="Tahoma"/>
            <family val="2"/>
          </rPr>
          <t>Michael Ashby Brown:</t>
        </r>
        <r>
          <rPr>
            <sz val="8"/>
            <color indexed="81"/>
            <rFont val="Tahoma"/>
            <family val="2"/>
          </rPr>
          <t xml:space="preserve">
Excludes $22MM of non-segment revenue</t>
        </r>
      </text>
    </comment>
    <comment ref="V55" authorId="6">
      <text>
        <r>
          <rPr>
            <b/>
            <sz val="8"/>
            <color indexed="81"/>
            <rFont val="Tahoma"/>
            <family val="2"/>
          </rPr>
          <t xml:space="preserve">KB:
</t>
        </r>
        <r>
          <rPr>
            <sz val="8"/>
            <color indexed="81"/>
            <rFont val="Tahoma"/>
            <family val="2"/>
          </rPr>
          <t>10/09 $44.7 - $45.7</t>
        </r>
        <r>
          <rPr>
            <b/>
            <sz val="8"/>
            <color indexed="81"/>
            <rFont val="Tahoma"/>
            <family val="2"/>
          </rPr>
          <t xml:space="preserve"> 
</t>
        </r>
        <r>
          <rPr>
            <sz val="8"/>
            <color indexed="81"/>
            <rFont val="Tahoma"/>
            <family val="2"/>
          </rPr>
          <t>7/09 $44.7 - $45.7
4/09 $44.7 - $45.7</t>
        </r>
        <r>
          <rPr>
            <b/>
            <sz val="8"/>
            <color indexed="81"/>
            <rFont val="Tahoma"/>
            <family val="2"/>
          </rPr>
          <t xml:space="preserve">
HW: </t>
        </r>
        <r>
          <rPr>
            <sz val="8"/>
            <color indexed="81"/>
            <rFont val="Tahoma"/>
            <family val="2"/>
          </rPr>
          <t>44.7-45.7 1/09</t>
        </r>
        <r>
          <rPr>
            <b/>
            <sz val="8"/>
            <color indexed="81"/>
            <rFont val="Tahoma"/>
            <family val="2"/>
          </rPr>
          <t xml:space="preserve">
Matthew McDonnell:</t>
        </r>
        <r>
          <rPr>
            <sz val="8"/>
            <color indexed="81"/>
            <rFont val="Tahoma"/>
            <family val="2"/>
          </rPr>
          <t xml:space="preserve">
10/08: 44.25-45.25</t>
        </r>
      </text>
    </comment>
    <comment ref="W55" authorId="1">
      <text>
        <r>
          <rPr>
            <b/>
            <sz val="8"/>
            <color indexed="81"/>
            <rFont val="Tahoma"/>
            <family val="2"/>
          </rPr>
          <t>Michael Ashby Brown:</t>
        </r>
        <r>
          <rPr>
            <sz val="8"/>
            <color indexed="81"/>
            <rFont val="Tahoma"/>
            <family val="2"/>
          </rPr>
          <t xml:space="preserve">
2% y/y growth implies $10.6B (vs. $10,373M)
</t>
        </r>
        <r>
          <rPr>
            <b/>
            <sz val="8"/>
            <color indexed="81"/>
            <rFont val="Tahoma"/>
            <family val="2"/>
          </rPr>
          <t>4Q09 Conf Call:</t>
        </r>
        <r>
          <rPr>
            <sz val="8"/>
            <color indexed="81"/>
            <rFont val="Tahoma"/>
            <family val="2"/>
          </rPr>
          <t xml:space="preserve">
And overall, just looking at the bottom line of the first quarter and comparing that to what you might
expect versus a comparison in 2009, I think we’re going to see sales growth in the one, 2% range
compared to last year. I think it’s going to be the lowest margin quarter for the year, probably
somewhere in the mid-tens would be my outlook as I sit here today.</t>
        </r>
      </text>
    </comment>
    <comment ref="X55" authorId="1">
      <text>
        <r>
          <rPr>
            <b/>
            <sz val="8"/>
            <color indexed="81"/>
            <rFont val="Tahoma"/>
            <family val="2"/>
          </rPr>
          <t>Michael Ashby Brown:</t>
        </r>
        <r>
          <rPr>
            <sz val="8"/>
            <color indexed="81"/>
            <rFont val="Tahoma"/>
            <family val="2"/>
          </rPr>
          <t xml:space="preserve">
2-3% Y/Y growth based on transcript implies $11.46 - $11.57B 2Q10 sales
</t>
        </r>
        <r>
          <rPr>
            <u/>
            <sz val="8"/>
            <color indexed="81"/>
            <rFont val="Tahoma"/>
            <family val="2"/>
          </rPr>
          <t>1Q10 transcript:</t>
        </r>
        <r>
          <rPr>
            <sz val="8"/>
            <color indexed="81"/>
            <rFont val="Tahoma"/>
            <family val="2"/>
          </rPr>
          <t xml:space="preserve">
we expect the second quarter sales growth over 2009 to be similar to what we experienced in the first quarter, and overall the second half of the year should have higher growth than the first half, with the third quarter in particular having higher growth than the fourth quarter</t>
        </r>
      </text>
    </comment>
    <comment ref="Y55" authorId="1">
      <text>
        <r>
          <rPr>
            <b/>
            <sz val="8"/>
            <color indexed="81"/>
            <rFont val="Tahoma"/>
            <family val="2"/>
          </rPr>
          <t>Michael Ashby Brown:</t>
        </r>
        <r>
          <rPr>
            <sz val="8"/>
            <color indexed="81"/>
            <rFont val="Tahoma"/>
            <family val="2"/>
          </rPr>
          <t xml:space="preserve">
3Q will be highest y/y sales in 2010, driven by back half Aero delivs
</t>
        </r>
        <r>
          <rPr>
            <u/>
            <sz val="8"/>
            <color indexed="81"/>
            <rFont val="Tahoma"/>
            <family val="2"/>
          </rPr>
          <t>1Q10 transcript:</t>
        </r>
        <r>
          <rPr>
            <sz val="8"/>
            <color indexed="81"/>
            <rFont val="Tahoma"/>
            <family val="2"/>
          </rPr>
          <t xml:space="preserve">
we expect the second quarter sales growth over 2009 to be similar to what we experienced in the first quarter, and overall the second half of the year should have higher growth than the first half, with the third quarter in particular having higher growth than the fourth quarter</t>
        </r>
      </text>
    </comment>
    <comment ref="AA55" authorId="2">
      <text>
        <r>
          <rPr>
            <sz val="8"/>
            <color indexed="81"/>
            <rFont val="Tahoma"/>
            <family val="2"/>
          </rPr>
          <t>10/10 guide: $44,900 - $44,900
7/10 guide: $45,500 - $46,500
4/10 guide: $46,250 - $47,250
1/10 guide: $46,250 - $47,250
10/09 guide: $46,250 - $47,250</t>
        </r>
      </text>
    </comment>
    <comment ref="AC55" authorId="3">
      <text>
        <r>
          <rPr>
            <b/>
            <sz val="8"/>
            <color indexed="81"/>
            <rFont val="Tahoma"/>
            <family val="2"/>
          </rPr>
          <t>hernaand:</t>
        </r>
        <r>
          <rPr>
            <sz val="8"/>
            <color indexed="81"/>
            <rFont val="Tahoma"/>
            <family val="2"/>
          </rPr>
          <t xml:space="preserve">
Restated in 2Q12. Prev. $11,551m</t>
        </r>
      </text>
    </comment>
    <comment ref="AF55" authorId="1">
      <text>
        <r>
          <rPr>
            <b/>
            <sz val="8"/>
            <color indexed="81"/>
            <rFont val="Tahoma"/>
            <family val="2"/>
          </rPr>
          <t>Michael Ashby Brown:</t>
        </r>
        <r>
          <rPr>
            <sz val="8"/>
            <color indexed="81"/>
            <rFont val="Tahoma"/>
            <family val="2"/>
          </rPr>
          <t xml:space="preserve">
1/11: $45,750 - 47,250
3Q: $46 to 47B</t>
        </r>
      </text>
    </comment>
    <comment ref="AK55" authorId="7">
      <text>
        <r>
          <rPr>
            <b/>
            <sz val="8"/>
            <color indexed="81"/>
            <rFont val="Tahoma"/>
            <family val="2"/>
          </rPr>
          <t>Giuseppe Incitti:</t>
        </r>
        <r>
          <rPr>
            <sz val="8"/>
            <color indexed="81"/>
            <rFont val="Tahoma"/>
            <family val="2"/>
          </rPr>
          <t xml:space="preserve">
4Q11: $45 to 46B</t>
        </r>
      </text>
    </comment>
    <comment ref="AM57" authorId="8">
      <text>
        <r>
          <rPr>
            <b/>
            <sz val="8"/>
            <color indexed="81"/>
            <rFont val="Tahoma"/>
            <family val="2"/>
          </rPr>
          <t>corralab:</t>
        </r>
        <r>
          <rPr>
            <sz val="8"/>
            <color indexed="81"/>
            <rFont val="Tahoma"/>
            <family val="2"/>
          </rPr>
          <t xml:space="preserve">
Should be $9,005</t>
        </r>
      </text>
    </comment>
    <comment ref="AM59" authorId="8">
      <text>
        <r>
          <rPr>
            <b/>
            <sz val="8"/>
            <color indexed="81"/>
            <rFont val="Tahoma"/>
            <family val="2"/>
          </rPr>
          <t>corralab:</t>
        </r>
        <r>
          <rPr>
            <sz val="8"/>
            <color indexed="81"/>
            <rFont val="Tahoma"/>
            <family val="2"/>
          </rPr>
          <t xml:space="preserve">
Should be $2,403</t>
        </r>
      </text>
    </comment>
    <comment ref="V83" authorId="6">
      <text>
        <r>
          <rPr>
            <b/>
            <sz val="8"/>
            <color indexed="81"/>
            <rFont val="Tahoma"/>
            <family val="2"/>
          </rPr>
          <t xml:space="preserve">KB:
</t>
        </r>
        <r>
          <rPr>
            <sz val="8"/>
            <color indexed="81"/>
            <rFont val="Tahoma"/>
            <family val="2"/>
          </rPr>
          <t>10/09 $1.55 - $1.575
7/09 $1.55 - $1.575</t>
        </r>
        <r>
          <rPr>
            <b/>
            <sz val="8"/>
            <color indexed="81"/>
            <rFont val="Tahoma"/>
            <family val="2"/>
          </rPr>
          <t xml:space="preserve">
</t>
        </r>
        <r>
          <rPr>
            <sz val="8"/>
            <color indexed="81"/>
            <rFont val="Tahoma"/>
            <family val="2"/>
          </rPr>
          <t xml:space="preserve">4/09 $1.525 - $1.55
</t>
        </r>
        <r>
          <rPr>
            <b/>
            <sz val="8"/>
            <color indexed="81"/>
            <rFont val="Tahoma"/>
            <family val="2"/>
          </rPr>
          <t xml:space="preserve">
HW: </t>
        </r>
        <r>
          <rPr>
            <sz val="8"/>
            <color indexed="81"/>
            <rFont val="Tahoma"/>
            <family val="2"/>
          </rPr>
          <t>1.525-1.55 1/09</t>
        </r>
        <r>
          <rPr>
            <b/>
            <sz val="8"/>
            <color indexed="81"/>
            <rFont val="Tahoma"/>
            <family val="2"/>
          </rPr>
          <t xml:space="preserve">
Matthew McDonnell:</t>
        </r>
        <r>
          <rPr>
            <sz val="8"/>
            <color indexed="81"/>
            <rFont val="Tahoma"/>
            <family val="2"/>
          </rPr>
          <t xml:space="preserve">
10/08: 1.50-1.55</t>
        </r>
      </text>
    </comment>
    <comment ref="AA83" authorId="2">
      <text>
        <r>
          <rPr>
            <sz val="8"/>
            <color indexed="81"/>
            <rFont val="Tahoma"/>
            <family val="2"/>
          </rPr>
          <t xml:space="preserve">10/10 guide: $1.475 - $1.5
</t>
        </r>
        <r>
          <rPr>
            <b/>
            <sz val="8"/>
            <color indexed="81"/>
            <rFont val="Tahoma"/>
            <family val="2"/>
          </rPr>
          <t>expected at high end</t>
        </r>
        <r>
          <rPr>
            <sz val="8"/>
            <color indexed="81"/>
            <rFont val="Tahoma"/>
            <family val="2"/>
          </rPr>
          <t xml:space="preserve">
7/10 guide: $1.475 - $1.5
4/10 guide: $1.475 - $1.5
1/10 guide: $1.475 - $1.5
10/09 guide: $1.475 - $1.5</t>
        </r>
      </text>
    </comment>
    <comment ref="AC83" authorId="9">
      <text>
        <r>
          <rPr>
            <b/>
            <sz val="8"/>
            <color indexed="81"/>
            <rFont val="Tahoma"/>
            <family val="2"/>
          </rPr>
          <t>sang:</t>
        </r>
        <r>
          <rPr>
            <sz val="8"/>
            <color indexed="81"/>
            <rFont val="Tahoma"/>
            <family val="2"/>
          </rPr>
          <t xml:space="preserve">
closed C130J program in 2Q.. Contributed some profitability</t>
        </r>
      </text>
    </comment>
    <comment ref="AF83" authorId="4">
      <text>
        <r>
          <rPr>
            <b/>
            <sz val="8"/>
            <color indexed="81"/>
            <rFont val="Tahoma"/>
            <family val="2"/>
          </rPr>
          <t>boonekev:</t>
        </r>
        <r>
          <rPr>
            <sz val="8"/>
            <color indexed="81"/>
            <rFont val="Tahoma"/>
            <family val="2"/>
          </rPr>
          <t xml:space="preserve">
1/11 Guide: $1,545 - $1,585</t>
        </r>
      </text>
    </comment>
    <comment ref="AK83" authorId="7">
      <text>
        <r>
          <rPr>
            <b/>
            <sz val="8"/>
            <color indexed="81"/>
            <rFont val="Tahoma"/>
            <family val="2"/>
          </rPr>
          <t>Giuseppe Incitti:</t>
        </r>
        <r>
          <rPr>
            <sz val="8"/>
            <color indexed="81"/>
            <rFont val="Tahoma"/>
            <family val="2"/>
          </rPr>
          <t xml:space="preserve">
4Q11: $1.575-1.600B</t>
        </r>
      </text>
    </comment>
    <comment ref="A87" authorId="10">
      <text>
        <r>
          <rPr>
            <b/>
            <sz val="8"/>
            <color indexed="81"/>
            <rFont val="Tahoma"/>
            <family val="2"/>
          </rPr>
          <t>noelkjac:</t>
        </r>
        <r>
          <rPr>
            <sz val="8"/>
            <color indexed="81"/>
            <rFont val="Tahoma"/>
            <family val="2"/>
          </rPr>
          <t xml:space="preserve">
ctrl+f "adjustments not related to volume" in release</t>
        </r>
      </text>
    </comment>
    <comment ref="BB91" authorId="11">
      <text>
        <r>
          <rPr>
            <b/>
            <sz val="9"/>
            <color indexed="81"/>
            <rFont val="Tahoma"/>
            <family val="2"/>
          </rPr>
          <t>Corrales, Abel (Research):</t>
        </r>
        <r>
          <rPr>
            <sz val="9"/>
            <color indexed="81"/>
            <rFont val="Tahoma"/>
            <family val="2"/>
          </rPr>
          <t xml:space="preserve">
Adjustments not related to volume, including net profit booking rate adjustments, for the quarter ended March 29, 2015 were comparable to the quarter ended March 30, 2014.
Source: 1Q15 10-Q
http://www.sec.gov/Archives/edgar/data/936468/000119312515141818/d887742d10q.htm#tx887742_3</t>
        </r>
      </text>
    </comment>
    <comment ref="B95" authorId="1">
      <text>
        <r>
          <rPr>
            <b/>
            <sz val="8"/>
            <color indexed="81"/>
            <rFont val="Tahoma"/>
            <family val="2"/>
          </rPr>
          <t>Michael Ashby Brown:</t>
        </r>
        <r>
          <rPr>
            <sz val="8"/>
            <color indexed="81"/>
            <rFont val="Tahoma"/>
            <family val="2"/>
          </rPr>
          <t xml:space="preserve">
Includes Integrated Systems &amp; Solutions + Information &amp; Technology Services (segments subsequently combined)</t>
        </r>
      </text>
    </comment>
    <comment ref="V95" authorId="6">
      <text>
        <r>
          <rPr>
            <b/>
            <sz val="8"/>
            <color indexed="81"/>
            <rFont val="Tahoma"/>
            <family val="2"/>
          </rPr>
          <t xml:space="preserve">KB:
</t>
        </r>
        <r>
          <rPr>
            <sz val="8"/>
            <color indexed="81"/>
            <rFont val="Tahoma"/>
            <family val="2"/>
          </rPr>
          <t>10/09 $1.55 - $1.575
7/09 $1.55 - $1.575</t>
        </r>
        <r>
          <rPr>
            <b/>
            <sz val="8"/>
            <color indexed="81"/>
            <rFont val="Tahoma"/>
            <family val="2"/>
          </rPr>
          <t xml:space="preserve">
</t>
        </r>
        <r>
          <rPr>
            <sz val="8"/>
            <color indexed="81"/>
            <rFont val="Tahoma"/>
            <family val="2"/>
          </rPr>
          <t xml:space="preserve">4/09 $1.525 - $1.55
</t>
        </r>
        <r>
          <rPr>
            <b/>
            <sz val="8"/>
            <color indexed="81"/>
            <rFont val="Tahoma"/>
            <family val="2"/>
          </rPr>
          <t xml:space="preserve">
HW: </t>
        </r>
        <r>
          <rPr>
            <sz val="8"/>
            <color indexed="81"/>
            <rFont val="Tahoma"/>
            <family val="2"/>
          </rPr>
          <t>1.525-1.55 1/09</t>
        </r>
        <r>
          <rPr>
            <b/>
            <sz val="8"/>
            <color indexed="81"/>
            <rFont val="Tahoma"/>
            <family val="2"/>
          </rPr>
          <t xml:space="preserve">
Matthew McDonnell:</t>
        </r>
        <r>
          <rPr>
            <sz val="8"/>
            <color indexed="81"/>
            <rFont val="Tahoma"/>
            <family val="2"/>
          </rPr>
          <t xml:space="preserve">
10/08: 1.50-1.55</t>
        </r>
      </text>
    </comment>
    <comment ref="W95" authorId="1">
      <text>
        <r>
          <rPr>
            <b/>
            <sz val="8"/>
            <color indexed="81"/>
            <rFont val="Tahoma"/>
            <family val="2"/>
          </rPr>
          <t>Michael Ashby Brown:</t>
        </r>
        <r>
          <rPr>
            <sz val="8"/>
            <color indexed="81"/>
            <rFont val="Tahoma"/>
            <family val="2"/>
          </rPr>
          <t xml:space="preserve">
And then if I go to IS&amp;GS, it’s somewhat similar to the other business areas in that there’s probably more back end loaded in the second half than there is in the first half. Also in particular, earnings will be light in the first quarter of IS&amp;GS, at least. I think they’ll be lighter than the overall margin level in 2009. And this is because of the phasing. Again, this is a business area that has probably the largest portion of its overall earnings in the form of award fees. And as we look at the award fee
plan in 2010, it is pushed further to the right than it has been historically, and other I’ll call margin improvement opportunities for programmatic events tend to also be shifted to the right as well. So that first quarter we think is going to be a little lighter than the rest of the year.</t>
        </r>
      </text>
    </comment>
    <comment ref="AA95" authorId="2">
      <text>
        <r>
          <rPr>
            <sz val="8"/>
            <color indexed="81"/>
            <rFont val="Tahoma"/>
            <family val="2"/>
          </rPr>
          <t xml:space="preserve">10/10 guide: $1.475 - $1.5
</t>
        </r>
        <r>
          <rPr>
            <b/>
            <sz val="8"/>
            <color indexed="81"/>
            <rFont val="Tahoma"/>
            <family val="2"/>
          </rPr>
          <t>expected at high end</t>
        </r>
        <r>
          <rPr>
            <sz val="8"/>
            <color indexed="81"/>
            <rFont val="Tahoma"/>
            <family val="2"/>
          </rPr>
          <t xml:space="preserve">
7/10 guide: $1.475 - $1.5
4/10 guide: $1.475 - $1.5
1/10 guide: $1.475 - $1.5
10/09 guide: $1.475 - $1.5</t>
        </r>
      </text>
    </comment>
    <comment ref="AF95" authorId="4">
      <text>
        <r>
          <rPr>
            <b/>
            <sz val="8"/>
            <color indexed="81"/>
            <rFont val="Tahoma"/>
            <family val="2"/>
          </rPr>
          <t>boonekev:</t>
        </r>
        <r>
          <rPr>
            <sz val="8"/>
            <color indexed="81"/>
            <rFont val="Tahoma"/>
            <family val="2"/>
          </rPr>
          <t xml:space="preserve">
1/11 Guide: $840M - $875</t>
        </r>
      </text>
    </comment>
    <comment ref="AK95" authorId="7">
      <text>
        <r>
          <rPr>
            <b/>
            <sz val="8"/>
            <color indexed="81"/>
            <rFont val="Tahoma"/>
            <family val="2"/>
          </rPr>
          <t>Giuseppe Incitti:</t>
        </r>
        <r>
          <rPr>
            <sz val="8"/>
            <color indexed="81"/>
            <rFont val="Tahoma"/>
            <family val="2"/>
          </rPr>
          <t xml:space="preserve">
4Q11: $775-800M</t>
        </r>
      </text>
    </comment>
    <comment ref="AQ127" authorId="10">
      <text>
        <r>
          <rPr>
            <b/>
            <sz val="8"/>
            <color indexed="81"/>
            <rFont val="Tahoma"/>
            <family val="2"/>
          </rPr>
          <t>noelkjac:</t>
        </r>
        <r>
          <rPr>
            <sz val="8"/>
            <color indexed="81"/>
            <rFont val="Tahoma"/>
            <family val="2"/>
          </rPr>
          <t xml:space="preserve">
Includes $30M reserve from 1Q13 not included in 1Q14</t>
        </r>
      </text>
    </comment>
    <comment ref="V131" authorId="6">
      <text>
        <r>
          <rPr>
            <b/>
            <sz val="8"/>
            <color indexed="81"/>
            <rFont val="Tahoma"/>
            <family val="2"/>
          </rPr>
          <t xml:space="preserve">KB:
</t>
        </r>
        <r>
          <rPr>
            <sz val="8"/>
            <color indexed="81"/>
            <rFont val="Tahoma"/>
            <family val="2"/>
          </rPr>
          <t>10/09 $1.55 - $1.575
7/09 $1.55 - $1.575</t>
        </r>
        <r>
          <rPr>
            <b/>
            <sz val="8"/>
            <color indexed="81"/>
            <rFont val="Tahoma"/>
            <family val="2"/>
          </rPr>
          <t xml:space="preserve">
</t>
        </r>
        <r>
          <rPr>
            <sz val="8"/>
            <color indexed="81"/>
            <rFont val="Tahoma"/>
            <family val="2"/>
          </rPr>
          <t xml:space="preserve">4/09 $1.525 - $1.55
</t>
        </r>
        <r>
          <rPr>
            <b/>
            <sz val="8"/>
            <color indexed="81"/>
            <rFont val="Tahoma"/>
            <family val="2"/>
          </rPr>
          <t xml:space="preserve">
HW: </t>
        </r>
        <r>
          <rPr>
            <sz val="8"/>
            <color indexed="81"/>
            <rFont val="Tahoma"/>
            <family val="2"/>
          </rPr>
          <t>1.525-1.55 1/09</t>
        </r>
        <r>
          <rPr>
            <b/>
            <sz val="8"/>
            <color indexed="81"/>
            <rFont val="Tahoma"/>
            <family val="2"/>
          </rPr>
          <t xml:space="preserve">
Matthew McDonnell:</t>
        </r>
        <r>
          <rPr>
            <sz val="8"/>
            <color indexed="81"/>
            <rFont val="Tahoma"/>
            <family val="2"/>
          </rPr>
          <t xml:space="preserve">
10/08: 1.50-1.55</t>
        </r>
      </text>
    </comment>
    <comment ref="AA131" authorId="2">
      <text>
        <r>
          <rPr>
            <sz val="8"/>
            <color indexed="81"/>
            <rFont val="Tahoma"/>
            <family val="2"/>
          </rPr>
          <t xml:space="preserve">10/10 guide: $1.475 - $1.5
</t>
        </r>
        <r>
          <rPr>
            <b/>
            <sz val="8"/>
            <color indexed="81"/>
            <rFont val="Tahoma"/>
            <family val="2"/>
          </rPr>
          <t>expected at high end</t>
        </r>
        <r>
          <rPr>
            <sz val="8"/>
            <color indexed="81"/>
            <rFont val="Tahoma"/>
            <family val="2"/>
          </rPr>
          <t xml:space="preserve">
7/10 guide: $1.475 - $1.5
4/10 guide: $1.475 - $1.5
1/10 guide: $1.475 - $1.5
10/09 guide: $1.475 - $1.5</t>
        </r>
      </text>
    </comment>
    <comment ref="AF131" authorId="4">
      <text>
        <r>
          <rPr>
            <b/>
            <sz val="8"/>
            <color indexed="81"/>
            <rFont val="Tahoma"/>
            <family val="2"/>
          </rPr>
          <t>boonekev:</t>
        </r>
        <r>
          <rPr>
            <sz val="8"/>
            <color indexed="81"/>
            <rFont val="Tahoma"/>
            <family val="2"/>
          </rPr>
          <t xml:space="preserve">
1/11 Guide: $925M - $960M</t>
        </r>
      </text>
    </comment>
    <comment ref="AK131" authorId="7">
      <text>
        <r>
          <rPr>
            <b/>
            <sz val="8"/>
            <color indexed="81"/>
            <rFont val="Tahoma"/>
            <family val="2"/>
          </rPr>
          <t>Giuseppe Incitti:</t>
        </r>
        <r>
          <rPr>
            <sz val="8"/>
            <color indexed="81"/>
            <rFont val="Tahoma"/>
            <family val="2"/>
          </rPr>
          <t xml:space="preserve">
4Q11: $775-800M</t>
        </r>
      </text>
    </comment>
    <comment ref="V143" authorId="6">
      <text>
        <r>
          <rPr>
            <b/>
            <sz val="8"/>
            <color indexed="81"/>
            <rFont val="Tahoma"/>
            <family val="2"/>
          </rPr>
          <t xml:space="preserve">KB:
</t>
        </r>
        <r>
          <rPr>
            <sz val="8"/>
            <color indexed="81"/>
            <rFont val="Tahoma"/>
            <family val="2"/>
          </rPr>
          <t>10/09 $1.55 - $1.575
7/09 $1.55 - $1.575</t>
        </r>
        <r>
          <rPr>
            <b/>
            <sz val="8"/>
            <color indexed="81"/>
            <rFont val="Tahoma"/>
            <family val="2"/>
          </rPr>
          <t xml:space="preserve">
</t>
        </r>
        <r>
          <rPr>
            <sz val="8"/>
            <color indexed="81"/>
            <rFont val="Tahoma"/>
            <family val="2"/>
          </rPr>
          <t xml:space="preserve">4/09 $1.525 - $1.55
</t>
        </r>
        <r>
          <rPr>
            <b/>
            <sz val="8"/>
            <color indexed="81"/>
            <rFont val="Tahoma"/>
            <family val="2"/>
          </rPr>
          <t xml:space="preserve">
HW: </t>
        </r>
        <r>
          <rPr>
            <sz val="8"/>
            <color indexed="81"/>
            <rFont val="Tahoma"/>
            <family val="2"/>
          </rPr>
          <t>1.525-1.55 1/09</t>
        </r>
        <r>
          <rPr>
            <b/>
            <sz val="8"/>
            <color indexed="81"/>
            <rFont val="Tahoma"/>
            <family val="2"/>
          </rPr>
          <t xml:space="preserve">
Matthew McDonnell:</t>
        </r>
        <r>
          <rPr>
            <sz val="8"/>
            <color indexed="81"/>
            <rFont val="Tahoma"/>
            <family val="2"/>
          </rPr>
          <t xml:space="preserve">
10/08: 1.50-1.55</t>
        </r>
      </text>
    </comment>
    <comment ref="AA143" authorId="2">
      <text>
        <r>
          <rPr>
            <sz val="8"/>
            <color indexed="81"/>
            <rFont val="Tahoma"/>
            <family val="2"/>
          </rPr>
          <t xml:space="preserve">10/10 guide: $1.475 - $1.5
</t>
        </r>
        <r>
          <rPr>
            <b/>
            <sz val="8"/>
            <color indexed="81"/>
            <rFont val="Tahoma"/>
            <family val="2"/>
          </rPr>
          <t>expected at high end</t>
        </r>
        <r>
          <rPr>
            <sz val="8"/>
            <color indexed="81"/>
            <rFont val="Tahoma"/>
            <family val="2"/>
          </rPr>
          <t xml:space="preserve">
7/10 guide: $1.475 - $1.5
4/10 guide: $1.475 - $1.5
1/10 guide: $1.475 - $1.5
10/09 guide: $1.475 - $1.5</t>
        </r>
      </text>
    </comment>
    <comment ref="AF147" authorId="4">
      <text>
        <r>
          <rPr>
            <b/>
            <sz val="8"/>
            <color indexed="81"/>
            <rFont val="Tahoma"/>
            <family val="2"/>
          </rPr>
          <t>boonekev:</t>
        </r>
        <r>
          <rPr>
            <sz val="8"/>
            <color indexed="81"/>
            <rFont val="Tahoma"/>
            <family val="2"/>
          </rPr>
          <t xml:space="preserve">
1/11 Guide: (1,250) including FAS/CAS and other unallocated items</t>
        </r>
      </text>
    </comment>
    <comment ref="V148" authorId="4">
      <text>
        <r>
          <rPr>
            <b/>
            <sz val="8"/>
            <color indexed="81"/>
            <rFont val="Tahoma"/>
            <family val="2"/>
          </rPr>
          <t>boonekev:</t>
        </r>
        <r>
          <rPr>
            <sz val="8"/>
            <color indexed="81"/>
            <rFont val="Tahoma"/>
            <family val="2"/>
          </rPr>
          <t xml:space="preserve">
3Q 10/09 Guide: $160 2Q 7/09 Guide: $160 </t>
        </r>
      </text>
    </comment>
    <comment ref="AE148" authorId="8">
      <text>
        <r>
          <rPr>
            <b/>
            <sz val="8"/>
            <color indexed="81"/>
            <rFont val="Tahoma"/>
            <family val="2"/>
          </rPr>
          <t>corralab:</t>
        </r>
        <r>
          <rPr>
            <sz val="8"/>
            <color indexed="81"/>
            <rFont val="Tahoma"/>
            <family val="2"/>
          </rPr>
          <t xml:space="preserve">
Should be -$41</t>
        </r>
      </text>
    </comment>
    <comment ref="AK148" authorId="7">
      <text>
        <r>
          <rPr>
            <b/>
            <sz val="8"/>
            <color indexed="81"/>
            <rFont val="Tahoma"/>
            <family val="2"/>
          </rPr>
          <t>Giuseppe Incitti:</t>
        </r>
        <r>
          <rPr>
            <sz val="8"/>
            <color indexed="81"/>
            <rFont val="Tahoma"/>
            <family val="2"/>
          </rPr>
          <t xml:space="preserve">
4Q11: Stock comp + other of $290M</t>
        </r>
      </text>
    </comment>
    <comment ref="Y149" authorId="1">
      <text>
        <r>
          <rPr>
            <b/>
            <sz val="8"/>
            <color indexed="81"/>
            <rFont val="Tahoma"/>
            <family val="2"/>
          </rPr>
          <t>Michael Ashby Brown:</t>
        </r>
        <r>
          <rPr>
            <sz val="8"/>
            <color indexed="81"/>
            <rFont val="Tahoma"/>
            <family val="2"/>
          </rPr>
          <t xml:space="preserve">
The Corporation currently estimates that the pre-tax charge for the VESP lump-sum severance payouts will be approximately $175 to 200 million. This estimate is subject to change until acceptance is confirmed with plan participants through October 4, 2010. The Corporation will record the charge in our third quarter results of operations. In addition, we expect that a substantial amount of the costs of the VESP program will be allowable and thus recoverable in future periods. </t>
        </r>
      </text>
    </comment>
    <comment ref="AE149" authorId="8">
      <text>
        <r>
          <rPr>
            <b/>
            <sz val="8"/>
            <color indexed="81"/>
            <rFont val="Tahoma"/>
            <family val="2"/>
          </rPr>
          <t>corralab:</t>
        </r>
        <r>
          <rPr>
            <sz val="8"/>
            <color indexed="81"/>
            <rFont val="Tahoma"/>
            <family val="2"/>
          </rPr>
          <t xml:space="preserve">
Should be $0</t>
        </r>
      </text>
    </comment>
    <comment ref="AK149" authorId="7">
      <text>
        <r>
          <rPr>
            <b/>
            <sz val="8"/>
            <color indexed="81"/>
            <rFont val="Tahoma"/>
            <family val="2"/>
          </rPr>
          <t>Giuseppe Incitti:</t>
        </r>
        <r>
          <rPr>
            <sz val="8"/>
            <color indexed="81"/>
            <rFont val="Tahoma"/>
            <family val="2"/>
          </rPr>
          <t xml:space="preserve">
4Q11: Stock comp + other of $290M</t>
        </r>
      </text>
    </comment>
    <comment ref="BW149" authorId="0">
      <text>
        <r>
          <rPr>
            <b/>
            <sz val="9"/>
            <color indexed="81"/>
            <rFont val="Tahoma"/>
            <family val="2"/>
          </rPr>
          <t>Severance Charge</t>
        </r>
      </text>
    </comment>
    <comment ref="CK149" authorId="0">
      <text>
        <r>
          <rPr>
            <b/>
            <sz val="9"/>
            <color indexed="81"/>
            <rFont val="Tahoma"/>
            <family val="2"/>
          </rPr>
          <t>Includes an ASC 606 Adjustment</t>
        </r>
        <r>
          <rPr>
            <sz val="9"/>
            <color indexed="81"/>
            <rFont val="Tahoma"/>
            <family val="2"/>
          </rPr>
          <t xml:space="preserve">
</t>
        </r>
      </text>
    </comment>
    <comment ref="V150" authorId="4">
      <text>
        <r>
          <rPr>
            <b/>
            <sz val="8"/>
            <color indexed="81"/>
            <rFont val="Tahoma"/>
            <family val="2"/>
          </rPr>
          <t>boonekev:</t>
        </r>
        <r>
          <rPr>
            <sz val="8"/>
            <color indexed="81"/>
            <rFont val="Tahoma"/>
            <family val="2"/>
          </rPr>
          <t xml:space="preserve">
2Q 7/09 Guide: $100 3Q 10/09 Guide: $100  </t>
        </r>
      </text>
    </comment>
    <comment ref="AE150" authorId="8">
      <text>
        <r>
          <rPr>
            <b/>
            <sz val="8"/>
            <color indexed="81"/>
            <rFont val="Tahoma"/>
            <family val="2"/>
          </rPr>
          <t>corralab:</t>
        </r>
        <r>
          <rPr>
            <sz val="8"/>
            <color indexed="81"/>
            <rFont val="Tahoma"/>
            <family val="2"/>
          </rPr>
          <t xml:space="preserve">
Should be $27</t>
        </r>
      </text>
    </comment>
    <comment ref="AK150" authorId="7">
      <text>
        <r>
          <rPr>
            <b/>
            <sz val="8"/>
            <color indexed="81"/>
            <rFont val="Tahoma"/>
            <family val="2"/>
          </rPr>
          <t>Giuseppe Incitti:</t>
        </r>
        <r>
          <rPr>
            <sz val="8"/>
            <color indexed="81"/>
            <rFont val="Tahoma"/>
            <family val="2"/>
          </rPr>
          <t xml:space="preserve">
4Q11: Stock comp + other of $290M</t>
        </r>
      </text>
    </comment>
    <comment ref="V151" authorId="2">
      <text>
        <r>
          <rPr>
            <sz val="8"/>
            <color indexed="81"/>
            <rFont val="Tahoma"/>
            <family val="2"/>
          </rPr>
          <t xml:space="preserve">
10/09 guide: 11.3%</t>
        </r>
      </text>
    </comment>
    <comment ref="AA151" authorId="2">
      <text>
        <r>
          <rPr>
            <sz val="8"/>
            <color indexed="81"/>
            <rFont val="Tahoma"/>
            <family val="2"/>
          </rPr>
          <t>4/10 guide: 10.9%
1/10 guide: 10.9%
10/09 guide: 10.9%</t>
        </r>
      </text>
    </comment>
    <comment ref="AK151" authorId="7">
      <text>
        <r>
          <rPr>
            <b/>
            <sz val="8"/>
            <color indexed="81"/>
            <rFont val="Tahoma"/>
            <family val="2"/>
          </rPr>
          <t>Giuseppe Incitti:</t>
        </r>
        <r>
          <rPr>
            <sz val="8"/>
            <color indexed="81"/>
            <rFont val="Tahoma"/>
            <family val="2"/>
          </rPr>
          <t xml:space="preserve">
3Q11: 11%</t>
        </r>
      </text>
    </comment>
    <comment ref="V153" authorId="4">
      <text>
        <r>
          <rPr>
            <b/>
            <sz val="8"/>
            <color indexed="81"/>
            <rFont val="Tahoma"/>
            <family val="2"/>
          </rPr>
          <t xml:space="preserve">boonekev:
</t>
        </r>
        <r>
          <rPr>
            <sz val="8"/>
            <color indexed="81"/>
            <rFont val="Tahoma"/>
            <family val="2"/>
          </rPr>
          <t>3Q 10/09 guide: $5,075 - $5,175</t>
        </r>
        <r>
          <rPr>
            <sz val="8"/>
            <color indexed="81"/>
            <rFont val="Tahoma"/>
            <family val="2"/>
          </rPr>
          <t xml:space="preserve">
2Q 7/09 Guide: $5,075 - $5,175</t>
        </r>
      </text>
    </comment>
    <comment ref="AA153" authorId="2">
      <text>
        <r>
          <rPr>
            <sz val="8"/>
            <color indexed="81"/>
            <rFont val="Tahoma"/>
            <family val="2"/>
          </rPr>
          <t>10/10 guide: $4,965 - $5,065
7/10: unch'd
4/10 guide: $5,025 - $5,125
1/10 guide: $5,025 - $5,125
10/09 guide: $5,025 - $5,125</t>
        </r>
      </text>
    </comment>
    <comment ref="AC153" authorId="3">
      <text>
        <r>
          <rPr>
            <b/>
            <sz val="8"/>
            <color indexed="81"/>
            <rFont val="Tahoma"/>
            <family val="2"/>
          </rPr>
          <t>hernaand:</t>
        </r>
        <r>
          <rPr>
            <sz val="8"/>
            <color indexed="81"/>
            <rFont val="Tahoma"/>
            <family val="2"/>
          </rPr>
          <t xml:space="preserve">
Segment Op. income restated in 2Q12. Prev. $1,267m</t>
        </r>
      </text>
    </comment>
    <comment ref="AF153" authorId="4">
      <text>
        <r>
          <rPr>
            <b/>
            <sz val="8"/>
            <color indexed="81"/>
            <rFont val="Tahoma"/>
            <family val="2"/>
          </rPr>
          <t>boonekev:</t>
        </r>
        <r>
          <rPr>
            <sz val="8"/>
            <color indexed="81"/>
            <rFont val="Tahoma"/>
            <family val="2"/>
          </rPr>
          <t xml:space="preserve">
1/11 Guide: $4,950 - $5,100</t>
        </r>
      </text>
    </comment>
    <comment ref="AK153" authorId="7">
      <text>
        <r>
          <rPr>
            <b/>
            <sz val="8"/>
            <color indexed="81"/>
            <rFont val="Tahoma"/>
            <family val="2"/>
          </rPr>
          <t>Giuseppe Incitti:</t>
        </r>
        <r>
          <rPr>
            <sz val="8"/>
            <color indexed="81"/>
            <rFont val="Tahoma"/>
            <family val="2"/>
          </rPr>
          <t xml:space="preserve">
4Q11: $5.025 to $5.125B</t>
        </r>
      </text>
    </comment>
    <comment ref="A164" authorId="10">
      <text>
        <r>
          <rPr>
            <b/>
            <sz val="8"/>
            <color indexed="81"/>
            <rFont val="Tahoma"/>
            <family val="2"/>
          </rPr>
          <t>noelkjac:</t>
        </r>
        <r>
          <rPr>
            <sz val="8"/>
            <color indexed="81"/>
            <rFont val="Tahoma"/>
            <family val="2"/>
          </rPr>
          <t xml:space="preserve">
2-2.5% of RTN sales
http://wallstcheatsheet.com/stocks/raytheon-company-earnings-call-nuggets-eac-adjustments-international-orders.html/</t>
        </r>
      </text>
    </comment>
    <comment ref="V171" authorId="2">
      <text>
        <r>
          <rPr>
            <sz val="8"/>
            <color indexed="81"/>
            <rFont val="Tahoma"/>
            <family val="2"/>
          </rPr>
          <t xml:space="preserve">
10/09 guide: $4,355 - $4,455</t>
        </r>
      </text>
    </comment>
    <comment ref="AA171" authorId="2">
      <text>
        <r>
          <rPr>
            <sz val="8"/>
            <color indexed="81"/>
            <rFont val="Tahoma"/>
            <family val="2"/>
          </rPr>
          <t>7/10 guide: $4,315 - $ 4.415
4/10 guide: $4,295 - $4,395
1/10 guide: $4,305 - $4,405 (see FAS/CAS comment)
10/09 guide: $4,250 - $4,350</t>
        </r>
      </text>
    </comment>
    <comment ref="AB171" authorId="8">
      <text>
        <r>
          <rPr>
            <b/>
            <sz val="8"/>
            <color indexed="81"/>
            <rFont val="Tahoma"/>
            <family val="2"/>
          </rPr>
          <t>corralab:</t>
        </r>
        <r>
          <rPr>
            <sz val="8"/>
            <color indexed="81"/>
            <rFont val="Tahoma"/>
            <family val="2"/>
          </rPr>
          <t xml:space="preserve">
Not matching re-stated numbers from 4Q12 release</t>
        </r>
      </text>
    </comment>
    <comment ref="AC171" authorId="8">
      <text>
        <r>
          <rPr>
            <b/>
            <sz val="8"/>
            <color indexed="81"/>
            <rFont val="Tahoma"/>
            <family val="2"/>
          </rPr>
          <t>corralab:</t>
        </r>
        <r>
          <rPr>
            <sz val="8"/>
            <color indexed="81"/>
            <rFont val="Tahoma"/>
            <family val="2"/>
          </rPr>
          <t xml:space="preserve">
Not matching re-stated numbers from 4Q12 release</t>
        </r>
      </text>
    </comment>
    <comment ref="AK171" authorId="7">
      <text>
        <r>
          <rPr>
            <b/>
            <sz val="8"/>
            <color indexed="81"/>
            <rFont val="Tahoma"/>
            <family val="2"/>
          </rPr>
          <t>Giuseppe Incitti:</t>
        </r>
        <r>
          <rPr>
            <sz val="8"/>
            <color indexed="81"/>
            <rFont val="Tahoma"/>
            <family val="2"/>
          </rPr>
          <t xml:space="preserve">
4Q11: $3.9 to 4.0B</t>
        </r>
      </text>
    </comment>
    <comment ref="V180" authorId="4">
      <text>
        <r>
          <rPr>
            <b/>
            <sz val="8"/>
            <color indexed="81"/>
            <rFont val="Tahoma"/>
            <family val="2"/>
          </rPr>
          <t>boonekev:</t>
        </r>
        <r>
          <rPr>
            <sz val="8"/>
            <color indexed="81"/>
            <rFont val="Tahoma"/>
            <family val="2"/>
          </rPr>
          <t xml:space="preserve">
3Q 10/09 Guide: $460 2Q 7/09 Guide: $460 </t>
        </r>
      </text>
    </comment>
    <comment ref="AA180" authorId="2">
      <text>
        <r>
          <rPr>
            <b/>
            <sz val="8"/>
            <color indexed="81"/>
            <rFont val="Tahoma"/>
            <family val="2"/>
          </rPr>
          <t>MAB</t>
        </r>
        <r>
          <rPr>
            <sz val="8"/>
            <color indexed="81"/>
            <rFont val="Tahoma"/>
            <family val="2"/>
          </rPr>
          <t xml:space="preserve">
7/10 guide: -$440
</t>
        </r>
        <r>
          <rPr>
            <sz val="8"/>
            <color indexed="81"/>
            <rFont val="Tahoma"/>
            <family val="2"/>
          </rPr>
          <t>4/10 guide: -$440
1/10 guide: -$440; +$55MM benefit from 3 levers:
1. 2009 ROA beat plan (20%A vs. 8.5%P)
2. 25bps reduction in disc rate vs 3Q09 outlook (5.875% now vs. 6.125% then)
3. ~$500MM more in pre-funding than planned
10/09 guide: -$495</t>
        </r>
        <r>
          <rPr>
            <b/>
            <sz val="8"/>
            <color indexed="81"/>
            <rFont val="Tahoma"/>
            <family val="2"/>
          </rPr>
          <t xml:space="preserve">
</t>
        </r>
      </text>
    </comment>
    <comment ref="AF180" authorId="1">
      <text>
        <r>
          <rPr>
            <b/>
            <sz val="8"/>
            <color indexed="81"/>
            <rFont val="Tahoma"/>
            <family val="2"/>
          </rPr>
          <t>sang:</t>
        </r>
        <r>
          <rPr>
            <sz val="8"/>
            <color indexed="81"/>
            <rFont val="Tahoma"/>
            <family val="2"/>
          </rPr>
          <t xml:space="preserve">
7/11 Guide 925
1/11 Guide: ($925)
10/10 Guide:($1,200)
</t>
        </r>
      </text>
    </comment>
    <comment ref="AK180" authorId="7">
      <text>
        <r>
          <rPr>
            <b/>
            <sz val="8"/>
            <color indexed="81"/>
            <rFont val="Tahoma"/>
            <family val="2"/>
          </rPr>
          <t>Giuseppe Incitti:</t>
        </r>
        <r>
          <rPr>
            <sz val="8"/>
            <color indexed="81"/>
            <rFont val="Tahoma"/>
            <family val="2"/>
          </rPr>
          <t xml:space="preserve">
4Q11: $830M</t>
        </r>
      </text>
    </comment>
    <comment ref="AS182" authorId="12">
      <text>
        <r>
          <rPr>
            <b/>
            <sz val="9"/>
            <color indexed="81"/>
            <rFont val="Tahoma"/>
            <family val="2"/>
          </rPr>
          <t>Streger, David W (Research):</t>
        </r>
        <r>
          <rPr>
            <sz val="9"/>
            <color indexed="81"/>
            <rFont val="Tahoma"/>
            <family val="2"/>
          </rPr>
          <t xml:space="preserve">
=399--55
$55 is pre-tax catchup of HATFA</t>
        </r>
      </text>
    </comment>
    <comment ref="BD182" authorId="12">
      <text>
        <r>
          <rPr>
            <b/>
            <sz val="9"/>
            <color indexed="81"/>
            <rFont val="Tahoma"/>
            <family val="2"/>
          </rPr>
          <t>Streger, David W (Research):</t>
        </r>
        <r>
          <rPr>
            <sz val="9"/>
            <color indexed="81"/>
            <rFont val="Tahoma"/>
            <family val="2"/>
          </rPr>
          <t xml:space="preserve">
=399--55
$55 is pre-tax catchup of HATFA</t>
        </r>
      </text>
    </comment>
    <comment ref="V191" authorId="6">
      <text>
        <r>
          <rPr>
            <b/>
            <sz val="8"/>
            <color indexed="81"/>
            <rFont val="Tahoma"/>
            <family val="2"/>
          </rPr>
          <t xml:space="preserve">KB:
</t>
        </r>
        <r>
          <rPr>
            <sz val="8"/>
            <color indexed="81"/>
            <rFont val="Tahoma"/>
            <family val="2"/>
          </rPr>
          <t>10/09 $305</t>
        </r>
        <r>
          <rPr>
            <b/>
            <sz val="8"/>
            <color indexed="81"/>
            <rFont val="Tahoma"/>
            <family val="2"/>
          </rPr>
          <t xml:space="preserve">
</t>
        </r>
        <r>
          <rPr>
            <sz val="8"/>
            <color indexed="81"/>
            <rFont val="Tahoma"/>
            <family val="2"/>
          </rPr>
          <t>7/09 $305</t>
        </r>
        <r>
          <rPr>
            <b/>
            <sz val="8"/>
            <color indexed="81"/>
            <rFont val="Tahoma"/>
            <family val="2"/>
          </rPr>
          <t xml:space="preserve">
</t>
        </r>
        <r>
          <rPr>
            <sz val="8"/>
            <color indexed="81"/>
            <rFont val="Tahoma"/>
            <family val="2"/>
          </rPr>
          <t xml:space="preserve">4/09 $305
</t>
        </r>
        <r>
          <rPr>
            <b/>
            <sz val="8"/>
            <color indexed="81"/>
            <rFont val="Tahoma"/>
            <family val="2"/>
          </rPr>
          <t xml:space="preserve">
HW:
</t>
        </r>
        <r>
          <rPr>
            <sz val="8"/>
            <color indexed="81"/>
            <rFont val="Tahoma"/>
            <family val="2"/>
          </rPr>
          <t>1/09: nc</t>
        </r>
        <r>
          <rPr>
            <b/>
            <sz val="8"/>
            <color indexed="81"/>
            <rFont val="Tahoma"/>
            <family val="2"/>
          </rPr>
          <t xml:space="preserve">
Matthew McDonnell:</t>
        </r>
        <r>
          <rPr>
            <sz val="8"/>
            <color indexed="81"/>
            <rFont val="Tahoma"/>
            <family val="2"/>
          </rPr>
          <t xml:space="preserve">
10/08: guide (305)</t>
        </r>
      </text>
    </comment>
    <comment ref="AA191" authorId="2">
      <text>
        <r>
          <rPr>
            <b/>
            <sz val="8"/>
            <color indexed="81"/>
            <rFont val="Tahoma"/>
            <family val="2"/>
          </rPr>
          <t>MAB</t>
        </r>
        <r>
          <rPr>
            <sz val="8"/>
            <color indexed="81"/>
            <rFont val="Tahoma"/>
            <family val="2"/>
          </rPr>
          <t xml:space="preserve">
7/10 guide: -$350
</t>
        </r>
        <r>
          <rPr>
            <sz val="8"/>
            <color indexed="81"/>
            <rFont val="Tahoma"/>
            <family val="2"/>
          </rPr>
          <t>1/10 guide: -$350; add'l $75 from new bonds issued 4Q09
10/09 guide: -$275</t>
        </r>
      </text>
    </comment>
    <comment ref="AN192" authorId="8">
      <text>
        <r>
          <rPr>
            <b/>
            <sz val="8"/>
            <color indexed="81"/>
            <rFont val="Tahoma"/>
            <family val="2"/>
          </rPr>
          <t>corralab:</t>
        </r>
        <r>
          <rPr>
            <sz val="8"/>
            <color indexed="81"/>
            <rFont val="Tahoma"/>
            <family val="2"/>
          </rPr>
          <t xml:space="preserve">
Delete this</t>
        </r>
      </text>
    </comment>
    <comment ref="V195" authorId="6">
      <text>
        <r>
          <rPr>
            <b/>
            <sz val="8"/>
            <color indexed="81"/>
            <rFont val="Tahoma"/>
            <family val="2"/>
          </rPr>
          <t xml:space="preserve">KB:
</t>
        </r>
        <r>
          <rPr>
            <sz val="8"/>
            <color indexed="81"/>
            <rFont val="Tahoma"/>
            <family val="2"/>
          </rPr>
          <t>10/09 $305</t>
        </r>
        <r>
          <rPr>
            <b/>
            <sz val="8"/>
            <color indexed="81"/>
            <rFont val="Tahoma"/>
            <family val="2"/>
          </rPr>
          <t xml:space="preserve">
</t>
        </r>
        <r>
          <rPr>
            <sz val="8"/>
            <color indexed="81"/>
            <rFont val="Tahoma"/>
            <family val="2"/>
          </rPr>
          <t>7/09 $305</t>
        </r>
        <r>
          <rPr>
            <b/>
            <sz val="8"/>
            <color indexed="81"/>
            <rFont val="Tahoma"/>
            <family val="2"/>
          </rPr>
          <t xml:space="preserve">
</t>
        </r>
        <r>
          <rPr>
            <sz val="8"/>
            <color indexed="81"/>
            <rFont val="Tahoma"/>
            <family val="2"/>
          </rPr>
          <t xml:space="preserve">4/09 $305
</t>
        </r>
        <r>
          <rPr>
            <b/>
            <sz val="8"/>
            <color indexed="81"/>
            <rFont val="Tahoma"/>
            <family val="2"/>
          </rPr>
          <t xml:space="preserve">
HW:
</t>
        </r>
        <r>
          <rPr>
            <sz val="8"/>
            <color indexed="81"/>
            <rFont val="Tahoma"/>
            <family val="2"/>
          </rPr>
          <t>1/09: nc</t>
        </r>
        <r>
          <rPr>
            <b/>
            <sz val="8"/>
            <color indexed="81"/>
            <rFont val="Tahoma"/>
            <family val="2"/>
          </rPr>
          <t xml:space="preserve">
Matthew McDonnell:</t>
        </r>
        <r>
          <rPr>
            <sz val="8"/>
            <color indexed="81"/>
            <rFont val="Tahoma"/>
            <family val="2"/>
          </rPr>
          <t xml:space="preserve">
10/08: guide (305)</t>
        </r>
      </text>
    </comment>
    <comment ref="Y195" authorId="1">
      <text>
        <r>
          <rPr>
            <b/>
            <sz val="8"/>
            <color indexed="81"/>
            <rFont val="Tahoma"/>
            <family val="2"/>
          </rPr>
          <t>Michael Ashby Brown:</t>
        </r>
        <r>
          <rPr>
            <sz val="8"/>
            <color indexed="81"/>
            <rFont val="Tahoma"/>
            <family val="2"/>
          </rPr>
          <t xml:space="preserve">
The Corporation currently estimates that the pre-tax charge for the VESP lump-sum severance payouts will be approximately $175 to 200 million. This estimate is subject to change until acceptance is confirmed with plan participants through October 4, 2010. The Corporation will record the charge in our third quarter results of operations. In addition, we expect that a substantial amount of the costs of the VESP program will be allowable and thus recoverable in future periods. </t>
        </r>
      </text>
    </comment>
    <comment ref="AA195" authorId="1">
      <text>
        <r>
          <rPr>
            <b/>
            <sz val="8"/>
            <color indexed="81"/>
            <rFont val="Tahoma"/>
            <family val="2"/>
          </rPr>
          <t>Michael Ashby Brown:</t>
        </r>
        <r>
          <rPr>
            <sz val="8"/>
            <color indexed="81"/>
            <rFont val="Tahoma"/>
            <family val="2"/>
          </rPr>
          <t xml:space="preserve">
Includes interest income and unrealized (losses) gains, net on marketable securities held to fund certain non-qualified employee benefit obligations.
7/2010 Guide: $10
4/2010 Guide: $30
1/2010 Guide: $0</t>
        </r>
      </text>
    </comment>
    <comment ref="AE195" authorId="8">
      <text>
        <r>
          <rPr>
            <b/>
            <sz val="8"/>
            <color indexed="81"/>
            <rFont val="Tahoma"/>
            <family val="2"/>
          </rPr>
          <t>corralab:</t>
        </r>
        <r>
          <rPr>
            <sz val="8"/>
            <color indexed="81"/>
            <rFont val="Tahoma"/>
            <family val="2"/>
          </rPr>
          <t xml:space="preserve">
Should be $44 according to 4Q12</t>
        </r>
      </text>
    </comment>
    <comment ref="AG195" authorId="8">
      <text>
        <r>
          <rPr>
            <b/>
            <sz val="8"/>
            <color indexed="81"/>
            <rFont val="Tahoma"/>
            <family val="2"/>
          </rPr>
          <t>corralab:</t>
        </r>
        <r>
          <rPr>
            <sz val="8"/>
            <color indexed="81"/>
            <rFont val="Tahoma"/>
            <family val="2"/>
          </rPr>
          <t xml:space="preserve">
Should say $3 according to 1Q13 release</t>
        </r>
      </text>
    </comment>
    <comment ref="AH195" authorId="8">
      <text>
        <r>
          <rPr>
            <b/>
            <sz val="8"/>
            <color indexed="81"/>
            <rFont val="Tahoma"/>
            <family val="2"/>
          </rPr>
          <t>corralab:</t>
        </r>
        <r>
          <rPr>
            <sz val="8"/>
            <color indexed="81"/>
            <rFont val="Tahoma"/>
            <family val="2"/>
          </rPr>
          <t xml:space="preserve">
Should say $21 according to 2Q13 releases</t>
        </r>
      </text>
    </comment>
    <comment ref="AJ195" authorId="8">
      <text>
        <r>
          <rPr>
            <b/>
            <sz val="8"/>
            <color indexed="81"/>
            <rFont val="Tahoma"/>
            <family val="2"/>
          </rPr>
          <t>corralab:</t>
        </r>
        <r>
          <rPr>
            <sz val="8"/>
            <color indexed="81"/>
            <rFont val="Tahoma"/>
            <family val="2"/>
          </rPr>
          <t xml:space="preserve">
Says $9 of expense in the 4Q13 release</t>
        </r>
      </text>
    </comment>
    <comment ref="V196" authorId="4">
      <text>
        <r>
          <rPr>
            <b/>
            <sz val="8"/>
            <color indexed="81"/>
            <rFont val="Tahoma"/>
            <family val="2"/>
          </rPr>
          <t>boonekev:</t>
        </r>
        <r>
          <rPr>
            <sz val="8"/>
            <color indexed="81"/>
            <rFont val="Tahoma"/>
            <family val="2"/>
          </rPr>
          <t xml:space="preserve">
3Q 10/09 Guide: $4,150 - $4,250
2Q 7/09 Guide: $4,095 - $4,195</t>
        </r>
      </text>
    </comment>
    <comment ref="AA196" authorId="2">
      <text>
        <r>
          <rPr>
            <sz val="8"/>
            <color indexed="81"/>
            <rFont val="Tahoma"/>
            <family val="2"/>
          </rPr>
          <t xml:space="preserve">7/10 guide: unch'd
4/10 guide: $3,975 - $4,075
1/10 guide: $3,975 - $4,075
10/09 guide: $3,975 - $4,075 </t>
        </r>
      </text>
    </comment>
    <comment ref="V197" authorId="4">
      <text>
        <r>
          <rPr>
            <b/>
            <sz val="8"/>
            <color indexed="81"/>
            <rFont val="Tahoma"/>
            <family val="2"/>
          </rPr>
          <t>boonekev:</t>
        </r>
        <r>
          <rPr>
            <sz val="8"/>
            <color indexed="81"/>
            <rFont val="Tahoma"/>
            <family val="2"/>
          </rPr>
          <t xml:space="preserve">
7/09 call 31% - 31.5%</t>
        </r>
      </text>
    </comment>
    <comment ref="Z197" authorId="1">
      <text>
        <r>
          <rPr>
            <b/>
            <sz val="8"/>
            <color indexed="81"/>
            <rFont val="Tahoma"/>
            <family val="2"/>
          </rPr>
          <t>Michael Ashby Brown:</t>
        </r>
        <r>
          <rPr>
            <sz val="8"/>
            <color indexed="81"/>
            <rFont val="Tahoma"/>
            <family val="2"/>
          </rPr>
          <t xml:space="preserve">
If  R&amp;D tax credit passed, lowers tax rate guidance in 4Q10 (mid/high 20s)</t>
        </r>
      </text>
    </comment>
    <comment ref="AF197" authorId="4">
      <text>
        <r>
          <rPr>
            <b/>
            <sz val="8"/>
            <color indexed="81"/>
            <rFont val="Tahoma"/>
            <family val="2"/>
          </rPr>
          <t>boonekev:</t>
        </r>
        <r>
          <rPr>
            <sz val="8"/>
            <color indexed="81"/>
            <rFont val="Tahoma"/>
            <family val="2"/>
          </rPr>
          <t xml:space="preserve">
4/11 2Q tax benefit of 25c</t>
        </r>
      </text>
    </comment>
    <comment ref="H198" authorId="1">
      <text>
        <r>
          <rPr>
            <b/>
            <sz val="8"/>
            <color indexed="81"/>
            <rFont val="Tahoma"/>
            <family val="2"/>
          </rPr>
          <t>Michael Ashby Brown:</t>
        </r>
        <r>
          <rPr>
            <sz val="8"/>
            <color indexed="81"/>
            <rFont val="Tahoma"/>
            <family val="2"/>
          </rPr>
          <t xml:space="preserve">
$59MM tax benefit</t>
        </r>
      </text>
    </comment>
    <comment ref="T198" authorId="1">
      <text>
        <r>
          <rPr>
            <b/>
            <sz val="8"/>
            <color indexed="81"/>
            <rFont val="Tahoma"/>
            <family val="2"/>
          </rPr>
          <t>Michael Ashby Brown:</t>
        </r>
        <r>
          <rPr>
            <sz val="8"/>
            <color indexed="81"/>
            <rFont val="Tahoma"/>
            <family val="2"/>
          </rPr>
          <t xml:space="preserve">
Includes an unusual benefit from the resolution of an IRS examination that decreased income tax expense by $58 million during the quarter and nine month periods of 2009.</t>
        </r>
      </text>
    </comment>
    <comment ref="V198" authorId="6">
      <text>
        <r>
          <rPr>
            <b/>
            <sz val="8"/>
            <color indexed="81"/>
            <rFont val="Tahoma"/>
            <family val="2"/>
          </rPr>
          <t xml:space="preserve">KB:
</t>
        </r>
        <r>
          <rPr>
            <sz val="8"/>
            <color indexed="81"/>
            <rFont val="Tahoma"/>
            <family val="2"/>
          </rPr>
          <t>10/09 $305</t>
        </r>
        <r>
          <rPr>
            <b/>
            <sz val="8"/>
            <color indexed="81"/>
            <rFont val="Tahoma"/>
            <family val="2"/>
          </rPr>
          <t xml:space="preserve">
</t>
        </r>
        <r>
          <rPr>
            <sz val="8"/>
            <color indexed="81"/>
            <rFont val="Tahoma"/>
            <family val="2"/>
          </rPr>
          <t>7/09 $305</t>
        </r>
        <r>
          <rPr>
            <b/>
            <sz val="8"/>
            <color indexed="81"/>
            <rFont val="Tahoma"/>
            <family val="2"/>
          </rPr>
          <t xml:space="preserve">
</t>
        </r>
        <r>
          <rPr>
            <sz val="8"/>
            <color indexed="81"/>
            <rFont val="Tahoma"/>
            <family val="2"/>
          </rPr>
          <t xml:space="preserve">4/09 $305
</t>
        </r>
        <r>
          <rPr>
            <b/>
            <sz val="8"/>
            <color indexed="81"/>
            <rFont val="Tahoma"/>
            <family val="2"/>
          </rPr>
          <t xml:space="preserve">
HW:
</t>
        </r>
        <r>
          <rPr>
            <sz val="8"/>
            <color indexed="81"/>
            <rFont val="Tahoma"/>
            <family val="2"/>
          </rPr>
          <t>1/09: nc</t>
        </r>
        <r>
          <rPr>
            <b/>
            <sz val="8"/>
            <color indexed="81"/>
            <rFont val="Tahoma"/>
            <family val="2"/>
          </rPr>
          <t xml:space="preserve">
Matthew McDonnell:</t>
        </r>
        <r>
          <rPr>
            <sz val="8"/>
            <color indexed="81"/>
            <rFont val="Tahoma"/>
            <family val="2"/>
          </rPr>
          <t xml:space="preserve">
10/08: guide (305)</t>
        </r>
      </text>
    </comment>
    <comment ref="W198" authorId="1">
      <text>
        <r>
          <rPr>
            <b/>
            <sz val="8"/>
            <color indexed="81"/>
            <rFont val="Tahoma"/>
            <family val="2"/>
          </rPr>
          <t>Michael Ashby Brown:</t>
        </r>
        <r>
          <rPr>
            <sz val="8"/>
            <color indexed="81"/>
            <rFont val="Tahoma"/>
            <family val="2"/>
          </rPr>
          <t xml:space="preserve">
Includes $96MM Medicare Part D impact
</t>
        </r>
        <r>
          <rPr>
            <i/>
            <u/>
            <sz val="8"/>
            <color indexed="81"/>
            <rFont val="Tahoma"/>
            <family val="2"/>
          </rPr>
          <t>From 8K</t>
        </r>
        <r>
          <rPr>
            <sz val="8"/>
            <color indexed="81"/>
            <rFont val="Tahoma"/>
            <family val="2"/>
          </rPr>
          <t xml:space="preserve">
Our effective income tax rates for the first quarters of 2010 and 2009 were 40.7% and 31.9%.  The effective tax rate for the first quarter of 2010 was higher than the comparable period in 2009, primarily due to the enactment of the Patient Protection and Affordable Care Act and the Health Care and Education Reconciliation Act of 2010 on March 23, 2010 and March 30, 2010, which together eliminated the tax deduction to the extent retiree prescription drug expenses are reimbursed under Medicare Part D, beginning in 2013.  Since the tax benefits associated with these future deductions were reflected as deferred tax assets in our 2009 financial statements, the elimination of the tax deductions resulted in a reduction in deferred tax assets and an increase in income tax expense this quarter.  This increase in income tax expense, as previously disclosed in our March 31, 2010 Form 8-K, decreased 2010 net earnings by ($96) million, or ($0.25) per share.
Excluding the impact of the Medicare Part D adjustment, the effective tax rates for both periods were lower than the statutory tax rate of 35% due to tax benefits for U.S. manufacturing activities and dividends related to our employee stock ownership plans. The first quarter 2009 tax rate included benefits related to the R&amp;D credit, which expired on December 31, 2009.  This benefit will not be incorporated into our 2010 results or outlook unless it is extended by the U.S. Congress.</t>
        </r>
      </text>
    </comment>
    <comment ref="AC198" authorId="9">
      <text>
        <r>
          <rPr>
            <b/>
            <sz val="8"/>
            <color indexed="81"/>
            <rFont val="Tahoma"/>
            <family val="2"/>
          </rPr>
          <t>sang:</t>
        </r>
        <r>
          <rPr>
            <sz val="8"/>
            <color indexed="81"/>
            <rFont val="Tahoma"/>
            <family val="2"/>
          </rPr>
          <t xml:space="preserve">
89mn tax benefit.  Ex the benefit, and tax effect of severance charge, tax rate would have been 28.8%
Restated in 2Q12</t>
        </r>
      </text>
    </comment>
    <comment ref="AJ198" authorId="4">
      <text>
        <r>
          <rPr>
            <b/>
            <sz val="8"/>
            <color indexed="81"/>
            <rFont val="Tahoma"/>
            <family val="2"/>
          </rPr>
          <t>boonekev:</t>
        </r>
        <r>
          <rPr>
            <sz val="8"/>
            <color indexed="81"/>
            <rFont val="Tahoma"/>
            <family val="2"/>
          </rPr>
          <t xml:space="preserve">
4/11 2Q tax benefit of 25c</t>
        </r>
      </text>
    </comment>
    <comment ref="AO198" authorId="10">
      <text>
        <r>
          <rPr>
            <b/>
            <sz val="8"/>
            <color indexed="81"/>
            <rFont val="Tahoma"/>
            <family val="2"/>
          </rPr>
          <t>noelkjac:</t>
        </r>
        <r>
          <rPr>
            <sz val="8"/>
            <color indexed="81"/>
            <rFont val="Tahoma"/>
            <family val="2"/>
          </rPr>
          <t xml:space="preserve">
Goodwill impairment $176M after tax according to 2013 10-K</t>
        </r>
      </text>
    </comment>
    <comment ref="X214" authorId="1">
      <text>
        <r>
          <rPr>
            <b/>
            <sz val="8"/>
            <color indexed="81"/>
            <rFont val="Tahoma"/>
            <family val="2"/>
          </rPr>
          <t>Michael Ashby Brown:</t>
        </r>
        <r>
          <rPr>
            <sz val="8"/>
            <color indexed="81"/>
            <rFont val="Tahoma"/>
            <family val="2"/>
          </rPr>
          <t xml:space="preserve">
The 2010 2nd quarter and year-to-date amounts include a $96 million tax benefit due to the recognition of a deferred tax asset for PAE book and tax differences recorded when the decision was made to dispose of PAE</t>
        </r>
      </text>
    </comment>
    <comment ref="Y214" authorId="1">
      <text>
        <r>
          <rPr>
            <b/>
            <sz val="8"/>
            <color indexed="81"/>
            <rFont val="Tahoma"/>
            <family val="2"/>
          </rPr>
          <t>Michael Ashby Brown:</t>
        </r>
        <r>
          <rPr>
            <sz val="8"/>
            <color indexed="81"/>
            <rFont val="Tahoma"/>
            <family val="2"/>
          </rPr>
          <t xml:space="preserve">
The Corporation currently estimates that the pre-tax charge for the VESP lump-sum severance payouts will be approximately $175 to 200 million. This estimate is subject to change until acceptance is confirmed with plan participants through October 4, 2010. The Corporation will record the charge in our third quarter results of operations. In addition, we expect that a substantial amount of the costs of the VESP program will be allowable and thus recoverable in future periods. </t>
        </r>
      </text>
    </comment>
    <comment ref="AB214" authorId="9">
      <text>
        <r>
          <rPr>
            <b/>
            <sz val="8"/>
            <color indexed="81"/>
            <rFont val="Tahoma"/>
            <family val="2"/>
          </rPr>
          <t>sang:</t>
        </r>
        <r>
          <rPr>
            <sz val="8"/>
            <color indexed="81"/>
            <rFont val="Tahoma"/>
            <family val="2"/>
          </rPr>
          <t xml:space="preserve">
Discount. Ops
</t>
        </r>
      </text>
    </comment>
    <comment ref="AC214" authorId="3">
      <text>
        <r>
          <rPr>
            <b/>
            <sz val="8"/>
            <color indexed="81"/>
            <rFont val="Tahoma"/>
            <family val="2"/>
          </rPr>
          <t>hernaand:</t>
        </r>
        <r>
          <rPr>
            <sz val="8"/>
            <color indexed="81"/>
            <rFont val="Tahoma"/>
            <family val="2"/>
          </rPr>
          <t xml:space="preserve">
Restated in 2Q12</t>
        </r>
      </text>
    </comment>
    <comment ref="H216" authorId="1">
      <text>
        <r>
          <rPr>
            <b/>
            <sz val="8"/>
            <color indexed="81"/>
            <rFont val="Tahoma"/>
            <family val="2"/>
          </rPr>
          <t>Michael Ashby Brown:</t>
        </r>
        <r>
          <rPr>
            <sz val="8"/>
            <color indexed="81"/>
            <rFont val="Tahoma"/>
            <family val="2"/>
          </rPr>
          <t xml:space="preserve">
A gain, net of state income taxes, of $25 million related to the sale of land; and 
·    Earnings, net of state income taxes, of $21 million related to the reversal of legal reserves from the settlement of certain litigation claims. 
     These items, along with the income tax benefit of $59 million ($0.14 per share) described below,</t>
        </r>
        <r>
          <rPr>
            <b/>
            <u/>
            <sz val="8"/>
            <color indexed="10"/>
            <rFont val="Tahoma"/>
            <family val="2"/>
          </rPr>
          <t xml:space="preserve"> increased net earnings by $89 million ($0.21 per share) during the first quarter of 2007</t>
        </r>
      </text>
    </comment>
    <comment ref="I216" authorId="1">
      <text>
        <r>
          <rPr>
            <b/>
            <sz val="8"/>
            <color indexed="81"/>
            <rFont val="Tahoma"/>
            <family val="2"/>
          </rPr>
          <t>Michael Ashby Brown:</t>
        </r>
        <r>
          <rPr>
            <sz val="8"/>
            <color indexed="81"/>
            <rFont val="Tahoma"/>
            <family val="2"/>
          </rPr>
          <t xml:space="preserve">
The COMSAT International sale increased net earnings by $16 million ($0.04 per share) during the second quarter</t>
        </r>
      </text>
    </comment>
    <comment ref="L216" authorId="1">
      <text>
        <r>
          <rPr>
            <b/>
            <sz val="8"/>
            <color indexed="81"/>
            <rFont val="Tahoma"/>
            <family val="2"/>
          </rPr>
          <t>Michael Ashby Brown:</t>
        </r>
        <r>
          <rPr>
            <sz val="8"/>
            <color indexed="81"/>
            <rFont val="Tahoma"/>
            <family val="2"/>
          </rPr>
          <t xml:space="preserve">
one-time item increased net earnings by $105 million ($0.25 per share) during the year ended December 31, 2007</t>
        </r>
      </text>
    </comment>
    <comment ref="M216" authorId="1">
      <text>
        <r>
          <rPr>
            <b/>
            <sz val="8"/>
            <color indexed="81"/>
            <rFont val="Tahoma"/>
            <family val="2"/>
          </rPr>
          <t>Michael Ashby Brown:</t>
        </r>
        <r>
          <rPr>
            <sz val="8"/>
            <color indexed="81"/>
            <rFont val="Tahoma"/>
            <family val="2"/>
          </rPr>
          <t xml:space="preserve">
This item increased net earnings by $10 million ($0.02 per share) during the first quarter of 2008</t>
        </r>
      </text>
    </comment>
    <comment ref="N216" authorId="1">
      <text>
        <r>
          <rPr>
            <b/>
            <sz val="8"/>
            <color indexed="81"/>
            <rFont val="Tahoma"/>
            <family val="2"/>
          </rPr>
          <t>Michael Ashby Brown:</t>
        </r>
        <r>
          <rPr>
            <sz val="8"/>
            <color indexed="81"/>
            <rFont val="Tahoma"/>
            <family val="2"/>
          </rPr>
          <t xml:space="preserve">
</t>
        </r>
        <r>
          <rPr>
            <sz val="8"/>
            <color indexed="81"/>
            <rFont val="Tahoma"/>
            <family val="2"/>
          </rPr>
          <t>Second quarter earnings, net of state income taxes, of $85 million associated with reserves that are no longer required related to various land sales. Reserves were recorded at the time of each land sale based on the U.S. Government’s assertion of its right to share in the sale proceeds. This matter was favorably settled with the U.S. Government in the second quarter. This item</t>
        </r>
        <r>
          <rPr>
            <b/>
            <u/>
            <sz val="8"/>
            <color indexed="10"/>
            <rFont val="Tahoma"/>
            <family val="2"/>
          </rPr>
          <t xml:space="preserve"> increased net earnings by $56 million, or $0.14 per share, during the second quarter of 2008. </t>
        </r>
        <r>
          <rPr>
            <sz val="8"/>
            <color indexed="81"/>
            <rFont val="Tahoma"/>
            <family val="2"/>
          </rPr>
          <t xml:space="preserve">
</t>
        </r>
      </text>
    </comment>
    <comment ref="O216" authorId="1">
      <text>
        <r>
          <rPr>
            <b/>
            <sz val="8"/>
            <color indexed="81"/>
            <rFont val="Tahoma"/>
            <family val="2"/>
          </rPr>
          <t>Michael Ashby Brown:</t>
        </r>
        <r>
          <rPr>
            <sz val="8"/>
            <color indexed="81"/>
            <rFont val="Tahoma"/>
            <family val="2"/>
          </rPr>
          <t xml:space="preserve">
Recognition of the deferred net gain increased net earnings by $28 million ($0.07 per share) during the third quarter of 2008</t>
        </r>
      </text>
    </comment>
    <comment ref="P216" authorId="1">
      <text>
        <r>
          <rPr>
            <b/>
            <sz val="8"/>
            <color indexed="81"/>
            <rFont val="Tahoma"/>
            <family val="2"/>
          </rPr>
          <t>Michael Ashby Brown:</t>
        </r>
        <r>
          <rPr>
            <sz val="8"/>
            <color indexed="81"/>
            <rFont val="Tahoma"/>
            <family val="2"/>
          </rPr>
          <t xml:space="preserve">
</t>
        </r>
        <r>
          <rPr>
            <sz val="8"/>
            <color indexed="81"/>
            <rFont val="Tahoma"/>
            <family val="2"/>
          </rPr>
          <t xml:space="preserve">Recognition of the deferred net </t>
        </r>
        <r>
          <rPr>
            <b/>
            <u/>
            <sz val="8"/>
            <color indexed="10"/>
            <rFont val="Tahoma"/>
            <family val="2"/>
          </rPr>
          <t>gain increased net earnings by $32 million, or $0.08 per share, during the fourth quarter of 2008</t>
        </r>
        <r>
          <rPr>
            <sz val="8"/>
            <color indexed="81"/>
            <rFont val="Tahoma"/>
            <family val="2"/>
          </rPr>
          <t>. This fourth quarter item, along with the previously reported items, increased net earnings by $126 million, or $0.31 per share, during the year ended Dec. 31, 2008</t>
        </r>
      </text>
    </comment>
    <comment ref="Q216" authorId="1">
      <text>
        <r>
          <rPr>
            <b/>
            <sz val="8"/>
            <color indexed="81"/>
            <rFont val="Tahoma"/>
            <family val="2"/>
          </rPr>
          <t>Michael Ashby Brown:</t>
        </r>
        <r>
          <rPr>
            <sz val="8"/>
            <color indexed="81"/>
            <rFont val="Tahoma"/>
            <family val="2"/>
          </rPr>
          <t xml:space="preserve">
</t>
        </r>
        <r>
          <rPr>
            <sz val="8"/>
            <color indexed="81"/>
            <rFont val="Tahoma"/>
            <family val="2"/>
          </rPr>
          <t xml:space="preserve">A fourth quarter gain, net of state income taxes, of $48 million representing the recognition of the remaining portion of the deferred net gain from the 2006 sale of the Corporation’s ownership interest in Lockheed Khrunichev Energia International, Inc. (LKEI) and International Launch Services, Inc. (ILS).  The Corporation previously recognized gains, net of state income taxes, of $16 million in the first quarter and $44 million in the third quarter of 2008 on this sale. At the time of the sale, the Corporation deferred recognition of any gains pending the expiration of its responsibility to refund advances for future launch services. 
Second quarter earnings, net of state income taxes, of $85 million associated with reserves that are no longer required related to various land sales. Reserves were recorded at the time of each land sale based on the U.S. Government’s assertion of its right to share in the sale proceeds. This matter was favorably settled with the U.S. Government in the second quarter. This item increased net earnings by $56 million, or $0.14 per share, during the second quarter of 2008. 
Recognition of the deferred net gain increased net earnings by $32 million, or $0.08 per share, during the fourth quarter of 2008. </t>
        </r>
        <r>
          <rPr>
            <b/>
            <u/>
            <sz val="8"/>
            <color indexed="10"/>
            <rFont val="Tahoma"/>
            <family val="2"/>
          </rPr>
          <t>This fourth quarter item, along with the previously reported items, increased net earnings by $126 million, or $0.31 per share, during the year ended Dec. 31, 2008</t>
        </r>
      </text>
    </comment>
    <comment ref="T216" authorId="1">
      <text>
        <r>
          <rPr>
            <b/>
            <sz val="8"/>
            <color indexed="81"/>
            <rFont val="Tahoma"/>
            <family val="2"/>
          </rPr>
          <t>Michael Ashby Brown:</t>
        </r>
        <r>
          <rPr>
            <sz val="8"/>
            <color indexed="81"/>
            <rFont val="Tahoma"/>
            <family val="2"/>
          </rPr>
          <t xml:space="preserve">
</t>
        </r>
        <r>
          <rPr>
            <sz val="8"/>
            <color indexed="81"/>
            <rFont val="Tahoma"/>
            <family val="2"/>
          </rPr>
          <t xml:space="preserve">In the fourth quarter, we resolved and settled an IRS examination of our U.S. Federal Income Tax Return for 2008. As a result, we recognized an unusual tax benefit that reduced our income tax expense and increased our net earnings by $11 million, or $0.03 per share, during the quarter.  Similarly, </t>
        </r>
        <r>
          <rPr>
            <b/>
            <u/>
            <sz val="8"/>
            <color indexed="81"/>
            <rFont val="Tahoma"/>
            <family val="2"/>
          </rPr>
          <t xml:space="preserve">in the third quarter, we resolved and settled an IRS examination of our U.S. Federal Income Tax Returns for the years 2005-2007, which reduced our income tax expense and </t>
        </r>
        <r>
          <rPr>
            <b/>
            <u/>
            <sz val="8"/>
            <color indexed="10"/>
            <rFont val="Tahoma"/>
            <family val="2"/>
          </rPr>
          <t>increased our net earnings by $58 million</t>
        </r>
        <r>
          <rPr>
            <b/>
            <u/>
            <sz val="8"/>
            <color indexed="81"/>
            <rFont val="Tahoma"/>
            <family val="2"/>
          </rPr>
          <t>, or $0.15 per share, during that quarter</t>
        </r>
        <r>
          <rPr>
            <sz val="8"/>
            <color indexed="81"/>
            <rFont val="Tahoma"/>
            <family val="2"/>
          </rPr>
          <t>. On a combined basis, these items reduced our income tax expense and increased our net earnings by $69 million, or $0.18 per share, during 2009.</t>
        </r>
      </text>
    </comment>
    <comment ref="U216" authorId="1">
      <text>
        <r>
          <rPr>
            <b/>
            <sz val="8"/>
            <color indexed="81"/>
            <rFont val="Tahoma"/>
            <family val="2"/>
          </rPr>
          <t>Michael Ashby Brown:</t>
        </r>
        <r>
          <rPr>
            <sz val="8"/>
            <color indexed="81"/>
            <rFont val="Tahoma"/>
            <family val="2"/>
          </rPr>
          <t xml:space="preserve">
</t>
        </r>
        <r>
          <rPr>
            <b/>
            <u/>
            <sz val="8"/>
            <color indexed="81"/>
            <rFont val="Tahoma"/>
            <family val="2"/>
          </rPr>
          <t>In the fourth quarter, we resolved and settled an IRS examination of our U.S. Federal Income Tax Return for 2008. As a result, we recognized an unusual tax benefit that reduced our income tax expense and</t>
        </r>
        <r>
          <rPr>
            <b/>
            <u/>
            <sz val="8"/>
            <color indexed="10"/>
            <rFont val="Tahoma"/>
            <family val="2"/>
          </rPr>
          <t xml:space="preserve"> increased our net earnings by $11 million, or $0.03 per share</t>
        </r>
        <r>
          <rPr>
            <sz val="8"/>
            <color indexed="81"/>
            <rFont val="Tahoma"/>
            <family val="2"/>
          </rPr>
          <t>, during the quarter.  Similarly, in the third quarter, we resolved and settled an IRS examination of our U.S. Federal Income Tax Returns for the years 2005-2007, which reduced our income tax expense and increased our net earnings by $58 million, or $0.15 per share, during that quarter. On a combined basis, these items reduced our income tax expense and increased our net earnings by $69 million, or $0.18 per share, during 2009.</t>
        </r>
      </text>
    </comment>
    <comment ref="V216" authorId="1">
      <text>
        <r>
          <rPr>
            <b/>
            <sz val="8"/>
            <color indexed="81"/>
            <rFont val="Tahoma"/>
            <family val="2"/>
          </rPr>
          <t>Michael Ashby Brown:</t>
        </r>
        <r>
          <rPr>
            <sz val="8"/>
            <color indexed="81"/>
            <rFont val="Tahoma"/>
            <family val="2"/>
          </rPr>
          <t xml:space="preserve">
</t>
        </r>
        <r>
          <rPr>
            <sz val="8"/>
            <color indexed="81"/>
            <rFont val="Tahoma"/>
            <family val="2"/>
          </rPr>
          <t>In the fourth quarter, we resolved and settled an IRS examination of our U.S. Federal Income Tax Return for 2008. As a result, we recognized an unusual tax benefit that reduced our income tax expense and increased our net earnings by $11 million, or $0.03 per share, during the quarter.  Similarly, in the third quarter, we resolved and settled an IRS examination of our U.S. Federal Income Tax Returns for the years 2005-2007, which reduced our income tax expense and increased our net earnings by $58 million, or $0.15 per share, d</t>
        </r>
        <r>
          <rPr>
            <sz val="8"/>
            <color indexed="81"/>
            <rFont val="Tahoma"/>
            <family val="2"/>
          </rPr>
          <t xml:space="preserve">uring that quarter. </t>
        </r>
        <r>
          <rPr>
            <b/>
            <u/>
            <sz val="8"/>
            <color indexed="10"/>
            <rFont val="Tahoma"/>
            <family val="2"/>
          </rPr>
          <t>On a combined basis, these items reduced our income tax expense and increased our net earnings by $69 million, or $0.18 per share, during 2009.</t>
        </r>
      </text>
    </comment>
    <comment ref="W216" authorId="1">
      <text>
        <r>
          <rPr>
            <b/>
            <sz val="8"/>
            <color indexed="81"/>
            <rFont val="Tahoma"/>
            <family val="2"/>
          </rPr>
          <t>Michael Ashby Brown:</t>
        </r>
        <r>
          <rPr>
            <sz val="8"/>
            <color indexed="81"/>
            <rFont val="Tahoma"/>
            <family val="2"/>
          </rPr>
          <t xml:space="preserve">
$0.25 = $96MM Medicare 
+ PAE disc ops</t>
        </r>
      </text>
    </comment>
    <comment ref="X216" authorId="1">
      <text>
        <r>
          <rPr>
            <b/>
            <sz val="8"/>
            <color indexed="81"/>
            <rFont val="Tahoma"/>
            <family val="2"/>
          </rPr>
          <t>Michael Ashby Brown:</t>
        </r>
        <r>
          <rPr>
            <sz val="8"/>
            <color indexed="81"/>
            <rFont val="Tahoma"/>
            <family val="2"/>
          </rPr>
          <t xml:space="preserve">
The 2010 2nd quarter and year-to-date amounts include a $96 million tax benefit due to the recognition of a deferred tax asset for PAE book and tax differences recorded when the decision was made to dispose of PAE</t>
        </r>
      </text>
    </comment>
    <comment ref="Y216" authorId="1">
      <text>
        <r>
          <rPr>
            <b/>
            <sz val="8"/>
            <color indexed="81"/>
            <rFont val="Tahoma"/>
            <family val="2"/>
          </rPr>
          <t>Michael Ashby Brown:</t>
        </r>
        <r>
          <rPr>
            <sz val="8"/>
            <color indexed="81"/>
            <rFont val="Tahoma"/>
            <family val="2"/>
          </rPr>
          <t xml:space="preserve">
PAE in disc ops + exec buyout charge</t>
        </r>
      </text>
    </comment>
    <comment ref="AA216" authorId="1">
      <text>
        <r>
          <rPr>
            <b/>
            <sz val="8"/>
            <color indexed="81"/>
            <rFont val="Tahoma"/>
            <family val="2"/>
          </rPr>
          <t>Michael Ashby Brown:</t>
        </r>
        <r>
          <rPr>
            <sz val="8"/>
            <color indexed="81"/>
            <rFont val="Tahoma"/>
            <family val="2"/>
          </rPr>
          <t xml:space="preserve">
Net -30 cent headwind comprised of:
Backout:
$0.25 per share or $96MM Medicare Part D impact (include in taxes) in 1Q
Add:
$0.31 of disc ops from PAE divestiture
Backout:
$0.35 from exec buyout charge
</t>
        </r>
      </text>
    </comment>
    <comment ref="V226" authorId="6">
      <text>
        <r>
          <rPr>
            <b/>
            <sz val="8"/>
            <color indexed="81"/>
            <rFont val="Tahoma"/>
            <family val="2"/>
          </rPr>
          <t xml:space="preserve">KB:
</t>
        </r>
        <r>
          <rPr>
            <sz val="8"/>
            <color indexed="81"/>
            <rFont val="Tahoma"/>
            <family val="2"/>
          </rPr>
          <t>7/09 QTRLY Call - ~391M shares</t>
        </r>
        <r>
          <rPr>
            <b/>
            <sz val="8"/>
            <color indexed="81"/>
            <rFont val="Tahoma"/>
            <family val="2"/>
          </rPr>
          <t xml:space="preserve">
Matthew McDonnell:</t>
        </r>
        <r>
          <rPr>
            <sz val="8"/>
            <color indexed="81"/>
            <rFont val="Tahoma"/>
            <family val="2"/>
          </rPr>
          <t xml:space="preserve">
10/21/08 (3Q08): guide ~403
4/21/09 Implied 395</t>
        </r>
      </text>
    </comment>
    <comment ref="AB235" authorId="8">
      <text>
        <r>
          <rPr>
            <b/>
            <sz val="8"/>
            <color indexed="81"/>
            <rFont val="Tahoma"/>
            <family val="2"/>
          </rPr>
          <t>corralab:</t>
        </r>
        <r>
          <rPr>
            <sz val="8"/>
            <color indexed="81"/>
            <rFont val="Tahoma"/>
            <family val="2"/>
          </rPr>
          <t xml:space="preserve">
2011 seems need the #s from 2012 filings</t>
        </r>
      </text>
    </comment>
    <comment ref="AJ236" authorId="8">
      <text>
        <r>
          <rPr>
            <b/>
            <sz val="8"/>
            <color indexed="81"/>
            <rFont val="Tahoma"/>
            <family val="2"/>
          </rPr>
          <t>corralab:</t>
        </r>
        <r>
          <rPr>
            <sz val="8"/>
            <color indexed="81"/>
            <rFont val="Tahoma"/>
            <family val="2"/>
          </rPr>
          <t xml:space="preserve">
Should be linked to IS</t>
        </r>
      </text>
    </comment>
    <comment ref="AK236" authorId="8">
      <text>
        <r>
          <rPr>
            <b/>
            <sz val="8"/>
            <color indexed="81"/>
            <rFont val="Tahoma"/>
            <family val="2"/>
          </rPr>
          <t>corralab:</t>
        </r>
        <r>
          <rPr>
            <sz val="8"/>
            <color indexed="81"/>
            <rFont val="Tahoma"/>
            <family val="2"/>
          </rPr>
          <t xml:space="preserve">
NI should say $2,745, according to 4Q13</t>
        </r>
      </text>
    </comment>
    <comment ref="AB237" authorId="8">
      <text>
        <r>
          <rPr>
            <b/>
            <sz val="8"/>
            <color indexed="81"/>
            <rFont val="Tahoma"/>
            <family val="2"/>
          </rPr>
          <t>corralab:</t>
        </r>
        <r>
          <rPr>
            <sz val="8"/>
            <color indexed="81"/>
            <rFont val="Tahoma"/>
            <family val="2"/>
          </rPr>
          <t xml:space="preserve">
Should be $246 according to 1Q12 10Q</t>
        </r>
      </text>
    </comment>
    <comment ref="AC237" authorId="8">
      <text>
        <r>
          <rPr>
            <b/>
            <sz val="8"/>
            <color indexed="81"/>
            <rFont val="Tahoma"/>
            <family val="2"/>
          </rPr>
          <t>corralab:</t>
        </r>
        <r>
          <rPr>
            <sz val="8"/>
            <color indexed="81"/>
            <rFont val="Tahoma"/>
            <family val="2"/>
          </rPr>
          <t xml:space="preserve">
6-mo should be $492 according to 2Q12 10Q</t>
        </r>
      </text>
    </comment>
    <comment ref="AD237" authorId="8">
      <text>
        <r>
          <rPr>
            <b/>
            <sz val="8"/>
            <color indexed="81"/>
            <rFont val="Tahoma"/>
            <family val="2"/>
          </rPr>
          <t>corralab:</t>
        </r>
        <r>
          <rPr>
            <sz val="8"/>
            <color indexed="81"/>
            <rFont val="Tahoma"/>
            <family val="2"/>
          </rPr>
          <t xml:space="preserve">
9-mo should be $739 according to 3Q12 10Q</t>
        </r>
      </text>
    </comment>
    <comment ref="V243" authorId="4">
      <text>
        <r>
          <rPr>
            <b/>
            <sz val="8"/>
            <color indexed="81"/>
            <rFont val="Tahoma"/>
            <family val="2"/>
          </rPr>
          <t>boonekev:</t>
        </r>
        <r>
          <rPr>
            <sz val="8"/>
            <color indexed="81"/>
            <rFont val="Tahoma"/>
            <family val="2"/>
          </rPr>
          <t xml:space="preserve">
10/09 Guide &gt;= $3,200
2Q 7/09 Guide &gt;$4,100</t>
        </r>
      </text>
    </comment>
    <comment ref="AA243" authorId="1">
      <text>
        <r>
          <rPr>
            <b/>
            <sz val="8"/>
            <color indexed="81"/>
            <rFont val="Tahoma"/>
            <family val="2"/>
          </rPr>
          <t>Michael Ashby Brown:</t>
        </r>
        <r>
          <rPr>
            <sz val="8"/>
            <color indexed="81"/>
            <rFont val="Tahoma"/>
            <family val="2"/>
          </rPr>
          <t xml:space="preserve">
7/10: 3.4
4/10: 3.3
1/10 guide: &gt;= $3.2B
10/09 guide: &gt;= $3.2B</t>
        </r>
      </text>
    </comment>
    <comment ref="AA244" authorId="8">
      <text>
        <r>
          <rPr>
            <b/>
            <sz val="8"/>
            <color indexed="81"/>
            <rFont val="Tahoma"/>
            <family val="2"/>
          </rPr>
          <t>corralab:</t>
        </r>
        <r>
          <rPr>
            <sz val="8"/>
            <color indexed="81"/>
            <rFont val="Tahoma"/>
            <family val="2"/>
          </rPr>
          <t xml:space="preserve">
Should be -$1,074 according to 201210K</t>
        </r>
      </text>
    </comment>
    <comment ref="AA250" authorId="1">
      <text>
        <r>
          <rPr>
            <b/>
            <sz val="8"/>
            <color indexed="81"/>
            <rFont val="Tahoma"/>
            <family val="2"/>
          </rPr>
          <t>Michael Ashby Brown:</t>
        </r>
        <r>
          <rPr>
            <sz val="8"/>
            <color indexed="81"/>
            <rFont val="Tahoma"/>
            <family val="2"/>
          </rPr>
          <t xml:space="preserve">
placeholder for EIG and PAE divestitures, net of taxes</t>
        </r>
      </text>
    </comment>
    <comment ref="AK250" authorId="8">
      <text>
        <r>
          <rPr>
            <b/>
            <sz val="8"/>
            <color indexed="81"/>
            <rFont val="Tahoma"/>
            <family val="2"/>
          </rPr>
          <t>corralab:</t>
        </r>
        <r>
          <rPr>
            <sz val="8"/>
            <color indexed="81"/>
            <rFont val="Tahoma"/>
            <family val="2"/>
          </rPr>
          <t xml:space="preserve">
This number was restated in 4Q13 release</t>
        </r>
      </text>
    </comment>
    <comment ref="AI252" authorId="8">
      <text>
        <r>
          <rPr>
            <b/>
            <sz val="8"/>
            <color indexed="81"/>
            <rFont val="Tahoma"/>
            <family val="2"/>
          </rPr>
          <t>corralab:</t>
        </r>
        <r>
          <rPr>
            <sz val="8"/>
            <color indexed="81"/>
            <rFont val="Tahoma"/>
            <family val="2"/>
          </rPr>
          <t xml:space="preserve">
Must check the 9-mo sum</t>
        </r>
      </text>
    </comment>
    <comment ref="AK252" authorId="8">
      <text>
        <r>
          <rPr>
            <b/>
            <sz val="8"/>
            <color indexed="81"/>
            <rFont val="Tahoma"/>
            <family val="2"/>
          </rPr>
          <t>corralab:</t>
        </r>
        <r>
          <rPr>
            <sz val="8"/>
            <color indexed="81"/>
            <rFont val="Tahoma"/>
            <family val="2"/>
          </rPr>
          <t xml:space="preserve">
This number was restated in 4Q13 release</t>
        </r>
      </text>
    </comment>
    <comment ref="AF256" authorId="8">
      <text>
        <r>
          <rPr>
            <b/>
            <sz val="8"/>
            <color indexed="81"/>
            <rFont val="Tahoma"/>
            <family val="2"/>
          </rPr>
          <t>corralab:</t>
        </r>
        <r>
          <rPr>
            <sz val="8"/>
            <color indexed="81"/>
            <rFont val="Tahoma"/>
            <family val="2"/>
          </rPr>
          <t xml:space="preserve">
Should be a formula</t>
        </r>
      </text>
    </comment>
    <comment ref="AI259" authorId="8">
      <text>
        <r>
          <rPr>
            <b/>
            <sz val="8"/>
            <color indexed="81"/>
            <rFont val="Tahoma"/>
            <family val="2"/>
          </rPr>
          <t>corralab:</t>
        </r>
        <r>
          <rPr>
            <sz val="8"/>
            <color indexed="81"/>
            <rFont val="Tahoma"/>
            <family val="2"/>
          </rPr>
          <t xml:space="preserve">
Must check the 9-mo sum</t>
        </r>
      </text>
    </comment>
    <comment ref="A272" authorId="12">
      <text>
        <r>
          <rPr>
            <b/>
            <sz val="9"/>
            <color indexed="81"/>
            <rFont val="Tahoma"/>
            <family val="2"/>
          </rPr>
          <t>Streger, David W (Research):</t>
        </r>
        <r>
          <rPr>
            <sz val="9"/>
            <color indexed="81"/>
            <rFont val="Tahoma"/>
            <family val="2"/>
          </rPr>
          <t xml:space="preserve">
Company stopped reporting this line item as current in 1Q16</t>
        </r>
      </text>
    </comment>
    <comment ref="B273" authorId="2">
      <text>
        <r>
          <rPr>
            <b/>
            <sz val="8"/>
            <color indexed="81"/>
            <rFont val="Tahoma"/>
            <family val="2"/>
          </rPr>
          <t>javierl:</t>
        </r>
        <r>
          <rPr>
            <sz val="8"/>
            <color indexed="81"/>
            <rFont val="Tahoma"/>
            <family val="2"/>
          </rPr>
          <t xml:space="preserve">
Includes $638mill of Assets of businesses held for sale</t>
        </r>
      </text>
    </comment>
    <comment ref="X273" authorId="13">
      <text>
        <r>
          <rPr>
            <sz val="8"/>
            <color indexed="81"/>
            <rFont val="Tahoma"/>
            <family val="2"/>
          </rPr>
          <t>Includes:
$499m: Assets of Disc. Operations Held for Sale
$409m: Other Current Assets</t>
        </r>
      </text>
    </comment>
    <comment ref="B288" authorId="2">
      <text>
        <r>
          <rPr>
            <b/>
            <sz val="8"/>
            <color indexed="81"/>
            <rFont val="Tahoma"/>
            <family val="2"/>
          </rPr>
          <t>javierl:</t>
        </r>
        <r>
          <rPr>
            <sz val="8"/>
            <color indexed="81"/>
            <rFont val="Tahoma"/>
            <family val="2"/>
          </rPr>
          <t xml:space="preserve">
Includes $387mill of Liabilities of businesses held for sale &amp; $89mill of Income Taxes</t>
        </r>
      </text>
    </comment>
    <comment ref="C288" authorId="2">
      <text>
        <r>
          <rPr>
            <b/>
            <sz val="8"/>
            <color indexed="81"/>
            <rFont val="Tahoma"/>
            <family val="2"/>
          </rPr>
          <t>javierl:</t>
        </r>
        <r>
          <rPr>
            <sz val="8"/>
            <color indexed="81"/>
            <rFont val="Tahoma"/>
            <family val="2"/>
          </rPr>
          <t xml:space="preserve">
Includes $107mill of Income Taxes</t>
        </r>
      </text>
    </comment>
    <comment ref="X288" authorId="13">
      <text>
        <r>
          <rPr>
            <sz val="8"/>
            <color indexed="81"/>
            <rFont val="Tahoma"/>
            <family val="2"/>
          </rPr>
          <t>Includes:
$281m: Liabilities of Disc. Operations
$2,429m: Other Current Liabilities</t>
        </r>
      </text>
    </comment>
    <comment ref="AN288" authorId="8">
      <text>
        <r>
          <rPr>
            <b/>
            <sz val="8"/>
            <color indexed="81"/>
            <rFont val="Tahoma"/>
            <family val="2"/>
          </rPr>
          <t>corralab:</t>
        </r>
        <r>
          <rPr>
            <sz val="8"/>
            <color indexed="81"/>
            <rFont val="Tahoma"/>
            <family val="2"/>
          </rPr>
          <t xml:space="preserve">
These should be formulas, as prior periods</t>
        </r>
      </text>
    </comment>
    <comment ref="C300" authorId="2">
      <text>
        <r>
          <rPr>
            <b/>
            <sz val="8"/>
            <color indexed="81"/>
            <rFont val="Tahoma"/>
            <family val="2"/>
          </rPr>
          <t>javierl:</t>
        </r>
        <r>
          <rPr>
            <sz val="8"/>
            <color indexed="81"/>
            <rFont val="Tahoma"/>
            <family val="2"/>
          </rPr>
          <t xml:space="preserve">
Includes $(17)mill due to "Other".</t>
        </r>
      </text>
    </comment>
    <comment ref="D300" authorId="2">
      <text>
        <r>
          <rPr>
            <b/>
            <sz val="8"/>
            <color indexed="81"/>
            <rFont val="Tahoma"/>
            <family val="2"/>
          </rPr>
          <t>javierl:</t>
        </r>
        <r>
          <rPr>
            <sz val="8"/>
            <color indexed="81"/>
            <rFont val="Tahoma"/>
            <family val="2"/>
          </rPr>
          <t xml:space="preserve">
Includes $(17)mill due to "Other".</t>
        </r>
      </text>
    </comment>
    <comment ref="E300" authorId="2">
      <text>
        <r>
          <rPr>
            <b/>
            <sz val="8"/>
            <color indexed="81"/>
            <rFont val="Tahoma"/>
            <family val="2"/>
          </rPr>
          <t>javierl:</t>
        </r>
        <r>
          <rPr>
            <sz val="8"/>
            <color indexed="81"/>
            <rFont val="Tahoma"/>
            <family val="2"/>
          </rPr>
          <t xml:space="preserve">
Includes $(14)mill due to "Other".</t>
        </r>
      </text>
    </comment>
    <comment ref="F300" authorId="2">
      <text>
        <r>
          <rPr>
            <b/>
            <sz val="8"/>
            <color indexed="81"/>
            <rFont val="Tahoma"/>
            <family val="2"/>
          </rPr>
          <t>javierl:</t>
        </r>
        <r>
          <rPr>
            <sz val="8"/>
            <color indexed="81"/>
            <rFont val="Tahoma"/>
            <family val="2"/>
          </rPr>
          <t xml:space="preserve">
Includes $(14)mill due to "Other".</t>
        </r>
      </text>
    </comment>
  </commentList>
</comments>
</file>

<file path=xl/comments2.xml><?xml version="1.0" encoding="utf-8"?>
<comments xmlns="http://schemas.openxmlformats.org/spreadsheetml/2006/main">
  <authors>
    <author>Giuseppe Incitti</author>
  </authors>
  <commentList>
    <comment ref="A1" authorId="0">
      <text>
        <r>
          <rPr>
            <b/>
            <sz val="8"/>
            <color indexed="81"/>
            <rFont val="Tahoma"/>
            <family val="2"/>
          </rPr>
          <t>卟䙄_x0001_＀＀뮳亪_x0018_䵌幔䍅彁䕍乁䕟卐㈨㄰ⰱ⤰_x0018_＀＀_x0018_＀＀_x0008_＀＀_x0001_＀＀_x0001_＀＀䉼_xDE76_囆䀞뮳亪_x001B_䵌幔䝆䵟䅅彎偅当兆⠱ⰰⰬ〹착_x0018_＀＀_x0018_＀＀_x0008_＀＀_x0001_＀＀_x0001_＀＀蠈䖓⒫㿿뮳亪_x0018_䵌幔䍅彁䕍乁䕟卐㈨㄰ⰲ⤰_x0018_＀＀_x0018_＀＀_x0008_＀＀_x0001_＀＀_x0001_＀＀흄뾅䀟뮳亪_x001B_䵌幔䝆䵟䅅彎偅当兆⠲ⰰⰬ〹착_x0018_＀＀_x0018_＀＀_x0008_＀＀_x0001_＀＀_x0001_＀＀勹觓㿻뮳亪_x0018_䵌幔䍅彁䕍乁䕟卐㈨㄰ⰳ⤰_x0018_＀＀_x0018_＀＀_x0008_＀＀_x0001_＀＀_x0001_＀＀榮燞캊䀡</t>
        </r>
      </text>
    </comment>
    <comment ref="B1" authorId="0">
      <text>
        <r>
          <rPr>
            <b/>
            <sz val="8"/>
            <color indexed="81"/>
            <rFont val="Tahoma"/>
            <family val="2"/>
          </rPr>
          <t>179</t>
        </r>
      </text>
    </comment>
  </commentList>
</comments>
</file>

<file path=xl/sharedStrings.xml><?xml version="1.0" encoding="utf-8"?>
<sst xmlns="http://schemas.openxmlformats.org/spreadsheetml/2006/main" count="1051" uniqueCount="781">
  <si>
    <t>EAC-Adjusted Seg. Op. Margin incl. Corp. Exp.</t>
  </si>
  <si>
    <t>Segment Op. Income incl. Corporate Exp.</t>
  </si>
  <si>
    <t>Aeronautics Backlog ($M)</t>
  </si>
  <si>
    <t>Missiles and Fire Control Backlog ($M)</t>
  </si>
  <si>
    <t>Space Systems Backlog ($M)</t>
  </si>
  <si>
    <t>Postretirement Benefit Plans</t>
  </si>
  <si>
    <t xml:space="preserve"> </t>
  </si>
  <si>
    <t>Adjusted Net Economic Income (ex. FAS/CAS)</t>
  </si>
  <si>
    <t>EBITDAP (ex. FAS/CAS)</t>
  </si>
  <si>
    <t>EBITDAP Margin</t>
  </si>
  <si>
    <t>Backlog / Sales</t>
  </si>
  <si>
    <t>IS &amp; GS Op. Margin</t>
  </si>
  <si>
    <t>Net Op. Inc. Adj. (EAC/Catch-Up)</t>
  </si>
  <si>
    <t>Other Non-Current Assets</t>
  </si>
  <si>
    <t>Per Share</t>
  </si>
  <si>
    <t>New Dilutive Instruments</t>
  </si>
  <si>
    <t>Stock Repurchases</t>
  </si>
  <si>
    <t>Fixed-Price Contracts</t>
  </si>
  <si>
    <t>Common Stock Repurchase</t>
  </si>
  <si>
    <t>Cash Beginning of the period</t>
  </si>
  <si>
    <t>Stock-based employee compensation expense</t>
  </si>
  <si>
    <t>Other current assets</t>
  </si>
  <si>
    <t>Proceeds from Stock Option Exercises</t>
  </si>
  <si>
    <t>Balance Sheet</t>
  </si>
  <si>
    <t>2011A</t>
  </si>
  <si>
    <t>Electronic Systems</t>
  </si>
  <si>
    <t>Aeronautics</t>
  </si>
  <si>
    <t>Space Systems</t>
  </si>
  <si>
    <t>Other non-operating Income (Expense), net</t>
  </si>
  <si>
    <t>Prepaid Pension Assets</t>
  </si>
  <si>
    <t>Customer Advances and Amounts in Excess of Cost Incurred</t>
  </si>
  <si>
    <t>Accrued Pension Liabilities</t>
  </si>
  <si>
    <t>Other Postretirement Benefit Liabilities</t>
  </si>
  <si>
    <t>Additional Paid-in Capital</t>
  </si>
  <si>
    <t>Acquisition of businesses / investments in affiliates</t>
  </si>
  <si>
    <t>Common stock dividends</t>
  </si>
  <si>
    <t>Repayments of long-term debt</t>
  </si>
  <si>
    <t>LMT.N</t>
  </si>
  <si>
    <t>Lockheed Martin Corp.</t>
  </si>
  <si>
    <t>LMT.N,mscalc:targetPrice,,,,USD</t>
  </si>
  <si>
    <t>LMT.N,mscalc:sedolCodeCalc</t>
  </si>
  <si>
    <t>LMT.N,mscalc:closePriceCurrencyCalc</t>
  </si>
  <si>
    <t>F-16</t>
  </si>
  <si>
    <t>F-35</t>
  </si>
  <si>
    <t>COMMENTS</t>
  </si>
  <si>
    <t>INCOME STATEMENT</t>
  </si>
  <si>
    <t>2001A</t>
  </si>
  <si>
    <t>2002A</t>
  </si>
  <si>
    <t>2003A</t>
  </si>
  <si>
    <t>1QA</t>
  </si>
  <si>
    <t>2QA</t>
  </si>
  <si>
    <t>3QA</t>
  </si>
  <si>
    <t>4QA</t>
  </si>
  <si>
    <t>YoY % Chg.</t>
  </si>
  <si>
    <t>OPERATNG SEGMENTS</t>
  </si>
  <si>
    <t>% of Total Revenue</t>
  </si>
  <si>
    <t>GROSS REVENUES</t>
  </si>
  <si>
    <t>YoY Pt. Chg.</t>
  </si>
  <si>
    <t>Aeronautics Op. Margin</t>
  </si>
  <si>
    <t>Aeronautics Op. Income</t>
  </si>
  <si>
    <t>Aeronautics Op. Expenses</t>
  </si>
  <si>
    <t>Missiles and Fire Control Op. Margin</t>
  </si>
  <si>
    <t>Missiles and Fire Control Op. Income</t>
  </si>
  <si>
    <t>Missiles and Fire Control Op. Expenses</t>
  </si>
  <si>
    <t>Electronic Systems Op. Margin</t>
  </si>
  <si>
    <t>Electronic Systems Op. Income</t>
  </si>
  <si>
    <t>% of Sales</t>
  </si>
  <si>
    <t>% of Operating Income</t>
  </si>
  <si>
    <t>Electronic Systems Op. Expenses</t>
  </si>
  <si>
    <t>Other Financing activities</t>
  </si>
  <si>
    <t>Space Systems Op. Margin</t>
  </si>
  <si>
    <t>Space Systems Op. Income</t>
  </si>
  <si>
    <t>Space Systems Op. Expenses</t>
  </si>
  <si>
    <t>Consolidated Operating Revenue</t>
  </si>
  <si>
    <t>Total Operating Expenses</t>
  </si>
  <si>
    <t>COGS</t>
  </si>
  <si>
    <t>% of Gross Revenue</t>
  </si>
  <si>
    <t>EPS RECONCILIATION</t>
  </si>
  <si>
    <t>For Modelware Purposes</t>
  </si>
  <si>
    <t>Unrecorded Goodwill</t>
  </si>
  <si>
    <t xml:space="preserve">2010A </t>
  </si>
  <si>
    <t>LMT.N,mscalc:targetPrice</t>
  </si>
  <si>
    <t>LMT.N,mstag:revenueNet,2008FY,,FYR,,,IN-PROGRESS</t>
  </si>
  <si>
    <t>0.291016548463357</t>
  </si>
  <si>
    <t>,mscalc:targetPrice,,,,USD</t>
  </si>
  <si>
    <t>0.31266318537859</t>
  </si>
  <si>
    <t>0.0762564991334489</t>
  </si>
  <si>
    <t>0.239182692307692</t>
  </si>
  <si>
    <t>0.269422445723603</t>
  </si>
  <si>
    <t>0.295935412026726</t>
  </si>
  <si>
    <t>,mscalc:closePriceCurrencyCalc</t>
  </si>
  <si>
    <t>0.308677469942499</t>
  </si>
  <si>
    <t>0.30237003058104</t>
  </si>
  <si>
    <t>0.3</t>
  </si>
  <si>
    <t>,mscalc:sedolCodeCalc</t>
  </si>
  <si>
    <t>0.303480278422274</t>
  </si>
  <si>
    <t>0.315391266753134</t>
  </si>
  <si>
    <t>EBITDA</t>
  </si>
  <si>
    <t>FAS/CAS Pension Adj.</t>
  </si>
  <si>
    <t>Stock Compensation</t>
  </si>
  <si>
    <t>2004A</t>
  </si>
  <si>
    <t>2005A</t>
  </si>
  <si>
    <t>2006A</t>
  </si>
  <si>
    <t>Missiles and Fire Control</t>
  </si>
  <si>
    <t>2012A</t>
  </si>
  <si>
    <t>Capex</t>
  </si>
  <si>
    <t>EBITDA Margin</t>
  </si>
  <si>
    <t>Depreciation and Amortization of PP&amp;E</t>
  </si>
  <si>
    <t>Net Income - Cont. Operations</t>
  </si>
  <si>
    <t>C-130J</t>
  </si>
  <si>
    <t>C-5M</t>
  </si>
  <si>
    <t>Goodwill</t>
  </si>
  <si>
    <t>Total Shareholders' Equity</t>
  </si>
  <si>
    <t>Total Liabilities &amp; Shareholders' Equity</t>
  </si>
  <si>
    <t>Unusual Items</t>
  </si>
  <si>
    <t>Assets</t>
  </si>
  <si>
    <t>This sheet contains Factset binary data for use with this workbook's =FDS codes.  Modifying the worksheet's contents may damage the workbook's =FDS functionality.</t>
  </si>
  <si>
    <t>Days Sales Outstanding</t>
  </si>
  <si>
    <t>As a % of Revenues</t>
  </si>
  <si>
    <t>Days Payable Outstanding</t>
  </si>
  <si>
    <t>Days Outstanding</t>
  </si>
  <si>
    <t>Implied Net Orders</t>
  </si>
  <si>
    <t>Implied Net Book:Bill</t>
  </si>
  <si>
    <t>% ofTotal Backlog</t>
  </si>
  <si>
    <t>LMT.N,mscalc:factsetIdCalc</t>
  </si>
  <si>
    <t>LMT</t>
  </si>
  <si>
    <t>LMT.N,mstag:statutoryTaxRate,2009FY,,FYR</t>
  </si>
  <si>
    <t>LMT.N,mstag:statutoryTaxRate,2005FY,,FYR</t>
  </si>
  <si>
    <t>LMT.N,mstag:statutoryTaxRate,2003FY,,FYR</t>
  </si>
  <si>
    <t>LMT.N,mstag:statutoryTaxRate,2010FY,,FYR</t>
  </si>
  <si>
    <t>LMT.N,mstag:statutoryTaxRate,2002FY,,FYR</t>
  </si>
  <si>
    <t>LMT.N,mstag:statutoryTaxRate,2008FY,,FYR</t>
  </si>
  <si>
    <t>LMT.N,mstag:statutoryTaxRate,2011FY,,FYR</t>
  </si>
  <si>
    <t>LMT.N,mstag:statutoryTaxRate,2006FY,,FYR</t>
  </si>
  <si>
    <t>LMT.N,mstag:statutoryTaxRate,2004FY,,FYR</t>
  </si>
  <si>
    <t>LMT.N,mstag:statutoryTaxRate,2013FY,,FYR</t>
  </si>
  <si>
    <t>LMT.N,mstag:statutoryTaxRate,2012FY,,FYR</t>
  </si>
  <si>
    <t>LMT.N,mstag:statutoryTaxRate,2007FY,,FYR</t>
  </si>
  <si>
    <t>Tax Rate</t>
  </si>
  <si>
    <t>2007A</t>
  </si>
  <si>
    <t>Cost-Plus Contracts</t>
  </si>
  <si>
    <t>Time-and-Materials Contracts</t>
  </si>
  <si>
    <t>Interest Expense</t>
  </si>
  <si>
    <t>Current Stock Price</t>
  </si>
  <si>
    <t>ScaleOverride</t>
  </si>
  <si>
    <t>UnitOverride</t>
  </si>
  <si>
    <t>ReverseSign</t>
  </si>
  <si>
    <t>IsDrivingAssumption</t>
  </si>
  <si>
    <t>SegmentID</t>
  </si>
  <si>
    <t>Total</t>
  </si>
  <si>
    <t>2008A</t>
  </si>
  <si>
    <t>Tax Expense</t>
  </si>
  <si>
    <t>Inventories</t>
  </si>
  <si>
    <t>Common Stock</t>
  </si>
  <si>
    <t>Retained Earnings</t>
  </si>
  <si>
    <t>NA</t>
  </si>
  <si>
    <t>Other</t>
  </si>
  <si>
    <t>Pretax Income</t>
  </si>
  <si>
    <t>Net Income</t>
  </si>
  <si>
    <t>Ticker:</t>
  </si>
  <si>
    <t>Total Segment Operating Income</t>
  </si>
  <si>
    <t>Annualized % Change in Shares</t>
  </si>
  <si>
    <t>Goodwill Impairment &amp; Other One-Time Charges</t>
  </si>
  <si>
    <t>Currency</t>
  </si>
  <si>
    <t>Count</t>
  </si>
  <si>
    <t>Product</t>
  </si>
  <si>
    <t>Services</t>
  </si>
  <si>
    <t>LMT.N,mscalc:lastActualYearAsPerYearEndCalc</t>
  </si>
  <si>
    <t>LMT.N,mscalc:fiscalYearEndMonth</t>
  </si>
  <si>
    <t>LMT.N,mstag:averageDilutedSharesOutstanding,2011FY,,FYR</t>
  </si>
  <si>
    <t>Adjusted Diluted EPS (Continuing Ops.)</t>
  </si>
  <si>
    <t>LMT.N,mstag:averageDilutedSharesOutstanding,2018FY,,FYR</t>
  </si>
  <si>
    <t>LMT.N,mstag:averageDilutedSharesOutstanding,2019FY,,FYR</t>
  </si>
  <si>
    <t>LMT.N,mstag:averageDilutedSharesOutstanding,2016FY,,FYR</t>
  </si>
  <si>
    <t>LMT.N,mstag:averageDilutedSharesOutstanding,2007FY,,FYR</t>
  </si>
  <si>
    <t>LMT.N,mstag:averageDilutedSharesOutstanding,2013FY,,FYR</t>
  </si>
  <si>
    <t>LMT.N,mstag:averageDilutedSharesOutstanding,2010FY,,FYR</t>
  </si>
  <si>
    <t>LMT.N,mstag:averageDilutedSharesOutstanding,2009FY,,FYR</t>
  </si>
  <si>
    <t>LMT.N,mstag:averageDilutedSharesOutstanding,2006FY,,FYR</t>
  </si>
  <si>
    <t>LMT.N,mstag:averageDilutedSharesOutstanding,2015FY,,FYR</t>
  </si>
  <si>
    <t>LMT.N,mstag:averageDilutedSharesOutstanding,2020FY,,FYR</t>
  </si>
  <si>
    <t>LMT.N,mstag:averageDilutedSharesOutstanding,2008FY,,FYR</t>
  </si>
  <si>
    <t>LMT.N,mstag:averageDilutedSharesOutstanding,2017FY,,FYR</t>
  </si>
  <si>
    <t>LMT.N,mstag:averageDilutedSharesOutstanding,2014FY,,FYR</t>
  </si>
  <si>
    <t>LMT.N,mstag:averageDilutedSharesOutstanding,2005FY,,FYR</t>
  </si>
  <si>
    <t>LMT.N,mstag:averageDilutedSharesOutstanding,2021FY,,FYR</t>
  </si>
  <si>
    <t>$CF$2</t>
  </si>
  <si>
    <t>Company-Reported Net Income</t>
  </si>
  <si>
    <t>Company-Reported Diluted EPS from Cont. Ops.</t>
  </si>
  <si>
    <t>YoY EAC Change &amp; Other Charges</t>
  </si>
  <si>
    <t>Aero Op. Inc. Ex-EAC Change</t>
  </si>
  <si>
    <t>Aero Op. Margin Ex-EAC Change</t>
  </si>
  <si>
    <t>IS &amp; GS Op. Inc. Ex-EAC Change</t>
  </si>
  <si>
    <t>IS &amp;GS Op. Margin Ex-EAC Change</t>
  </si>
  <si>
    <t>MFC Op. Margin Ex-EAC Change</t>
  </si>
  <si>
    <t>MFC Op. Inc. Ex-EAC Change</t>
  </si>
  <si>
    <t>Space Systems Op. Margin Ex-EAC Change</t>
  </si>
  <si>
    <t>Space Systems Op. Inc. Ex-EAC Change</t>
  </si>
  <si>
    <t>EAC Change % Segment Op. Income</t>
  </si>
  <si>
    <t>Segment Margin including Corporate Exp.</t>
  </si>
  <si>
    <t>LLL.N,mscalc:targetPrice,,,,USD</t>
  </si>
  <si>
    <t>LLL.N,mscalc:closePriceCurrencyCalc</t>
  </si>
  <si>
    <t>LLL.N,mscalc:sedolCodeCalc</t>
  </si>
  <si>
    <t>2247366</t>
  </si>
  <si>
    <t>Check</t>
  </si>
  <si>
    <t>Total Assets</t>
  </si>
  <si>
    <t>Total Current Liabilities</t>
  </si>
  <si>
    <t>Deferred Income Taxes</t>
  </si>
  <si>
    <t>Proceeds from Issuance of Common Stock</t>
  </si>
  <si>
    <t>Total Revenues</t>
  </si>
  <si>
    <t>USD</t>
  </si>
  <si>
    <t>2009A</t>
  </si>
  <si>
    <t>GAAP EPS</t>
  </si>
  <si>
    <t>Total Operating Income</t>
  </si>
  <si>
    <t>Total Operating Margin</t>
  </si>
  <si>
    <t>Net Income - Reported</t>
  </si>
  <si>
    <t>Avg. Diluted Shs.</t>
  </si>
  <si>
    <t>Dividend Per Share</t>
  </si>
  <si>
    <t>Receivables</t>
  </si>
  <si>
    <t>Accounts Payable</t>
  </si>
  <si>
    <t>Net Cash From Operations</t>
  </si>
  <si>
    <t>Net Cash From Investing</t>
  </si>
  <si>
    <t>Dividends Paid</t>
  </si>
  <si>
    <t>Net Cash From Financing</t>
  </si>
  <si>
    <t>Effect of Exchange Rates On Cash &amp; Cash Equivalents</t>
  </si>
  <si>
    <t>Net Increase / (Decrease) In Cash</t>
  </si>
  <si>
    <t>Avg Debt</t>
  </si>
  <si>
    <t>Implied Interest Rate and Forward Interest Rate Assumption</t>
  </si>
  <si>
    <t>Interest Expense Forecast</t>
  </si>
  <si>
    <t>CASH FLOW STATEMENT</t>
  </si>
  <si>
    <t>BALANCE SHEET</t>
  </si>
  <si>
    <t>Liabilities</t>
  </si>
  <si>
    <t>Shareholders' Equity</t>
  </si>
  <si>
    <t>Extraordinary/One-Time Charges/Expenses</t>
  </si>
  <si>
    <t>Discontinued operations</t>
  </si>
  <si>
    <t>Per Share Effect of Extra Item</t>
  </si>
  <si>
    <t>Sharecount Calculation</t>
  </si>
  <si>
    <t>Basic Shares Outstanding - Period End (MM)</t>
  </si>
  <si>
    <t>Net Change in Sharecount</t>
  </si>
  <si>
    <t>Basic Shares Outstanding - Average (MM)</t>
  </si>
  <si>
    <t>Share Impact of Dilutive Instruments</t>
  </si>
  <si>
    <t>Avg. Stock Price (for repurchase calculation)</t>
  </si>
  <si>
    <t>Sequential % Chg.</t>
  </si>
  <si>
    <t>Dividend Payout Ratio</t>
  </si>
  <si>
    <t>Working Capital / Other</t>
  </si>
  <si>
    <t>FCF Conversion %</t>
  </si>
  <si>
    <t>As a % of Net Revenue</t>
  </si>
  <si>
    <t>As a % of Beginning Net PP&amp;E</t>
  </si>
  <si>
    <t>Capital Expenditures</t>
  </si>
  <si>
    <t>Ending Cash</t>
  </si>
  <si>
    <t>Cash &amp; Cash Equivalents</t>
  </si>
  <si>
    <t xml:space="preserve">Total Current Assets </t>
  </si>
  <si>
    <t>Property, Plant &amp; Equipment - net</t>
  </si>
  <si>
    <t>Dividends</t>
  </si>
  <si>
    <t>Free Cash Flow</t>
  </si>
  <si>
    <t>Total Backlog ($M)</t>
  </si>
  <si>
    <t>FAS Expense</t>
  </si>
  <si>
    <t>CAS Expense</t>
  </si>
  <si>
    <t>Funded Backlog ($M)</t>
  </si>
  <si>
    <t>Unfunded Backlog ($M)</t>
  </si>
  <si>
    <t>Economic EPS (ex. FAS/CAS)</t>
  </si>
  <si>
    <t>Other Non-Current Liabilities</t>
  </si>
  <si>
    <t>Total Liabilities</t>
  </si>
  <si>
    <t>Accumulated Other Comprehensive Income (Loss)</t>
  </si>
  <si>
    <t>Cost of Sales</t>
  </si>
  <si>
    <t xml:space="preserve">Current portion of LT Debt </t>
  </si>
  <si>
    <t xml:space="preserve">Long-Term Debt </t>
  </si>
  <si>
    <t>Other Investing activities</t>
  </si>
  <si>
    <t>Total Unallocated Expenses</t>
  </si>
  <si>
    <t>Corporate &amp; Other</t>
  </si>
  <si>
    <t>Information Systems &amp; Global Solutions</t>
  </si>
  <si>
    <t>Income Statement</t>
  </si>
  <si>
    <t>Segment Operating Margin</t>
  </si>
  <si>
    <t>2013A</t>
  </si>
  <si>
    <t>Excess tax benefits on stock compensation &amp; other</t>
  </si>
  <si>
    <t>Other current liabilities</t>
  </si>
  <si>
    <t>EAC-Adjusted Segment Op. Margin</t>
  </si>
  <si>
    <t>Issuance of long-term Debt</t>
  </si>
  <si>
    <t>2014A</t>
  </si>
  <si>
    <t>IS &amp; GS Op. Income</t>
  </si>
  <si>
    <t>IS &amp; GS Op. Expenses</t>
  </si>
  <si>
    <t>2015A</t>
  </si>
  <si>
    <t xml:space="preserve">2018E </t>
  </si>
  <si>
    <t xml:space="preserve">2019E </t>
  </si>
  <si>
    <t>Rotary and Mission Systems</t>
  </si>
  <si>
    <t>Rotary and Mission Systems Op. Margin</t>
  </si>
  <si>
    <t>Rotary and Mission Systems Op. Income</t>
  </si>
  <si>
    <t xml:space="preserve">Rotary and Mission Systems Op. Expenses </t>
  </si>
  <si>
    <t>Rating:</t>
  </si>
  <si>
    <t>Price Target:</t>
  </si>
  <si>
    <t>Date:</t>
  </si>
  <si>
    <t>Rajeev Lalwani</t>
  </si>
  <si>
    <t>(212) 761-8518</t>
  </si>
  <si>
    <t>rajeev.lalwani@morganstanley.com</t>
  </si>
  <si>
    <t xml:space="preserve">Lockheed Martin </t>
  </si>
  <si>
    <t>Valuation Summary</t>
  </si>
  <si>
    <t>$m, unless stated otherwise</t>
  </si>
  <si>
    <t>BEAR TO BULL VALUATION</t>
  </si>
  <si>
    <t>BEAR</t>
  </si>
  <si>
    <t>BASE</t>
  </si>
  <si>
    <t>BULL</t>
  </si>
  <si>
    <t>SUMMARIZED FINANCIAL DATA</t>
  </si>
  <si>
    <t>Valuation Year</t>
  </si>
  <si>
    <t>Company Valuation</t>
  </si>
  <si>
    <t>Price Return Potential</t>
  </si>
  <si>
    <t>Implied Target P/E</t>
  </si>
  <si>
    <t>Implied Target EV/EBITDA</t>
  </si>
  <si>
    <t>Implied Target FCF Yield</t>
  </si>
  <si>
    <t>Allocated Segment Costs</t>
  </si>
  <si>
    <t>Assumed Multiple</t>
  </si>
  <si>
    <t>FAS/CAS Adjustment</t>
  </si>
  <si>
    <t>Implied Per Share Value</t>
  </si>
  <si>
    <t>Unallocated/Other Expense</t>
  </si>
  <si>
    <t>Forecasted Debt</t>
  </si>
  <si>
    <t>Cash and ST Investments</t>
  </si>
  <si>
    <t>Operating Income</t>
  </si>
  <si>
    <t>Net Debt</t>
  </si>
  <si>
    <t>Taxes</t>
  </si>
  <si>
    <t>Forecasted Shares (mil)</t>
  </si>
  <si>
    <t>OPERATING STATISTICS</t>
  </si>
  <si>
    <t>Diluted Shares (mil)</t>
  </si>
  <si>
    <t>EPS (Diluted)</t>
  </si>
  <si>
    <t>Cash Flow</t>
  </si>
  <si>
    <t>Total Revenue Growth</t>
  </si>
  <si>
    <t>Operating Cash Flow</t>
  </si>
  <si>
    <t>Cash Flow from Investment</t>
  </si>
  <si>
    <t>Total Segment Operating Margin</t>
  </si>
  <si>
    <t>Share Repurchases</t>
  </si>
  <si>
    <t>Total EBITDA Margin</t>
  </si>
  <si>
    <t>Net Debt Change</t>
  </si>
  <si>
    <t>TRAPING MULTIPLES - MSe</t>
  </si>
  <si>
    <t>Cash Flow from Financing</t>
  </si>
  <si>
    <t>P/E</t>
  </si>
  <si>
    <t>EV/EBITDA</t>
  </si>
  <si>
    <t>FCF Yield</t>
  </si>
  <si>
    <t>Free Cash Flow Conversion</t>
  </si>
  <si>
    <t>Free Cash Flow Per Share</t>
  </si>
  <si>
    <t>Debt</t>
  </si>
  <si>
    <t>Net Debt to EBITDA</t>
  </si>
  <si>
    <t>Debt to EBITDA</t>
  </si>
  <si>
    <t xml:space="preserve">Missiles and Fire Control </t>
  </si>
  <si>
    <t>Rotary and Mission Systems Backlog ($M)</t>
  </si>
  <si>
    <t>Overweight</t>
  </si>
  <si>
    <t xml:space="preserve">2020E </t>
  </si>
  <si>
    <t xml:space="preserve">2021E </t>
  </si>
  <si>
    <t>Information Systems &amp; Global Services Backlog ($M)</t>
  </si>
  <si>
    <t>International / US Commercial Sales</t>
  </si>
  <si>
    <t>US Government Sales</t>
  </si>
  <si>
    <t>Company-Reported Basic EPS from Cont. Ops.</t>
  </si>
  <si>
    <t>Non Controlling Interests in Subsidiary</t>
  </si>
  <si>
    <t>MS Net Income</t>
  </si>
  <si>
    <t>MS Net Income Adjusted</t>
  </si>
  <si>
    <t>Equity Value</t>
  </si>
  <si>
    <t>Operating Margin Change (-1% / 0% / +1.5%)</t>
  </si>
  <si>
    <t>Implied Target P/E - FAS/CAS Adjusted</t>
  </si>
  <si>
    <t>Revenue Change (-1% / 0% / +2%)</t>
  </si>
  <si>
    <t>FCF Returned to Shareholders</t>
  </si>
  <si>
    <t>Deliveries</t>
  </si>
  <si>
    <t>Procurement</t>
  </si>
  <si>
    <t>Sustainment</t>
  </si>
  <si>
    <t>2522096</t>
  </si>
  <si>
    <t>Matthew Sharpe</t>
  </si>
  <si>
    <t>(212) 761-5156</t>
  </si>
  <si>
    <t>matt.sharpe@morganstanley.com</t>
  </si>
  <si>
    <t>Pension Pre-funding FAS benefit</t>
  </si>
  <si>
    <t>382</t>
  </si>
  <si>
    <t>F-35 Program</t>
  </si>
  <si>
    <t>In Production Cost</t>
  </si>
  <si>
    <t>Revenue/Aircraft</t>
  </si>
  <si>
    <t>SDD &amp; FoD</t>
  </si>
  <si>
    <t>2018E</t>
  </si>
  <si>
    <t>2019E</t>
  </si>
  <si>
    <t>2020E</t>
  </si>
  <si>
    <t>2021E</t>
  </si>
  <si>
    <t>Other (Tooling, Spares etc.)</t>
  </si>
  <si>
    <t>RMS Op. Margin Ex-EAC Change</t>
  </si>
  <si>
    <t>RMS Op. Inc. Ex-EAC Change</t>
  </si>
  <si>
    <t>2015A
Restated</t>
  </si>
  <si>
    <t>2014A
Restated</t>
  </si>
  <si>
    <t>2013A
Restated</t>
  </si>
  <si>
    <t>2016A
Restated</t>
  </si>
  <si>
    <t>2016A
Prior to
Restructuring</t>
  </si>
  <si>
    <t>2016A
Restate</t>
  </si>
  <si>
    <t>2017A
Restate</t>
  </si>
  <si>
    <t>Non-Service FAS Costs</t>
  </si>
  <si>
    <t>Outlook: 4Q17 (Jan '18): $50.0-51.5B</t>
  </si>
  <si>
    <t>Outlook: 4Q17 (Jan '18): $2.175-2.225B</t>
  </si>
  <si>
    <t>Outlook: 4Q17 (Jan '18): $1.060-1.090B</t>
  </si>
  <si>
    <t>Outlook: 4Q17 (Jan '18): $0.995-1.035B</t>
  </si>
  <si>
    <t>Outlook: 4Q17 (Jan '18): $0.970-1.000B</t>
  </si>
  <si>
    <t>Outlook: 4Q17 (Jan '18): $5.200-5.350B</t>
  </si>
  <si>
    <t>Outlook: 4Q17 (Jan '18): $20.325-20.825B</t>
  </si>
  <si>
    <t>Outlook: 4Q17 (Jan '18): $7.525-7.825B</t>
  </si>
  <si>
    <t>Outlook: 4Q17 (Jan '18): $13.300-13.700B</t>
  </si>
  <si>
    <t>Outlook: 4Q17 (Jan '18): $8.850-9.150B</t>
  </si>
  <si>
    <t>Outlook: 4Q17 (Jan '18): $1,010M</t>
  </si>
  <si>
    <t>Outlook: 4Q17 (Jan '18): $870M</t>
  </si>
  <si>
    <t>Outlook: 4Q17 (Jan '18): $6,830-6,980M</t>
  </si>
  <si>
    <t>Outlook: 4Q17 (Jan '18): $250M</t>
  </si>
  <si>
    <t>Outlook: 4Q17 (Jan '18): $15.20-15.50</t>
  </si>
  <si>
    <t>Outlook: 4Q17 (Jan '18): "17-18% effective rate"</t>
  </si>
  <si>
    <r>
      <t xml:space="preserve">Outlook: 4Q17 (Jan '18): </t>
    </r>
    <r>
      <rPr>
        <sz val="8"/>
        <rFont val="Calibri"/>
        <family val="2"/>
      </rPr>
      <t xml:space="preserve">≥ </t>
    </r>
    <r>
      <rPr>
        <sz val="8"/>
        <rFont val="Arial"/>
        <family val="2"/>
      </rPr>
      <t>$3,000M</t>
    </r>
  </si>
  <si>
    <t>Min.</t>
  </si>
  <si>
    <t>Mid.</t>
  </si>
  <si>
    <t>High</t>
  </si>
  <si>
    <t>$3B of debt funding for pension contribution</t>
  </si>
  <si>
    <t>F35</t>
  </si>
  <si>
    <t>Assumed amortization cut in half and service costs end in 2020</t>
  </si>
  <si>
    <t>Tax Rate Change (0% / 0% / 0%)</t>
  </si>
  <si>
    <t>1QE</t>
  </si>
  <si>
    <t>2QE</t>
  </si>
  <si>
    <t>3QE</t>
  </si>
  <si>
    <t>4QE</t>
  </si>
  <si>
    <t>Research</t>
  </si>
  <si>
    <t>MSA91FHR</t>
  </si>
  <si>
    <t>e = Morgan Stanley Research estimates unless otherwise noted</t>
  </si>
  <si>
    <t>Source: Morgan Stanley Research unless otherwise noted</t>
  </si>
  <si>
    <t>Stocks ratings are relative to the analyst's industry coverage universe.</t>
  </si>
  <si>
    <t>1585 Broadway</t>
  </si>
  <si>
    <t>New York, NY  10036-8293</t>
  </si>
  <si>
    <t>United States</t>
  </si>
  <si>
    <t>Tel: +1 (1)212 761 4000</t>
  </si>
  <si>
    <t>Authors: Rajeev Lalwani</t>
  </si>
  <si>
    <t>Date: 11 Apr 2018</t>
  </si>
  <si>
    <t>Ticker: LMT.N</t>
  </si>
  <si>
    <t>Stock Rating: Overweight</t>
  </si>
  <si>
    <t>Industry: Aerospace &amp; Defense</t>
  </si>
  <si>
    <t>Industry View: In-Line</t>
  </si>
  <si>
    <t>Price as of 11 Apr 2018: 344.57</t>
  </si>
  <si>
    <t>Target Price: 373</t>
  </si>
  <si>
    <t>Analyst Certification</t>
  </si>
  <si>
    <t>Unless otherwise stated, the individuals listed on the cover page of this report are research analysts.</t>
  </si>
  <si>
    <t>Global Research Conflict Management Policy</t>
  </si>
  <si>
    <t>Important US Regulatory Disclosures on Subject Companies</t>
  </si>
  <si>
    <t>Morgan Stanley &amp; Co. LLC makes a market in the securities of Lockheed Martin Corp..</t>
  </si>
  <si>
    <t>STOCK RATINGS</t>
  </si>
  <si>
    <t>Global Stock Ratings Distribution</t>
  </si>
  <si>
    <t>(as of March 31, 2018)</t>
  </si>
  <si>
    <t>Coverage Universe</t>
  </si>
  <si>
    <t>Investment Banking Clients (IBC)</t>
  </si>
  <si>
    <t>Other Material Investment Services Clients (MISC)</t>
  </si>
  <si>
    <t>Stock Rating Category</t>
  </si>
  <si>
    <t>% of Total</t>
  </si>
  <si>
    <t>% of Total IBC</t>
  </si>
  <si>
    <t>% of Rating Category</t>
  </si>
  <si>
    <t>% of Total Other MISC</t>
  </si>
  <si>
    <t>Overweight/Buy</t>
  </si>
  <si>
    <t>Equal-weight/Hold</t>
  </si>
  <si>
    <t>Not-Rated/Hold</t>
  </si>
  <si>
    <t>Underweight/Sell</t>
  </si>
  <si>
    <t>Analyst Stock Ratings</t>
  </si>
  <si>
    <t>Analyst Industry Views</t>
  </si>
  <si>
    <t>.</t>
  </si>
  <si>
    <t>Stock Price, Price Target and Rating History (See Rating Definitions)</t>
  </si>
  <si>
    <t>Important Disclosures for Morgan Stanley Smith Barney LLC Customers</t>
  </si>
  <si>
    <t>Other Important Disclosures</t>
  </si>
  <si>
    <t>Morgan Stanley Research, or any portion thereof may not be reprinted, sold or redistributed without the</t>
  </si>
  <si>
    <t>written consent of Morgan Stanley.</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</si>
  <si>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</si>
  <si>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</si>
  <si>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</si>
  <si>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</si>
  <si>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</si>
  <si>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</si>
  <si>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</si>
  <si>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</si>
  <si>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</si>
  <si>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</si>
  <si>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</si>
  <si>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information in Morgan Stanley Research is being communicated by Morgan Stanley &amp; Co. International</t>
  </si>
  <si>
    <t>plc (QFC Branch), regulated by the Qatar Financial Centre Regulatory Authority (the QFCRA), and is</t>
  </si>
  <si>
    <t>directed at business customers and market counterparties only and is not intended for Retail Customers</t>
  </si>
  <si>
    <t>as defined by the QFCRA.</t>
  </si>
  <si>
    <t>plc (DIFC Branch), regulated by the Dubai Financial Services Authority (the DFSA), and is directed at</t>
  </si>
  <si>
    <t>Professional Clients only, as defined by the DFSA. The financial products or financial services to which</t>
  </si>
  <si>
    <t>this research relates will only be made available to a customer who we are satisfied meets the</t>
  </si>
  <si>
    <t>regulatory criteria to be a Professional Client.</t>
  </si>
  <si>
    <t>Morgan Stanley Research is disseminated in Brazil by Morgan Stanley C.T.V.M. S.A.; in Mexico by Morgan</t>
  </si>
  <si>
    <t>Stanley México, Casa de Bolsa, S.A. de C.V which is regulated by Comision Nacional Bancaria y de</t>
  </si>
  <si>
    <t>Valores. Paseo de los Tamarindos 90, Torre 1, Col. Bosques de las Lomas Floor 29, 05120 Mexico City; in</t>
  </si>
  <si>
    <t>Japan by Morgan Stanley MUFG Securities Co., Ltd. and, for Commodities related research reports only,</t>
  </si>
  <si>
    <t>Morgan Stanley Capital Group Japan Co., Ltd; in Hong Kong by Morgan Stanley Asia Limited (which accepts</t>
  </si>
  <si>
    <t>responsibility for its contents) and by Morgan Stanley Asia International Limited, Hong Kong Branch; in</t>
  </si>
  <si>
    <t>Singapore by Morgan Stanley Asia (Singapore) Pte. (Registration number 199206298Z) and/or Morgan Stanley</t>
  </si>
  <si>
    <t>Asia (Singapore) Securities Pte Ltd (Registration number 200008434H), regulated by the Monetary</t>
  </si>
  <si>
    <t>Authority of Singapore (which accepts legal responsibility for its contents and should be contacted with</t>
  </si>
  <si>
    <t>respect to any matters arising from, or in connection with, Morgan Stanley Research) and by Morgan</t>
  </si>
  <si>
    <t>Stanley Asia International Limited, Singapore Branch (Registration number T11FC0207F);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</si>
  <si>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</si>
  <si>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</si>
  <si>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</si>
  <si>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</si>
  <si>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</si>
  <si>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</si>
  <si>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in Indonesia by PT. Morgan Stanley Sekuritas Indonesia; in Canada</t>
  </si>
  <si>
    <t>by Morgan Stanley Canada Limited, which has approved of and takes responsibility for its contents in</t>
  </si>
  <si>
    <t>Canada; in Germany by Morgan Stanley Bank AG, Frankfurt am Main and Morgan Stanley Private Wealth</t>
  </si>
  <si>
    <t>Management Limited, Niederlassung Deutschland, regulated by Bundesanstalt fuer</t>
  </si>
  <si>
    <t>Finanzdienstleistungsaufsicht (BaFin); in Spain by Morgan Stanley, S.V., S.A., a Morgan Stanley group</t>
  </si>
  <si>
    <t>company, which is supervised by the Spanish Securities Markets Commission (CNMV) and states that Morgan</t>
  </si>
  <si>
    <t>Stanley Research has been written and distributed in accordance with the rules of conduct applicable to</t>
  </si>
  <si>
    <t>financial research as established under Spanish regulations; in the US by Morgan Stanley &amp; Co. LLC,</t>
  </si>
  <si>
    <t>which accepts responsibility for its contents. Morgan Stanley &amp; Co. International plc, authorized by the</t>
  </si>
  <si>
    <t>Prudential Regulatory Authority and regulated by the Financial Conduct Authority and the Prudential</t>
  </si>
  <si>
    <t>Regulatory Authority, disseminates in the UK research that it has prepared, and approves solely for the</t>
  </si>
  <si>
    <t>purposes of section 21 of the Financial Services and Markets Act 2000, research which has been prepared</t>
  </si>
  <si>
    <t>by any of its affiliates. RMB Morgan Stanley Proprietary Limited is a member of the JSE Limited and</t>
  </si>
  <si>
    <t>regulated by the Financial Services Board in South Africa. RMB Morgan Stanley Proprietary Limited is a</t>
  </si>
  <si>
    <t>joint venture owned equally by Morgan Stanley International Holdings Inc. and RMB Investment Advisory</t>
  </si>
  <si>
    <t>(Proprietary) Limited, which is wholly owned by FirstRand Limited. The information in Morgan Stanley</t>
  </si>
  <si>
    <t>Research is being disseminated by Morgan Stanley Saudi Arabia, regulated by the Capital Market Authority</t>
  </si>
  <si>
    <t>in the Kingdom of Saudi Arabia , and is directed at Sophisticated investors only.</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</si>
  <si>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</si>
  <si>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</si>
  <si>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</si>
  <si>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</si>
  <si>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</si>
  <si>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</si>
  <si>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</si>
  <si>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</si>
  <si>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</si>
  <si>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</si>
  <si>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</si>
  <si>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</si>
  <si>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</si>
  <si>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</si>
  <si>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</si>
  <si>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</si>
  <si>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</si>
  <si>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</si>
  <si>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</si>
  <si>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</si>
  <si>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</si>
  <si>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Morgan Stanley may make investment decisions that are inconsistent with the recommendations or views in</t>
  </si>
  <si>
    <t>this report.</t>
  </si>
  <si>
    <t>Morgan Stanley Research personnel may participate in company events such as site visits and are</t>
  </si>
  <si>
    <t>generally prohibited from accepting payment by the company of associated expenses unless pre-approved by</t>
  </si>
  <si>
    <t>authorized members of Research management.</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</si>
  <si>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</si>
  <si>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</si>
  <si>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</si>
  <si>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</si>
  <si>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</si>
  <si>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</si>
  <si>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</si>
  <si>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The "Important US Regulatory Disclosures on Subject Companies" section in Morgan Stanley Research lists</t>
  </si>
  <si>
    <t>all companies mentioned where Morgan Stanley owns 1% or more of a class of common equity securities of</t>
  </si>
  <si>
    <t>the 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</si>
  <si>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</si>
  <si>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</si>
  <si>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</si>
  <si>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</si>
  <si>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</si>
  <si>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</si>
  <si>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</si>
  <si>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</si>
  <si>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</si>
  <si>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</si>
  <si>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</si>
  <si>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</si>
  <si>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particular trading desks.</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</si>
  <si>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</si>
  <si>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</si>
  <si>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</si>
  <si>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</si>
  <si>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</si>
  <si>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</si>
  <si>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</si>
  <si>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</si>
  <si>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</si>
  <si>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</si>
  <si>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</si>
  <si>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</si>
  <si>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</si>
  <si>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</si>
  <si>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</si>
  <si>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</si>
  <si>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If you do not agree to our Terms of Use and/or if you do not wish to provide your consent to Morgan</t>
  </si>
  <si>
    <t>Stanley processing your personal data or using cookies please do not access our research.</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</si>
  <si>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</si>
  <si>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</si>
  <si>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</si>
  <si>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</si>
  <si>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</si>
  <si>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</si>
  <si>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</si>
  <si>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</si>
  <si>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</si>
  <si>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</si>
  <si>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</si>
  <si>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</si>
  <si>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</si>
  <si>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</si>
  <si>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</si>
  <si>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</si>
  <si>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</si>
  <si>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</si>
  <si>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</si>
  <si>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</si>
  <si>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</si>
  <si>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</si>
  <si>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</si>
  <si>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</si>
  <si>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</si>
  <si>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</si>
  <si>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</si>
  <si>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</si>
  <si>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</si>
  <si>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</si>
  <si>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</si>
  <si>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Morgan Stanley &amp; Co. International PLC and its affiliates have a significant financial interest in the</t>
  </si>
  <si>
    <t>debt securities of Lockheed Martin Corp..</t>
  </si>
  <si>
    <t>Each Morgan Stanley Equity Research report is reviewed and approved on behalf of Morgan Stanley Smith</t>
  </si>
  <si>
    <t>Barney LLC. This review and approval is conducted by the same person who reviews the Equity Research</t>
  </si>
  <si>
    <t>report on behalf of Morgan Stanley. This could create a conflict of interest.</t>
  </si>
  <si>
    <t>Important disclosures regarding the relationship between the companies that are the subject of Morgan</t>
  </si>
  <si>
    <t>Stanley Research and Morgan Stanley Smith Barney LLC or Morgan Stanley or any of their affiliates, are</t>
  </si>
  <si>
    <t>available on the Morgan Stanley Wealth Management disclosure website at</t>
  </si>
  <si>
    <t>www.morganstanley.com/online/researchdisclosures. For Morgan Stanley specific disclosures, you may refer</t>
  </si>
  <si>
    <t>to www.morganstanley.com/researchdisclosures.</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</si>
  <si>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</si>
  <si>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</si>
  <si>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</si>
  <si>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Cautious (C): The analyst views the performance of his or her industry coverage universe over the next</t>
  </si>
  <si>
    <t>12-18 months with caution vs. the relevant broad market benchmark, as indicated below.</t>
  </si>
  <si>
    <t>In-Line (I): The analyst expects the performance of his or her industry coverage universe over the next</t>
  </si>
  <si>
    <t>12-18 months to be in line with the relevant broad market benchmark, as indicated below.</t>
  </si>
  <si>
    <t>Attractive (A): The analyst expects the performance of his or her industry coverage universe over the</t>
  </si>
  <si>
    <t>next 12-18 months to be attractive vs. the relevant broad market benchmark, as indicated below.</t>
  </si>
  <si>
    <t>Unless otherwise specified, the time frame for price targets included in Morgan Stanley Research is 12</t>
  </si>
  <si>
    <t>to 18 months.</t>
  </si>
  <si>
    <t>Underweight (U). The stock's total return is expected to be below the average total return of the</t>
  </si>
  <si>
    <t>analyst's industry (or industry team's) coverage universe, on a risk-adjusted basis, over the next 12-18</t>
  </si>
  <si>
    <t>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</si>
  <si>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</si>
  <si>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</si>
  <si>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</si>
  <si>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</si>
  <si>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</si>
  <si>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</si>
  <si>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Overweight (O). The stock's total return is expected to exceed the average total return of the analyst's</t>
  </si>
  <si>
    <t>industry (or industry team's) coverage universe, on a risk-adjusted basis, over the next 12-18 months.</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</si>
  <si>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</si>
  <si>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</si>
  <si>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</si>
  <si>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</si>
  <si>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For disclosure purposes only (in accordance with NASD and NYSE requirements), we include the category</t>
  </si>
  <si>
    <t>headings of Buy, Hold, and Sell alongside our ratings of Overweight, Equal-weight, Not-Rated and</t>
  </si>
  <si>
    <t>Underweight. Morgan Stanley does not assign ratings of Buy, Hold or Sell to the stocks we cover.</t>
  </si>
  <si>
    <t>Overweight, Equal-weight, Not-Rated and Underweight are not the equivalent of buy, hold, and sell but</t>
  </si>
  <si>
    <t>represent recommended relative weightings (see definitions below). To satisfy regulatory requirements,</t>
  </si>
  <si>
    <t>we correspond Overweight, our most positive stock rating, with a buy recommendation; we correspond</t>
  </si>
  <si>
    <t>Equal-weight and Not-Rated to hold and Underweight to sell recommendations, respectively.</t>
  </si>
  <si>
    <t>The Stock Ratings described below apply to Morgan Stanley's Fundamental Equity Research and do not apply</t>
  </si>
  <si>
    <t>to Debt Research produced by the Firm.</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</si>
  <si>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</si>
  <si>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</si>
  <si>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</si>
  <si>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</si>
  <si>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</si>
  <si>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</si>
  <si>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 upon</t>
  </si>
  <si>
    <t>as investment advice. An investor's decision to buy or sell a stock should depend on individual</t>
  </si>
  <si>
    <t>circumstances (such as the investor's existing holdings) and other considerations.</t>
  </si>
  <si>
    <t>Certain disclosures listed above are also for compliance with applicable regulations in non-US</t>
  </si>
  <si>
    <t>jurisdictions.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</si>
  <si>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</si>
  <si>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</si>
  <si>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</si>
  <si>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</si>
  <si>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</si>
  <si>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</si>
  <si>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</si>
  <si>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</si>
  <si>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</si>
  <si>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</si>
  <si>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</si>
  <si>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</si>
  <si>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Within the last 12 months, Morgan Stanley has either provided or is providing non-investment banking,</t>
  </si>
  <si>
    <t>securities-related services to and/or in the past has entered into an agreement to provide services or</t>
  </si>
  <si>
    <t>has a client relationship with the following company: Lockheed Martin Corp..</t>
  </si>
  <si>
    <t>Within the last 12 months, Morgan Stanley has provided or is providing investment banking services to,</t>
  </si>
  <si>
    <t>or has an investment banking client relationship with, the following company: Lockheed Martin Corp..</t>
  </si>
  <si>
    <t>Within the last 12 months, Morgan Stanley has received compensation for products and services other than</t>
  </si>
  <si>
    <t>investment banking services from Lockheed Martin Corp..</t>
  </si>
  <si>
    <t>In the next 3 months, Morgan Stanley expects to receive or intends to seek compensation for investment</t>
  </si>
  <si>
    <t>banking services from Lockheed Martin Corp..</t>
  </si>
  <si>
    <t>As of March 29, 2018, Morgan Stanley beneficially owned 1% or more of a class of common equity</t>
  </si>
  <si>
    <t>securities of the following companies covered in Morgan Stanley Research: Lockheed Martin Corp..</t>
  </si>
  <si>
    <t>Morgan Stanley Research has been published in accordance with our conflict management policy, which is</t>
  </si>
  <si>
    <t>available at www.morganstanley.com/institutional/research/conflictpolicies.</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</si>
  <si>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</si>
  <si>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</si>
  <si>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</si>
  <si>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Rajeev Lalwani, CFA.</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</si>
  <si>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</si>
  <si>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</si>
  <si>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</si>
  <si>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</si>
  <si>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</si>
  <si>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</si>
  <si>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For important disclosures, stock price charts and equity rating histories regarding companies that are</t>
  </si>
  <si>
    <t>the subject of this report, please see the Morgan Stanley Research Disclosure Website at</t>
  </si>
  <si>
    <t>www.morganstanley.com/researchdisclosures, or contact your investment representative or Morgan Stanley</t>
  </si>
  <si>
    <t>Research at 1585 Broadway, (Attention: Research Management), New York, NY, 10036 USA.</t>
  </si>
  <si>
    <t>The information and opinions in Morgan Stanley Research were prepared by Morgan Stanley &amp; Co. LLC,</t>
  </si>
  <si>
    <t>and/or Morgan Stanley C.T.V.M. S.A., and/or Morgan Stanley Mexico, Casa de Bolsa, S.A. de C.V., and/or</t>
  </si>
  <si>
    <t>Morgan Stanley Canada Limited. As used in this disclosure section, "Morgan Stanley" includes Morgan</t>
  </si>
  <si>
    <t>Stanley &amp; Co. LLC, Morgan Stanley C.T.V.M. S.A., Morgan Stanley Mexico, Casa de Bolsa, S.A. de C.V.,</t>
  </si>
  <si>
    <t>Morgan Stanley Canada Limited and their affiliates as necessary.</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</si>
  <si>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</si>
  <si>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</si>
  <si>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</si>
  <si>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</si>
  <si>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 Copyright 2018 Morgan Stanley</t>
  </si>
  <si>
    <t>MacroVersion</t>
  </si>
  <si>
    <t>PublishDate</t>
  </si>
  <si>
    <t>Discipline</t>
  </si>
  <si>
    <t>ResearchTopic</t>
  </si>
  <si>
    <t>Company</t>
  </si>
  <si>
    <t>DocType</t>
  </si>
  <si>
    <t>Model</t>
  </si>
  <si>
    <t>SubjectCode</t>
  </si>
  <si>
    <t>Description</t>
  </si>
  <si>
    <t>KeepVersions</t>
  </si>
  <si>
    <t>All</t>
  </si>
  <si>
    <t>Rating</t>
  </si>
  <si>
    <t>CurrYearTotalRevenue*</t>
  </si>
  <si>
    <t>CurrYearEPS*</t>
  </si>
  <si>
    <t>NextYearTotalRevenue*</t>
  </si>
  <si>
    <t>NextYearEPS*</t>
  </si>
  <si>
    <t>FollowingYearTotalRevenue*</t>
  </si>
  <si>
    <t>FollowingYearEPS*</t>
  </si>
  <si>
    <t>5YearGrowthRate</t>
  </si>
  <si>
    <t>UpdateReason</t>
  </si>
  <si>
    <t>Authors</t>
  </si>
  <si>
    <t>Tickers</t>
  </si>
  <si>
    <t>CUSIP</t>
  </si>
  <si>
    <t>RIC</t>
  </si>
  <si>
    <t>SEDOL</t>
  </si>
  <si>
    <t>PathName</t>
  </si>
  <si>
    <t>Distribution</t>
  </si>
  <si>
    <t>Deleted</t>
  </si>
  <si>
    <t>NO</t>
  </si>
  <si>
    <t>EmailAlert</t>
  </si>
  <si>
    <t>YES</t>
  </si>
  <si>
    <t>CurrQtrEPS</t>
  </si>
  <si>
    <t>CYEnd</t>
  </si>
  <si>
    <t>CQEnd</t>
  </si>
  <si>
    <t>CurrYearTotalRevenueActual*</t>
  </si>
  <si>
    <t>NextYearTotalRevenueActual*</t>
  </si>
  <si>
    <t>FollowingYearTotalRevenueActual*</t>
  </si>
  <si>
    <t>Multiplier</t>
  </si>
  <si>
    <t>TemplateRegion</t>
  </si>
  <si>
    <t>ObjectType</t>
  </si>
  <si>
    <t>excel</t>
  </si>
  <si>
    <t>LanguageCode</t>
  </si>
  <si>
    <t>en-US</t>
  </si>
  <si>
    <t>SubmitterUserId</t>
  </si>
  <si>
    <t>IndustryId</t>
  </si>
  <si>
    <t>TickerRegion</t>
  </si>
  <si>
    <t>AdditionalInstructions</t>
  </si>
  <si>
    <t>*Estimated</t>
  </si>
  <si>
    <t>Overweight / In-Line</t>
  </si>
  <si>
    <t>Regular Update</t>
  </si>
  <si>
    <t>NorthAmerica</t>
  </si>
  <si>
    <t>sharpmat</t>
  </si>
  <si>
    <t>L:\AERO\Companies\LMT\LMT.model.WIP.xlsm</t>
  </si>
  <si>
    <t>[BRO MSA]</t>
  </si>
  <si>
    <t>[PRODUCT MODEL]</t>
  </si>
  <si>
    <t>[EMAIL_ALERT YES]</t>
  </si>
  <si>
    <t>[DISCIPLINE Company]</t>
  </si>
  <si>
    <t>[SUPPRESSED NO]</t>
  </si>
  <si>
    <t>[DOCDAT 2018-04-11]</t>
  </si>
  <si>
    <t>[DOCTIME 12:37]</t>
  </si>
  <si>
    <t>[PSYM LMT.N(S&amp;P) (None)]</t>
  </si>
  <si>
    <t>[COU 1]</t>
  </si>
  <si>
    <t>[ANA ]</t>
  </si>
  <si>
    <t>[HL LMT.N Model]</t>
  </si>
  <si>
    <t>[IND AERODF DEFENS]</t>
  </si>
  <si>
    <t>[PANA MSA91FHR]</t>
  </si>
</sst>
</file>

<file path=xl/styles.xml><?xml version="1.0" encoding="utf-8"?>
<styleSheet xmlns="http://schemas.openxmlformats.org/spreadsheetml/2006/main" xmlns:mc="http://schemas.openxmlformats.org/markup-compatibility/2006" xmlns:x14ac="http://schemas.microsoft.com/office/spreadsheetml/2009/9/ac" mc:Ignorable="x14ac">
  <numFmts count="47">
    <numFmt numFmtId="5" formatCode="&quot;$&quot;#,##0_);\(&quot;$&quot;#,##0\)"/>
    <numFmt numFmtId="6" formatCode="&quot;$&quot;#,##0_);[Red]\(&quot;$&quot;#,##0\)"/>
    <numFmt numFmtId="7" formatCode="&quot;$&quot;#,##0.00_);\(&quot;$&quot;#,##0.00\)"/>
    <numFmt numFmtId="8" formatCode="&quot;$&quot;#,##0.00_);[Red]\(&quot;$&quot;#,##0.00\)"/>
    <numFmt numFmtId="41" formatCode="_(* #,##0_);_(* \(#,##0\);_(* &quot;-&quot;_);_(@_)"/>
    <numFmt numFmtId="44" formatCode="_(&quot;$&quot;* #,##0.00_);_(&quot;$&quot;* \(#,##0.00\);_(&quot;$&quot;* &quot;-&quot;??_);_(@_)"/>
    <numFmt numFmtId="43" formatCode="_(* #,##0.00_);_(* \(#,##0.00\);_(* &quot;-&quot;??_);_(@_)"/>
    <numFmt numFmtId="164" formatCode="_(* #,##0_);_(* \(#,##0\);_(* &quot;-&quot;??_);_(@_)"/>
    <numFmt numFmtId="165" formatCode="0.00_)"/>
    <numFmt numFmtId="166" formatCode="&quot;$&quot;#,##0.00"/>
    <numFmt numFmtId="167" formatCode="_(* #,##0.0_);_(* \(#,##0.0\);_(* &quot;-&quot;??_);_(@_)"/>
    <numFmt numFmtId="168" formatCode="&quot;$&quot;#,##0.0_);\(&quot;$&quot;#,##0.0\)"/>
    <numFmt numFmtId="169" formatCode="#,##0.0_);\(#,##0.0\)"/>
    <numFmt numFmtId="170" formatCode="#,##0.0%_);\(#,##0.0%\)"/>
    <numFmt numFmtId="171" formatCode="#,##0%_);\(#,##0%\)"/>
    <numFmt numFmtId="172" formatCode="_(* #,##0.0_);_(* \(#,##0.0\);_(* &quot;-&quot;?_);_(@_)"/>
    <numFmt numFmtId="173" formatCode="0.0%"/>
    <numFmt numFmtId="174" formatCode="_ * #,##0_ ;_ * \-#,##0_ ;_ * &quot;-&quot;_ ;_ @_ "/>
    <numFmt numFmtId="175" formatCode="#,##0.0\x_)"/>
    <numFmt numFmtId="176" formatCode="&quot;$&quot;#,##0"/>
    <numFmt numFmtId="177" formatCode="0&quot; &quot;"/>
    <numFmt numFmtId="178" formatCode="0.0"/>
    <numFmt numFmtId="179" formatCode="0.0\x"/>
    <numFmt numFmtId="180" formatCode="&quot;$&quot;#,##0.0"/>
    <numFmt numFmtId="181" formatCode="#,##0.0"/>
    <numFmt numFmtId="183" formatCode="#,##0.0000"/>
    <numFmt numFmtId="184" formatCode="#,##0.0000_);\(#,##0.0000\)"/>
    <numFmt numFmtId="185" formatCode="&quot;$&quot;#,##0.00000_);\(&quot;$&quot;#,##0.00000\)"/>
    <numFmt numFmtId="186" formatCode="&quot;$&quot;#,##0.0000_);\(&quot;$&quot;#,##0.0000\)"/>
    <numFmt numFmtId="187" formatCode="0.00\x"/>
    <numFmt numFmtId="188" formatCode="&quot;$&quot;#,##0.000_);\(&quot;$&quot;#,##0.000\)"/>
    <numFmt numFmtId="189" formatCode="0.000%"/>
    <numFmt numFmtId="190" formatCode="&quot;$&quot;#,##0.0000"/>
    <numFmt numFmtId="191" formatCode="0.0000%"/>
    <numFmt numFmtId="192" formatCode="#,##0.000000000000000"/>
    <numFmt numFmtId="193" formatCode="0.00000"/>
    <numFmt numFmtId="194" formatCode="&quot;$&quot;#,##0.0000000"/>
    <numFmt numFmtId="195" formatCode="mmmm\ d\,\ yyyy"/>
    <numFmt numFmtId="196" formatCode="[$-F400]h:mm:ss\ AM/PM"/>
    <numFmt numFmtId="197" formatCode="0&quot;E&quot;"/>
    <numFmt numFmtId="198" formatCode="0&quot;e&quot;"/>
    <numFmt numFmtId="199" formatCode="&quot;$&quot;#,##0.000"/>
    <numFmt numFmtId="200" formatCode="0.000"/>
    <numFmt numFmtId="201" formatCode="_(&quot;$&quot;* #,##0_);_(&quot;$&quot;* \(#,##0\);_(&quot;$&quot;* &quot;-&quot;??_);_(@_)"/>
    <numFmt numFmtId="202" formatCode="0&quot;A&quot;"/>
    <numFmt numFmtId="203" formatCode="0.0&quot;x&quot;"/>
    <numFmt numFmtId="204" formatCode="mm/dd/yy\ hh:mm"/>
  </numFmts>
  <fonts count="85">
    <font>
      <sz val="10"/>
      <name val="Arial"/>
    </font>
    <font>
      <sz val="10"/>
      <name val="Arial"/>
      <family val="2"/>
    </font>
    <font>
      <sz val="10"/>
      <name val="Arial"/>
      <family val="2"/>
    </font>
    <font>
      <sz val="8"/>
      <name val="Arial"/>
      <family val="2"/>
    </font>
    <font>
      <b/>
      <sz val="8"/>
      <name val="Arial"/>
      <family val="2"/>
    </font>
    <font>
      <sz val="8"/>
      <name val="Arial"/>
      <family val="2"/>
    </font>
    <font>
      <b/>
      <sz val="10"/>
      <name val="Arial"/>
      <family val="2"/>
    </font>
    <font>
      <sz val="10"/>
      <name val="Arial"/>
      <family val="2"/>
    </font>
    <font>
      <i/>
      <sz val="8"/>
      <name val="Times New Roman"/>
      <family val="1"/>
    </font>
    <font>
      <sz val="9"/>
      <name val="Times New Roman"/>
      <family val="1"/>
    </font>
    <font>
      <b/>
      <sz val="8"/>
      <color indexed="81"/>
      <name val="Tahoma"/>
      <family val="2"/>
    </font>
    <font>
      <sz val="8"/>
      <color indexed="81"/>
      <name val="Tahoma"/>
      <family val="2"/>
    </font>
    <font>
      <i/>
      <sz val="8"/>
      <name val="Arial"/>
      <family val="2"/>
    </font>
    <font>
      <sz val="10"/>
      <name val="MS Sans Serif"/>
      <family val="2"/>
    </font>
    <font>
      <b/>
      <sz val="10"/>
      <color indexed="8"/>
      <name val="Times New Roman"/>
      <family val="1"/>
    </font>
    <font>
      <sz val="10"/>
      <color indexed="8"/>
      <name val="Times New Roman"/>
      <family val="1"/>
    </font>
    <font>
      <sz val="8"/>
      <color indexed="9"/>
      <name val="Arial"/>
      <family val="2"/>
    </font>
    <font>
      <b/>
      <sz val="8"/>
      <color indexed="9"/>
      <name val="Arial"/>
      <family val="2"/>
    </font>
    <font>
      <sz val="10"/>
      <color indexed="9"/>
      <name val="Arial"/>
      <family val="2"/>
    </font>
    <font>
      <sz val="12"/>
      <name val="Arial"/>
      <family val="2"/>
    </font>
    <font>
      <b/>
      <i/>
      <sz val="8"/>
      <name val="Arial"/>
      <family val="2"/>
    </font>
    <font>
      <sz val="8"/>
      <color indexed="12"/>
      <name val="Arial"/>
      <family val="2"/>
    </font>
    <font>
      <sz val="10"/>
      <color indexed="8"/>
      <name val="MS Sans Serif"/>
      <family val="2"/>
    </font>
    <font>
      <sz val="10"/>
      <color indexed="8"/>
      <name val="Arial"/>
      <family val="2"/>
    </font>
    <font>
      <b/>
      <sz val="10"/>
      <color indexed="8"/>
      <name val="Arial"/>
      <family val="2"/>
    </font>
    <font>
      <sz val="11"/>
      <name val="Arial"/>
      <family val="2"/>
    </font>
    <font>
      <sz val="12"/>
      <name val="바탕체"/>
      <family val="1"/>
      <charset val="129"/>
    </font>
    <font>
      <sz val="8"/>
      <color indexed="12"/>
      <name val="Arial"/>
      <family val="2"/>
    </font>
    <font>
      <sz val="8"/>
      <color indexed="8"/>
      <name val="Arial"/>
      <family val="2"/>
    </font>
    <font>
      <b/>
      <sz val="8"/>
      <color indexed="12"/>
      <name val="Arial"/>
      <family val="2"/>
    </font>
    <font>
      <u/>
      <sz val="8"/>
      <color indexed="81"/>
      <name val="Tahoma"/>
      <family val="2"/>
    </font>
    <font>
      <b/>
      <u/>
      <sz val="8"/>
      <color indexed="81"/>
      <name val="Tahoma"/>
      <family val="2"/>
    </font>
    <font>
      <b/>
      <u/>
      <sz val="8"/>
      <color indexed="10"/>
      <name val="Tahoma"/>
      <family val="2"/>
    </font>
    <font>
      <b/>
      <sz val="8"/>
      <color indexed="8"/>
      <name val="Arial"/>
      <family val="2"/>
    </font>
    <font>
      <i/>
      <u/>
      <sz val="8"/>
      <color indexed="81"/>
      <name val="Tahoma"/>
      <family val="2"/>
    </font>
    <font>
      <sz val="12"/>
      <name val="Times New Roman"/>
      <family val="1"/>
    </font>
    <font>
      <sz val="10"/>
      <name val="Times New Roman"/>
      <family val="1"/>
    </font>
    <font>
      <sz val="8"/>
      <color indexed="8"/>
      <name val="Arial"/>
      <family val="2"/>
    </font>
    <font>
      <sz val="10"/>
      <name val="Courier"/>
      <family val="3"/>
    </font>
    <font>
      <b/>
      <sz val="8"/>
      <color indexed="10"/>
      <name val="Arial"/>
      <family val="2"/>
    </font>
    <font>
      <b/>
      <sz val="8"/>
      <name val="Arial"/>
      <family val="2"/>
    </font>
    <font>
      <sz val="10"/>
      <name val="Helv"/>
    </font>
    <font>
      <i/>
      <sz val="8"/>
      <color indexed="9"/>
      <name val="Arial"/>
      <family val="2"/>
    </font>
    <font>
      <b/>
      <sz val="8"/>
      <color indexed="22"/>
      <name val="Arial"/>
      <family val="2"/>
    </font>
    <font>
      <b/>
      <i/>
      <sz val="8"/>
      <color indexed="8"/>
      <name val="Arial"/>
      <family val="2"/>
    </font>
    <font>
      <b/>
      <i/>
      <sz val="8"/>
      <color indexed="12"/>
      <name val="Arial"/>
      <family val="2"/>
    </font>
    <font>
      <sz val="8"/>
      <color indexed="62"/>
      <name val="Arial"/>
      <family val="2"/>
    </font>
    <font>
      <b/>
      <sz val="8"/>
      <color indexed="62"/>
      <name val="Arial"/>
      <family val="2"/>
    </font>
    <font>
      <sz val="8"/>
      <color indexed="9"/>
      <name val="Arial"/>
      <family val="2"/>
    </font>
    <font>
      <b/>
      <i/>
      <sz val="8"/>
      <color indexed="9"/>
      <name val="Arial"/>
      <family val="2"/>
    </font>
    <font>
      <sz val="9"/>
      <color indexed="81"/>
      <name val="Tahoma"/>
      <family val="2"/>
    </font>
    <font>
      <b/>
      <sz val="9"/>
      <color indexed="81"/>
      <name val="Tahoma"/>
      <family val="2"/>
    </font>
    <font>
      <b/>
      <sz val="18"/>
      <color indexed="9"/>
      <name val="Arial"/>
      <family val="2"/>
    </font>
    <font>
      <b/>
      <sz val="12"/>
      <color indexed="9"/>
      <name val="Arial"/>
      <family val="2"/>
    </font>
    <font>
      <sz val="10"/>
      <color indexed="16"/>
      <name val="Arial"/>
      <family val="2"/>
    </font>
    <font>
      <b/>
      <sz val="10"/>
      <color indexed="16"/>
      <name val="Arial"/>
      <family val="2"/>
    </font>
    <font>
      <b/>
      <sz val="11"/>
      <color indexed="16"/>
      <name val="Arial"/>
      <family val="2"/>
    </font>
    <font>
      <b/>
      <sz val="14"/>
      <color indexed="9"/>
      <name val="Arial"/>
      <family val="2"/>
    </font>
    <font>
      <sz val="12"/>
      <color indexed="16"/>
      <name val="Arial"/>
      <family val="2"/>
    </font>
    <font>
      <b/>
      <sz val="12"/>
      <color indexed="12"/>
      <name val="Arial"/>
      <family val="2"/>
    </font>
    <font>
      <i/>
      <sz val="10"/>
      <color indexed="9"/>
      <name val="Arial"/>
      <family val="2"/>
    </font>
    <font>
      <i/>
      <sz val="10"/>
      <name val="Arial"/>
      <family val="2"/>
    </font>
    <font>
      <sz val="11"/>
      <color theme="1"/>
      <name val="Calibri"/>
      <family val="2"/>
      <scheme val="minor"/>
    </font>
    <font>
      <sz val="8"/>
      <color rgb="FF0000FF"/>
      <name val="Arial"/>
      <family val="2"/>
    </font>
    <font>
      <sz val="10"/>
      <color rgb="FF002060"/>
      <name val="Times New Roman"/>
      <family val="1"/>
    </font>
    <font>
      <b/>
      <sz val="11"/>
      <color rgb="FF002060"/>
      <name val="Arial"/>
      <family val="2"/>
    </font>
    <font>
      <sz val="10"/>
      <color rgb="FF002060"/>
      <name val="Arial"/>
      <family val="2"/>
    </font>
    <font>
      <b/>
      <sz val="10"/>
      <color rgb="FF002060"/>
      <name val="Arial"/>
      <family val="2"/>
    </font>
    <font>
      <b/>
      <sz val="10"/>
      <color theme="0"/>
      <name val="Arial"/>
      <family val="2"/>
    </font>
    <font>
      <sz val="10"/>
      <color theme="0"/>
      <name val="Arial"/>
      <family val="2"/>
    </font>
    <font>
      <b/>
      <u/>
      <sz val="10"/>
      <color rgb="FF0070C0"/>
      <name val="Arial"/>
      <family val="2"/>
    </font>
    <font>
      <sz val="10"/>
      <color rgb="FF0070C0"/>
      <name val="Arial"/>
      <family val="2"/>
    </font>
    <font>
      <i/>
      <sz val="10"/>
      <color rgb="FF0070C0"/>
      <name val="Arial"/>
      <family val="2"/>
    </font>
    <font>
      <b/>
      <sz val="10"/>
      <color rgb="FF0070C0"/>
      <name val="Arial"/>
      <family val="2"/>
    </font>
    <font>
      <b/>
      <sz val="8"/>
      <color rgb="FF0000FF"/>
      <name val="Arial"/>
      <family val="2"/>
    </font>
    <font>
      <sz val="8"/>
      <color rgb="FFFF0000"/>
      <name val="Arial"/>
      <family val="2"/>
    </font>
    <font>
      <sz val="10"/>
      <name val="Arial"/>
      <family val="2"/>
    </font>
    <font>
      <b/>
      <sz val="8"/>
      <color rgb="FFFF0000"/>
      <name val="Arial"/>
      <family val="2"/>
    </font>
    <font>
      <b/>
      <u val="singleAccounting"/>
      <sz val="8"/>
      <name val="Arial"/>
      <family val="2"/>
    </font>
    <font>
      <b/>
      <sz val="10"/>
      <color rgb="FFFF0000"/>
      <name val="Arial"/>
      <family val="2"/>
    </font>
    <font>
      <sz val="8"/>
      <name val="Calibri"/>
      <family val="2"/>
    </font>
    <font>
      <b/>
      <u/>
      <sz val="8"/>
      <name val="Arial"/>
      <family val="2"/>
    </font>
    <font>
      <sz val="10"/>
      <color rgb="FFFF0000"/>
      <name val="Arial"/>
      <family val="2"/>
    </font>
    <font>
      <sz val="10"/>
      <color rgb="FF000000"/>
      <name val="Arial"/>
      <family val="2"/>
    </font>
    <font>
      <b/>
      <sz val="12"/>
      <color rgb="FF000080"/>
      <name val="Arial"/>
      <family val="2"/>
    </font>
  </fonts>
  <fills count="16">
    <fill>
      <patternFill patternType="none"/>
    </fill>
    <fill>
      <patternFill patternType="gray125"/>
    </fill>
    <fill>
      <patternFill patternType="solid">
        <fgColor indexed="44"/>
      </patternFill>
    </fill>
    <fill>
      <patternFill patternType="solid">
        <fgColor indexed="43"/>
        <bgColor indexed="64"/>
      </patternFill>
    </fill>
    <fill>
      <patternFill patternType="solid">
        <fgColor indexed="22"/>
        <bgColor indexed="64"/>
      </patternFill>
    </fill>
    <fill>
      <patternFill patternType="solid">
        <fgColor indexed="9"/>
        <bgColor indexed="64"/>
      </patternFill>
    </fill>
    <fill>
      <patternFill patternType="solid">
        <fgColor indexed="18"/>
        <bgColor indexed="64"/>
      </patternFill>
    </fill>
    <fill>
      <patternFill patternType="solid">
        <fgColor indexed="48"/>
        <bgColor indexed="64"/>
      </patternFill>
    </fill>
    <fill>
      <patternFill patternType="solid">
        <fgColor indexed="23"/>
        <bgColor indexed="64"/>
      </patternFill>
    </fill>
    <fill>
      <patternFill patternType="solid">
        <fgColor theme="0"/>
        <bgColor indexed="64"/>
      </patternFill>
    </fill>
    <fill>
      <patternFill patternType="solid">
        <fgColor rgb="FF002060"/>
        <bgColor indexed="64"/>
      </patternFill>
    </fill>
    <fill>
      <patternFill patternType="solid">
        <fgColor theme="3" tint="0.79998168889431442"/>
        <bgColor indexed="64"/>
      </patternFill>
    </fill>
    <fill>
      <patternFill patternType="solid">
        <fgColor indexed="52"/>
        <bgColor indexed="64"/>
      </patternFill>
    </fill>
    <fill>
      <patternFill patternType="solid">
        <fgColor rgb="FF00B050"/>
        <bgColor indexed="64"/>
      </patternFill>
    </fill>
    <fill>
      <patternFill patternType="solid">
        <fgColor theme="0" tint="-0.249977111117893"/>
        <bgColor indexed="64"/>
      </patternFill>
    </fill>
    <fill>
      <patternFill patternType="solid">
        <fgColor indexed="65"/>
        <bgColor indexed="64"/>
      </patternFill>
    </fill>
  </fills>
  <borders count="39">
    <border>
      <left/>
      <right/>
      <top/>
      <bottom/>
      <diagonal/>
    </border>
    <border>
      <left/>
      <right/>
      <top/>
      <bottom style="thin">
        <color indexed="8"/>
      </bottom>
      <diagonal/>
    </border>
    <border>
      <left/>
      <right/>
      <top style="thin">
        <color indexed="64"/>
      </top>
      <bottom/>
      <diagonal/>
    </border>
    <border>
      <left/>
      <right/>
      <top/>
      <bottom style="thin">
        <color indexed="64"/>
      </bottom>
      <diagonal/>
    </border>
    <border>
      <left/>
      <right style="medium">
        <color indexed="9"/>
      </right>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right style="thin">
        <color indexed="64"/>
      </right>
      <top style="hair">
        <color indexed="64"/>
      </top>
      <bottom style="hair">
        <color indexed="64"/>
      </bottom>
      <diagonal/>
    </border>
    <border>
      <left/>
      <right/>
      <top style="dashed">
        <color indexed="64"/>
      </top>
      <bottom style="dashed">
        <color indexed="64"/>
      </bottom>
      <diagonal/>
    </border>
    <border>
      <left style="thin">
        <color indexed="64"/>
      </left>
      <right style="thin">
        <color indexed="64"/>
      </right>
      <top style="dashed">
        <color indexed="64"/>
      </top>
      <bottom style="dashed">
        <color indexed="64"/>
      </bottom>
      <diagonal/>
    </border>
    <border>
      <left style="thin">
        <color indexed="64"/>
      </left>
      <right/>
      <top style="dashed">
        <color indexed="64"/>
      </top>
      <bottom style="dashed">
        <color indexed="64"/>
      </bottom>
      <diagonal/>
    </border>
    <border>
      <left/>
      <right style="thin">
        <color indexed="64"/>
      </right>
      <top style="dashed">
        <color indexed="64"/>
      </top>
      <bottom style="dashed">
        <color indexed="64"/>
      </bottom>
      <diagonal/>
    </border>
    <border>
      <left style="thin">
        <color indexed="64"/>
      </left>
      <right/>
      <top style="hair">
        <color indexed="64"/>
      </top>
      <bottom style="hair">
        <color indexed="64"/>
      </bottom>
      <diagonal/>
    </border>
    <border>
      <left style="thin">
        <color indexed="64"/>
      </left>
      <right/>
      <top/>
      <bottom style="hair">
        <color indexed="64"/>
      </bottom>
      <diagonal/>
    </border>
    <border>
      <left/>
      <right/>
      <top/>
      <bottom style="hair">
        <color indexed="64"/>
      </bottom>
      <diagonal/>
    </border>
    <border>
      <left style="thin">
        <color indexed="64"/>
      </left>
      <right style="thin">
        <color indexed="64"/>
      </right>
      <top/>
      <bottom style="hair">
        <color indexed="64"/>
      </bottom>
      <diagonal/>
    </border>
    <border>
      <left/>
      <right style="thin">
        <color indexed="64"/>
      </right>
      <top/>
      <bottom style="hair">
        <color indexed="64"/>
      </bottom>
      <diagonal/>
    </border>
    <border>
      <left/>
      <right/>
      <top style="hair">
        <color indexed="64"/>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style="dashed">
        <color indexed="64"/>
      </bottom>
      <diagonal/>
    </border>
    <border>
      <left/>
      <right/>
      <top style="thin">
        <color indexed="64"/>
      </top>
      <bottom style="double">
        <color indexed="64"/>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right/>
      <top/>
      <bottom style="thin">
        <color rgb="FF000000"/>
      </bottom>
      <diagonal/>
    </border>
    <border>
      <left/>
      <right/>
      <top style="thin">
        <color rgb="FF000000"/>
      </top>
      <bottom/>
      <diagonal/>
    </border>
  </borders>
  <cellStyleXfs count="47">
    <xf numFmtId="0" fontId="0" fillId="0" borderId="0" applyNumberFormat="0" applyFont="0" applyFill="0" applyBorder="0" applyAlignment="0" applyProtection="0"/>
    <xf numFmtId="0" fontId="1" fillId="0" borderId="0"/>
    <xf numFmtId="0" fontId="1" fillId="0" borderId="0">
      <alignment vertical="top"/>
    </xf>
    <xf numFmtId="0" fontId="1" fillId="0" borderId="0">
      <alignment vertical="top"/>
    </xf>
    <xf numFmtId="0" fontId="2" fillId="0" borderId="0" applyNumberFormat="0" applyFont="0" applyFill="0" applyBorder="0" applyAlignment="0" applyProtection="0"/>
    <xf numFmtId="0" fontId="7" fillId="0" borderId="0" applyNumberFormat="0" applyFill="0" applyBorder="0" applyAlignment="0" applyProtection="0"/>
    <xf numFmtId="0" fontId="1" fillId="0" borderId="0"/>
    <xf numFmtId="0" fontId="13" fillId="0" borderId="0"/>
    <xf numFmtId="0" fontId="13" fillId="0" borderId="0"/>
    <xf numFmtId="0" fontId="14"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19" fillId="0" borderId="0" applyFont="0" applyFill="0" applyBorder="0" applyAlignment="0" applyProtection="0"/>
    <xf numFmtId="4" fontId="41" fillId="0" borderId="0" applyFont="0" applyFill="0" applyBorder="0" applyAlignment="0" applyProtection="0"/>
    <xf numFmtId="37" fontId="2" fillId="0" borderId="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19" fillId="0" borderId="0" applyFont="0" applyFill="0" applyBorder="0" applyAlignment="0" applyProtection="0"/>
    <xf numFmtId="5" fontId="2" fillId="0" borderId="0" applyFill="0" applyBorder="0" applyAlignment="0" applyProtection="0"/>
    <xf numFmtId="195" fontId="2" fillId="0" borderId="0" applyFill="0" applyBorder="0" applyAlignment="0" applyProtection="0"/>
    <xf numFmtId="2" fontId="2" fillId="0" borderId="0" applyFill="0" applyBorder="0" applyAlignment="0" applyProtection="0"/>
    <xf numFmtId="0" fontId="35" fillId="2" borderId="0" applyNumberFormat="0" applyFont="0" applyBorder="0" applyAlignment="0">
      <protection locked="0"/>
    </xf>
    <xf numFmtId="0" fontId="2" fillId="0" borderId="0"/>
    <xf numFmtId="169" fontId="19" fillId="0" borderId="0"/>
    <xf numFmtId="0" fontId="62" fillId="0" borderId="0"/>
    <xf numFmtId="0" fontId="36" fillId="0" borderId="0"/>
    <xf numFmtId="169" fontId="19" fillId="0" borderId="0"/>
    <xf numFmtId="0" fontId="22" fillId="0" borderId="0" applyNumberFormat="0" applyFont="0" applyFill="0" applyBorder="0" applyAlignment="0" applyProtection="0"/>
    <xf numFmtId="0" fontId="36" fillId="0" borderId="0"/>
    <xf numFmtId="0" fontId="38" fillId="0" borderId="0"/>
    <xf numFmtId="0" fontId="9" fillId="0" borderId="0">
      <alignment vertical="center"/>
    </xf>
    <xf numFmtId="9" fontId="2" fillId="0" borderId="0" applyFont="0" applyFill="0" applyBorder="0" applyAlignment="0" applyProtection="0"/>
    <xf numFmtId="9" fontId="62" fillId="0" borderId="0" applyFont="0" applyFill="0" applyBorder="0" applyAlignment="0" applyProtection="0"/>
    <xf numFmtId="0" fontId="7" fillId="3" borderId="0" applyNumberFormat="0" applyFont="0" applyBorder="0" applyAlignment="0" applyProtection="0"/>
    <xf numFmtId="0" fontId="2" fillId="3" borderId="0" applyNumberFormat="0" applyFont="0" applyBorder="0" applyAlignment="0" applyProtection="0"/>
    <xf numFmtId="0" fontId="15" fillId="0" borderId="0"/>
    <xf numFmtId="0" fontId="15" fillId="0" borderId="1">
      <alignment horizontal="centerContinuous"/>
    </xf>
    <xf numFmtId="0" fontId="8" fillId="0" borderId="1"/>
    <xf numFmtId="0" fontId="1" fillId="0" borderId="0"/>
    <xf numFmtId="174" fontId="26" fillId="0" borderId="0" applyFont="0" applyFill="0" applyBorder="0" applyAlignment="0" applyProtection="0"/>
    <xf numFmtId="0" fontId="26" fillId="0" borderId="0" applyFont="0" applyFill="0" applyBorder="0" applyAlignment="0" applyProtection="0"/>
    <xf numFmtId="0" fontId="1" fillId="0" borderId="0"/>
    <xf numFmtId="0" fontId="1" fillId="3" borderId="0" applyNumberFormat="0" applyFont="0" applyBorder="0" applyAlignment="0" applyProtection="0"/>
    <xf numFmtId="44" fontId="1" fillId="0" borderId="0" applyFont="0" applyFill="0" applyBorder="0" applyAlignment="0" applyProtection="0"/>
    <xf numFmtId="44" fontId="76" fillId="0" borderId="0" applyFont="0" applyFill="0" applyBorder="0" applyAlignment="0" applyProtection="0"/>
    <xf numFmtId="0" fontId="38" fillId="0" borderId="0"/>
  </cellStyleXfs>
  <cellXfs count="1333">
    <xf numFmtId="0" fontId="0" fillId="0" borderId="0" xfId="0"/>
    <xf numFmtId="0" fontId="7" fillId="5" borderId="0" xfId="0" applyFont="1" applyFill="1" applyBorder="1"/>
    <xf numFmtId="49" fontId="0" fillId="0" borderId="0" xfId="0" applyNumberFormat="1"/>
    <xf numFmtId="0" fontId="5" fillId="0" borderId="0" xfId="0" applyFont="1"/>
    <xf numFmtId="0" fontId="23" fillId="0" borderId="0" xfId="0" applyFont="1"/>
    <xf numFmtId="0" fontId="5" fillId="0" borderId="0" xfId="28" applyFont="1"/>
    <xf numFmtId="0" fontId="5" fillId="0" borderId="6" xfId="28" applyFont="1" applyBorder="1"/>
    <xf numFmtId="0" fontId="5" fillId="0" borderId="0" xfId="28" applyFont="1" applyBorder="1"/>
    <xf numFmtId="0" fontId="5" fillId="0" borderId="7" xfId="28" applyFont="1" applyBorder="1"/>
    <xf numFmtId="0" fontId="5" fillId="0" borderId="8" xfId="28" applyFont="1" applyBorder="1"/>
    <xf numFmtId="5" fontId="5" fillId="0" borderId="8" xfId="28" applyNumberFormat="1" applyFont="1" applyBorder="1"/>
    <xf numFmtId="5" fontId="5" fillId="0" borderId="0" xfId="28" applyNumberFormat="1" applyFont="1" applyFill="1" applyBorder="1"/>
    <xf numFmtId="164" fontId="21" fillId="0" borderId="0" xfId="10" applyNumberFormat="1" applyFont="1" applyFill="1"/>
    <xf numFmtId="164" fontId="21" fillId="0" borderId="0" xfId="10" applyNumberFormat="1" applyFont="1" applyFill="1" applyBorder="1"/>
    <xf numFmtId="164" fontId="21" fillId="0" borderId="0" xfId="10" applyNumberFormat="1" applyFont="1" applyBorder="1"/>
    <xf numFmtId="164" fontId="5" fillId="0" borderId="0" xfId="10" applyNumberFormat="1" applyFont="1" applyFill="1" applyBorder="1"/>
    <xf numFmtId="164" fontId="21" fillId="0" borderId="8" xfId="10" applyNumberFormat="1" applyFont="1" applyFill="1" applyBorder="1"/>
    <xf numFmtId="164" fontId="5" fillId="0" borderId="8" xfId="10" applyNumberFormat="1" applyFont="1" applyFill="1" applyBorder="1"/>
    <xf numFmtId="170" fontId="37" fillId="0" borderId="0" xfId="28" applyNumberFormat="1" applyFont="1" applyBorder="1"/>
    <xf numFmtId="170" fontId="37" fillId="0" borderId="8" xfId="28" applyNumberFormat="1" applyFont="1" applyBorder="1"/>
    <xf numFmtId="170" fontId="5" fillId="0" borderId="0" xfId="28" applyNumberFormat="1" applyFont="1" applyBorder="1"/>
    <xf numFmtId="170" fontId="5" fillId="0" borderId="8" xfId="28" applyNumberFormat="1" applyFont="1" applyBorder="1"/>
    <xf numFmtId="0" fontId="4" fillId="0" borderId="0" xfId="28" applyFont="1" applyBorder="1"/>
    <xf numFmtId="170" fontId="5" fillId="0" borderId="0" xfId="28" applyNumberFormat="1" applyFont="1"/>
    <xf numFmtId="164" fontId="37" fillId="0" borderId="0" xfId="10" applyNumberFormat="1" applyFont="1" applyBorder="1"/>
    <xf numFmtId="164" fontId="21" fillId="0" borderId="8" xfId="10" applyNumberFormat="1" applyFont="1" applyBorder="1"/>
    <xf numFmtId="164" fontId="5" fillId="0" borderId="8" xfId="10" applyNumberFormat="1" applyFont="1" applyBorder="1"/>
    <xf numFmtId="170" fontId="37" fillId="0" borderId="0" xfId="28" applyNumberFormat="1" applyFont="1" applyFill="1" applyBorder="1"/>
    <xf numFmtId="170" fontId="5" fillId="0" borderId="8" xfId="28" applyNumberFormat="1" applyFont="1" applyFill="1" applyBorder="1"/>
    <xf numFmtId="170" fontId="21" fillId="0" borderId="8" xfId="28" applyNumberFormat="1" applyFont="1" applyFill="1" applyBorder="1"/>
    <xf numFmtId="170" fontId="21" fillId="0" borderId="0" xfId="28" applyNumberFormat="1" applyFont="1" applyFill="1" applyBorder="1"/>
    <xf numFmtId="170" fontId="21" fillId="0" borderId="7" xfId="28" applyNumberFormat="1" applyFont="1" applyFill="1" applyBorder="1"/>
    <xf numFmtId="170" fontId="5" fillId="0" borderId="0" xfId="28" applyNumberFormat="1" applyFont="1" applyFill="1" applyBorder="1"/>
    <xf numFmtId="5" fontId="5" fillId="0" borderId="0" xfId="28" applyNumberFormat="1" applyFont="1"/>
    <xf numFmtId="170" fontId="37" fillId="0" borderId="8" xfId="28" applyNumberFormat="1" applyFont="1" applyFill="1" applyBorder="1"/>
    <xf numFmtId="5" fontId="5" fillId="0" borderId="0" xfId="28" applyNumberFormat="1" applyFont="1" applyBorder="1"/>
    <xf numFmtId="164" fontId="21" fillId="0" borderId="0" xfId="10" applyNumberFormat="1" applyFont="1"/>
    <xf numFmtId="170" fontId="37" fillId="0" borderId="0" xfId="28" applyNumberFormat="1" applyFont="1"/>
    <xf numFmtId="170" fontId="5" fillId="0" borderId="7" xfId="28" applyNumberFormat="1" applyFont="1" applyBorder="1"/>
    <xf numFmtId="164" fontId="5" fillId="0" borderId="0" xfId="10" applyNumberFormat="1" applyFont="1" applyBorder="1"/>
    <xf numFmtId="5" fontId="4" fillId="0" borderId="0" xfId="28" applyNumberFormat="1" applyFont="1" applyFill="1" applyBorder="1"/>
    <xf numFmtId="5" fontId="4" fillId="0" borderId="0" xfId="28" applyNumberFormat="1" applyFont="1" applyFill="1"/>
    <xf numFmtId="5" fontId="4" fillId="0" borderId="8" xfId="28" applyNumberFormat="1" applyFont="1" applyFill="1" applyBorder="1"/>
    <xf numFmtId="170" fontId="5" fillId="0" borderId="6" xfId="28" applyNumberFormat="1" applyFont="1" applyFill="1" applyBorder="1"/>
    <xf numFmtId="170" fontId="5" fillId="0" borderId="7" xfId="28" applyNumberFormat="1" applyFont="1" applyFill="1" applyBorder="1"/>
    <xf numFmtId="164" fontId="5" fillId="0" borderId="6" xfId="10" applyNumberFormat="1" applyFont="1" applyFill="1" applyBorder="1"/>
    <xf numFmtId="164" fontId="5" fillId="0" borderId="7" xfId="10" applyNumberFormat="1" applyFont="1" applyFill="1" applyBorder="1"/>
    <xf numFmtId="5" fontId="4" fillId="0" borderId="8" xfId="28" applyNumberFormat="1" applyFont="1" applyBorder="1"/>
    <xf numFmtId="5" fontId="4" fillId="0" borderId="6" xfId="28" applyNumberFormat="1" applyFont="1" applyBorder="1"/>
    <xf numFmtId="5" fontId="4" fillId="0" borderId="0" xfId="28" applyNumberFormat="1" applyFont="1" applyBorder="1"/>
    <xf numFmtId="5" fontId="4" fillId="0" borderId="7" xfId="28" applyNumberFormat="1" applyFont="1" applyBorder="1"/>
    <xf numFmtId="0" fontId="5" fillId="0" borderId="8" xfId="0" applyFont="1" applyBorder="1"/>
    <xf numFmtId="0" fontId="5" fillId="0" borderId="6" xfId="0" applyFont="1" applyBorder="1"/>
    <xf numFmtId="0" fontId="5" fillId="0" borderId="0" xfId="0" applyFont="1" applyBorder="1"/>
    <xf numFmtId="0" fontId="5" fillId="0" borderId="7" xfId="0" applyFont="1" applyBorder="1"/>
    <xf numFmtId="172" fontId="5" fillId="0" borderId="0" xfId="28" applyNumberFormat="1" applyFont="1" applyBorder="1"/>
    <xf numFmtId="172" fontId="21" fillId="0" borderId="0" xfId="28" applyNumberFormat="1" applyFont="1" applyFill="1"/>
    <xf numFmtId="172" fontId="5" fillId="0" borderId="8" xfId="28" applyNumberFormat="1" applyFont="1" applyBorder="1"/>
    <xf numFmtId="172" fontId="5" fillId="0" borderId="7" xfId="28" applyNumberFormat="1" applyFont="1" applyBorder="1"/>
    <xf numFmtId="0" fontId="4" fillId="4" borderId="0" xfId="28" applyFont="1" applyFill="1" applyBorder="1"/>
    <xf numFmtId="175" fontId="5" fillId="0" borderId="0" xfId="28" applyNumberFormat="1" applyFont="1" applyBorder="1"/>
    <xf numFmtId="175" fontId="5" fillId="0" borderId="8" xfId="28" applyNumberFormat="1" applyFont="1" applyBorder="1"/>
    <xf numFmtId="5" fontId="5" fillId="0" borderId="6" xfId="28" applyNumberFormat="1" applyFont="1" applyBorder="1"/>
    <xf numFmtId="5" fontId="5" fillId="0" borderId="7" xfId="28" applyNumberFormat="1" applyFont="1" applyBorder="1"/>
    <xf numFmtId="167" fontId="12" fillId="0" borderId="0" xfId="10" applyNumberFormat="1" applyFont="1"/>
    <xf numFmtId="164" fontId="12" fillId="0" borderId="6" xfId="10" applyNumberFormat="1" applyFont="1" applyBorder="1"/>
    <xf numFmtId="164" fontId="12" fillId="0" borderId="0" xfId="10" applyNumberFormat="1" applyFont="1" applyBorder="1"/>
    <xf numFmtId="164" fontId="12" fillId="0" borderId="7" xfId="10" applyNumberFormat="1" applyFont="1" applyBorder="1"/>
    <xf numFmtId="167" fontId="12" fillId="0" borderId="0" xfId="10" applyNumberFormat="1" applyFont="1" applyBorder="1"/>
    <xf numFmtId="164" fontId="12" fillId="0" borderId="8" xfId="10" applyNumberFormat="1" applyFont="1" applyBorder="1"/>
    <xf numFmtId="164" fontId="12" fillId="0" borderId="0" xfId="10" applyNumberFormat="1" applyFont="1"/>
    <xf numFmtId="0" fontId="17" fillId="6" borderId="0" xfId="28" applyFont="1" applyFill="1"/>
    <xf numFmtId="0" fontId="16" fillId="6" borderId="0" xfId="28" applyFont="1" applyFill="1"/>
    <xf numFmtId="0" fontId="16" fillId="6" borderId="6" xfId="28" applyFont="1" applyFill="1" applyBorder="1"/>
    <xf numFmtId="0" fontId="16" fillId="6" borderId="0" xfId="28" applyFont="1" applyFill="1" applyBorder="1"/>
    <xf numFmtId="0" fontId="16" fillId="6" borderId="7" xfId="28" applyFont="1" applyFill="1" applyBorder="1"/>
    <xf numFmtId="0" fontId="16" fillId="6" borderId="8" xfId="28" applyFont="1" applyFill="1" applyBorder="1"/>
    <xf numFmtId="0" fontId="17" fillId="6" borderId="3" xfId="28" applyFont="1" applyFill="1" applyBorder="1" applyAlignment="1">
      <alignment horizontal="center"/>
    </xf>
    <xf numFmtId="0" fontId="16" fillId="6" borderId="0" xfId="28" applyFont="1" applyFill="1" applyAlignment="1">
      <alignment horizontal="center"/>
    </xf>
    <xf numFmtId="177" fontId="17" fillId="6" borderId="9" xfId="28" applyNumberFormat="1" applyFont="1" applyFill="1" applyBorder="1" applyAlignment="1">
      <alignment horizontal="center"/>
    </xf>
    <xf numFmtId="170" fontId="37" fillId="5" borderId="8" xfId="28" applyNumberFormat="1" applyFont="1" applyFill="1" applyBorder="1"/>
    <xf numFmtId="170" fontId="37" fillId="5" borderId="7" xfId="28" applyNumberFormat="1" applyFont="1" applyFill="1" applyBorder="1"/>
    <xf numFmtId="170" fontId="37" fillId="5" borderId="0" xfId="28" applyNumberFormat="1" applyFont="1" applyFill="1" applyBorder="1"/>
    <xf numFmtId="170" fontId="5" fillId="5" borderId="0" xfId="28" applyNumberFormat="1" applyFont="1" applyFill="1" applyBorder="1"/>
    <xf numFmtId="170" fontId="5" fillId="5" borderId="8" xfId="28" applyNumberFormat="1" applyFont="1" applyFill="1" applyBorder="1"/>
    <xf numFmtId="170" fontId="37" fillId="5" borderId="6" xfId="28" applyNumberFormat="1" applyFont="1" applyFill="1" applyBorder="1"/>
    <xf numFmtId="0" fontId="4" fillId="4" borderId="0" xfId="28" applyFont="1" applyFill="1"/>
    <xf numFmtId="176" fontId="4" fillId="4" borderId="0" xfId="28" applyNumberFormat="1" applyFont="1" applyFill="1"/>
    <xf numFmtId="176" fontId="4" fillId="4" borderId="0" xfId="28" applyNumberFormat="1" applyFont="1" applyFill="1" applyBorder="1"/>
    <xf numFmtId="176" fontId="4" fillId="4" borderId="8" xfId="28" applyNumberFormat="1" applyFont="1" applyFill="1" applyBorder="1"/>
    <xf numFmtId="176" fontId="4" fillId="4" borderId="0" xfId="10" applyNumberFormat="1" applyFont="1" applyFill="1" applyBorder="1"/>
    <xf numFmtId="176" fontId="4" fillId="4" borderId="8" xfId="10" applyNumberFormat="1" applyFont="1" applyFill="1" applyBorder="1"/>
    <xf numFmtId="176" fontId="4" fillId="4" borderId="6" xfId="28" applyNumberFormat="1" applyFont="1" applyFill="1" applyBorder="1"/>
    <xf numFmtId="176" fontId="4" fillId="4" borderId="7" xfId="28" applyNumberFormat="1" applyFont="1" applyFill="1" applyBorder="1"/>
    <xf numFmtId="176" fontId="4" fillId="4" borderId="0" xfId="10" applyNumberFormat="1" applyFont="1" applyFill="1"/>
    <xf numFmtId="176" fontId="4" fillId="4" borderId="7" xfId="10" applyNumberFormat="1" applyFont="1" applyFill="1" applyBorder="1"/>
    <xf numFmtId="176" fontId="4" fillId="4" borderId="6" xfId="10" applyNumberFormat="1" applyFont="1" applyFill="1" applyBorder="1"/>
    <xf numFmtId="9" fontId="3" fillId="5" borderId="0" xfId="30" applyNumberFormat="1" applyFont="1" applyFill="1" applyBorder="1" applyAlignment="1" applyProtection="1">
      <alignment horizontal="left" indent="2"/>
      <protection locked="0"/>
    </xf>
    <xf numFmtId="0" fontId="16" fillId="7" borderId="8" xfId="28" applyFont="1" applyFill="1" applyBorder="1"/>
    <xf numFmtId="0" fontId="16" fillId="7" borderId="7" xfId="28" applyFont="1" applyFill="1" applyBorder="1"/>
    <xf numFmtId="0" fontId="16" fillId="7" borderId="0" xfId="28" applyFont="1" applyFill="1" applyBorder="1"/>
    <xf numFmtId="0" fontId="16" fillId="7" borderId="6" xfId="28" applyFont="1" applyFill="1" applyBorder="1"/>
    <xf numFmtId="0" fontId="17" fillId="7" borderId="0" xfId="28" applyFont="1" applyFill="1" applyBorder="1"/>
    <xf numFmtId="170" fontId="21" fillId="5" borderId="0" xfId="28" applyNumberFormat="1" applyFont="1" applyFill="1" applyBorder="1"/>
    <xf numFmtId="170" fontId="21" fillId="5" borderId="8" xfId="28" applyNumberFormat="1" applyFont="1" applyFill="1" applyBorder="1"/>
    <xf numFmtId="170" fontId="21" fillId="5" borderId="7" xfId="28" applyNumberFormat="1" applyFont="1" applyFill="1" applyBorder="1"/>
    <xf numFmtId="169" fontId="5" fillId="5" borderId="0" xfId="30" applyNumberFormat="1" applyFont="1" applyFill="1" applyBorder="1" applyAlignment="1" applyProtection="1">
      <alignment horizontal="left" indent="2"/>
      <protection locked="0"/>
    </xf>
    <xf numFmtId="170" fontId="4" fillId="4" borderId="0" xfId="28" applyNumberFormat="1" applyFont="1" applyFill="1" applyBorder="1"/>
    <xf numFmtId="170" fontId="4" fillId="4" borderId="8" xfId="28" applyNumberFormat="1" applyFont="1" applyFill="1" applyBorder="1"/>
    <xf numFmtId="170" fontId="29" fillId="4" borderId="0" xfId="28" applyNumberFormat="1" applyFont="1" applyFill="1" applyBorder="1"/>
    <xf numFmtId="170" fontId="29" fillId="4" borderId="8" xfId="28" applyNumberFormat="1" applyFont="1" applyFill="1" applyBorder="1"/>
    <xf numFmtId="170" fontId="29" fillId="4" borderId="7" xfId="28" applyNumberFormat="1" applyFont="1" applyFill="1" applyBorder="1"/>
    <xf numFmtId="170" fontId="4" fillId="4" borderId="7" xfId="28" applyNumberFormat="1" applyFont="1" applyFill="1" applyBorder="1"/>
    <xf numFmtId="170" fontId="4" fillId="4" borderId="6" xfId="28" applyNumberFormat="1" applyFont="1" applyFill="1" applyBorder="1"/>
    <xf numFmtId="5" fontId="4" fillId="5" borderId="0" xfId="0" applyNumberFormat="1" applyFont="1" applyFill="1" applyAlignment="1">
      <alignment horizontal="left" indent="2"/>
    </xf>
    <xf numFmtId="9" fontId="5" fillId="5" borderId="0" xfId="30" applyNumberFormat="1" applyFont="1" applyFill="1" applyBorder="1" applyAlignment="1" applyProtection="1">
      <alignment horizontal="left" indent="4"/>
      <protection locked="0"/>
    </xf>
    <xf numFmtId="9" fontId="5" fillId="5" borderId="0" xfId="30" applyNumberFormat="1" applyFont="1" applyFill="1" applyBorder="1" applyAlignment="1" applyProtection="1">
      <alignment horizontal="left" indent="3"/>
      <protection locked="0"/>
    </xf>
    <xf numFmtId="176" fontId="5" fillId="0" borderId="0" xfId="0" applyNumberFormat="1" applyFont="1" applyAlignment="1">
      <alignment horizontal="left" indent="3"/>
    </xf>
    <xf numFmtId="176" fontId="37" fillId="0" borderId="0" xfId="28" applyNumberFormat="1" applyFont="1"/>
    <xf numFmtId="176" fontId="37" fillId="0" borderId="8" xfId="10" applyNumberFormat="1" applyFont="1" applyBorder="1"/>
    <xf numFmtId="176" fontId="37" fillId="0" borderId="7" xfId="10" applyNumberFormat="1" applyFont="1" applyBorder="1"/>
    <xf numFmtId="176" fontId="37" fillId="0" borderId="0" xfId="10" applyNumberFormat="1" applyFont="1" applyBorder="1"/>
    <xf numFmtId="176" fontId="37" fillId="0" borderId="8" xfId="10" applyNumberFormat="1" applyFont="1" applyFill="1" applyBorder="1"/>
    <xf numFmtId="176" fontId="37" fillId="0" borderId="0" xfId="10" applyNumberFormat="1" applyFont="1" applyFill="1"/>
    <xf numFmtId="176" fontId="37" fillId="0" borderId="0" xfId="10" applyNumberFormat="1" applyFont="1" applyFill="1" applyBorder="1"/>
    <xf numFmtId="176" fontId="37" fillId="0" borderId="0" xfId="10" applyNumberFormat="1" applyFont="1"/>
    <xf numFmtId="176" fontId="37" fillId="0" borderId="6" xfId="10" applyNumberFormat="1" applyFont="1" applyFill="1" applyBorder="1"/>
    <xf numFmtId="176" fontId="37" fillId="0" borderId="7" xfId="10" applyNumberFormat="1" applyFont="1" applyFill="1" applyBorder="1"/>
    <xf numFmtId="176" fontId="37" fillId="0" borderId="0" xfId="28" applyNumberFormat="1" applyFont="1" applyFill="1"/>
    <xf numFmtId="176" fontId="37" fillId="0" borderId="10" xfId="28" applyNumberFormat="1" applyFont="1" applyBorder="1"/>
    <xf numFmtId="176" fontId="37" fillId="0" borderId="11" xfId="10" applyNumberFormat="1" applyFont="1" applyBorder="1"/>
    <xf numFmtId="176" fontId="37" fillId="0" borderId="10" xfId="10" applyNumberFormat="1" applyFont="1" applyBorder="1"/>
    <xf numFmtId="176" fontId="37" fillId="0" borderId="11" xfId="10" applyNumberFormat="1" applyFont="1" applyFill="1" applyBorder="1"/>
    <xf numFmtId="176" fontId="37" fillId="0" borderId="10" xfId="10" applyNumberFormat="1" applyFont="1" applyFill="1" applyBorder="1"/>
    <xf numFmtId="5" fontId="5" fillId="5" borderId="0" xfId="0" applyNumberFormat="1" applyFont="1" applyFill="1" applyBorder="1" applyAlignment="1">
      <alignment horizontal="left" vertical="center" indent="1"/>
    </xf>
    <xf numFmtId="176" fontId="5" fillId="0" borderId="0" xfId="28" applyNumberFormat="1" applyFont="1"/>
    <xf numFmtId="176" fontId="4" fillId="5" borderId="6" xfId="28" applyNumberFormat="1" applyFont="1" applyFill="1" applyBorder="1"/>
    <xf numFmtId="176" fontId="4" fillId="5" borderId="0" xfId="28" applyNumberFormat="1" applyFont="1" applyFill="1" applyBorder="1"/>
    <xf numFmtId="176" fontId="4" fillId="5" borderId="7" xfId="28" applyNumberFormat="1" applyFont="1" applyFill="1" applyBorder="1"/>
    <xf numFmtId="176" fontId="33" fillId="5" borderId="8" xfId="28" applyNumberFormat="1" applyFont="1" applyFill="1" applyBorder="1"/>
    <xf numFmtId="176" fontId="33" fillId="5" borderId="7" xfId="28" applyNumberFormat="1" applyFont="1" applyFill="1" applyBorder="1"/>
    <xf numFmtId="176" fontId="33" fillId="5" borderId="0" xfId="28" applyNumberFormat="1" applyFont="1" applyFill="1" applyBorder="1"/>
    <xf numFmtId="176" fontId="4" fillId="5" borderId="8" xfId="28" applyNumberFormat="1" applyFont="1" applyFill="1" applyBorder="1"/>
    <xf numFmtId="176" fontId="5" fillId="5" borderId="0" xfId="28" applyNumberFormat="1" applyFont="1" applyFill="1" applyBorder="1"/>
    <xf numFmtId="176" fontId="5" fillId="5" borderId="0" xfId="0" applyNumberFormat="1" applyFont="1" applyFill="1" applyBorder="1"/>
    <xf numFmtId="176" fontId="3" fillId="5" borderId="0" xfId="28" applyNumberFormat="1" applyFont="1" applyFill="1" applyAlignment="1">
      <alignment horizontal="left" indent="1"/>
    </xf>
    <xf numFmtId="176" fontId="21" fillId="0" borderId="8" xfId="10" applyNumberFormat="1" applyFont="1" applyBorder="1"/>
    <xf numFmtId="176" fontId="21" fillId="0" borderId="7" xfId="10" applyNumberFormat="1" applyFont="1" applyBorder="1"/>
    <xf numFmtId="176" fontId="21" fillId="0" borderId="0" xfId="10" applyNumberFormat="1" applyFont="1" applyBorder="1"/>
    <xf numFmtId="176" fontId="5" fillId="0" borderId="0" xfId="10" applyNumberFormat="1" applyFont="1" applyBorder="1"/>
    <xf numFmtId="176" fontId="21" fillId="0" borderId="8" xfId="10" applyNumberFormat="1" applyFont="1" applyFill="1" applyBorder="1"/>
    <xf numFmtId="176" fontId="21" fillId="0" borderId="0" xfId="10" applyNumberFormat="1" applyFont="1" applyFill="1" applyBorder="1"/>
    <xf numFmtId="176" fontId="37" fillId="0" borderId="6" xfId="10" applyNumberFormat="1" applyFont="1" applyBorder="1"/>
    <xf numFmtId="0" fontId="6" fillId="5" borderId="5" xfId="28" applyFont="1" applyFill="1" applyBorder="1"/>
    <xf numFmtId="7" fontId="24" fillId="5" borderId="5" xfId="28" applyNumberFormat="1" applyFont="1" applyFill="1" applyBorder="1"/>
    <xf numFmtId="7" fontId="6" fillId="5" borderId="12" xfId="28" applyNumberFormat="1" applyFont="1" applyFill="1" applyBorder="1"/>
    <xf numFmtId="7" fontId="6" fillId="5" borderId="0" xfId="28" applyNumberFormat="1" applyFont="1" applyFill="1" applyBorder="1"/>
    <xf numFmtId="7" fontId="6" fillId="5" borderId="7" xfId="28" applyNumberFormat="1" applyFont="1" applyFill="1" applyBorder="1"/>
    <xf numFmtId="0" fontId="4" fillId="5" borderId="5" xfId="28" applyFont="1" applyFill="1" applyBorder="1"/>
    <xf numFmtId="7" fontId="33" fillId="5" borderId="12" xfId="28" applyNumberFormat="1" applyFont="1" applyFill="1" applyBorder="1"/>
    <xf numFmtId="7" fontId="33" fillId="5" borderId="5" xfId="28" applyNumberFormat="1" applyFont="1" applyFill="1" applyBorder="1"/>
    <xf numFmtId="7" fontId="4" fillId="5" borderId="5" xfId="28" applyNumberFormat="1" applyFont="1" applyFill="1" applyBorder="1"/>
    <xf numFmtId="7" fontId="4" fillId="5" borderId="12" xfId="28" applyNumberFormat="1" applyFont="1" applyFill="1" applyBorder="1"/>
    <xf numFmtId="7" fontId="4" fillId="5" borderId="0" xfId="28" applyNumberFormat="1" applyFont="1" applyFill="1" applyBorder="1"/>
    <xf numFmtId="7" fontId="4" fillId="5" borderId="7" xfId="28" applyNumberFormat="1" applyFont="1" applyFill="1" applyBorder="1"/>
    <xf numFmtId="9" fontId="5" fillId="0" borderId="0" xfId="0" applyNumberFormat="1" applyFont="1" applyBorder="1" applyAlignment="1">
      <alignment horizontal="left" indent="2"/>
    </xf>
    <xf numFmtId="0" fontId="4" fillId="5" borderId="0" xfId="0" applyFont="1" applyFill="1" applyBorder="1"/>
    <xf numFmtId="0" fontId="5" fillId="5" borderId="0" xfId="28" applyFont="1" applyFill="1" applyBorder="1"/>
    <xf numFmtId="176" fontId="5" fillId="0" borderId="0" xfId="10" applyNumberFormat="1" applyFont="1" applyFill="1" applyBorder="1"/>
    <xf numFmtId="176" fontId="5" fillId="0" borderId="0" xfId="10" applyNumberFormat="1" applyFont="1" applyFill="1"/>
    <xf numFmtId="176" fontId="5" fillId="0" borderId="0" xfId="10" applyNumberFormat="1" applyFont="1"/>
    <xf numFmtId="176" fontId="5" fillId="0" borderId="8" xfId="10" applyNumberFormat="1" applyFont="1" applyFill="1" applyBorder="1"/>
    <xf numFmtId="176" fontId="21" fillId="0" borderId="7" xfId="10" applyNumberFormat="1" applyFont="1" applyFill="1" applyBorder="1"/>
    <xf numFmtId="176" fontId="5" fillId="0" borderId="0" xfId="28" applyNumberFormat="1" applyFont="1" applyBorder="1"/>
    <xf numFmtId="176" fontId="4" fillId="0" borderId="8" xfId="28" applyNumberFormat="1" applyFont="1" applyFill="1" applyBorder="1"/>
    <xf numFmtId="176" fontId="4" fillId="0" borderId="7" xfId="28" applyNumberFormat="1" applyFont="1" applyFill="1" applyBorder="1"/>
    <xf numFmtId="176" fontId="4" fillId="0" borderId="0" xfId="28" applyNumberFormat="1" applyFont="1" applyFill="1" applyBorder="1"/>
    <xf numFmtId="176" fontId="33" fillId="4" borderId="5" xfId="28" applyNumberFormat="1" applyFont="1" applyFill="1" applyBorder="1"/>
    <xf numFmtId="176" fontId="5" fillId="0" borderId="8" xfId="28" applyNumberFormat="1" applyFont="1" applyBorder="1"/>
    <xf numFmtId="176" fontId="37" fillId="0" borderId="0" xfId="28" applyNumberFormat="1" applyFont="1" applyFill="1" applyBorder="1"/>
    <xf numFmtId="176" fontId="5" fillId="0" borderId="8" xfId="28" applyNumberFormat="1" applyFont="1" applyFill="1" applyBorder="1"/>
    <xf numFmtId="176" fontId="5" fillId="0" borderId="0" xfId="28" applyNumberFormat="1" applyFont="1" applyFill="1" applyBorder="1"/>
    <xf numFmtId="176" fontId="17" fillId="6" borderId="0" xfId="28" applyNumberFormat="1" applyFont="1" applyFill="1"/>
    <xf numFmtId="176" fontId="5" fillId="0" borderId="7" xfId="28" applyNumberFormat="1" applyFont="1" applyBorder="1"/>
    <xf numFmtId="176" fontId="5" fillId="0" borderId="6" xfId="28" applyNumberFormat="1" applyFont="1" applyBorder="1"/>
    <xf numFmtId="176" fontId="5" fillId="0" borderId="6" xfId="28" applyNumberFormat="1" applyFont="1" applyFill="1" applyBorder="1"/>
    <xf numFmtId="176" fontId="5" fillId="0" borderId="7" xfId="28" applyNumberFormat="1" applyFont="1" applyFill="1" applyBorder="1"/>
    <xf numFmtId="176" fontId="37" fillId="0" borderId="0" xfId="28" applyNumberFormat="1" applyFont="1" applyAlignment="1">
      <alignment horizontal="left" indent="1"/>
    </xf>
    <xf numFmtId="176" fontId="37" fillId="0" borderId="0" xfId="28" applyNumberFormat="1" applyFont="1" applyFill="1" applyAlignment="1">
      <alignment horizontal="left" indent="1"/>
    </xf>
    <xf numFmtId="176" fontId="37" fillId="0" borderId="0" xfId="10" applyNumberFormat="1" applyFont="1" applyFill="1" applyAlignment="1">
      <alignment horizontal="right"/>
    </xf>
    <xf numFmtId="176" fontId="37" fillId="0" borderId="0" xfId="10" applyNumberFormat="1" applyFont="1" applyFill="1" applyBorder="1" applyAlignment="1">
      <alignment horizontal="right"/>
    </xf>
    <xf numFmtId="176" fontId="37" fillId="0" borderId="8" xfId="10" applyNumberFormat="1" applyFont="1" applyFill="1" applyBorder="1" applyAlignment="1">
      <alignment horizontal="right"/>
    </xf>
    <xf numFmtId="176" fontId="37" fillId="0" borderId="0" xfId="10" applyNumberFormat="1" applyFont="1" applyAlignment="1">
      <alignment horizontal="right"/>
    </xf>
    <xf numFmtId="176" fontId="37" fillId="0" borderId="0" xfId="10" applyNumberFormat="1" applyFont="1" applyBorder="1" applyAlignment="1">
      <alignment horizontal="right"/>
    </xf>
    <xf numFmtId="176" fontId="37" fillId="0" borderId="8" xfId="10" applyNumberFormat="1" applyFont="1" applyBorder="1" applyAlignment="1">
      <alignment horizontal="right"/>
    </xf>
    <xf numFmtId="176" fontId="37" fillId="0" borderId="0" xfId="28" applyNumberFormat="1" applyFont="1" applyBorder="1" applyAlignment="1">
      <alignment horizontal="left" indent="1"/>
    </xf>
    <xf numFmtId="176" fontId="37" fillId="0" borderId="0" xfId="28" applyNumberFormat="1" applyFont="1" applyBorder="1"/>
    <xf numFmtId="176" fontId="33" fillId="0" borderId="0" xfId="28" applyNumberFormat="1" applyFont="1" applyFill="1" applyBorder="1"/>
    <xf numFmtId="176" fontId="33" fillId="4" borderId="12" xfId="28" applyNumberFormat="1" applyFont="1" applyFill="1" applyBorder="1"/>
    <xf numFmtId="176" fontId="33" fillId="4" borderId="13" xfId="28" applyNumberFormat="1" applyFont="1" applyFill="1" applyBorder="1"/>
    <xf numFmtId="176" fontId="33" fillId="4" borderId="14" xfId="28" applyNumberFormat="1" applyFont="1" applyFill="1" applyBorder="1"/>
    <xf numFmtId="176" fontId="37" fillId="0" borderId="8" xfId="28" applyNumberFormat="1" applyFont="1" applyBorder="1"/>
    <xf numFmtId="176" fontId="37" fillId="0" borderId="7" xfId="28" applyNumberFormat="1" applyFont="1" applyBorder="1"/>
    <xf numFmtId="176" fontId="37" fillId="0" borderId="4" xfId="28" applyNumberFormat="1" applyFont="1" applyFill="1" applyBorder="1"/>
    <xf numFmtId="176" fontId="37" fillId="0" borderId="8" xfId="28" applyNumberFormat="1" applyFont="1" applyFill="1" applyBorder="1"/>
    <xf numFmtId="176" fontId="37" fillId="0" borderId="7" xfId="28" applyNumberFormat="1" applyFont="1" applyFill="1" applyBorder="1"/>
    <xf numFmtId="176" fontId="37" fillId="0" borderId="6" xfId="28" applyNumberFormat="1" applyFont="1" applyFill="1" applyBorder="1"/>
    <xf numFmtId="176" fontId="37" fillId="5" borderId="0" xfId="28" applyNumberFormat="1" applyFont="1" applyFill="1" applyAlignment="1">
      <alignment horizontal="left" indent="1"/>
    </xf>
    <xf numFmtId="176" fontId="37" fillId="5" borderId="8" xfId="10" applyNumberFormat="1" applyFont="1" applyFill="1" applyBorder="1"/>
    <xf numFmtId="176" fontId="37" fillId="5" borderId="7" xfId="10" applyNumberFormat="1" applyFont="1" applyFill="1" applyBorder="1"/>
    <xf numFmtId="176" fontId="37" fillId="5" borderId="0" xfId="10" applyNumberFormat="1" applyFont="1" applyFill="1" applyBorder="1"/>
    <xf numFmtId="176" fontId="37" fillId="5" borderId="0" xfId="10" applyNumberFormat="1" applyFont="1" applyFill="1"/>
    <xf numFmtId="176" fontId="37" fillId="5" borderId="6" xfId="10" applyNumberFormat="1" applyFont="1" applyFill="1" applyBorder="1"/>
    <xf numFmtId="176" fontId="37" fillId="5" borderId="0" xfId="28" applyNumberFormat="1" applyFont="1" applyFill="1"/>
    <xf numFmtId="176" fontId="37" fillId="5" borderId="8" xfId="28" applyNumberFormat="1" applyFont="1" applyFill="1" applyBorder="1"/>
    <xf numFmtId="176" fontId="37" fillId="5" borderId="7" xfId="28" applyNumberFormat="1" applyFont="1" applyFill="1" applyBorder="1"/>
    <xf numFmtId="176" fontId="37" fillId="5" borderId="0" xfId="28" applyNumberFormat="1" applyFont="1" applyFill="1" applyBorder="1"/>
    <xf numFmtId="176" fontId="37" fillId="5" borderId="6" xfId="28" applyNumberFormat="1" applyFont="1" applyFill="1" applyBorder="1"/>
    <xf numFmtId="176" fontId="33" fillId="5" borderId="8" xfId="10" applyNumberFormat="1" applyFont="1" applyFill="1" applyBorder="1"/>
    <xf numFmtId="176" fontId="33" fillId="5" borderId="7" xfId="10" applyNumberFormat="1" applyFont="1" applyFill="1" applyBorder="1"/>
    <xf numFmtId="176" fontId="33" fillId="5" borderId="0" xfId="10" applyNumberFormat="1" applyFont="1" applyFill="1" applyBorder="1"/>
    <xf numFmtId="176" fontId="33" fillId="5" borderId="6" xfId="10" applyNumberFormat="1" applyFont="1" applyFill="1" applyBorder="1"/>
    <xf numFmtId="176" fontId="33" fillId="5" borderId="0" xfId="0" applyNumberFormat="1" applyFont="1" applyFill="1" applyBorder="1"/>
    <xf numFmtId="176" fontId="33" fillId="5" borderId="6" xfId="28" applyNumberFormat="1" applyFont="1" applyFill="1" applyBorder="1"/>
    <xf numFmtId="176" fontId="37" fillId="5" borderId="0" xfId="0" applyNumberFormat="1" applyFont="1" applyFill="1" applyBorder="1"/>
    <xf numFmtId="176" fontId="33" fillId="5" borderId="0" xfId="28" applyNumberFormat="1" applyFont="1" applyFill="1"/>
    <xf numFmtId="176" fontId="37" fillId="6" borderId="8" xfId="28" applyNumberFormat="1" applyFont="1" applyFill="1" applyBorder="1"/>
    <xf numFmtId="176" fontId="37" fillId="6" borderId="7" xfId="28" applyNumberFormat="1" applyFont="1" applyFill="1" applyBorder="1"/>
    <xf numFmtId="176" fontId="37" fillId="6" borderId="0" xfId="28" applyNumberFormat="1" applyFont="1" applyFill="1" applyBorder="1"/>
    <xf numFmtId="176" fontId="37" fillId="6" borderId="0" xfId="28" applyNumberFormat="1" applyFont="1" applyFill="1"/>
    <xf numFmtId="176" fontId="37" fillId="6" borderId="6" xfId="28" applyNumberFormat="1" applyFont="1" applyFill="1" applyBorder="1"/>
    <xf numFmtId="176" fontId="33" fillId="4" borderId="0" xfId="28" applyNumberFormat="1" applyFont="1" applyFill="1"/>
    <xf numFmtId="176" fontId="37" fillId="4" borderId="8" xfId="28" applyNumberFormat="1" applyFont="1" applyFill="1" applyBorder="1"/>
    <xf numFmtId="176" fontId="37" fillId="4" borderId="7" xfId="28" applyNumberFormat="1" applyFont="1" applyFill="1" applyBorder="1"/>
    <xf numFmtId="176" fontId="37" fillId="4" borderId="0" xfId="28" applyNumberFormat="1" applyFont="1" applyFill="1" applyBorder="1"/>
    <xf numFmtId="176" fontId="37" fillId="4" borderId="0" xfId="28" applyNumberFormat="1" applyFont="1" applyFill="1"/>
    <xf numFmtId="176" fontId="37" fillId="4" borderId="6" xfId="28" applyNumberFormat="1" applyFont="1" applyFill="1" applyBorder="1"/>
    <xf numFmtId="176" fontId="37" fillId="0" borderId="6" xfId="28" applyNumberFormat="1" applyFont="1" applyBorder="1"/>
    <xf numFmtId="180" fontId="4" fillId="4" borderId="0" xfId="0" applyNumberFormat="1" applyFont="1" applyFill="1" applyAlignment="1"/>
    <xf numFmtId="166" fontId="37" fillId="5" borderId="0" xfId="0" applyNumberFormat="1" applyFont="1" applyFill="1" applyBorder="1"/>
    <xf numFmtId="166" fontId="33" fillId="5" borderId="5" xfId="0" applyNumberFormat="1" applyFont="1" applyFill="1" applyBorder="1"/>
    <xf numFmtId="176" fontId="40" fillId="5" borderId="0" xfId="28" applyNumberFormat="1" applyFont="1" applyFill="1" applyBorder="1"/>
    <xf numFmtId="181" fontId="5" fillId="5" borderId="0" xfId="0" applyNumberFormat="1" applyFont="1" applyFill="1" applyBorder="1"/>
    <xf numFmtId="181" fontId="5" fillId="5" borderId="0" xfId="14" applyNumberFormat="1" applyFont="1" applyFill="1" applyBorder="1" applyAlignment="1" applyProtection="1">
      <alignment horizontal="left" indent="1"/>
      <protection locked="0"/>
    </xf>
    <xf numFmtId="173" fontId="5" fillId="5" borderId="0" xfId="32" applyNumberFormat="1" applyFont="1" applyFill="1" applyBorder="1" applyAlignment="1">
      <alignment horizontal="left" indent="1"/>
    </xf>
    <xf numFmtId="166" fontId="5" fillId="5" borderId="0" xfId="0" applyNumberFormat="1" applyFont="1" applyFill="1" applyBorder="1" applyAlignment="1"/>
    <xf numFmtId="9" fontId="5" fillId="5" borderId="0" xfId="30" applyNumberFormat="1" applyFont="1" applyFill="1" applyBorder="1" applyAlignment="1" applyProtection="1">
      <alignment horizontal="left" indent="2"/>
      <protection locked="0"/>
    </xf>
    <xf numFmtId="176" fontId="37" fillId="5" borderId="3" xfId="28" applyNumberFormat="1" applyFont="1" applyFill="1" applyBorder="1" applyAlignment="1">
      <alignment horizontal="left" indent="1"/>
    </xf>
    <xf numFmtId="176" fontId="37" fillId="5" borderId="9" xfId="10" applyNumberFormat="1" applyFont="1" applyFill="1" applyBorder="1"/>
    <xf numFmtId="176" fontId="37" fillId="5" borderId="15" xfId="10" applyNumberFormat="1" applyFont="1" applyFill="1" applyBorder="1"/>
    <xf numFmtId="176" fontId="37" fillId="5" borderId="3" xfId="10" applyNumberFormat="1" applyFont="1" applyFill="1" applyBorder="1"/>
    <xf numFmtId="176" fontId="37" fillId="5" borderId="9" xfId="10" applyNumberFormat="1" applyFont="1" applyFill="1" applyBorder="1" applyAlignment="1">
      <alignment horizontal="right"/>
    </xf>
    <xf numFmtId="176" fontId="37" fillId="5" borderId="3" xfId="10" applyNumberFormat="1" applyFont="1" applyFill="1" applyBorder="1" applyAlignment="1">
      <alignment horizontal="right"/>
    </xf>
    <xf numFmtId="181" fontId="5" fillId="5" borderId="8" xfId="28" applyNumberFormat="1" applyFont="1" applyFill="1" applyBorder="1"/>
    <xf numFmtId="181" fontId="5" fillId="0" borderId="0" xfId="28" applyNumberFormat="1" applyFont="1" applyBorder="1"/>
    <xf numFmtId="181" fontId="5" fillId="0" borderId="0" xfId="28" applyNumberFormat="1" applyFont="1" applyFill="1" applyBorder="1"/>
    <xf numFmtId="181" fontId="5" fillId="0" borderId="8" xfId="28" applyNumberFormat="1" applyFont="1" applyBorder="1"/>
    <xf numFmtId="181" fontId="5" fillId="0" borderId="8" xfId="28" applyNumberFormat="1" applyFont="1" applyFill="1" applyBorder="1"/>
    <xf numFmtId="176" fontId="4" fillId="5" borderId="0" xfId="0" applyNumberFormat="1" applyFont="1" applyFill="1" applyBorder="1" applyAlignment="1">
      <alignment horizontal="left" indent="1"/>
    </xf>
    <xf numFmtId="176" fontId="33" fillId="0" borderId="0" xfId="28" applyNumberFormat="1" applyFont="1" applyFill="1"/>
    <xf numFmtId="176" fontId="21" fillId="0" borderId="10" xfId="10" applyNumberFormat="1" applyFont="1" applyFill="1" applyBorder="1"/>
    <xf numFmtId="176" fontId="21" fillId="0" borderId="11" xfId="10" applyNumberFormat="1" applyFont="1" applyFill="1" applyBorder="1"/>
    <xf numFmtId="176" fontId="21" fillId="0" borderId="16" xfId="10" applyNumberFormat="1" applyFont="1" applyFill="1" applyBorder="1"/>
    <xf numFmtId="176" fontId="27" fillId="5" borderId="0" xfId="10" applyNumberFormat="1" applyFont="1" applyFill="1" applyBorder="1"/>
    <xf numFmtId="176" fontId="27" fillId="5" borderId="8" xfId="10" applyNumberFormat="1" applyFont="1" applyFill="1" applyBorder="1"/>
    <xf numFmtId="176" fontId="27" fillId="5" borderId="7" xfId="10" applyNumberFormat="1" applyFont="1" applyFill="1" applyBorder="1"/>
    <xf numFmtId="181" fontId="37" fillId="5" borderId="8" xfId="28" applyNumberFormat="1" applyFont="1" applyFill="1" applyBorder="1"/>
    <xf numFmtId="181" fontId="37" fillId="5" borderId="0" xfId="28" applyNumberFormat="1" applyFont="1" applyFill="1" applyBorder="1"/>
    <xf numFmtId="181" fontId="5" fillId="5" borderId="0" xfId="28" applyNumberFormat="1" applyFont="1" applyFill="1" applyBorder="1"/>
    <xf numFmtId="173" fontId="37" fillId="0" borderId="8" xfId="28" applyNumberFormat="1" applyFont="1" applyBorder="1"/>
    <xf numFmtId="173" fontId="37" fillId="0" borderId="8" xfId="28" applyNumberFormat="1" applyFont="1" applyFill="1" applyBorder="1"/>
    <xf numFmtId="173" fontId="5" fillId="0" borderId="0" xfId="28" applyNumberFormat="1" applyFont="1" applyBorder="1"/>
    <xf numFmtId="173" fontId="37" fillId="0" borderId="0" xfId="28" applyNumberFormat="1" applyFont="1"/>
    <xf numFmtId="173" fontId="5" fillId="0" borderId="8" xfId="28" applyNumberFormat="1" applyFont="1" applyFill="1" applyBorder="1"/>
    <xf numFmtId="173" fontId="21" fillId="0" borderId="0" xfId="28" applyNumberFormat="1" applyFont="1" applyFill="1" applyBorder="1"/>
    <xf numFmtId="173" fontId="21" fillId="0" borderId="7" xfId="28" applyNumberFormat="1" applyFont="1" applyFill="1" applyBorder="1"/>
    <xf numFmtId="166" fontId="43" fillId="0" borderId="0" xfId="10" applyNumberFormat="1" applyFont="1"/>
    <xf numFmtId="166" fontId="43" fillId="0" borderId="8" xfId="10" applyNumberFormat="1" applyFont="1" applyBorder="1"/>
    <xf numFmtId="166" fontId="43" fillId="0" borderId="7" xfId="10" applyNumberFormat="1" applyFont="1" applyBorder="1"/>
    <xf numFmtId="166" fontId="43" fillId="0" borderId="0" xfId="10" applyNumberFormat="1" applyFont="1" applyBorder="1"/>
    <xf numFmtId="166" fontId="43" fillId="0" borderId="6" xfId="10" applyNumberFormat="1" applyFont="1" applyBorder="1"/>
    <xf numFmtId="176" fontId="4" fillId="0" borderId="17" xfId="28" applyNumberFormat="1" applyFont="1" applyBorder="1"/>
    <xf numFmtId="176" fontId="4" fillId="0" borderId="18" xfId="28" applyNumberFormat="1" applyFont="1" applyBorder="1"/>
    <xf numFmtId="176" fontId="4" fillId="0" borderId="17" xfId="28" applyNumberFormat="1" applyFont="1" applyFill="1" applyBorder="1"/>
    <xf numFmtId="176" fontId="4" fillId="0" borderId="17" xfId="10" applyNumberFormat="1" applyFont="1" applyFill="1" applyBorder="1"/>
    <xf numFmtId="176" fontId="4" fillId="0" borderId="18" xfId="28" applyNumberFormat="1" applyFont="1" applyFill="1" applyBorder="1"/>
    <xf numFmtId="176" fontId="4" fillId="0" borderId="18" xfId="10" applyNumberFormat="1" applyFont="1" applyBorder="1"/>
    <xf numFmtId="176" fontId="4" fillId="0" borderId="19" xfId="10" applyNumberFormat="1" applyFont="1" applyBorder="1"/>
    <xf numFmtId="176" fontId="4" fillId="0" borderId="17" xfId="10" applyNumberFormat="1" applyFont="1" applyBorder="1"/>
    <xf numFmtId="176" fontId="4" fillId="0" borderId="20" xfId="10" applyNumberFormat="1" applyFont="1" applyBorder="1"/>
    <xf numFmtId="9" fontId="20" fillId="0" borderId="0" xfId="32" applyNumberFormat="1" applyFont="1" applyFill="1" applyBorder="1" applyAlignment="1">
      <alignment horizontal="left" indent="2"/>
    </xf>
    <xf numFmtId="9" fontId="37" fillId="0" borderId="8" xfId="28" applyNumberFormat="1" applyFont="1" applyBorder="1"/>
    <xf numFmtId="9" fontId="37" fillId="0" borderId="8" xfId="28" applyNumberFormat="1" applyFont="1" applyFill="1" applyBorder="1"/>
    <xf numFmtId="9" fontId="44" fillId="0" borderId="8" xfId="28" applyNumberFormat="1" applyFont="1" applyBorder="1"/>
    <xf numFmtId="9" fontId="44" fillId="0" borderId="0" xfId="10" applyNumberFormat="1" applyFont="1" applyBorder="1"/>
    <xf numFmtId="9" fontId="44" fillId="0" borderId="7" xfId="10" applyNumberFormat="1" applyFont="1" applyBorder="1"/>
    <xf numFmtId="9" fontId="45" fillId="0" borderId="0" xfId="10" applyNumberFormat="1" applyFont="1" applyBorder="1"/>
    <xf numFmtId="9" fontId="45" fillId="0" borderId="7" xfId="10" applyNumberFormat="1" applyFont="1" applyBorder="1"/>
    <xf numFmtId="9" fontId="20" fillId="0" borderId="0" xfId="28" applyNumberFormat="1" applyFont="1" applyFill="1" applyBorder="1"/>
    <xf numFmtId="9" fontId="20" fillId="0" borderId="0" xfId="28" applyNumberFormat="1" applyFont="1" applyBorder="1"/>
    <xf numFmtId="9" fontId="20" fillId="0" borderId="8" xfId="28" applyNumberFormat="1" applyFont="1" applyBorder="1"/>
    <xf numFmtId="9" fontId="20" fillId="0" borderId="0" xfId="10" applyNumberFormat="1" applyFont="1" applyFill="1"/>
    <xf numFmtId="9" fontId="20" fillId="0" borderId="8" xfId="28" applyNumberFormat="1" applyFont="1" applyFill="1" applyBorder="1"/>
    <xf numFmtId="9" fontId="20" fillId="0" borderId="8" xfId="10" applyNumberFormat="1" applyFont="1" applyBorder="1"/>
    <xf numFmtId="166" fontId="33" fillId="0" borderId="0" xfId="28" applyNumberFormat="1" applyFont="1" applyBorder="1"/>
    <xf numFmtId="166" fontId="37" fillId="0" borderId="8" xfId="28" applyNumberFormat="1" applyFont="1" applyBorder="1"/>
    <xf numFmtId="166" fontId="37" fillId="0" borderId="8" xfId="28" applyNumberFormat="1" applyFont="1" applyFill="1" applyBorder="1"/>
    <xf numFmtId="166" fontId="5" fillId="0" borderId="0" xfId="28" applyNumberFormat="1" applyFont="1" applyBorder="1"/>
    <xf numFmtId="166" fontId="5" fillId="0" borderId="0" xfId="28" applyNumberFormat="1" applyFont="1"/>
    <xf numFmtId="166" fontId="37" fillId="0" borderId="0" xfId="28" applyNumberFormat="1" applyFont="1"/>
    <xf numFmtId="166" fontId="5" fillId="0" borderId="8" xfId="28" applyNumberFormat="1" applyFont="1" applyFill="1" applyBorder="1"/>
    <xf numFmtId="166" fontId="5" fillId="0" borderId="0" xfId="28" applyNumberFormat="1" applyFont="1" applyFill="1" applyBorder="1"/>
    <xf numFmtId="166" fontId="5" fillId="0" borderId="7" xfId="28" applyNumberFormat="1" applyFont="1" applyFill="1" applyBorder="1"/>
    <xf numFmtId="166" fontId="33" fillId="0" borderId="8" xfId="28" applyNumberFormat="1" applyFont="1" applyFill="1" applyBorder="1"/>
    <xf numFmtId="166" fontId="4" fillId="0" borderId="0" xfId="28" applyNumberFormat="1" applyFont="1" applyBorder="1"/>
    <xf numFmtId="166" fontId="4" fillId="0" borderId="0" xfId="28" applyNumberFormat="1" applyFont="1"/>
    <xf numFmtId="166" fontId="33" fillId="0" borderId="0" xfId="28" applyNumberFormat="1" applyFont="1"/>
    <xf numFmtId="166" fontId="4" fillId="0" borderId="8" xfId="28" applyNumberFormat="1" applyFont="1" applyFill="1" applyBorder="1"/>
    <xf numFmtId="176" fontId="21" fillId="0" borderId="0" xfId="28" applyNumberFormat="1" applyFont="1" applyFill="1" applyBorder="1"/>
    <xf numFmtId="176" fontId="21" fillId="0" borderId="7" xfId="28" applyNumberFormat="1" applyFont="1" applyFill="1" applyBorder="1"/>
    <xf numFmtId="176" fontId="21" fillId="0" borderId="8" xfId="28" applyNumberFormat="1" applyFont="1" applyFill="1" applyBorder="1"/>
    <xf numFmtId="173" fontId="21" fillId="0" borderId="8" xfId="32" applyNumberFormat="1" applyFont="1" applyFill="1" applyBorder="1"/>
    <xf numFmtId="173" fontId="37" fillId="5" borderId="0" xfId="29" applyNumberFormat="1" applyFont="1" applyFill="1" applyBorder="1" applyAlignment="1">
      <alignment horizontal="left" vertical="center" indent="1"/>
    </xf>
    <xf numFmtId="173" fontId="37" fillId="0" borderId="8" xfId="32" applyNumberFormat="1" applyFont="1" applyFill="1" applyBorder="1"/>
    <xf numFmtId="173" fontId="37" fillId="0" borderId="0" xfId="10" applyNumberFormat="1" applyFont="1" applyFill="1"/>
    <xf numFmtId="176" fontId="39" fillId="5" borderId="0" xfId="29" applyNumberFormat="1" applyFont="1" applyFill="1" applyBorder="1" applyAlignment="1">
      <alignment horizontal="left" vertical="center" indent="1"/>
    </xf>
    <xf numFmtId="176" fontId="39" fillId="0" borderId="8" xfId="10" applyNumberFormat="1" applyFont="1" applyBorder="1"/>
    <xf numFmtId="176" fontId="39" fillId="0" borderId="0" xfId="10" applyNumberFormat="1" applyFont="1" applyBorder="1"/>
    <xf numFmtId="0" fontId="16" fillId="5" borderId="0" xfId="28" applyFont="1" applyFill="1" applyBorder="1" applyAlignment="1">
      <alignment horizontal="center"/>
    </xf>
    <xf numFmtId="176" fontId="39" fillId="0" borderId="8" xfId="10" applyNumberFormat="1" applyFont="1" applyFill="1" applyBorder="1"/>
    <xf numFmtId="176" fontId="39" fillId="0" borderId="0" xfId="10" applyNumberFormat="1" applyFont="1" applyFill="1"/>
    <xf numFmtId="176" fontId="39" fillId="0" borderId="0" xfId="10" applyNumberFormat="1" applyFont="1" applyFill="1" applyBorder="1"/>
    <xf numFmtId="176" fontId="39" fillId="0" borderId="0" xfId="10" applyNumberFormat="1" applyFont="1"/>
    <xf numFmtId="176" fontId="39" fillId="0" borderId="6" xfId="10" applyNumberFormat="1" applyFont="1" applyFill="1" applyBorder="1"/>
    <xf numFmtId="176" fontId="39" fillId="0" borderId="7" xfId="10" applyNumberFormat="1" applyFont="1" applyFill="1" applyBorder="1"/>
    <xf numFmtId="3" fontId="5" fillId="5" borderId="0" xfId="0" applyNumberFormat="1" applyFont="1" applyFill="1" applyBorder="1" applyAlignment="1">
      <alignment horizontal="left" indent="1"/>
    </xf>
    <xf numFmtId="3" fontId="37" fillId="0" borderId="8" xfId="10" applyNumberFormat="1" applyFont="1" applyBorder="1" applyAlignment="1">
      <alignment horizontal="right"/>
    </xf>
    <xf numFmtId="3" fontId="37" fillId="0" borderId="0" xfId="10" applyNumberFormat="1" applyFont="1" applyBorder="1"/>
    <xf numFmtId="3" fontId="21" fillId="0" borderId="8" xfId="10" applyNumberFormat="1" applyFont="1" applyBorder="1" applyAlignment="1">
      <alignment horizontal="right"/>
    </xf>
    <xf numFmtId="3" fontId="21" fillId="0" borderId="0" xfId="10" applyNumberFormat="1" applyFont="1" applyFill="1" applyBorder="1"/>
    <xf numFmtId="3" fontId="21" fillId="0" borderId="7" xfId="10" applyNumberFormat="1" applyFont="1" applyFill="1" applyBorder="1"/>
    <xf numFmtId="9" fontId="4" fillId="5" borderId="0" xfId="0" applyNumberFormat="1" applyFont="1" applyFill="1" applyBorder="1"/>
    <xf numFmtId="9" fontId="5" fillId="0" borderId="8" xfId="28" applyNumberFormat="1" applyFont="1" applyFill="1" applyBorder="1"/>
    <xf numFmtId="5" fontId="5" fillId="0" borderId="8" xfId="28" applyNumberFormat="1" applyFont="1" applyFill="1" applyBorder="1"/>
    <xf numFmtId="0" fontId="20" fillId="8" borderId="0" xfId="28" applyFont="1" applyFill="1"/>
    <xf numFmtId="0" fontId="12" fillId="8" borderId="8" xfId="28" applyFont="1" applyFill="1" applyBorder="1"/>
    <xf numFmtId="0" fontId="12" fillId="8" borderId="0" xfId="28" applyFont="1" applyFill="1" applyBorder="1"/>
    <xf numFmtId="0" fontId="12" fillId="8" borderId="0" xfId="28" applyFont="1" applyFill="1"/>
    <xf numFmtId="0" fontId="12" fillId="8" borderId="6" xfId="28" applyFont="1" applyFill="1" applyBorder="1"/>
    <xf numFmtId="0" fontId="12" fillId="8" borderId="7" xfId="28" applyFont="1" applyFill="1" applyBorder="1"/>
    <xf numFmtId="166" fontId="37" fillId="5" borderId="8" xfId="28" applyNumberFormat="1" applyFont="1" applyFill="1" applyBorder="1"/>
    <xf numFmtId="166" fontId="5" fillId="5" borderId="8" xfId="28" applyNumberFormat="1" applyFont="1" applyFill="1" applyBorder="1"/>
    <xf numFmtId="166" fontId="5" fillId="5" borderId="0" xfId="28" applyNumberFormat="1" applyFont="1" applyFill="1" applyBorder="1"/>
    <xf numFmtId="166" fontId="5" fillId="5" borderId="6" xfId="28" applyNumberFormat="1" applyFont="1" applyFill="1" applyBorder="1"/>
    <xf numFmtId="166" fontId="5" fillId="5" borderId="7" xfId="28" applyNumberFormat="1" applyFont="1" applyFill="1" applyBorder="1"/>
    <xf numFmtId="166" fontId="5" fillId="5" borderId="0" xfId="0" applyNumberFormat="1" applyFont="1" applyFill="1" applyBorder="1"/>
    <xf numFmtId="176" fontId="4" fillId="6" borderId="0" xfId="28" applyNumberFormat="1" applyFont="1" applyFill="1" applyBorder="1"/>
    <xf numFmtId="176" fontId="5" fillId="6" borderId="0" xfId="28" applyNumberFormat="1" applyFont="1" applyFill="1" applyBorder="1"/>
    <xf numFmtId="166" fontId="5" fillId="6" borderId="0" xfId="28" applyNumberFormat="1" applyFont="1" applyFill="1" applyBorder="1"/>
    <xf numFmtId="176" fontId="33" fillId="6" borderId="0" xfId="28" applyNumberFormat="1" applyFont="1" applyFill="1" applyBorder="1"/>
    <xf numFmtId="0" fontId="5" fillId="6" borderId="0" xfId="28" applyFont="1" applyFill="1" applyBorder="1"/>
    <xf numFmtId="0" fontId="16" fillId="5" borderId="0" xfId="28" applyFont="1" applyFill="1" applyBorder="1"/>
    <xf numFmtId="0" fontId="16" fillId="5" borderId="0" xfId="0" applyFont="1" applyFill="1" applyBorder="1"/>
    <xf numFmtId="176" fontId="4" fillId="5" borderId="0" xfId="0" applyNumberFormat="1" applyFont="1" applyFill="1" applyBorder="1"/>
    <xf numFmtId="0" fontId="0" fillId="5" borderId="0" xfId="0" applyFill="1" applyBorder="1"/>
    <xf numFmtId="172" fontId="5" fillId="0" borderId="8" xfId="28" applyNumberFormat="1" applyFont="1" applyFill="1" applyBorder="1"/>
    <xf numFmtId="172" fontId="5" fillId="0" borderId="0" xfId="28" applyNumberFormat="1" applyFont="1" applyFill="1" applyBorder="1"/>
    <xf numFmtId="172" fontId="5" fillId="0" borderId="6" xfId="28" applyNumberFormat="1" applyFont="1" applyFill="1" applyBorder="1"/>
    <xf numFmtId="172" fontId="5" fillId="0" borderId="7" xfId="28" applyNumberFormat="1" applyFont="1" applyFill="1" applyBorder="1"/>
    <xf numFmtId="168" fontId="4" fillId="0" borderId="8" xfId="28" applyNumberFormat="1" applyFont="1" applyFill="1" applyBorder="1"/>
    <xf numFmtId="168" fontId="4" fillId="0" borderId="0" xfId="28" applyNumberFormat="1" applyFont="1" applyFill="1" applyBorder="1"/>
    <xf numFmtId="168" fontId="4" fillId="0" borderId="7" xfId="28" applyNumberFormat="1" applyFont="1" applyFill="1" applyBorder="1"/>
    <xf numFmtId="5" fontId="5" fillId="0" borderId="0" xfId="28" applyNumberFormat="1" applyFont="1" applyFill="1"/>
    <xf numFmtId="0" fontId="5" fillId="0" borderId="0" xfId="0" applyFont="1" applyBorder="1" applyAlignment="1">
      <alignment horizontal="left" indent="3"/>
    </xf>
    <xf numFmtId="176" fontId="4" fillId="0" borderId="11" xfId="28" applyNumberFormat="1" applyFont="1" applyBorder="1"/>
    <xf numFmtId="175" fontId="5" fillId="0" borderId="6" xfId="28" applyNumberFormat="1" applyFont="1" applyBorder="1"/>
    <xf numFmtId="175" fontId="5" fillId="0" borderId="7" xfId="28" applyNumberFormat="1" applyFont="1" applyBorder="1"/>
    <xf numFmtId="9" fontId="5" fillId="0" borderId="7" xfId="30" applyNumberFormat="1" applyFont="1" applyFill="1" applyBorder="1" applyAlignment="1" applyProtection="1">
      <alignment horizontal="left" indent="6"/>
      <protection locked="0"/>
    </xf>
    <xf numFmtId="176" fontId="5" fillId="5" borderId="7" xfId="30" applyNumberFormat="1" applyFont="1" applyFill="1" applyBorder="1" applyAlignment="1" applyProtection="1">
      <alignment horizontal="left" indent="4"/>
      <protection locked="0"/>
    </xf>
    <xf numFmtId="176" fontId="5" fillId="5" borderId="8" xfId="28" applyNumberFormat="1" applyFont="1" applyFill="1" applyBorder="1"/>
    <xf numFmtId="176" fontId="21" fillId="5" borderId="0" xfId="28" applyNumberFormat="1" applyFont="1" applyFill="1" applyBorder="1"/>
    <xf numFmtId="176" fontId="21" fillId="5" borderId="8" xfId="28" applyNumberFormat="1" applyFont="1" applyFill="1" applyBorder="1"/>
    <xf numFmtId="176" fontId="21" fillId="5" borderId="7" xfId="28" applyNumberFormat="1" applyFont="1" applyFill="1" applyBorder="1"/>
    <xf numFmtId="173" fontId="37" fillId="5" borderId="0" xfId="32" applyNumberFormat="1" applyFont="1" applyFill="1" applyBorder="1"/>
    <xf numFmtId="173" fontId="37" fillId="5" borderId="6" xfId="32" applyNumberFormat="1" applyFont="1" applyFill="1" applyBorder="1"/>
    <xf numFmtId="3" fontId="37" fillId="5" borderId="0" xfId="28" applyNumberFormat="1" applyFont="1" applyFill="1" applyBorder="1"/>
    <xf numFmtId="3" fontId="37" fillId="5" borderId="6" xfId="28" applyNumberFormat="1" applyFont="1" applyFill="1" applyBorder="1"/>
    <xf numFmtId="176" fontId="4" fillId="0" borderId="10" xfId="28" applyNumberFormat="1" applyFont="1" applyBorder="1"/>
    <xf numFmtId="176" fontId="4" fillId="0" borderId="10" xfId="28" applyNumberFormat="1" applyFont="1" applyFill="1" applyBorder="1"/>
    <xf numFmtId="176" fontId="29" fillId="0" borderId="10" xfId="28" applyNumberFormat="1" applyFont="1" applyBorder="1"/>
    <xf numFmtId="176" fontId="4" fillId="0" borderId="21" xfId="28" applyNumberFormat="1" applyFont="1" applyBorder="1"/>
    <xf numFmtId="176" fontId="4" fillId="0" borderId="16" xfId="28" applyNumberFormat="1" applyFont="1" applyBorder="1"/>
    <xf numFmtId="0" fontId="16" fillId="6" borderId="6" xfId="28" applyFont="1" applyFill="1" applyBorder="1" applyAlignment="1">
      <alignment horizontal="center"/>
    </xf>
    <xf numFmtId="0" fontId="17" fillId="6" borderId="0" xfId="28" applyFont="1" applyFill="1" applyBorder="1" applyAlignment="1">
      <alignment horizontal="left"/>
    </xf>
    <xf numFmtId="0" fontId="16" fillId="6" borderId="0" xfId="28" applyFont="1" applyFill="1" applyBorder="1" applyAlignment="1">
      <alignment horizontal="center"/>
    </xf>
    <xf numFmtId="0" fontId="16" fillId="5" borderId="0" xfId="0" applyFont="1" applyFill="1" applyBorder="1" applyAlignment="1">
      <alignment horizontal="center"/>
    </xf>
    <xf numFmtId="0" fontId="16" fillId="5" borderId="6" xfId="28" applyFont="1" applyFill="1" applyBorder="1"/>
    <xf numFmtId="0" fontId="5" fillId="5" borderId="6" xfId="28" applyFont="1" applyFill="1" applyBorder="1"/>
    <xf numFmtId="0" fontId="5" fillId="5" borderId="0" xfId="0" applyFont="1" applyFill="1" applyBorder="1"/>
    <xf numFmtId="176" fontId="5" fillId="5" borderId="6" xfId="28" applyNumberFormat="1" applyFont="1" applyFill="1" applyBorder="1"/>
    <xf numFmtId="176" fontId="16" fillId="6" borderId="0" xfId="28" applyNumberFormat="1" applyFont="1" applyFill="1" applyBorder="1"/>
    <xf numFmtId="0" fontId="21" fillId="5" borderId="6" xfId="28" applyFont="1" applyFill="1" applyBorder="1"/>
    <xf numFmtId="176" fontId="21" fillId="5" borderId="6" xfId="28" applyNumberFormat="1" applyFont="1" applyFill="1" applyBorder="1"/>
    <xf numFmtId="0" fontId="4" fillId="5" borderId="6" xfId="28" applyFont="1" applyFill="1" applyBorder="1"/>
    <xf numFmtId="0" fontId="4" fillId="6" borderId="0" xfId="28" applyFont="1" applyFill="1" applyBorder="1"/>
    <xf numFmtId="0" fontId="4" fillId="5" borderId="0" xfId="28" applyFont="1" applyFill="1" applyBorder="1"/>
    <xf numFmtId="0" fontId="12" fillId="5" borderId="6" xfId="28" applyFont="1" applyFill="1" applyBorder="1"/>
    <xf numFmtId="0" fontId="42" fillId="6" borderId="0" xfId="28" applyFont="1" applyFill="1" applyBorder="1"/>
    <xf numFmtId="0" fontId="12" fillId="4" borderId="0" xfId="28" applyFont="1" applyFill="1" applyBorder="1"/>
    <xf numFmtId="0" fontId="12" fillId="6" borderId="0" xfId="28" applyFont="1" applyFill="1" applyBorder="1"/>
    <xf numFmtId="0" fontId="12" fillId="5" borderId="0" xfId="28" applyFont="1" applyFill="1" applyBorder="1"/>
    <xf numFmtId="0" fontId="12" fillId="5" borderId="0" xfId="0" applyFont="1" applyFill="1" applyBorder="1"/>
    <xf numFmtId="5" fontId="5" fillId="5" borderId="6" xfId="28" applyNumberFormat="1" applyFont="1" applyFill="1" applyBorder="1"/>
    <xf numFmtId="41" fontId="5" fillId="5" borderId="6" xfId="28" applyNumberFormat="1" applyFont="1" applyFill="1" applyBorder="1"/>
    <xf numFmtId="176" fontId="39" fillId="5" borderId="6" xfId="28" applyNumberFormat="1" applyFont="1" applyFill="1" applyBorder="1"/>
    <xf numFmtId="176" fontId="39" fillId="6" borderId="0" xfId="28" applyNumberFormat="1" applyFont="1" applyFill="1" applyBorder="1"/>
    <xf numFmtId="176" fontId="39" fillId="5" borderId="0" xfId="28" applyNumberFormat="1" applyFont="1" applyFill="1" applyBorder="1"/>
    <xf numFmtId="176" fontId="39" fillId="5" borderId="0" xfId="0" applyNumberFormat="1" applyFont="1" applyFill="1" applyBorder="1"/>
    <xf numFmtId="0" fontId="7" fillId="5" borderId="6" xfId="28" applyFont="1" applyFill="1" applyBorder="1"/>
    <xf numFmtId="0" fontId="7" fillId="6" borderId="0" xfId="28" applyFont="1" applyFill="1" applyBorder="1"/>
    <xf numFmtId="0" fontId="7" fillId="5" borderId="0" xfId="28" applyFont="1" applyFill="1" applyBorder="1"/>
    <xf numFmtId="169" fontId="5" fillId="5" borderId="6" xfId="28" applyNumberFormat="1" applyFont="1" applyFill="1" applyBorder="1"/>
    <xf numFmtId="169" fontId="5" fillId="5" borderId="0" xfId="28" applyNumberFormat="1" applyFont="1" applyFill="1" applyBorder="1"/>
    <xf numFmtId="181" fontId="5" fillId="5" borderId="6" xfId="28" applyNumberFormat="1" applyFont="1" applyFill="1" applyBorder="1"/>
    <xf numFmtId="181" fontId="16" fillId="6" borderId="0" xfId="28" applyNumberFormat="1" applyFont="1" applyFill="1" applyBorder="1"/>
    <xf numFmtId="181" fontId="5" fillId="6" borderId="0" xfId="28" applyNumberFormat="1" applyFont="1" applyFill="1" applyBorder="1"/>
    <xf numFmtId="173" fontId="5" fillId="5" borderId="6" xfId="28" applyNumberFormat="1" applyFont="1" applyFill="1" applyBorder="1"/>
    <xf numFmtId="173" fontId="5" fillId="6" borderId="0" xfId="28" applyNumberFormat="1" applyFont="1" applyFill="1" applyBorder="1"/>
    <xf numFmtId="173" fontId="5" fillId="5" borderId="0" xfId="28" applyNumberFormat="1" applyFont="1" applyFill="1" applyBorder="1"/>
    <xf numFmtId="173" fontId="5" fillId="5" borderId="0" xfId="0" applyNumberFormat="1" applyFont="1" applyFill="1" applyBorder="1"/>
    <xf numFmtId="9" fontId="37" fillId="5" borderId="0" xfId="28" applyNumberFormat="1" applyFont="1" applyFill="1" applyBorder="1"/>
    <xf numFmtId="9" fontId="44" fillId="5" borderId="6" xfId="10" applyNumberFormat="1" applyFont="1" applyFill="1" applyBorder="1"/>
    <xf numFmtId="9" fontId="44" fillId="6" borderId="0" xfId="28" applyNumberFormat="1" applyFont="1" applyFill="1" applyBorder="1"/>
    <xf numFmtId="9" fontId="44" fillId="5" borderId="0" xfId="28" applyNumberFormat="1" applyFont="1" applyFill="1" applyBorder="1"/>
    <xf numFmtId="9" fontId="44" fillId="5" borderId="0" xfId="0" applyNumberFormat="1" applyFont="1" applyFill="1" applyBorder="1"/>
    <xf numFmtId="3" fontId="37" fillId="6" borderId="0" xfId="28" applyNumberFormat="1" applyFont="1" applyFill="1" applyBorder="1"/>
    <xf numFmtId="3" fontId="37" fillId="5" borderId="0" xfId="0" applyNumberFormat="1" applyFont="1" applyFill="1" applyBorder="1"/>
    <xf numFmtId="176" fontId="0" fillId="5" borderId="0" xfId="0" applyNumberFormat="1" applyFill="1" applyBorder="1"/>
    <xf numFmtId="0" fontId="5" fillId="5" borderId="6" xfId="0" applyFont="1" applyFill="1" applyBorder="1"/>
    <xf numFmtId="0" fontId="5" fillId="6" borderId="0" xfId="0" applyFont="1" applyFill="1" applyBorder="1"/>
    <xf numFmtId="176" fontId="5" fillId="5" borderId="0" xfId="0" applyNumberFormat="1" applyFont="1" applyFill="1" applyAlignment="1">
      <alignment horizontal="left" indent="3"/>
    </xf>
    <xf numFmtId="176" fontId="5" fillId="5" borderId="0" xfId="0" applyNumberFormat="1" applyFont="1" applyFill="1" applyBorder="1" applyAlignment="1">
      <alignment horizontal="left" indent="3"/>
    </xf>
    <xf numFmtId="0" fontId="4" fillId="5" borderId="13" xfId="28" applyFont="1" applyFill="1" applyBorder="1" applyAlignment="1">
      <alignment horizontal="left" vertical="center"/>
    </xf>
    <xf numFmtId="166" fontId="37" fillId="4" borderId="0" xfId="28" applyNumberFormat="1" applyFont="1" applyFill="1" applyBorder="1"/>
    <xf numFmtId="176" fontId="5" fillId="5" borderId="6" xfId="0" applyNumberFormat="1" applyFont="1" applyFill="1" applyBorder="1"/>
    <xf numFmtId="173" fontId="5" fillId="5" borderId="6" xfId="0" applyNumberFormat="1" applyFont="1" applyFill="1" applyBorder="1"/>
    <xf numFmtId="176" fontId="5" fillId="0" borderId="0" xfId="28" applyNumberFormat="1" applyFont="1" applyFill="1" applyBorder="1" applyAlignment="1" applyProtection="1">
      <alignment horizontal="left" indent="1"/>
    </xf>
    <xf numFmtId="173" fontId="5" fillId="5" borderId="0" xfId="30" applyNumberFormat="1" applyFont="1" applyFill="1" applyBorder="1" applyAlignment="1" applyProtection="1">
      <alignment horizontal="left" indent="2"/>
      <protection locked="0"/>
    </xf>
    <xf numFmtId="173" fontId="5" fillId="0" borderId="8" xfId="28" applyNumberFormat="1" applyFont="1" applyBorder="1"/>
    <xf numFmtId="173" fontId="5" fillId="0" borderId="7" xfId="28" applyNumberFormat="1" applyFont="1" applyBorder="1"/>
    <xf numFmtId="176" fontId="16" fillId="7" borderId="8" xfId="28" applyNumberFormat="1" applyFont="1" applyFill="1" applyBorder="1"/>
    <xf numFmtId="176" fontId="16" fillId="7" borderId="0" xfId="28" applyNumberFormat="1" applyFont="1" applyFill="1" applyBorder="1"/>
    <xf numFmtId="9" fontId="37" fillId="5" borderId="8" xfId="28" applyNumberFormat="1" applyFont="1" applyFill="1" applyBorder="1"/>
    <xf numFmtId="9" fontId="37" fillId="5" borderId="6" xfId="28" applyNumberFormat="1" applyFont="1" applyFill="1" applyBorder="1"/>
    <xf numFmtId="9" fontId="21" fillId="5" borderId="0" xfId="28" applyNumberFormat="1" applyFont="1" applyFill="1" applyBorder="1"/>
    <xf numFmtId="9" fontId="21" fillId="5" borderId="7" xfId="28" applyNumberFormat="1" applyFont="1" applyFill="1" applyBorder="1"/>
    <xf numFmtId="9" fontId="5" fillId="5" borderId="6" xfId="28" applyNumberFormat="1" applyFont="1" applyFill="1" applyBorder="1"/>
    <xf numFmtId="9" fontId="5" fillId="6" borderId="0" xfId="28" applyNumberFormat="1" applyFont="1" applyFill="1" applyBorder="1"/>
    <xf numFmtId="9" fontId="5" fillId="5" borderId="0" xfId="28" applyNumberFormat="1" applyFont="1" applyFill="1" applyBorder="1"/>
    <xf numFmtId="9" fontId="5" fillId="5" borderId="0" xfId="0" applyNumberFormat="1" applyFont="1" applyFill="1" applyBorder="1"/>
    <xf numFmtId="170" fontId="37" fillId="5" borderId="22" xfId="28" applyNumberFormat="1" applyFont="1" applyFill="1" applyBorder="1"/>
    <xf numFmtId="170" fontId="5" fillId="5" borderId="6" xfId="28" applyNumberFormat="1" applyFont="1" applyFill="1" applyBorder="1"/>
    <xf numFmtId="5" fontId="37" fillId="5" borderId="8" xfId="28" applyNumberFormat="1" applyFont="1" applyFill="1" applyBorder="1"/>
    <xf numFmtId="5" fontId="37" fillId="5" borderId="0" xfId="28" applyNumberFormat="1" applyFont="1" applyFill="1" applyBorder="1"/>
    <xf numFmtId="5" fontId="5" fillId="5" borderId="0" xfId="28" applyNumberFormat="1" applyFont="1" applyFill="1" applyBorder="1"/>
    <xf numFmtId="5" fontId="5" fillId="5" borderId="8" xfId="28" applyNumberFormat="1" applyFont="1" applyFill="1" applyBorder="1"/>
    <xf numFmtId="5" fontId="37" fillId="5" borderId="6" xfId="28" applyNumberFormat="1" applyFont="1" applyFill="1" applyBorder="1"/>
    <xf numFmtId="5" fontId="37" fillId="5" borderId="7" xfId="28" applyNumberFormat="1" applyFont="1" applyFill="1" applyBorder="1"/>
    <xf numFmtId="5" fontId="21" fillId="5" borderId="0" xfId="28" applyNumberFormat="1" applyFont="1" applyFill="1" applyBorder="1"/>
    <xf numFmtId="5" fontId="21" fillId="5" borderId="7" xfId="28" applyNumberFormat="1" applyFont="1" applyFill="1" applyBorder="1"/>
    <xf numFmtId="5" fontId="21" fillId="5" borderId="6" xfId="28" applyNumberFormat="1" applyFont="1" applyFill="1" applyBorder="1"/>
    <xf numFmtId="5" fontId="16" fillId="6" borderId="0" xfId="28" applyNumberFormat="1" applyFont="1" applyFill="1" applyBorder="1"/>
    <xf numFmtId="5" fontId="5" fillId="6" borderId="0" xfId="28" applyNumberFormat="1" applyFont="1" applyFill="1" applyBorder="1"/>
    <xf numFmtId="5" fontId="5" fillId="5" borderId="0" xfId="0" applyNumberFormat="1" applyFont="1" applyFill="1" applyBorder="1"/>
    <xf numFmtId="5" fontId="21" fillId="5" borderId="8" xfId="28" applyNumberFormat="1" applyFont="1" applyFill="1" applyBorder="1"/>
    <xf numFmtId="172" fontId="5" fillId="0" borderId="0" xfId="28" applyNumberFormat="1" applyFont="1" applyFill="1"/>
    <xf numFmtId="176" fontId="5" fillId="0" borderId="10" xfId="10" applyNumberFormat="1" applyFont="1" applyFill="1" applyBorder="1"/>
    <xf numFmtId="176" fontId="5" fillId="0" borderId="0" xfId="10" applyNumberFormat="1" applyFont="1" applyFill="1" applyAlignment="1">
      <alignment horizontal="right"/>
    </xf>
    <xf numFmtId="0" fontId="16" fillId="6" borderId="27" xfId="28" applyFont="1" applyFill="1" applyBorder="1"/>
    <xf numFmtId="5" fontId="4" fillId="0" borderId="6" xfId="28" applyNumberFormat="1" applyFont="1" applyFill="1" applyBorder="1"/>
    <xf numFmtId="176" fontId="5" fillId="5" borderId="10" xfId="0" applyNumberFormat="1" applyFont="1" applyFill="1" applyBorder="1" applyAlignment="1">
      <alignment horizontal="left" indent="2"/>
    </xf>
    <xf numFmtId="176" fontId="21" fillId="5" borderId="11" xfId="28" applyNumberFormat="1" applyFont="1" applyFill="1" applyBorder="1"/>
    <xf numFmtId="176" fontId="21" fillId="5" borderId="10" xfId="28" applyNumberFormat="1" applyFont="1" applyFill="1" applyBorder="1"/>
    <xf numFmtId="176" fontId="21" fillId="5" borderId="10" xfId="0" applyNumberFormat="1" applyFont="1" applyFill="1" applyBorder="1"/>
    <xf numFmtId="176" fontId="21" fillId="5" borderId="21" xfId="28" applyNumberFormat="1" applyFont="1" applyFill="1" applyBorder="1"/>
    <xf numFmtId="176" fontId="5" fillId="5" borderId="21" xfId="28" applyNumberFormat="1" applyFont="1" applyFill="1" applyBorder="1"/>
    <xf numFmtId="176" fontId="5" fillId="5" borderId="11" xfId="28" applyNumberFormat="1" applyFont="1" applyFill="1" applyBorder="1"/>
    <xf numFmtId="176" fontId="5" fillId="5" borderId="10" xfId="28" applyNumberFormat="1" applyFont="1" applyFill="1" applyBorder="1"/>
    <xf numFmtId="176" fontId="5" fillId="5" borderId="0" xfId="28" applyNumberFormat="1" applyFont="1" applyFill="1" applyAlignment="1">
      <alignment horizontal="left" indent="2"/>
    </xf>
    <xf numFmtId="176" fontId="4" fillId="4" borderId="0" xfId="28" applyNumberFormat="1" applyFont="1" applyFill="1" applyBorder="1" applyAlignment="1">
      <alignment horizontal="left"/>
    </xf>
    <xf numFmtId="176" fontId="5" fillId="5" borderId="7" xfId="28" applyNumberFormat="1" applyFont="1" applyFill="1" applyBorder="1"/>
    <xf numFmtId="170" fontId="21" fillId="5" borderId="6" xfId="28" applyNumberFormat="1" applyFont="1" applyFill="1" applyBorder="1"/>
    <xf numFmtId="37" fontId="21" fillId="5" borderId="0" xfId="28" applyNumberFormat="1" applyFont="1" applyFill="1" applyBorder="1"/>
    <xf numFmtId="37" fontId="21" fillId="5" borderId="7" xfId="28" applyNumberFormat="1" applyFont="1" applyFill="1" applyBorder="1"/>
    <xf numFmtId="170" fontId="12" fillId="5" borderId="0" xfId="28" applyNumberFormat="1" applyFont="1" applyFill="1" applyBorder="1"/>
    <xf numFmtId="7" fontId="16" fillId="6" borderId="0" xfId="28" applyNumberFormat="1" applyFont="1" applyFill="1" applyBorder="1"/>
    <xf numFmtId="7" fontId="5" fillId="6" borderId="0" xfId="28" applyNumberFormat="1" applyFont="1" applyFill="1" applyBorder="1"/>
    <xf numFmtId="7" fontId="5" fillId="5" borderId="0" xfId="28" applyNumberFormat="1" applyFont="1" applyFill="1" applyBorder="1"/>
    <xf numFmtId="7" fontId="5" fillId="5" borderId="0" xfId="0" applyNumberFormat="1" applyFont="1" applyFill="1" applyBorder="1"/>
    <xf numFmtId="5" fontId="4" fillId="5" borderId="0" xfId="28" applyNumberFormat="1" applyFont="1" applyFill="1"/>
    <xf numFmtId="5" fontId="4" fillId="5" borderId="0" xfId="28" applyNumberFormat="1" applyFont="1" applyFill="1" applyBorder="1"/>
    <xf numFmtId="5" fontId="4" fillId="5" borderId="8" xfId="28" applyNumberFormat="1" applyFont="1" applyFill="1" applyBorder="1"/>
    <xf numFmtId="5" fontId="4" fillId="5" borderId="6" xfId="28" applyNumberFormat="1" applyFont="1" applyFill="1" applyBorder="1"/>
    <xf numFmtId="5" fontId="4" fillId="5" borderId="7" xfId="28" applyNumberFormat="1" applyFont="1" applyFill="1" applyBorder="1"/>
    <xf numFmtId="176" fontId="5" fillId="5" borderId="8" xfId="10" applyNumberFormat="1" applyFont="1" applyFill="1" applyBorder="1"/>
    <xf numFmtId="176" fontId="5" fillId="5" borderId="0" xfId="10" applyNumberFormat="1" applyFont="1" applyFill="1" applyBorder="1"/>
    <xf numFmtId="176" fontId="5" fillId="5" borderId="0" xfId="10" applyNumberFormat="1" applyFont="1" applyFill="1"/>
    <xf numFmtId="7" fontId="16" fillId="7" borderId="0" xfId="28" applyNumberFormat="1" applyFont="1" applyFill="1" applyBorder="1"/>
    <xf numFmtId="2" fontId="21" fillId="0" borderId="0" xfId="10" applyNumberFormat="1" applyFont="1" applyBorder="1"/>
    <xf numFmtId="166" fontId="39" fillId="0" borderId="0" xfId="10" applyNumberFormat="1" applyFont="1" applyBorder="1"/>
    <xf numFmtId="166" fontId="39" fillId="0" borderId="0" xfId="10" applyNumberFormat="1" applyFont="1" applyFill="1" applyBorder="1"/>
    <xf numFmtId="0" fontId="5" fillId="5" borderId="0" xfId="28" applyFont="1" applyFill="1"/>
    <xf numFmtId="170" fontId="5" fillId="5" borderId="0" xfId="28" applyNumberFormat="1" applyFont="1" applyFill="1"/>
    <xf numFmtId="170" fontId="37" fillId="5" borderId="0" xfId="28" applyNumberFormat="1" applyFont="1" applyFill="1"/>
    <xf numFmtId="170" fontId="5" fillId="5" borderId="7" xfId="28" applyNumberFormat="1" applyFont="1" applyFill="1" applyBorder="1"/>
    <xf numFmtId="5" fontId="5" fillId="0" borderId="0" xfId="28" applyNumberFormat="1" applyFont="1" applyFill="1" applyBorder="1" applyAlignment="1" applyProtection="1">
      <alignment horizontal="left" indent="1"/>
    </xf>
    <xf numFmtId="5" fontId="5" fillId="5" borderId="0" xfId="30" applyNumberFormat="1" applyFont="1" applyFill="1" applyBorder="1" applyAlignment="1" applyProtection="1">
      <alignment horizontal="left" indent="1"/>
      <protection locked="0"/>
    </xf>
    <xf numFmtId="5" fontId="5" fillId="5" borderId="6" xfId="0" applyNumberFormat="1" applyFont="1" applyFill="1" applyBorder="1"/>
    <xf numFmtId="171" fontId="5" fillId="5" borderId="0" xfId="28" applyNumberFormat="1" applyFont="1" applyFill="1" applyBorder="1"/>
    <xf numFmtId="9" fontId="4" fillId="5" borderId="0" xfId="30" applyNumberFormat="1" applyFont="1" applyFill="1" applyBorder="1" applyAlignment="1" applyProtection="1">
      <alignment horizontal="left"/>
      <protection locked="0"/>
    </xf>
    <xf numFmtId="0" fontId="47" fillId="6" borderId="0" xfId="28" applyFont="1" applyFill="1" applyBorder="1"/>
    <xf numFmtId="0" fontId="46" fillId="6" borderId="0" xfId="28" applyFont="1" applyFill="1" applyBorder="1"/>
    <xf numFmtId="173" fontId="5" fillId="5" borderId="8" xfId="28" applyNumberFormat="1" applyFont="1" applyFill="1" applyBorder="1"/>
    <xf numFmtId="173" fontId="21" fillId="5" borderId="6" xfId="28" applyNumberFormat="1" applyFont="1" applyFill="1" applyBorder="1"/>
    <xf numFmtId="173" fontId="21" fillId="5" borderId="0" xfId="28" applyNumberFormat="1" applyFont="1" applyFill="1" applyBorder="1"/>
    <xf numFmtId="173" fontId="21" fillId="5" borderId="7" xfId="28" applyNumberFormat="1" applyFont="1" applyFill="1" applyBorder="1"/>
    <xf numFmtId="173" fontId="12" fillId="5" borderId="0" xfId="28" applyNumberFormat="1" applyFont="1" applyFill="1" applyBorder="1"/>
    <xf numFmtId="173" fontId="46" fillId="6" borderId="0" xfId="28" applyNumberFormat="1" applyFont="1" applyFill="1" applyBorder="1"/>
    <xf numFmtId="173" fontId="5" fillId="5" borderId="7" xfId="28" applyNumberFormat="1" applyFont="1" applyFill="1" applyBorder="1"/>
    <xf numFmtId="173" fontId="21" fillId="5" borderId="8" xfId="28" applyNumberFormat="1" applyFont="1" applyFill="1" applyBorder="1"/>
    <xf numFmtId="173" fontId="4" fillId="5" borderId="0" xfId="30" applyNumberFormat="1" applyFont="1" applyFill="1" applyBorder="1" applyAlignment="1" applyProtection="1">
      <alignment horizontal="left"/>
      <protection locked="0"/>
    </xf>
    <xf numFmtId="5" fontId="37" fillId="0" borderId="8" xfId="28" applyNumberFormat="1" applyFont="1" applyBorder="1"/>
    <xf numFmtId="169" fontId="5" fillId="0" borderId="6" xfId="28" applyNumberFormat="1" applyFont="1" applyFill="1" applyBorder="1"/>
    <xf numFmtId="169" fontId="5" fillId="0" borderId="0" xfId="28" applyNumberFormat="1" applyFont="1" applyFill="1" applyBorder="1"/>
    <xf numFmtId="173" fontId="37" fillId="0" borderId="8" xfId="10" applyNumberFormat="1" applyFont="1" applyBorder="1"/>
    <xf numFmtId="173" fontId="37" fillId="0" borderId="0" xfId="10" applyNumberFormat="1" applyFont="1" applyBorder="1"/>
    <xf numFmtId="173" fontId="37" fillId="0" borderId="8" xfId="10" applyNumberFormat="1" applyFont="1" applyFill="1" applyBorder="1"/>
    <xf numFmtId="173" fontId="37" fillId="0" borderId="0" xfId="10" applyNumberFormat="1" applyFont="1" applyFill="1" applyBorder="1"/>
    <xf numFmtId="173" fontId="37" fillId="0" borderId="0" xfId="10" applyNumberFormat="1" applyFont="1"/>
    <xf numFmtId="173" fontId="37" fillId="0" borderId="6" xfId="10" applyNumberFormat="1" applyFont="1" applyFill="1" applyBorder="1"/>
    <xf numFmtId="173" fontId="37" fillId="0" borderId="7" xfId="10" applyNumberFormat="1" applyFont="1" applyFill="1" applyBorder="1"/>
    <xf numFmtId="173" fontId="37" fillId="5" borderId="6" xfId="28" applyNumberFormat="1" applyFont="1" applyFill="1" applyBorder="1"/>
    <xf numFmtId="173" fontId="37" fillId="6" borderId="0" xfId="28" applyNumberFormat="1" applyFont="1" applyFill="1" applyBorder="1"/>
    <xf numFmtId="173" fontId="37" fillId="5" borderId="0" xfId="28" applyNumberFormat="1" applyFont="1" applyFill="1" applyBorder="1"/>
    <xf numFmtId="173" fontId="37" fillId="5" borderId="0" xfId="0" applyNumberFormat="1" applyFont="1" applyFill="1" applyBorder="1"/>
    <xf numFmtId="176" fontId="27" fillId="5" borderId="0" xfId="28" applyNumberFormat="1" applyFont="1" applyFill="1" applyBorder="1"/>
    <xf numFmtId="176" fontId="27" fillId="5" borderId="6" xfId="28" applyNumberFormat="1" applyFont="1" applyFill="1" applyBorder="1"/>
    <xf numFmtId="176" fontId="27" fillId="6" borderId="0" xfId="28" applyNumberFormat="1" applyFont="1" applyFill="1" applyBorder="1"/>
    <xf numFmtId="176" fontId="27" fillId="5" borderId="0" xfId="0" applyNumberFormat="1" applyFont="1" applyFill="1" applyBorder="1"/>
    <xf numFmtId="181" fontId="5" fillId="5" borderId="0" xfId="0" applyNumberFormat="1" applyFont="1" applyFill="1" applyBorder="1" applyAlignment="1">
      <alignment horizontal="left" indent="1"/>
    </xf>
    <xf numFmtId="4" fontId="5" fillId="0" borderId="8" xfId="0" applyNumberFormat="1" applyFont="1" applyBorder="1"/>
    <xf numFmtId="166" fontId="4" fillId="0" borderId="0" xfId="28" applyNumberFormat="1" applyFont="1" applyFill="1" applyBorder="1"/>
    <xf numFmtId="166" fontId="4" fillId="0" borderId="7" xfId="28" applyNumberFormat="1" applyFont="1" applyFill="1" applyBorder="1"/>
    <xf numFmtId="176" fontId="7" fillId="5" borderId="0" xfId="0" applyNumberFormat="1" applyFont="1" applyFill="1" applyBorder="1"/>
    <xf numFmtId="176" fontId="3" fillId="5" borderId="0" xfId="28" applyNumberFormat="1" applyFont="1" applyFill="1" applyBorder="1"/>
    <xf numFmtId="176" fontId="3" fillId="5" borderId="8" xfId="10" applyNumberFormat="1" applyFont="1" applyFill="1" applyBorder="1"/>
    <xf numFmtId="176" fontId="3" fillId="5" borderId="0" xfId="10" applyNumberFormat="1" applyFont="1" applyFill="1" applyBorder="1"/>
    <xf numFmtId="176" fontId="5" fillId="0" borderId="8" xfId="28" applyNumberFormat="1" applyFont="1" applyFill="1" applyBorder="1" applyAlignment="1">
      <alignment horizontal="right"/>
    </xf>
    <xf numFmtId="173" fontId="21" fillId="0" borderId="8" xfId="28" applyNumberFormat="1" applyFont="1" applyFill="1" applyBorder="1"/>
    <xf numFmtId="176" fontId="5" fillId="5" borderId="6" xfId="10" applyNumberFormat="1" applyFont="1" applyFill="1" applyBorder="1"/>
    <xf numFmtId="176" fontId="37" fillId="0" borderId="9" xfId="10" applyNumberFormat="1" applyFont="1" applyFill="1" applyBorder="1"/>
    <xf numFmtId="176" fontId="37" fillId="0" borderId="3" xfId="10" applyNumberFormat="1" applyFont="1" applyFill="1" applyBorder="1"/>
    <xf numFmtId="173" fontId="37" fillId="5" borderId="8" xfId="28" applyNumberFormat="1" applyFont="1" applyFill="1" applyBorder="1"/>
    <xf numFmtId="5" fontId="21" fillId="0" borderId="8" xfId="10" applyNumberFormat="1" applyFont="1" applyBorder="1"/>
    <xf numFmtId="5" fontId="21" fillId="0" borderId="0" xfId="10" applyNumberFormat="1" applyFont="1" applyBorder="1"/>
    <xf numFmtId="5" fontId="21" fillId="0" borderId="7" xfId="10" applyNumberFormat="1" applyFont="1" applyBorder="1"/>
    <xf numFmtId="173" fontId="21" fillId="0" borderId="8" xfId="32" applyNumberFormat="1" applyFont="1" applyBorder="1"/>
    <xf numFmtId="173" fontId="21" fillId="0" borderId="0" xfId="32" applyNumberFormat="1" applyFont="1"/>
    <xf numFmtId="176" fontId="16" fillId="6" borderId="0" xfId="28" applyNumberFormat="1" applyFont="1" applyFill="1"/>
    <xf numFmtId="176" fontId="37" fillId="5" borderId="0" xfId="10" applyNumberFormat="1" applyFont="1" applyFill="1" applyBorder="1" applyAlignment="1">
      <alignment horizontal="right"/>
    </xf>
    <xf numFmtId="173" fontId="5" fillId="0" borderId="0" xfId="28" applyNumberFormat="1" applyFont="1" applyFill="1" applyBorder="1"/>
    <xf numFmtId="176" fontId="33" fillId="0" borderId="8" xfId="28" applyNumberFormat="1" applyFont="1" applyFill="1" applyBorder="1"/>
    <xf numFmtId="176" fontId="5" fillId="5" borderId="21" xfId="0" applyNumberFormat="1" applyFont="1" applyFill="1" applyBorder="1"/>
    <xf numFmtId="176" fontId="5" fillId="5" borderId="10" xfId="0" applyNumberFormat="1" applyFont="1" applyFill="1" applyBorder="1"/>
    <xf numFmtId="5" fontId="3" fillId="0" borderId="0" xfId="28" applyNumberFormat="1" applyFont="1" applyFill="1" applyBorder="1"/>
    <xf numFmtId="164" fontId="5" fillId="0" borderId="0" xfId="10" applyNumberFormat="1" applyFont="1" applyFill="1"/>
    <xf numFmtId="173" fontId="37" fillId="0" borderId="0" xfId="32" applyNumberFormat="1" applyFont="1" applyFill="1"/>
    <xf numFmtId="164" fontId="5" fillId="0" borderId="26" xfId="10" applyNumberFormat="1" applyFont="1" applyFill="1" applyBorder="1"/>
    <xf numFmtId="166" fontId="4" fillId="0" borderId="6" xfId="28" applyNumberFormat="1" applyFont="1" applyFill="1" applyBorder="1"/>
    <xf numFmtId="176" fontId="5" fillId="0" borderId="3" xfId="10" applyNumberFormat="1" applyFont="1" applyFill="1" applyBorder="1"/>
    <xf numFmtId="0" fontId="17" fillId="6" borderId="9" xfId="28" applyFont="1" applyFill="1" applyBorder="1" applyAlignment="1">
      <alignment horizontal="center"/>
    </xf>
    <xf numFmtId="0" fontId="17" fillId="6" borderId="6" xfId="28" applyFont="1" applyFill="1" applyBorder="1" applyAlignment="1">
      <alignment horizontal="center"/>
    </xf>
    <xf numFmtId="0" fontId="17" fillId="6" borderId="0" xfId="28" applyFont="1" applyFill="1" applyBorder="1" applyAlignment="1">
      <alignment horizontal="center"/>
    </xf>
    <xf numFmtId="0" fontId="17" fillId="6" borderId="7" xfId="28" applyFont="1" applyFill="1" applyBorder="1" applyAlignment="1">
      <alignment horizontal="center"/>
    </xf>
    <xf numFmtId="5" fontId="37" fillId="0" borderId="0" xfId="28" applyNumberFormat="1" applyFont="1" applyFill="1" applyBorder="1"/>
    <xf numFmtId="5" fontId="37" fillId="0" borderId="8" xfId="28" applyNumberFormat="1" applyFont="1" applyFill="1" applyBorder="1"/>
    <xf numFmtId="173" fontId="37" fillId="0" borderId="0" xfId="28" applyNumberFormat="1" applyFont="1" applyFill="1" applyBorder="1"/>
    <xf numFmtId="5" fontId="48" fillId="0" borderId="6" xfId="28" applyNumberFormat="1" applyFont="1" applyFill="1" applyBorder="1"/>
    <xf numFmtId="5" fontId="3" fillId="4" borderId="0" xfId="0" applyNumberFormat="1" applyFont="1" applyFill="1" applyBorder="1" applyAlignment="1">
      <alignment horizontal="left"/>
    </xf>
    <xf numFmtId="5" fontId="3" fillId="4" borderId="0" xfId="28" applyNumberFormat="1" applyFont="1" applyFill="1" applyBorder="1" applyAlignment="1">
      <alignment horizontal="left"/>
    </xf>
    <xf numFmtId="5" fontId="5" fillId="0" borderId="0" xfId="0" applyNumberFormat="1" applyFont="1" applyFill="1" applyAlignment="1"/>
    <xf numFmtId="176" fontId="28" fillId="5" borderId="8" xfId="10" applyNumberFormat="1" applyFont="1" applyFill="1" applyBorder="1"/>
    <xf numFmtId="176" fontId="28" fillId="5" borderId="0" xfId="10" applyNumberFormat="1" applyFont="1" applyFill="1" applyBorder="1"/>
    <xf numFmtId="176" fontId="3" fillId="5" borderId="0" xfId="0" applyNumberFormat="1" applyFont="1" applyFill="1" applyBorder="1"/>
    <xf numFmtId="5" fontId="27" fillId="0" borderId="0" xfId="28" applyNumberFormat="1" applyFont="1" applyFill="1" applyBorder="1"/>
    <xf numFmtId="5" fontId="3" fillId="6" borderId="0" xfId="28" applyNumberFormat="1" applyFont="1" applyFill="1" applyBorder="1"/>
    <xf numFmtId="5" fontId="3" fillId="0" borderId="0" xfId="0" applyNumberFormat="1" applyFont="1" applyFill="1" applyBorder="1"/>
    <xf numFmtId="7" fontId="6" fillId="5" borderId="5" xfId="28" applyNumberFormat="1" applyFont="1" applyFill="1" applyBorder="1"/>
    <xf numFmtId="173" fontId="16" fillId="6" borderId="0" xfId="28" applyNumberFormat="1" applyFont="1" applyFill="1" applyBorder="1"/>
    <xf numFmtId="173" fontId="37" fillId="0" borderId="0" xfId="32" applyNumberFormat="1" applyFont="1" applyFill="1" applyBorder="1"/>
    <xf numFmtId="1" fontId="5" fillId="5" borderId="6" xfId="28" applyNumberFormat="1" applyFont="1" applyFill="1" applyBorder="1"/>
    <xf numFmtId="1" fontId="5" fillId="6" borderId="0" xfId="28" applyNumberFormat="1" applyFont="1" applyFill="1" applyBorder="1"/>
    <xf numFmtId="1" fontId="5" fillId="5" borderId="0" xfId="28" applyNumberFormat="1" applyFont="1" applyFill="1" applyBorder="1"/>
    <xf numFmtId="1" fontId="5" fillId="5" borderId="0" xfId="0" applyNumberFormat="1" applyFont="1" applyFill="1" applyBorder="1"/>
    <xf numFmtId="176" fontId="3" fillId="0" borderId="8" xfId="28" applyNumberFormat="1" applyFont="1" applyFill="1" applyBorder="1"/>
    <xf numFmtId="176" fontId="3" fillId="0" borderId="0" xfId="28" applyNumberFormat="1" applyFont="1" applyFill="1" applyBorder="1"/>
    <xf numFmtId="176" fontId="3" fillId="0" borderId="7" xfId="28" applyNumberFormat="1" applyFont="1" applyFill="1" applyBorder="1"/>
    <xf numFmtId="173" fontId="3" fillId="0" borderId="0" xfId="28" applyNumberFormat="1" applyFont="1" applyFill="1" applyBorder="1"/>
    <xf numFmtId="9" fontId="33" fillId="0" borderId="8" xfId="28" applyNumberFormat="1" applyFont="1" applyFill="1" applyBorder="1"/>
    <xf numFmtId="9" fontId="4" fillId="0" borderId="0" xfId="28" applyNumberFormat="1" applyFont="1" applyBorder="1"/>
    <xf numFmtId="9" fontId="4" fillId="0" borderId="0" xfId="28" applyNumberFormat="1" applyFont="1"/>
    <xf numFmtId="9" fontId="33" fillId="0" borderId="0" xfId="28" applyNumberFormat="1" applyFont="1"/>
    <xf numFmtId="9" fontId="33" fillId="0" borderId="0" xfId="28" applyNumberFormat="1" applyFont="1" applyBorder="1"/>
    <xf numFmtId="9" fontId="4" fillId="0" borderId="8" xfId="28" applyNumberFormat="1" applyFont="1" applyFill="1" applyBorder="1"/>
    <xf numFmtId="9" fontId="5" fillId="0" borderId="0" xfId="28" applyNumberFormat="1" applyFont="1" applyFill="1" applyBorder="1"/>
    <xf numFmtId="9" fontId="5" fillId="0" borderId="7" xfId="28" applyNumberFormat="1" applyFont="1" applyFill="1" applyBorder="1"/>
    <xf numFmtId="37" fontId="4" fillId="0" borderId="0" xfId="28" applyNumberFormat="1" applyFont="1"/>
    <xf numFmtId="37" fontId="4" fillId="0" borderId="8" xfId="10" applyNumberFormat="1" applyFont="1" applyBorder="1"/>
    <xf numFmtId="37" fontId="4" fillId="0" borderId="0" xfId="10" applyNumberFormat="1" applyFont="1" applyBorder="1"/>
    <xf numFmtId="37" fontId="4" fillId="0" borderId="0" xfId="10" applyNumberFormat="1" applyFont="1"/>
    <xf numFmtId="37" fontId="4" fillId="0" borderId="0" xfId="10" applyNumberFormat="1" applyFont="1" applyFill="1"/>
    <xf numFmtId="37" fontId="4" fillId="0" borderId="8" xfId="10" applyNumberFormat="1" applyFont="1" applyFill="1" applyBorder="1"/>
    <xf numFmtId="37" fontId="4" fillId="0" borderId="0" xfId="10" applyNumberFormat="1" applyFont="1" applyFill="1" applyBorder="1"/>
    <xf numFmtId="37" fontId="4" fillId="0" borderId="6" xfId="10" applyNumberFormat="1" applyFont="1" applyFill="1" applyBorder="1"/>
    <xf numFmtId="37" fontId="4" fillId="0" borderId="7" xfId="10" applyNumberFormat="1" applyFont="1" applyFill="1" applyBorder="1"/>
    <xf numFmtId="37" fontId="4" fillId="5" borderId="6" xfId="28" applyNumberFormat="1" applyFont="1" applyFill="1" applyBorder="1"/>
    <xf numFmtId="37" fontId="4" fillId="6" borderId="0" xfId="28" applyNumberFormat="1" applyFont="1" applyFill="1" applyBorder="1"/>
    <xf numFmtId="37" fontId="4" fillId="5" borderId="0" xfId="28" applyNumberFormat="1" applyFont="1" applyFill="1" applyBorder="1"/>
    <xf numFmtId="37" fontId="4" fillId="5" borderId="0" xfId="0" applyNumberFormat="1" applyFont="1" applyFill="1" applyBorder="1"/>
    <xf numFmtId="1" fontId="5" fillId="0" borderId="0" xfId="28" applyNumberFormat="1" applyFont="1"/>
    <xf numFmtId="1" fontId="5" fillId="0" borderId="8" xfId="10" applyNumberFormat="1" applyFont="1" applyBorder="1"/>
    <xf numFmtId="1" fontId="5" fillId="0" borderId="0" xfId="10" applyNumberFormat="1" applyFont="1" applyBorder="1"/>
    <xf numFmtId="1" fontId="5" fillId="0" borderId="0" xfId="10" applyNumberFormat="1" applyFont="1"/>
    <xf numFmtId="1" fontId="5" fillId="0" borderId="0" xfId="10" applyNumberFormat="1" applyFont="1" applyFill="1"/>
    <xf numFmtId="1" fontId="5" fillId="0" borderId="8" xfId="10" applyNumberFormat="1" applyFont="1" applyFill="1" applyBorder="1"/>
    <xf numFmtId="1" fontId="5" fillId="0" borderId="0" xfId="10" applyNumberFormat="1" applyFont="1" applyFill="1" applyBorder="1"/>
    <xf numFmtId="1" fontId="5" fillId="0" borderId="6" xfId="10" applyNumberFormat="1" applyFont="1" applyFill="1" applyBorder="1"/>
    <xf numFmtId="1" fontId="5" fillId="5" borderId="0" xfId="10" applyNumberFormat="1" applyFont="1" applyFill="1"/>
    <xf numFmtId="1" fontId="5" fillId="0" borderId="8" xfId="0" applyNumberFormat="1" applyFont="1" applyBorder="1"/>
    <xf numFmtId="173" fontId="5" fillId="5" borderId="0" xfId="30" applyNumberFormat="1" applyFont="1" applyFill="1" applyBorder="1" applyAlignment="1" applyProtection="1">
      <alignment horizontal="left" indent="3"/>
      <protection locked="0"/>
    </xf>
    <xf numFmtId="173" fontId="37" fillId="0" borderId="0" xfId="28" applyNumberFormat="1" applyFont="1" applyBorder="1"/>
    <xf numFmtId="173" fontId="5" fillId="0" borderId="0" xfId="10" applyNumberFormat="1" applyFont="1" applyFill="1"/>
    <xf numFmtId="173" fontId="21" fillId="0" borderId="0" xfId="10" applyNumberFormat="1" applyFont="1" applyBorder="1"/>
    <xf numFmtId="173" fontId="21" fillId="0" borderId="7" xfId="10" applyNumberFormat="1" applyFont="1" applyBorder="1"/>
    <xf numFmtId="173" fontId="37" fillId="5" borderId="6" xfId="10" applyNumberFormat="1" applyFont="1" applyFill="1" applyBorder="1"/>
    <xf numFmtId="173" fontId="37" fillId="0" borderId="31" xfId="28" applyNumberFormat="1" applyFont="1" applyBorder="1"/>
    <xf numFmtId="173" fontId="5" fillId="5" borderId="0" xfId="32" applyNumberFormat="1" applyFont="1" applyFill="1" applyBorder="1" applyAlignment="1" applyProtection="1">
      <alignment horizontal="left" indent="1"/>
      <protection locked="0"/>
    </xf>
    <xf numFmtId="173" fontId="37" fillId="0" borderId="8" xfId="32" applyNumberFormat="1" applyFont="1" applyBorder="1"/>
    <xf numFmtId="173" fontId="21" fillId="0" borderId="0" xfId="32" applyNumberFormat="1" applyFont="1" applyBorder="1"/>
    <xf numFmtId="173" fontId="21" fillId="0" borderId="7" xfId="32" applyNumberFormat="1" applyFont="1" applyBorder="1"/>
    <xf numFmtId="173" fontId="37" fillId="6" borderId="0" xfId="32" applyNumberFormat="1" applyFont="1" applyFill="1" applyBorder="1"/>
    <xf numFmtId="178" fontId="5" fillId="5" borderId="0" xfId="0" applyNumberFormat="1" applyFont="1" applyFill="1" applyBorder="1" applyAlignment="1">
      <alignment horizontal="left" indent="1"/>
    </xf>
    <xf numFmtId="178" fontId="37" fillId="0" borderId="8" xfId="28" applyNumberFormat="1" applyFont="1" applyBorder="1"/>
    <xf numFmtId="178" fontId="37" fillId="0" borderId="0" xfId="28" applyNumberFormat="1" applyFont="1"/>
    <xf numFmtId="178" fontId="21" fillId="0" borderId="0" xfId="28" applyNumberFormat="1" applyFont="1" applyBorder="1"/>
    <xf numFmtId="178" fontId="21" fillId="0" borderId="7" xfId="28" applyNumberFormat="1" applyFont="1" applyBorder="1"/>
    <xf numFmtId="178" fontId="21" fillId="0" borderId="8" xfId="28" applyNumberFormat="1" applyFont="1" applyBorder="1"/>
    <xf numFmtId="178" fontId="37" fillId="5" borderId="6" xfId="28" applyNumberFormat="1" applyFont="1" applyFill="1" applyBorder="1"/>
    <xf numFmtId="178" fontId="37" fillId="6" borderId="0" xfId="28" applyNumberFormat="1" applyFont="1" applyFill="1" applyBorder="1"/>
    <xf numFmtId="178" fontId="37" fillId="5" borderId="0" xfId="28" applyNumberFormat="1" applyFont="1" applyFill="1" applyBorder="1"/>
    <xf numFmtId="178" fontId="37" fillId="5" borderId="0" xfId="0" applyNumberFormat="1" applyFont="1" applyFill="1" applyBorder="1"/>
    <xf numFmtId="169" fontId="37" fillId="5" borderId="0" xfId="28" applyNumberFormat="1" applyFont="1" applyFill="1" applyAlignment="1">
      <alignment horizontal="left" indent="1"/>
    </xf>
    <xf numFmtId="169" fontId="37" fillId="0" borderId="8" xfId="10" applyNumberFormat="1" applyFont="1" applyFill="1" applyBorder="1"/>
    <xf numFmtId="169" fontId="37" fillId="5" borderId="6" xfId="28" applyNumberFormat="1" applyFont="1" applyFill="1" applyBorder="1"/>
    <xf numFmtId="169" fontId="37" fillId="6" borderId="0" xfId="28" applyNumberFormat="1" applyFont="1" applyFill="1" applyBorder="1"/>
    <xf numFmtId="169" fontId="37" fillId="5" borderId="0" xfId="28" applyNumberFormat="1" applyFont="1" applyFill="1" applyBorder="1"/>
    <xf numFmtId="169" fontId="37" fillId="5" borderId="0" xfId="0" applyNumberFormat="1" applyFont="1" applyFill="1" applyBorder="1"/>
    <xf numFmtId="166" fontId="20" fillId="0" borderId="0" xfId="32" applyNumberFormat="1" applyFont="1" applyFill="1" applyBorder="1" applyAlignment="1">
      <alignment horizontal="left" indent="2"/>
    </xf>
    <xf numFmtId="166" fontId="44" fillId="0" borderId="8" xfId="28" applyNumberFormat="1" applyFont="1" applyBorder="1"/>
    <xf numFmtId="166" fontId="20" fillId="0" borderId="0" xfId="28" applyNumberFormat="1" applyFont="1" applyFill="1" applyBorder="1"/>
    <xf numFmtId="166" fontId="20" fillId="0" borderId="0" xfId="28" applyNumberFormat="1" applyFont="1" applyBorder="1"/>
    <xf numFmtId="166" fontId="20" fillId="0" borderId="8" xfId="28" applyNumberFormat="1" applyFont="1" applyBorder="1"/>
    <xf numFmtId="166" fontId="20" fillId="0" borderId="0" xfId="10" applyNumberFormat="1" applyFont="1" applyFill="1"/>
    <xf numFmtId="166" fontId="20" fillId="0" borderId="8" xfId="28" applyNumberFormat="1" applyFont="1" applyFill="1" applyBorder="1"/>
    <xf numFmtId="166" fontId="20" fillId="0" borderId="8" xfId="10" applyNumberFormat="1" applyFont="1" applyBorder="1"/>
    <xf numFmtId="166" fontId="44" fillId="0" borderId="0" xfId="10" applyNumberFormat="1" applyFont="1" applyBorder="1"/>
    <xf numFmtId="166" fontId="44" fillId="0" borderId="7" xfId="10" applyNumberFormat="1" applyFont="1" applyBorder="1"/>
    <xf numFmtId="166" fontId="45" fillId="0" borderId="0" xfId="10" applyNumberFormat="1" applyFont="1" applyBorder="1"/>
    <xf numFmtId="166" fontId="45" fillId="0" borderId="7" xfId="10" applyNumberFormat="1" applyFont="1" applyBorder="1"/>
    <xf numFmtId="166" fontId="44" fillId="5" borderId="6" xfId="10" applyNumberFormat="1" applyFont="1" applyFill="1" applyBorder="1"/>
    <xf numFmtId="166" fontId="44" fillId="6" borderId="0" xfId="28" applyNumberFormat="1" applyFont="1" applyFill="1" applyBorder="1"/>
    <xf numFmtId="166" fontId="44" fillId="5" borderId="0" xfId="28" applyNumberFormat="1" applyFont="1" applyFill="1" applyBorder="1"/>
    <xf numFmtId="166" fontId="44" fillId="5" borderId="0" xfId="0" applyNumberFormat="1" applyFont="1" applyFill="1" applyBorder="1"/>
    <xf numFmtId="9" fontId="20" fillId="5" borderId="17" xfId="30" applyNumberFormat="1" applyFont="1" applyFill="1" applyBorder="1" applyAlignment="1" applyProtection="1">
      <alignment horizontal="left"/>
      <protection locked="0"/>
    </xf>
    <xf numFmtId="170" fontId="44" fillId="5" borderId="18" xfId="28" applyNumberFormat="1" applyFont="1" applyFill="1" applyBorder="1"/>
    <xf numFmtId="170" fontId="44" fillId="5" borderId="17" xfId="28" applyNumberFormat="1" applyFont="1" applyFill="1" applyBorder="1"/>
    <xf numFmtId="170" fontId="20" fillId="5" borderId="17" xfId="28" applyNumberFormat="1" applyFont="1" applyFill="1" applyBorder="1"/>
    <xf numFmtId="170" fontId="20" fillId="5" borderId="18" xfId="28" applyNumberFormat="1" applyFont="1" applyFill="1" applyBorder="1"/>
    <xf numFmtId="170" fontId="45" fillId="5" borderId="17" xfId="28" applyNumberFormat="1" applyFont="1" applyFill="1" applyBorder="1"/>
    <xf numFmtId="170" fontId="45" fillId="5" borderId="20" xfId="28" applyNumberFormat="1" applyFont="1" applyFill="1" applyBorder="1"/>
    <xf numFmtId="0" fontId="20" fillId="5" borderId="17" xfId="0" applyFont="1" applyFill="1" applyBorder="1"/>
    <xf numFmtId="173" fontId="4" fillId="5" borderId="8" xfId="28" applyNumberFormat="1" applyFont="1" applyFill="1" applyBorder="1"/>
    <xf numFmtId="173" fontId="4" fillId="5" borderId="0" xfId="28" applyNumberFormat="1" applyFont="1" applyFill="1" applyBorder="1"/>
    <xf numFmtId="173" fontId="4" fillId="5" borderId="6" xfId="28" applyNumberFormat="1" applyFont="1" applyFill="1" applyBorder="1"/>
    <xf numFmtId="173" fontId="4" fillId="5" borderId="7" xfId="28" applyNumberFormat="1" applyFont="1" applyFill="1" applyBorder="1"/>
    <xf numFmtId="173" fontId="29" fillId="5" borderId="0" xfId="28" applyNumberFormat="1" applyFont="1" applyFill="1" applyBorder="1"/>
    <xf numFmtId="173" fontId="29" fillId="5" borderId="7" xfId="28" applyNumberFormat="1" applyFont="1" applyFill="1" applyBorder="1"/>
    <xf numFmtId="169" fontId="37" fillId="5" borderId="8" xfId="28" applyNumberFormat="1" applyFont="1" applyFill="1" applyBorder="1"/>
    <xf numFmtId="169" fontId="5" fillId="5" borderId="8" xfId="28" applyNumberFormat="1" applyFont="1" applyFill="1" applyBorder="1"/>
    <xf numFmtId="169" fontId="5" fillId="0" borderId="0" xfId="28" applyNumberFormat="1" applyFont="1" applyBorder="1"/>
    <xf numFmtId="169" fontId="5" fillId="0" borderId="8" xfId="28" applyNumberFormat="1" applyFont="1" applyBorder="1"/>
    <xf numFmtId="169" fontId="5" fillId="0" borderId="8" xfId="28" applyNumberFormat="1" applyFont="1" applyFill="1" applyBorder="1"/>
    <xf numFmtId="169" fontId="21" fillId="0" borderId="0" xfId="28" applyNumberFormat="1" applyFont="1" applyFill="1" applyBorder="1"/>
    <xf numFmtId="169" fontId="21" fillId="0" borderId="7" xfId="28" applyNumberFormat="1" applyFont="1" applyFill="1" applyBorder="1"/>
    <xf numFmtId="169" fontId="16" fillId="6" borderId="0" xfId="28" applyNumberFormat="1" applyFont="1" applyFill="1" applyBorder="1"/>
    <xf numFmtId="169" fontId="5" fillId="6" borderId="0" xfId="28" applyNumberFormat="1" applyFont="1" applyFill="1" applyBorder="1"/>
    <xf numFmtId="169" fontId="5" fillId="5" borderId="0" xfId="0" applyNumberFormat="1" applyFont="1" applyFill="1" applyBorder="1"/>
    <xf numFmtId="5" fontId="4" fillId="5" borderId="0" xfId="30" applyNumberFormat="1" applyFont="1" applyFill="1" applyBorder="1" applyAlignment="1" applyProtection="1">
      <alignment horizontal="left"/>
      <protection locked="0"/>
    </xf>
    <xf numFmtId="5" fontId="33" fillId="5" borderId="8" xfId="28" applyNumberFormat="1" applyFont="1" applyFill="1" applyBorder="1"/>
    <xf numFmtId="5" fontId="33" fillId="5" borderId="0" xfId="28" applyNumberFormat="1" applyFont="1" applyFill="1" applyBorder="1"/>
    <xf numFmtId="5" fontId="29" fillId="5" borderId="0" xfId="28" applyNumberFormat="1" applyFont="1" applyFill="1" applyBorder="1"/>
    <xf numFmtId="5" fontId="29" fillId="5" borderId="7" xfId="28" applyNumberFormat="1" applyFont="1" applyFill="1" applyBorder="1"/>
    <xf numFmtId="5" fontId="33" fillId="0" borderId="8" xfId="28" applyNumberFormat="1" applyFont="1" applyBorder="1"/>
    <xf numFmtId="5" fontId="33" fillId="0" borderId="0" xfId="28" applyNumberFormat="1" applyFont="1" applyBorder="1"/>
    <xf numFmtId="5" fontId="33" fillId="0" borderId="0" xfId="28" applyNumberFormat="1" applyFont="1" applyFill="1" applyBorder="1"/>
    <xf numFmtId="5" fontId="29" fillId="0" borderId="0" xfId="28" applyNumberFormat="1" applyFont="1" applyFill="1" applyBorder="1"/>
    <xf numFmtId="5" fontId="29" fillId="0" borderId="7" xfId="28" applyNumberFormat="1" applyFont="1" applyFill="1" applyBorder="1"/>
    <xf numFmtId="170" fontId="37" fillId="5" borderId="23" xfId="28" applyNumberFormat="1" applyFont="1" applyFill="1" applyBorder="1"/>
    <xf numFmtId="170" fontId="44" fillId="5" borderId="19" xfId="28" applyNumberFormat="1" applyFont="1" applyFill="1" applyBorder="1"/>
    <xf numFmtId="0" fontId="49" fillId="6" borderId="0" xfId="28" applyFont="1" applyFill="1" applyBorder="1"/>
    <xf numFmtId="0" fontId="20" fillId="6" borderId="0" xfId="28" applyFont="1" applyFill="1" applyBorder="1"/>
    <xf numFmtId="0" fontId="20" fillId="5" borderId="0" xfId="28" applyFont="1" applyFill="1" applyBorder="1"/>
    <xf numFmtId="0" fontId="20" fillId="5" borderId="0" xfId="0" applyFont="1" applyFill="1" applyBorder="1"/>
    <xf numFmtId="0" fontId="45" fillId="5" borderId="6" xfId="28" applyFont="1" applyFill="1" applyBorder="1"/>
    <xf numFmtId="9" fontId="5" fillId="5" borderId="0" xfId="28" applyNumberFormat="1" applyFont="1" applyFill="1" applyAlignment="1">
      <alignment horizontal="left" indent="1"/>
    </xf>
    <xf numFmtId="9" fontId="5" fillId="0" borderId="0" xfId="28" applyNumberFormat="1" applyFont="1" applyBorder="1"/>
    <xf numFmtId="9" fontId="5" fillId="0" borderId="0" xfId="28" applyNumberFormat="1" applyFont="1"/>
    <xf numFmtId="9" fontId="5" fillId="0" borderId="8" xfId="28" applyNumberFormat="1" applyFont="1" applyBorder="1"/>
    <xf numFmtId="9" fontId="5" fillId="0" borderId="0" xfId="28" applyNumberFormat="1" applyFont="1" applyFill="1"/>
    <xf numFmtId="9" fontId="37" fillId="0" borderId="0" xfId="28" applyNumberFormat="1" applyFont="1"/>
    <xf numFmtId="9" fontId="21" fillId="0" borderId="6" xfId="28" applyNumberFormat="1" applyFont="1" applyFill="1" applyBorder="1"/>
    <xf numFmtId="9" fontId="21" fillId="0" borderId="0" xfId="28" applyNumberFormat="1" applyFont="1" applyFill="1" applyBorder="1"/>
    <xf numFmtId="9" fontId="21" fillId="0" borderId="7" xfId="28" applyNumberFormat="1" applyFont="1" applyFill="1" applyBorder="1"/>
    <xf numFmtId="37" fontId="21" fillId="5" borderId="8" xfId="28" applyNumberFormat="1" applyFont="1" applyFill="1" applyBorder="1"/>
    <xf numFmtId="5" fontId="3" fillId="5" borderId="0" xfId="30" applyNumberFormat="1" applyFont="1" applyFill="1" applyBorder="1" applyAlignment="1" applyProtection="1">
      <alignment horizontal="left" indent="1"/>
      <protection locked="0"/>
    </xf>
    <xf numFmtId="5" fontId="3" fillId="5" borderId="0" xfId="30" applyNumberFormat="1" applyFont="1" applyFill="1" applyBorder="1" applyAlignment="1" applyProtection="1">
      <alignment horizontal="left"/>
      <protection locked="0"/>
    </xf>
    <xf numFmtId="176" fontId="5" fillId="0" borderId="21" xfId="10" applyNumberFormat="1" applyFont="1" applyFill="1" applyBorder="1"/>
    <xf numFmtId="176" fontId="3" fillId="5" borderId="6" xfId="10" applyNumberFormat="1" applyFont="1" applyFill="1" applyBorder="1"/>
    <xf numFmtId="166" fontId="5" fillId="0" borderId="0" xfId="28" applyNumberFormat="1" applyFont="1" applyFill="1"/>
    <xf numFmtId="176" fontId="4" fillId="4" borderId="14" xfId="28" applyNumberFormat="1" applyFont="1" applyFill="1" applyBorder="1"/>
    <xf numFmtId="176" fontId="5" fillId="0" borderId="6" xfId="10" applyNumberFormat="1" applyFont="1" applyBorder="1"/>
    <xf numFmtId="9" fontId="20" fillId="0" borderId="6" xfId="10" applyNumberFormat="1" applyFont="1" applyBorder="1"/>
    <xf numFmtId="166" fontId="20" fillId="0" borderId="6" xfId="10" applyNumberFormat="1" applyFont="1" applyBorder="1"/>
    <xf numFmtId="176" fontId="5" fillId="0" borderId="6" xfId="10" applyNumberFormat="1" applyFont="1" applyFill="1" applyBorder="1"/>
    <xf numFmtId="176" fontId="4" fillId="4" borderId="5" xfId="28" applyNumberFormat="1" applyFont="1" applyFill="1" applyBorder="1"/>
    <xf numFmtId="176" fontId="4" fillId="5" borderId="0" xfId="10" applyNumberFormat="1" applyFont="1" applyFill="1" applyBorder="1"/>
    <xf numFmtId="176" fontId="5" fillId="0" borderId="8" xfId="10" applyNumberFormat="1" applyFont="1" applyBorder="1"/>
    <xf numFmtId="181" fontId="37" fillId="0" borderId="6" xfId="28" applyNumberFormat="1" applyFont="1" applyFill="1" applyBorder="1"/>
    <xf numFmtId="181" fontId="37" fillId="0" borderId="0" xfId="28" applyNumberFormat="1" applyFont="1" applyFill="1" applyBorder="1"/>
    <xf numFmtId="1" fontId="5" fillId="5" borderId="0" xfId="10" applyNumberFormat="1" applyFont="1" applyFill="1" applyBorder="1"/>
    <xf numFmtId="1" fontId="5" fillId="5" borderId="7" xfId="10" applyNumberFormat="1" applyFont="1" applyFill="1" applyBorder="1"/>
    <xf numFmtId="1" fontId="5" fillId="5" borderId="8" xfId="10" applyNumberFormat="1" applyFont="1" applyFill="1" applyBorder="1"/>
    <xf numFmtId="181" fontId="37" fillId="5" borderId="7" xfId="28" applyNumberFormat="1" applyFont="1" applyFill="1" applyBorder="1"/>
    <xf numFmtId="181" fontId="21" fillId="5" borderId="8" xfId="28" applyNumberFormat="1" applyFont="1" applyFill="1" applyBorder="1"/>
    <xf numFmtId="181" fontId="21" fillId="5" borderId="0" xfId="28" applyNumberFormat="1" applyFont="1" applyFill="1" applyBorder="1"/>
    <xf numFmtId="181" fontId="21" fillId="5" borderId="7" xfId="28" applyNumberFormat="1" applyFont="1" applyFill="1" applyBorder="1"/>
    <xf numFmtId="5" fontId="5" fillId="0" borderId="0" xfId="0" applyNumberFormat="1" applyFont="1" applyFill="1" applyAlignment="1">
      <alignment horizontal="left" indent="1"/>
    </xf>
    <xf numFmtId="7" fontId="5" fillId="5" borderId="6" xfId="28" applyNumberFormat="1" applyFont="1" applyFill="1" applyBorder="1"/>
    <xf numFmtId="2" fontId="5" fillId="0" borderId="0" xfId="10" applyNumberFormat="1" applyFont="1" applyFill="1"/>
    <xf numFmtId="7" fontId="4" fillId="5" borderId="6" xfId="28" applyNumberFormat="1" applyFont="1" applyFill="1" applyBorder="1"/>
    <xf numFmtId="170" fontId="37" fillId="5" borderId="28" xfId="28" applyNumberFormat="1" applyFont="1" applyFill="1" applyBorder="1"/>
    <xf numFmtId="5" fontId="37" fillId="5" borderId="9" xfId="28" applyNumberFormat="1" applyFont="1" applyFill="1" applyBorder="1"/>
    <xf numFmtId="187" fontId="5" fillId="0" borderId="0" xfId="0" applyNumberFormat="1" applyFont="1" applyBorder="1" applyAlignment="1">
      <alignment horizontal="left" indent="3"/>
    </xf>
    <xf numFmtId="187" fontId="4" fillId="0" borderId="8" xfId="28" applyNumberFormat="1" applyFont="1" applyFill="1" applyBorder="1"/>
    <xf numFmtId="187" fontId="5" fillId="0" borderId="8" xfId="28" applyNumberFormat="1" applyFont="1" applyBorder="1"/>
    <xf numFmtId="187" fontId="5" fillId="0" borderId="0" xfId="28" applyNumberFormat="1" applyFont="1" applyBorder="1"/>
    <xf numFmtId="187" fontId="4" fillId="0" borderId="0" xfId="28" applyNumberFormat="1" applyFont="1" applyFill="1" applyBorder="1"/>
    <xf numFmtId="187" fontId="4" fillId="0" borderId="7" xfId="28" applyNumberFormat="1" applyFont="1" applyFill="1" applyBorder="1"/>
    <xf numFmtId="187" fontId="5" fillId="5" borderId="6" xfId="28" applyNumberFormat="1" applyFont="1" applyFill="1" applyBorder="1"/>
    <xf numFmtId="187" fontId="16" fillId="6" borderId="0" xfId="28" applyNumberFormat="1" applyFont="1" applyFill="1" applyBorder="1"/>
    <xf numFmtId="187" fontId="5" fillId="6" borderId="0" xfId="28" applyNumberFormat="1" applyFont="1" applyFill="1" applyBorder="1"/>
    <xf numFmtId="187" fontId="5" fillId="5" borderId="0" xfId="28" applyNumberFormat="1" applyFont="1" applyFill="1" applyBorder="1"/>
    <xf numFmtId="187" fontId="5" fillId="5" borderId="0" xfId="0" applyNumberFormat="1" applyFont="1" applyFill="1" applyBorder="1"/>
    <xf numFmtId="187" fontId="5" fillId="0" borderId="6" xfId="28" applyNumberFormat="1" applyFont="1" applyBorder="1"/>
    <xf numFmtId="7" fontId="33" fillId="5" borderId="6" xfId="28" applyNumberFormat="1" applyFont="1" applyFill="1" applyBorder="1"/>
    <xf numFmtId="7" fontId="33" fillId="5" borderId="0" xfId="28" applyNumberFormat="1" applyFont="1" applyFill="1" applyBorder="1"/>
    <xf numFmtId="7" fontId="33" fillId="5" borderId="7" xfId="28" applyNumberFormat="1" applyFont="1" applyFill="1" applyBorder="1"/>
    <xf numFmtId="165" fontId="4" fillId="5" borderId="10" xfId="28" applyNumberFormat="1" applyFont="1" applyFill="1" applyBorder="1"/>
    <xf numFmtId="5" fontId="4" fillId="5" borderId="11" xfId="28" applyNumberFormat="1" applyFont="1" applyFill="1" applyBorder="1"/>
    <xf numFmtId="5" fontId="4" fillId="5" borderId="10" xfId="28" applyNumberFormat="1" applyFont="1" applyFill="1" applyBorder="1"/>
    <xf numFmtId="5" fontId="4" fillId="5" borderId="16" xfId="28" applyNumberFormat="1" applyFont="1" applyFill="1" applyBorder="1"/>
    <xf numFmtId="168" fontId="4" fillId="5" borderId="10" xfId="28" applyNumberFormat="1" applyFont="1" applyFill="1" applyBorder="1"/>
    <xf numFmtId="168" fontId="4" fillId="5" borderId="16" xfId="28" applyNumberFormat="1" applyFont="1" applyFill="1" applyBorder="1"/>
    <xf numFmtId="168" fontId="4" fillId="5" borderId="11" xfId="28" applyNumberFormat="1" applyFont="1" applyFill="1" applyBorder="1"/>
    <xf numFmtId="173" fontId="3" fillId="5" borderId="0" xfId="30" applyNumberFormat="1" applyFont="1" applyFill="1" applyBorder="1" applyAlignment="1" applyProtection="1">
      <alignment horizontal="left" indent="1"/>
      <protection locked="0"/>
    </xf>
    <xf numFmtId="173" fontId="4" fillId="5" borderId="10" xfId="30" applyNumberFormat="1" applyFont="1" applyFill="1" applyBorder="1" applyAlignment="1" applyProtection="1">
      <alignment horizontal="left"/>
      <protection locked="0"/>
    </xf>
    <xf numFmtId="173" fontId="33" fillId="5" borderId="11" xfId="28" applyNumberFormat="1" applyFont="1" applyFill="1" applyBorder="1"/>
    <xf numFmtId="173" fontId="33" fillId="5" borderId="10" xfId="28" applyNumberFormat="1" applyFont="1" applyFill="1" applyBorder="1"/>
    <xf numFmtId="173" fontId="4" fillId="5" borderId="10" xfId="28" applyNumberFormat="1" applyFont="1" applyFill="1" applyBorder="1"/>
    <xf numFmtId="173" fontId="4" fillId="5" borderId="11" xfId="28" applyNumberFormat="1" applyFont="1" applyFill="1" applyBorder="1"/>
    <xf numFmtId="173" fontId="29" fillId="5" borderId="10" xfId="28" applyNumberFormat="1" applyFont="1" applyFill="1" applyBorder="1"/>
    <xf numFmtId="173" fontId="29" fillId="5" borderId="16" xfId="28" applyNumberFormat="1" applyFont="1" applyFill="1" applyBorder="1"/>
    <xf numFmtId="173" fontId="4" fillId="5" borderId="21" xfId="28" applyNumberFormat="1" applyFont="1" applyFill="1" applyBorder="1"/>
    <xf numFmtId="173" fontId="4" fillId="5" borderId="16" xfId="28" applyNumberFormat="1" applyFont="1" applyFill="1" applyBorder="1"/>
    <xf numFmtId="5" fontId="37" fillId="9" borderId="0" xfId="28" applyNumberFormat="1" applyFont="1" applyFill="1" applyBorder="1"/>
    <xf numFmtId="176" fontId="5" fillId="9" borderId="0" xfId="10" applyNumberFormat="1" applyFont="1" applyFill="1"/>
    <xf numFmtId="176" fontId="28" fillId="9" borderId="0" xfId="10" applyNumberFormat="1" applyFont="1" applyFill="1" applyBorder="1"/>
    <xf numFmtId="176" fontId="3" fillId="9" borderId="0" xfId="10" applyNumberFormat="1" applyFont="1" applyFill="1" applyBorder="1"/>
    <xf numFmtId="1" fontId="5" fillId="9" borderId="0" xfId="10" applyNumberFormat="1" applyFont="1" applyFill="1"/>
    <xf numFmtId="166" fontId="5" fillId="9" borderId="0" xfId="28" applyNumberFormat="1" applyFont="1" applyFill="1"/>
    <xf numFmtId="166" fontId="33" fillId="9" borderId="0" xfId="28" applyNumberFormat="1" applyFont="1" applyFill="1"/>
    <xf numFmtId="1" fontId="5" fillId="9" borderId="6" xfId="10" applyNumberFormat="1" applyFont="1" applyFill="1" applyBorder="1"/>
    <xf numFmtId="176" fontId="3" fillId="0" borderId="0" xfId="10" applyNumberFormat="1" applyFont="1" applyBorder="1"/>
    <xf numFmtId="176" fontId="3" fillId="0" borderId="0" xfId="10" applyNumberFormat="1" applyFont="1" applyFill="1" applyBorder="1"/>
    <xf numFmtId="176" fontId="3" fillId="5" borderId="3" xfId="10" applyNumberFormat="1" applyFont="1" applyFill="1" applyBorder="1"/>
    <xf numFmtId="173" fontId="3" fillId="0" borderId="0" xfId="10" applyNumberFormat="1" applyFont="1" applyFill="1"/>
    <xf numFmtId="9" fontId="20" fillId="0" borderId="0" xfId="10" applyNumberFormat="1" applyFont="1" applyBorder="1"/>
    <xf numFmtId="166" fontId="20" fillId="0" borderId="0" xfId="10" applyNumberFormat="1" applyFont="1" applyBorder="1"/>
    <xf numFmtId="176" fontId="3" fillId="0" borderId="3" xfId="10" applyNumberFormat="1" applyFont="1" applyFill="1" applyBorder="1"/>
    <xf numFmtId="0" fontId="3" fillId="4" borderId="0" xfId="28" applyFont="1" applyFill="1" applyBorder="1"/>
    <xf numFmtId="176" fontId="3" fillId="4" borderId="0" xfId="28" applyNumberFormat="1" applyFont="1" applyFill="1" applyBorder="1"/>
    <xf numFmtId="3" fontId="3" fillId="4" borderId="0" xfId="28" applyNumberFormat="1" applyFont="1" applyFill="1" applyBorder="1"/>
    <xf numFmtId="9" fontId="3" fillId="4" borderId="0" xfId="28" applyNumberFormat="1" applyFont="1" applyFill="1" applyBorder="1"/>
    <xf numFmtId="5" fontId="3" fillId="5" borderId="0" xfId="28" applyNumberFormat="1" applyFont="1" applyFill="1" applyBorder="1"/>
    <xf numFmtId="176" fontId="3" fillId="0" borderId="8" xfId="10" applyNumberFormat="1" applyFont="1" applyFill="1" applyBorder="1"/>
    <xf numFmtId="176" fontId="28" fillId="0" borderId="0" xfId="39" applyNumberFormat="1" applyFont="1" applyAlignment="1">
      <alignment horizontal="left" indent="1"/>
    </xf>
    <xf numFmtId="189" fontId="37" fillId="5" borderId="0" xfId="32" applyNumberFormat="1" applyFont="1" applyFill="1" applyBorder="1"/>
    <xf numFmtId="183" fontId="37" fillId="5" borderId="0" xfId="28" applyNumberFormat="1" applyFont="1" applyFill="1" applyBorder="1"/>
    <xf numFmtId="190" fontId="37" fillId="5" borderId="0" xfId="28" applyNumberFormat="1" applyFont="1" applyFill="1" applyBorder="1"/>
    <xf numFmtId="37" fontId="37" fillId="0" borderId="8" xfId="10" applyNumberFormat="1" applyFont="1" applyFill="1" applyBorder="1"/>
    <xf numFmtId="37" fontId="37" fillId="0" borderId="0" xfId="10" applyNumberFormat="1" applyFont="1" applyFill="1" applyBorder="1"/>
    <xf numFmtId="37" fontId="21" fillId="0" borderId="0" xfId="10" applyNumberFormat="1" applyFont="1" applyFill="1" applyBorder="1"/>
    <xf numFmtId="37" fontId="21" fillId="0" borderId="7" xfId="10" applyNumberFormat="1" applyFont="1" applyFill="1" applyBorder="1"/>
    <xf numFmtId="37" fontId="21" fillId="0" borderId="8" xfId="10" applyNumberFormat="1" applyFont="1" applyFill="1" applyBorder="1"/>
    <xf numFmtId="194" fontId="37" fillId="4" borderId="7" xfId="28" applyNumberFormat="1" applyFont="1" applyFill="1" applyBorder="1"/>
    <xf numFmtId="176" fontId="28" fillId="0" borderId="0" xfId="28" applyNumberFormat="1" applyFont="1" applyFill="1" applyBorder="1"/>
    <xf numFmtId="169" fontId="3" fillId="0" borderId="0" xfId="28" applyNumberFormat="1" applyFont="1" applyFill="1" applyBorder="1"/>
    <xf numFmtId="164" fontId="3" fillId="0" borderId="26" xfId="10" applyNumberFormat="1" applyFont="1" applyFill="1" applyBorder="1"/>
    <xf numFmtId="173" fontId="28" fillId="0" borderId="0" xfId="10" applyNumberFormat="1" applyFont="1" applyFill="1" applyBorder="1"/>
    <xf numFmtId="166" fontId="33" fillId="0" borderId="0" xfId="28" applyNumberFormat="1" applyFont="1" applyFill="1"/>
    <xf numFmtId="173" fontId="3" fillId="4" borderId="0" xfId="28" applyNumberFormat="1" applyFont="1" applyFill="1" applyBorder="1"/>
    <xf numFmtId="1" fontId="3" fillId="4" borderId="0" xfId="28" applyNumberFormat="1" applyFont="1" applyFill="1" applyBorder="1"/>
    <xf numFmtId="166" fontId="37" fillId="0" borderId="0" xfId="28" applyNumberFormat="1" applyFont="1" applyFill="1"/>
    <xf numFmtId="164" fontId="3" fillId="0" borderId="0" xfId="10" applyNumberFormat="1" applyFont="1" applyFill="1" applyBorder="1"/>
    <xf numFmtId="173" fontId="28" fillId="0" borderId="7" xfId="10" applyNumberFormat="1" applyFont="1" applyFill="1" applyBorder="1"/>
    <xf numFmtId="176" fontId="3" fillId="9" borderId="0" xfId="28" applyNumberFormat="1" applyFont="1" applyFill="1" applyBorder="1"/>
    <xf numFmtId="176" fontId="37" fillId="9" borderId="8" xfId="28" applyNumberFormat="1" applyFont="1" applyFill="1" applyBorder="1"/>
    <xf numFmtId="9" fontId="37" fillId="9" borderId="8" xfId="28" applyNumberFormat="1" applyFont="1" applyFill="1" applyBorder="1"/>
    <xf numFmtId="5" fontId="37" fillId="9" borderId="8" xfId="28" applyNumberFormat="1" applyFont="1" applyFill="1" applyBorder="1"/>
    <xf numFmtId="176" fontId="5" fillId="9" borderId="0" xfId="10" applyNumberFormat="1" applyFont="1" applyFill="1" applyBorder="1"/>
    <xf numFmtId="166" fontId="4" fillId="9" borderId="0" xfId="28" applyNumberFormat="1" applyFont="1" applyFill="1" applyBorder="1"/>
    <xf numFmtId="166" fontId="3" fillId="9" borderId="0" xfId="28" applyNumberFormat="1" applyFont="1" applyFill="1"/>
    <xf numFmtId="169" fontId="3" fillId="4" borderId="0" xfId="28" applyNumberFormat="1" applyFont="1" applyFill="1" applyBorder="1"/>
    <xf numFmtId="176" fontId="4" fillId="5" borderId="6" xfId="10" applyNumberFormat="1" applyFont="1" applyFill="1" applyBorder="1"/>
    <xf numFmtId="176" fontId="4" fillId="9" borderId="10" xfId="28" applyNumberFormat="1" applyFont="1" applyFill="1" applyBorder="1"/>
    <xf numFmtId="176" fontId="5" fillId="9" borderId="6" xfId="28" applyNumberFormat="1" applyFont="1" applyFill="1" applyBorder="1"/>
    <xf numFmtId="176" fontId="5" fillId="9" borderId="6" xfId="10" applyNumberFormat="1" applyFont="1" applyFill="1" applyBorder="1"/>
    <xf numFmtId="181" fontId="37" fillId="9" borderId="6" xfId="28" applyNumberFormat="1" applyFont="1" applyFill="1" applyBorder="1"/>
    <xf numFmtId="176" fontId="3" fillId="9" borderId="6" xfId="10" applyNumberFormat="1" applyFont="1" applyFill="1" applyBorder="1"/>
    <xf numFmtId="176" fontId="3" fillId="0" borderId="6" xfId="10" applyNumberFormat="1" applyFont="1" applyBorder="1"/>
    <xf numFmtId="176" fontId="3" fillId="0" borderId="6" xfId="10" applyNumberFormat="1" applyFont="1" applyFill="1" applyBorder="1"/>
    <xf numFmtId="173" fontId="3" fillId="0" borderId="6" xfId="10" applyNumberFormat="1" applyFont="1" applyFill="1" applyBorder="1"/>
    <xf numFmtId="173" fontId="3" fillId="0" borderId="6" xfId="28" applyNumberFormat="1" applyFont="1" applyFill="1" applyBorder="1"/>
    <xf numFmtId="176" fontId="3" fillId="5" borderId="27" xfId="10" applyNumberFormat="1" applyFont="1" applyFill="1" applyBorder="1"/>
    <xf numFmtId="176" fontId="3" fillId="5" borderId="6" xfId="28" applyNumberFormat="1" applyFont="1" applyFill="1" applyBorder="1"/>
    <xf numFmtId="176" fontId="3" fillId="0" borderId="7" xfId="10" applyNumberFormat="1" applyFont="1" applyFill="1" applyBorder="1"/>
    <xf numFmtId="176" fontId="4" fillId="4" borderId="13" xfId="28" applyNumberFormat="1" applyFont="1" applyFill="1" applyBorder="1"/>
    <xf numFmtId="173" fontId="3" fillId="0" borderId="0" xfId="28" applyNumberFormat="1" applyFont="1" applyBorder="1"/>
    <xf numFmtId="9" fontId="20" fillId="0" borderId="7" xfId="10" applyNumberFormat="1" applyFont="1" applyBorder="1"/>
    <xf numFmtId="166" fontId="20" fillId="0" borderId="7" xfId="10" applyNumberFormat="1" applyFont="1" applyBorder="1"/>
    <xf numFmtId="176" fontId="3" fillId="0" borderId="15" xfId="10" applyNumberFormat="1" applyFont="1" applyFill="1" applyBorder="1"/>
    <xf numFmtId="176" fontId="3" fillId="5" borderId="7" xfId="28" applyNumberFormat="1" applyFont="1" applyFill="1" applyBorder="1"/>
    <xf numFmtId="181" fontId="37" fillId="9" borderId="0" xfId="28" applyNumberFormat="1" applyFont="1" applyFill="1" applyBorder="1"/>
    <xf numFmtId="166" fontId="4" fillId="9" borderId="6" xfId="28" applyNumberFormat="1" applyFont="1" applyFill="1" applyBorder="1"/>
    <xf numFmtId="5" fontId="3" fillId="4" borderId="0" xfId="28" applyNumberFormat="1" applyFont="1" applyFill="1" applyBorder="1"/>
    <xf numFmtId="187" fontId="3" fillId="4" borderId="0" xfId="28" applyNumberFormat="1" applyFont="1" applyFill="1" applyBorder="1"/>
    <xf numFmtId="181" fontId="3" fillId="4" borderId="0" xfId="28" applyNumberFormat="1" applyFont="1" applyFill="1" applyBorder="1"/>
    <xf numFmtId="0" fontId="3" fillId="4" borderId="0" xfId="28" quotePrefix="1" applyFont="1" applyFill="1" applyBorder="1"/>
    <xf numFmtId="0" fontId="18" fillId="10" borderId="0" xfId="4" applyFont="1" applyFill="1"/>
    <xf numFmtId="0" fontId="36" fillId="10" borderId="0" xfId="26" applyFill="1"/>
    <xf numFmtId="0" fontId="52" fillId="10" borderId="0" xfId="4" applyFont="1" applyFill="1"/>
    <xf numFmtId="0" fontId="53" fillId="10" borderId="0" xfId="4" applyFont="1" applyFill="1"/>
    <xf numFmtId="8" fontId="53" fillId="10" borderId="0" xfId="4" applyNumberFormat="1" applyFont="1" applyFill="1" applyAlignment="1">
      <alignment horizontal="left"/>
    </xf>
    <xf numFmtId="14" fontId="53" fillId="10" borderId="0" xfId="4" applyNumberFormat="1" applyFont="1" applyFill="1" applyAlignment="1">
      <alignment horizontal="left"/>
    </xf>
    <xf numFmtId="0" fontId="0" fillId="5" borderId="0" xfId="4" applyFont="1" applyFill="1"/>
    <xf numFmtId="0" fontId="54" fillId="5" borderId="0" xfId="4" applyFont="1" applyFill="1"/>
    <xf numFmtId="0" fontId="36" fillId="0" borderId="0" xfId="26"/>
    <xf numFmtId="0" fontId="64" fillId="5" borderId="0" xfId="4" applyFont="1" applyFill="1"/>
    <xf numFmtId="0" fontId="65" fillId="5" borderId="0" xfId="4" applyFont="1" applyFill="1"/>
    <xf numFmtId="0" fontId="66" fillId="5" borderId="0" xfId="4" applyFont="1" applyFill="1"/>
    <xf numFmtId="0" fontId="67" fillId="5" borderId="0" xfId="4" applyFont="1" applyFill="1"/>
    <xf numFmtId="0" fontId="64" fillId="0" borderId="0" xfId="26" applyFont="1"/>
    <xf numFmtId="0" fontId="55" fillId="5" borderId="0" xfId="4" applyFont="1" applyFill="1"/>
    <xf numFmtId="0" fontId="6" fillId="5" borderId="0" xfId="4" applyFont="1" applyFill="1"/>
    <xf numFmtId="0" fontId="56" fillId="5" borderId="0" xfId="4" applyFont="1" applyFill="1"/>
    <xf numFmtId="196" fontId="57" fillId="10" borderId="0" xfId="4" applyNumberFormat="1" applyFont="1" applyFill="1"/>
    <xf numFmtId="196" fontId="58" fillId="10" borderId="0" xfId="4" applyNumberFormat="1" applyFont="1" applyFill="1"/>
    <xf numFmtId="0" fontId="58" fillId="10" borderId="0" xfId="4" applyNumberFormat="1" applyFont="1" applyFill="1"/>
    <xf numFmtId="0" fontId="2" fillId="10" borderId="0" xfId="26" applyFont="1" applyFill="1"/>
    <xf numFmtId="0" fontId="2" fillId="10" borderId="0" xfId="4" applyFont="1" applyFill="1"/>
    <xf numFmtId="196" fontId="59" fillId="10" borderId="0" xfId="4" applyNumberFormat="1" applyFont="1" applyFill="1"/>
    <xf numFmtId="196" fontId="53" fillId="10" borderId="0" xfId="4" applyNumberFormat="1" applyFont="1" applyFill="1"/>
    <xf numFmtId="196" fontId="55" fillId="10" borderId="0" xfId="4" applyNumberFormat="1" applyFont="1" applyFill="1"/>
    <xf numFmtId="196" fontId="60" fillId="10" borderId="0" xfId="4" applyNumberFormat="1" applyFont="1" applyFill="1"/>
    <xf numFmtId="196" fontId="54" fillId="10" borderId="0" xfId="4" applyNumberFormat="1" applyFont="1" applyFill="1"/>
    <xf numFmtId="0" fontId="54" fillId="10" borderId="0" xfId="4" applyNumberFormat="1" applyFont="1" applyFill="1"/>
    <xf numFmtId="0" fontId="2" fillId="0" borderId="0" xfId="26" applyFont="1" applyFill="1"/>
    <xf numFmtId="0" fontId="2" fillId="0" borderId="0" xfId="26" applyNumberFormat="1" applyFont="1" applyFill="1"/>
    <xf numFmtId="0" fontId="2" fillId="0" borderId="0" xfId="26" applyFont="1"/>
    <xf numFmtId="0" fontId="68" fillId="10" borderId="0" xfId="26" applyFont="1" applyFill="1"/>
    <xf numFmtId="0" fontId="69" fillId="10" borderId="0" xfId="26" applyFont="1" applyFill="1"/>
    <xf numFmtId="0" fontId="67" fillId="0" borderId="0" xfId="4" applyFont="1" applyAlignment="1">
      <alignment horizontal="right"/>
    </xf>
    <xf numFmtId="0" fontId="67" fillId="0" borderId="0" xfId="4" applyNumberFormat="1" applyFont="1" applyAlignment="1">
      <alignment horizontal="right"/>
    </xf>
    <xf numFmtId="197" fontId="67" fillId="0" borderId="0" xfId="26" applyNumberFormat="1" applyFont="1"/>
    <xf numFmtId="198" fontId="2" fillId="0" borderId="0" xfId="26" applyNumberFormat="1" applyFont="1"/>
    <xf numFmtId="0" fontId="2" fillId="0" borderId="0" xfId="26" applyNumberFormat="1" applyFont="1"/>
    <xf numFmtId="0" fontId="70" fillId="0" borderId="0" xfId="26" applyFont="1"/>
    <xf numFmtId="0" fontId="6" fillId="11" borderId="14" xfId="26" applyFont="1" applyFill="1" applyBorder="1"/>
    <xf numFmtId="0" fontId="2" fillId="11" borderId="5" xfId="26" applyFont="1" applyFill="1" applyBorder="1"/>
    <xf numFmtId="164" fontId="2" fillId="0" borderId="0" xfId="12" applyNumberFormat="1" applyFont="1"/>
    <xf numFmtId="8" fontId="2" fillId="0" borderId="0" xfId="26" applyNumberFormat="1" applyFont="1"/>
    <xf numFmtId="8" fontId="71" fillId="0" borderId="0" xfId="26" applyNumberFormat="1" applyFont="1"/>
    <xf numFmtId="0" fontId="61" fillId="0" borderId="0" xfId="26" applyFont="1"/>
    <xf numFmtId="9" fontId="61" fillId="0" borderId="0" xfId="26" applyNumberFormat="1" applyFont="1"/>
    <xf numFmtId="0" fontId="61" fillId="0" borderId="29" xfId="26" applyFont="1" applyBorder="1"/>
    <xf numFmtId="0" fontId="61" fillId="0" borderId="2" xfId="26" applyFont="1" applyBorder="1"/>
    <xf numFmtId="179" fontId="61" fillId="0" borderId="2" xfId="26" applyNumberFormat="1" applyFont="1" applyBorder="1" applyAlignment="1">
      <alignment horizontal="right"/>
    </xf>
    <xf numFmtId="179" fontId="61" fillId="0" borderId="30" xfId="26" applyNumberFormat="1" applyFont="1" applyBorder="1" applyAlignment="1">
      <alignment horizontal="right"/>
    </xf>
    <xf numFmtId="0" fontId="6" fillId="0" borderId="0" xfId="26" applyFont="1"/>
    <xf numFmtId="164" fontId="6" fillId="0" borderId="0" xfId="12" applyNumberFormat="1" applyFont="1" applyFill="1"/>
    <xf numFmtId="0" fontId="61" fillId="0" borderId="6" xfId="26" applyFont="1" applyFill="1" applyBorder="1"/>
    <xf numFmtId="0" fontId="61" fillId="0" borderId="0" xfId="26" applyFont="1" applyFill="1" applyBorder="1"/>
    <xf numFmtId="179" fontId="61" fillId="0" borderId="0" xfId="26" applyNumberFormat="1" applyFont="1" applyFill="1" applyBorder="1" applyAlignment="1">
      <alignment horizontal="right"/>
    </xf>
    <xf numFmtId="179" fontId="61" fillId="0" borderId="7" xfId="26" applyNumberFormat="1" applyFont="1" applyFill="1" applyBorder="1" applyAlignment="1">
      <alignment horizontal="right"/>
    </xf>
    <xf numFmtId="9" fontId="2" fillId="0" borderId="0" xfId="12" applyNumberFormat="1" applyFont="1"/>
    <xf numFmtId="0" fontId="61" fillId="0" borderId="27" xfId="26" applyFont="1" applyBorder="1"/>
    <xf numFmtId="0" fontId="61" fillId="0" borderId="3" xfId="26" applyFont="1" applyBorder="1"/>
    <xf numFmtId="173" fontId="61" fillId="0" borderId="3" xfId="26" applyNumberFormat="1" applyFont="1" applyBorder="1" applyAlignment="1">
      <alignment horizontal="right"/>
    </xf>
    <xf numFmtId="173" fontId="61" fillId="0" borderId="15" xfId="26" applyNumberFormat="1" applyFont="1" applyBorder="1" applyAlignment="1">
      <alignment horizontal="right"/>
    </xf>
    <xf numFmtId="164" fontId="6" fillId="0" borderId="0" xfId="12" applyNumberFormat="1" applyFont="1"/>
    <xf numFmtId="0" fontId="61" fillId="0" borderId="0" xfId="26" applyFont="1" applyFill="1"/>
    <xf numFmtId="8" fontId="72" fillId="0" borderId="0" xfId="12" applyNumberFormat="1" applyFont="1"/>
    <xf numFmtId="0" fontId="6" fillId="0" borderId="0" xfId="26" applyFont="1" applyFill="1"/>
    <xf numFmtId="179" fontId="71" fillId="0" borderId="0" xfId="26" applyNumberFormat="1" applyFont="1" applyFill="1" applyAlignment="1">
      <alignment horizontal="right"/>
    </xf>
    <xf numFmtId="0" fontId="6" fillId="0" borderId="14" xfId="26" applyFont="1" applyFill="1" applyBorder="1"/>
    <xf numFmtId="0" fontId="2" fillId="0" borderId="5" xfId="26" applyFont="1" applyFill="1" applyBorder="1"/>
    <xf numFmtId="0" fontId="0" fillId="0" borderId="0" xfId="26" applyFont="1"/>
    <xf numFmtId="164" fontId="2" fillId="0" borderId="0" xfId="26" applyNumberFormat="1" applyFont="1"/>
    <xf numFmtId="0" fontId="0" fillId="0" borderId="0" xfId="0" applyFill="1"/>
    <xf numFmtId="164" fontId="73" fillId="0" borderId="0" xfId="12" applyNumberFormat="1" applyFont="1" applyFill="1"/>
    <xf numFmtId="43" fontId="2" fillId="0" borderId="0" xfId="26" applyNumberFormat="1" applyFont="1"/>
    <xf numFmtId="9" fontId="71" fillId="0" borderId="0" xfId="26" applyNumberFormat="1" applyFont="1" applyFill="1"/>
    <xf numFmtId="9" fontId="2" fillId="0" borderId="0" xfId="26" applyNumberFormat="1" applyFont="1" applyFill="1"/>
    <xf numFmtId="164" fontId="2" fillId="0" borderId="0" xfId="12" applyNumberFormat="1" applyFont="1" applyFill="1"/>
    <xf numFmtId="164" fontId="61" fillId="0" borderId="0" xfId="26" applyNumberFormat="1" applyFont="1" applyFill="1"/>
    <xf numFmtId="164" fontId="61" fillId="0" borderId="0" xfId="12" applyNumberFormat="1" applyFont="1" applyFill="1"/>
    <xf numFmtId="173" fontId="2" fillId="0" borderId="0" xfId="26" applyNumberFormat="1" applyFont="1"/>
    <xf numFmtId="9" fontId="2" fillId="0" borderId="0" xfId="26" applyNumberFormat="1" applyFont="1"/>
    <xf numFmtId="164" fontId="6" fillId="0" borderId="0" xfId="26" applyNumberFormat="1" applyFont="1"/>
    <xf numFmtId="8" fontId="6" fillId="0" borderId="0" xfId="12" applyNumberFormat="1" applyFont="1" applyFill="1"/>
    <xf numFmtId="173" fontId="2" fillId="0" borderId="0" xfId="26" applyNumberFormat="1" applyFont="1" applyFill="1"/>
    <xf numFmtId="173" fontId="6" fillId="0" borderId="0" xfId="26" applyNumberFormat="1" applyFont="1" applyFill="1"/>
    <xf numFmtId="0" fontId="0" fillId="0" borderId="0" xfId="26" applyFont="1" applyFill="1"/>
    <xf numFmtId="179" fontId="2" fillId="0" borderId="0" xfId="26" applyNumberFormat="1" applyFont="1" applyFill="1" applyAlignment="1">
      <alignment horizontal="right"/>
    </xf>
    <xf numFmtId="0" fontId="61" fillId="0" borderId="14" xfId="26" applyFont="1" applyBorder="1"/>
    <xf numFmtId="0" fontId="61" fillId="0" borderId="5" xfId="26" applyFont="1" applyBorder="1"/>
    <xf numFmtId="164" fontId="61" fillId="0" borderId="5" xfId="26" applyNumberFormat="1" applyFont="1" applyBorder="1"/>
    <xf numFmtId="164" fontId="61" fillId="0" borderId="13" xfId="26" applyNumberFormat="1" applyFont="1" applyBorder="1"/>
    <xf numFmtId="0" fontId="61" fillId="0" borderId="0" xfId="26" applyFont="1" applyBorder="1"/>
    <xf numFmtId="9" fontId="61" fillId="0" borderId="0" xfId="26" applyNumberFormat="1" applyFont="1" applyBorder="1"/>
    <xf numFmtId="8" fontId="61" fillId="0" borderId="0" xfId="26" applyNumberFormat="1" applyFont="1"/>
    <xf numFmtId="0" fontId="69" fillId="0" borderId="0" xfId="26" applyFont="1"/>
    <xf numFmtId="179" fontId="2" fillId="0" borderId="0" xfId="26" applyNumberFormat="1" applyFont="1" applyAlignment="1">
      <alignment horizontal="right"/>
    </xf>
    <xf numFmtId="8" fontId="71" fillId="0" borderId="0" xfId="26" applyNumberFormat="1" applyFont="1" applyAlignment="1">
      <alignment horizontal="right"/>
    </xf>
    <xf numFmtId="176" fontId="3" fillId="0" borderId="7" xfId="10" applyNumberFormat="1" applyFont="1" applyBorder="1"/>
    <xf numFmtId="5" fontId="3" fillId="0" borderId="8" xfId="10" applyNumberFormat="1" applyFont="1" applyBorder="1"/>
    <xf numFmtId="176" fontId="3" fillId="0" borderId="8" xfId="10" applyNumberFormat="1" applyFont="1" applyBorder="1"/>
    <xf numFmtId="176" fontId="3" fillId="5" borderId="9" xfId="10" applyNumberFormat="1" applyFont="1" applyFill="1" applyBorder="1"/>
    <xf numFmtId="176" fontId="3" fillId="5" borderId="15" xfId="10" applyNumberFormat="1" applyFont="1" applyFill="1" applyBorder="1"/>
    <xf numFmtId="176" fontId="3" fillId="5" borderId="7" xfId="10" applyNumberFormat="1" applyFont="1" applyFill="1" applyBorder="1"/>
    <xf numFmtId="5" fontId="5" fillId="5" borderId="0" xfId="30" applyNumberFormat="1" applyFont="1" applyFill="1" applyBorder="1" applyAlignment="1" applyProtection="1">
      <alignment horizontal="left" indent="4"/>
      <protection locked="0"/>
    </xf>
    <xf numFmtId="170" fontId="28" fillId="5" borderId="8" xfId="28" applyNumberFormat="1" applyFont="1" applyFill="1" applyBorder="1"/>
    <xf numFmtId="170" fontId="28" fillId="5" borderId="0" xfId="28" applyNumberFormat="1" applyFont="1" applyFill="1" applyBorder="1"/>
    <xf numFmtId="170" fontId="3" fillId="5" borderId="0" xfId="28" applyNumberFormat="1" applyFont="1" applyFill="1" applyBorder="1"/>
    <xf numFmtId="170" fontId="3" fillId="5" borderId="8" xfId="28" applyNumberFormat="1" applyFont="1" applyFill="1" applyBorder="1"/>
    <xf numFmtId="0" fontId="3" fillId="0" borderId="0" xfId="0" applyFont="1" applyBorder="1" applyAlignment="1">
      <alignment horizontal="left" indent="3"/>
    </xf>
    <xf numFmtId="5" fontId="3" fillId="0" borderId="8" xfId="28" applyNumberFormat="1" applyFont="1" applyBorder="1"/>
    <xf numFmtId="5" fontId="3" fillId="0" borderId="0" xfId="28" applyNumberFormat="1" applyFont="1" applyBorder="1"/>
    <xf numFmtId="5" fontId="3" fillId="0" borderId="0" xfId="28" applyNumberFormat="1" applyFont="1"/>
    <xf numFmtId="187" fontId="3" fillId="0" borderId="0" xfId="0" applyNumberFormat="1" applyFont="1" applyBorder="1" applyAlignment="1">
      <alignment horizontal="left" indent="3"/>
    </xf>
    <xf numFmtId="187" fontId="3" fillId="0" borderId="8" xfId="28" applyNumberFormat="1" applyFont="1" applyBorder="1"/>
    <xf numFmtId="187" fontId="3" fillId="0" borderId="0" xfId="28" applyNumberFormat="1" applyFont="1" applyBorder="1"/>
    <xf numFmtId="1" fontId="5" fillId="5" borderId="21" xfId="28" applyNumberFormat="1" applyFont="1" applyFill="1" applyBorder="1"/>
    <xf numFmtId="1" fontId="5" fillId="5" borderId="10" xfId="28" applyNumberFormat="1" applyFont="1" applyFill="1" applyBorder="1"/>
    <xf numFmtId="1" fontId="37" fillId="5" borderId="21" xfId="28" applyNumberFormat="1" applyFont="1" applyFill="1" applyBorder="1" applyAlignment="1"/>
    <xf numFmtId="1" fontId="37" fillId="5" borderId="10" xfId="28" applyNumberFormat="1" applyFont="1" applyFill="1" applyBorder="1" applyAlignment="1"/>
    <xf numFmtId="1" fontId="5" fillId="0" borderId="21" xfId="28" applyNumberFormat="1" applyFont="1" applyFill="1" applyBorder="1"/>
    <xf numFmtId="1" fontId="3" fillId="0" borderId="10" xfId="28" applyNumberFormat="1" applyFont="1" applyFill="1" applyBorder="1"/>
    <xf numFmtId="1" fontId="37" fillId="9" borderId="10" xfId="28" applyNumberFormat="1" applyFont="1" applyFill="1" applyBorder="1" applyAlignment="1"/>
    <xf numFmtId="173" fontId="5" fillId="9" borderId="0" xfId="28" applyNumberFormat="1" applyFont="1" applyFill="1" applyBorder="1"/>
    <xf numFmtId="176" fontId="37" fillId="9" borderId="0" xfId="10" applyNumberFormat="1" applyFont="1" applyFill="1" applyBorder="1"/>
    <xf numFmtId="173" fontId="5" fillId="5" borderId="23" xfId="30" applyNumberFormat="1" applyFont="1" applyFill="1" applyBorder="1" applyAlignment="1" applyProtection="1">
      <alignment horizontal="left" indent="2"/>
      <protection locked="0"/>
    </xf>
    <xf numFmtId="173" fontId="5" fillId="0" borderId="24" xfId="28" applyNumberFormat="1" applyFont="1" applyBorder="1"/>
    <xf numFmtId="173" fontId="5" fillId="0" borderId="23" xfId="28" applyNumberFormat="1" applyFont="1" applyBorder="1"/>
    <xf numFmtId="173" fontId="5" fillId="0" borderId="25" xfId="28" applyNumberFormat="1" applyFont="1" applyBorder="1"/>
    <xf numFmtId="176" fontId="3" fillId="0" borderId="0" xfId="28" applyNumberFormat="1" applyFont="1" applyFill="1" applyBorder="1" applyAlignment="1" applyProtection="1">
      <alignment horizontal="left" indent="1"/>
    </xf>
    <xf numFmtId="1" fontId="3" fillId="9" borderId="10" xfId="28" applyNumberFormat="1" applyFont="1" applyFill="1" applyBorder="1"/>
    <xf numFmtId="176" fontId="4" fillId="0" borderId="23" xfId="28" applyNumberFormat="1" applyFont="1" applyBorder="1"/>
    <xf numFmtId="181" fontId="5" fillId="9" borderId="0" xfId="28" applyNumberFormat="1" applyFont="1" applyFill="1" applyBorder="1"/>
    <xf numFmtId="181" fontId="37" fillId="9" borderId="8" xfId="28" applyNumberFormat="1" applyFont="1" applyFill="1" applyBorder="1"/>
    <xf numFmtId="176" fontId="3" fillId="9" borderId="7" xfId="28" applyNumberFormat="1" applyFont="1" applyFill="1" applyBorder="1"/>
    <xf numFmtId="7" fontId="6" fillId="9" borderId="5" xfId="28" applyNumberFormat="1" applyFont="1" applyFill="1" applyBorder="1"/>
    <xf numFmtId="7" fontId="24" fillId="9" borderId="5" xfId="28" applyNumberFormat="1" applyFont="1" applyFill="1" applyBorder="1"/>
    <xf numFmtId="5" fontId="33" fillId="9" borderId="0" xfId="28" applyNumberFormat="1" applyFont="1" applyFill="1" applyBorder="1"/>
    <xf numFmtId="181" fontId="5" fillId="9" borderId="8" xfId="28" applyNumberFormat="1" applyFont="1" applyFill="1" applyBorder="1"/>
    <xf numFmtId="5" fontId="33" fillId="9" borderId="8" xfId="28" applyNumberFormat="1" applyFont="1" applyFill="1" applyBorder="1"/>
    <xf numFmtId="170" fontId="63" fillId="5" borderId="8" xfId="28" applyNumberFormat="1" applyFont="1" applyFill="1" applyBorder="1"/>
    <xf numFmtId="1" fontId="63" fillId="0" borderId="21" xfId="28" applyNumberFormat="1" applyFont="1" applyFill="1" applyBorder="1"/>
    <xf numFmtId="1" fontId="63" fillId="0" borderId="10" xfId="28" applyNumberFormat="1" applyFont="1" applyFill="1" applyBorder="1"/>
    <xf numFmtId="1" fontId="63" fillId="0" borderId="16" xfId="28" applyNumberFormat="1" applyFont="1" applyFill="1" applyBorder="1"/>
    <xf numFmtId="176" fontId="37" fillId="9" borderId="8" xfId="10" applyNumberFormat="1" applyFont="1" applyFill="1" applyBorder="1"/>
    <xf numFmtId="176" fontId="5" fillId="9" borderId="0" xfId="28" applyNumberFormat="1" applyFont="1" applyFill="1" applyBorder="1"/>
    <xf numFmtId="176" fontId="28" fillId="0" borderId="0" xfId="28" applyNumberFormat="1" applyFont="1"/>
    <xf numFmtId="5" fontId="4" fillId="9" borderId="0" xfId="28" applyNumberFormat="1" applyFont="1" applyFill="1" applyBorder="1"/>
    <xf numFmtId="9" fontId="21" fillId="0" borderId="8" xfId="28" applyNumberFormat="1" applyFont="1" applyFill="1" applyBorder="1"/>
    <xf numFmtId="181" fontId="3" fillId="5" borderId="8" xfId="28" applyNumberFormat="1" applyFont="1" applyFill="1" applyBorder="1"/>
    <xf numFmtId="173" fontId="5" fillId="0" borderId="24" xfId="28" applyNumberFormat="1" applyFont="1" applyFill="1" applyBorder="1"/>
    <xf numFmtId="5" fontId="3" fillId="5" borderId="8" xfId="28" applyNumberFormat="1" applyFont="1" applyFill="1" applyBorder="1"/>
    <xf numFmtId="176" fontId="28" fillId="0" borderId="7" xfId="10" applyNumberFormat="1" applyFont="1" applyFill="1" applyBorder="1"/>
    <xf numFmtId="173" fontId="5" fillId="9" borderId="8" xfId="28" applyNumberFormat="1" applyFont="1" applyFill="1" applyBorder="1"/>
    <xf numFmtId="173" fontId="5" fillId="9" borderId="23" xfId="28" applyNumberFormat="1" applyFont="1" applyFill="1" applyBorder="1"/>
    <xf numFmtId="173" fontId="5" fillId="9" borderId="24" xfId="28" applyNumberFormat="1" applyFont="1" applyFill="1" applyBorder="1"/>
    <xf numFmtId="176" fontId="63" fillId="0" borderId="0" xfId="10" applyNumberFormat="1" applyFont="1" applyFill="1" applyBorder="1"/>
    <xf numFmtId="176" fontId="63" fillId="5" borderId="0" xfId="10" applyNumberFormat="1" applyFont="1" applyFill="1" applyBorder="1"/>
    <xf numFmtId="5" fontId="63" fillId="9" borderId="0" xfId="28" applyNumberFormat="1" applyFont="1" applyFill="1" applyBorder="1"/>
    <xf numFmtId="173" fontId="63" fillId="0" borderId="0" xfId="28" applyNumberFormat="1" applyFont="1" applyFill="1" applyBorder="1"/>
    <xf numFmtId="9" fontId="63" fillId="0" borderId="0" xfId="28" applyNumberFormat="1" applyFont="1" applyBorder="1"/>
    <xf numFmtId="176" fontId="63" fillId="0" borderId="7" xfId="10" applyNumberFormat="1" applyFont="1" applyFill="1" applyBorder="1"/>
    <xf numFmtId="164" fontId="71" fillId="0" borderId="0" xfId="12" applyNumberFormat="1" applyFont="1"/>
    <xf numFmtId="5" fontId="61" fillId="0" borderId="0" xfId="12" applyNumberFormat="1" applyFont="1"/>
    <xf numFmtId="6" fontId="6" fillId="0" borderId="0" xfId="12" applyNumberFormat="1" applyFont="1"/>
    <xf numFmtId="6" fontId="6" fillId="0" borderId="5" xfId="26" applyNumberFormat="1" applyFont="1" applyFill="1" applyBorder="1"/>
    <xf numFmtId="6" fontId="6" fillId="0" borderId="13" xfId="26" applyNumberFormat="1" applyFont="1" applyFill="1" applyBorder="1"/>
    <xf numFmtId="173" fontId="61" fillId="0" borderId="3" xfId="32" applyNumberFormat="1" applyFont="1" applyBorder="1"/>
    <xf numFmtId="176" fontId="63" fillId="5" borderId="8" xfId="10" applyNumberFormat="1" applyFont="1" applyFill="1" applyBorder="1"/>
    <xf numFmtId="176" fontId="63" fillId="5" borderId="7" xfId="10" applyNumberFormat="1" applyFont="1" applyFill="1" applyBorder="1"/>
    <xf numFmtId="173" fontId="37" fillId="5" borderId="8" xfId="32" applyNumberFormat="1" applyFont="1" applyFill="1" applyBorder="1"/>
    <xf numFmtId="173" fontId="37" fillId="5" borderId="7" xfId="32" applyNumberFormat="1" applyFont="1" applyFill="1" applyBorder="1"/>
    <xf numFmtId="176" fontId="28" fillId="0" borderId="8" xfId="28" applyNumberFormat="1" applyFont="1" applyBorder="1"/>
    <xf numFmtId="164" fontId="3" fillId="4" borderId="0" xfId="10" applyNumberFormat="1" applyFont="1" applyFill="1" applyBorder="1" applyAlignment="1">
      <alignment horizontal="center"/>
    </xf>
    <xf numFmtId="1" fontId="37" fillId="0" borderId="10" xfId="28" applyNumberFormat="1" applyFont="1" applyFill="1" applyBorder="1" applyAlignment="1"/>
    <xf numFmtId="9" fontId="71" fillId="0" borderId="0" xfId="0" applyNumberFormat="1" applyFont="1" applyFill="1"/>
    <xf numFmtId="173" fontId="72" fillId="0" borderId="0" xfId="26" applyNumberFormat="1" applyFont="1"/>
    <xf numFmtId="179" fontId="61" fillId="0" borderId="0" xfId="26" applyNumberFormat="1" applyFont="1" applyBorder="1" applyAlignment="1">
      <alignment horizontal="right"/>
    </xf>
    <xf numFmtId="179" fontId="61" fillId="0" borderId="7" xfId="26" applyNumberFormat="1" applyFont="1" applyBorder="1" applyAlignment="1">
      <alignment horizontal="right"/>
    </xf>
    <xf numFmtId="6" fontId="6" fillId="11" borderId="5" xfId="26" applyNumberFormat="1" applyFont="1" applyFill="1" applyBorder="1"/>
    <xf numFmtId="6" fontId="6" fillId="11" borderId="13" xfId="26" applyNumberFormat="1" applyFont="1" applyFill="1" applyBorder="1"/>
    <xf numFmtId="6" fontId="2" fillId="0" borderId="0" xfId="26" applyNumberFormat="1" applyFont="1"/>
    <xf numFmtId="6" fontId="71" fillId="0" borderId="0" xfId="26" applyNumberFormat="1" applyFont="1"/>
    <xf numFmtId="164" fontId="6" fillId="0" borderId="5" xfId="10" applyNumberFormat="1" applyFont="1" applyFill="1" applyBorder="1"/>
    <xf numFmtId="164" fontId="6" fillId="0" borderId="13" xfId="10" applyNumberFormat="1" applyFont="1" applyFill="1" applyBorder="1"/>
    <xf numFmtId="0" fontId="1" fillId="0" borderId="0" xfId="26" applyFont="1"/>
    <xf numFmtId="0" fontId="16" fillId="6" borderId="0" xfId="28" applyFont="1" applyFill="1" applyBorder="1" applyAlignment="1">
      <alignment horizontal="right"/>
    </xf>
    <xf numFmtId="176" fontId="3" fillId="4" borderId="0" xfId="28" applyNumberFormat="1" applyFont="1" applyFill="1" applyBorder="1" applyAlignment="1">
      <alignment horizontal="right"/>
    </xf>
    <xf numFmtId="0" fontId="3" fillId="4" borderId="0" xfId="28" applyFont="1" applyFill="1" applyBorder="1" applyAlignment="1">
      <alignment horizontal="right"/>
    </xf>
    <xf numFmtId="0" fontId="3" fillId="4" borderId="0" xfId="0" applyFont="1" applyFill="1" applyBorder="1" applyAlignment="1">
      <alignment horizontal="right"/>
    </xf>
    <xf numFmtId="173" fontId="3" fillId="4" borderId="0" xfId="0" applyNumberFormat="1" applyFont="1" applyFill="1" applyBorder="1" applyAlignment="1">
      <alignment horizontal="right"/>
    </xf>
    <xf numFmtId="0" fontId="12" fillId="4" borderId="0" xfId="28" applyFont="1" applyFill="1" applyBorder="1" applyAlignment="1">
      <alignment horizontal="right"/>
    </xf>
    <xf numFmtId="176" fontId="12" fillId="4" borderId="0" xfId="28" applyNumberFormat="1" applyFont="1" applyFill="1" applyBorder="1" applyAlignment="1">
      <alignment horizontal="right"/>
    </xf>
    <xf numFmtId="5" fontId="3" fillId="4" borderId="0" xfId="28" applyNumberFormat="1" applyFont="1" applyFill="1" applyBorder="1" applyAlignment="1">
      <alignment horizontal="right"/>
    </xf>
    <xf numFmtId="181" fontId="3" fillId="4" borderId="0" xfId="28" applyNumberFormat="1" applyFont="1" applyFill="1" applyBorder="1" applyAlignment="1">
      <alignment horizontal="right"/>
    </xf>
    <xf numFmtId="176" fontId="3" fillId="4" borderId="0" xfId="28" quotePrefix="1" applyNumberFormat="1" applyFont="1" applyFill="1" applyBorder="1" applyAlignment="1">
      <alignment horizontal="right"/>
    </xf>
    <xf numFmtId="3" fontId="3" fillId="4" borderId="0" xfId="28" quotePrefix="1" applyNumberFormat="1" applyFont="1" applyFill="1" applyBorder="1" applyAlignment="1">
      <alignment horizontal="right"/>
    </xf>
    <xf numFmtId="0" fontId="5" fillId="5" borderId="0" xfId="28" applyNumberFormat="1" applyFont="1" applyFill="1" applyBorder="1"/>
    <xf numFmtId="5" fontId="3" fillId="9" borderId="0" xfId="28" applyNumberFormat="1" applyFont="1" applyFill="1" applyBorder="1"/>
    <xf numFmtId="1" fontId="3" fillId="9" borderId="0" xfId="10" applyNumberFormat="1" applyFont="1" applyFill="1"/>
    <xf numFmtId="178" fontId="5" fillId="5" borderId="0" xfId="10" applyNumberFormat="1" applyFont="1" applyFill="1" applyBorder="1"/>
    <xf numFmtId="181" fontId="3" fillId="0" borderId="0" xfId="28" applyNumberFormat="1" applyFont="1" applyFill="1" applyBorder="1"/>
    <xf numFmtId="181" fontId="3" fillId="5" borderId="0" xfId="28" applyNumberFormat="1" applyFont="1" applyFill="1" applyBorder="1"/>
    <xf numFmtId="166" fontId="4" fillId="9" borderId="0" xfId="28" applyNumberFormat="1" applyFont="1" applyFill="1"/>
    <xf numFmtId="176" fontId="3" fillId="5" borderId="0" xfId="10" applyNumberFormat="1" applyFont="1" applyFill="1"/>
    <xf numFmtId="0" fontId="1" fillId="0" borderId="0" xfId="42"/>
    <xf numFmtId="176" fontId="3" fillId="0" borderId="0" xfId="28" applyNumberFormat="1" applyFont="1"/>
    <xf numFmtId="3" fontId="3" fillId="0" borderId="0" xfId="10" applyNumberFormat="1" applyFont="1" applyBorder="1"/>
    <xf numFmtId="173" fontId="3" fillId="0" borderId="0" xfId="32" applyNumberFormat="1" applyFont="1" applyFill="1" applyBorder="1"/>
    <xf numFmtId="176" fontId="3" fillId="0" borderId="0" xfId="28" applyNumberFormat="1" applyFont="1" applyBorder="1"/>
    <xf numFmtId="178" fontId="3" fillId="0" borderId="0" xfId="28" applyNumberFormat="1" applyFont="1"/>
    <xf numFmtId="37" fontId="3" fillId="0" borderId="0" xfId="10" applyNumberFormat="1" applyFont="1" applyFill="1" applyBorder="1"/>
    <xf numFmtId="43" fontId="2" fillId="0" borderId="0" xfId="26" applyNumberFormat="1" applyFont="1" applyFill="1"/>
    <xf numFmtId="164" fontId="3" fillId="4" borderId="0" xfId="10" applyNumberFormat="1" applyFont="1" applyFill="1" applyBorder="1"/>
    <xf numFmtId="173" fontId="3" fillId="4" borderId="0" xfId="10" applyNumberFormat="1" applyFont="1" applyFill="1" applyBorder="1"/>
    <xf numFmtId="187" fontId="3" fillId="4" borderId="0" xfId="28" applyNumberFormat="1" applyFont="1" applyFill="1" applyBorder="1" applyAlignment="1">
      <alignment horizontal="right"/>
    </xf>
    <xf numFmtId="173" fontId="3" fillId="4" borderId="0" xfId="10" applyNumberFormat="1" applyFont="1" applyFill="1" applyBorder="1" applyAlignment="1">
      <alignment horizontal="right"/>
    </xf>
    <xf numFmtId="166" fontId="3" fillId="4" borderId="0" xfId="28" applyNumberFormat="1" applyFont="1" applyFill="1" applyBorder="1"/>
    <xf numFmtId="173" fontId="3" fillId="4" borderId="0" xfId="28" applyNumberFormat="1" applyFont="1" applyFill="1" applyBorder="1" applyAlignment="1">
      <alignment horizontal="right"/>
    </xf>
    <xf numFmtId="9" fontId="3" fillId="4" borderId="0" xfId="28" applyNumberFormat="1" applyFont="1" applyFill="1" applyBorder="1" applyAlignment="1">
      <alignment horizontal="right"/>
    </xf>
    <xf numFmtId="170" fontId="3" fillId="4" borderId="0" xfId="28" applyNumberFormat="1" applyFont="1" applyFill="1" applyBorder="1" applyAlignment="1">
      <alignment horizontal="right"/>
    </xf>
    <xf numFmtId="5" fontId="3" fillId="4" borderId="0" xfId="0" applyNumberFormat="1" applyFont="1" applyFill="1" applyBorder="1" applyAlignment="1">
      <alignment horizontal="right"/>
    </xf>
    <xf numFmtId="7" fontId="3" fillId="4" borderId="0" xfId="28" applyNumberFormat="1" applyFont="1" applyFill="1" applyBorder="1" applyAlignment="1">
      <alignment horizontal="right"/>
    </xf>
    <xf numFmtId="7" fontId="3" fillId="4" borderId="0" xfId="28" applyNumberFormat="1" applyFont="1" applyFill="1" applyBorder="1"/>
    <xf numFmtId="188" fontId="3" fillId="4" borderId="0" xfId="0" applyNumberFormat="1" applyFont="1" applyFill="1" applyBorder="1" applyAlignment="1">
      <alignment horizontal="right"/>
    </xf>
    <xf numFmtId="186" fontId="3" fillId="4" borderId="0" xfId="28" applyNumberFormat="1" applyFont="1" applyFill="1" applyBorder="1"/>
    <xf numFmtId="176" fontId="3" fillId="4" borderId="0" xfId="28" quotePrefix="1" applyNumberFormat="1" applyFont="1" applyFill="1" applyBorder="1"/>
    <xf numFmtId="186" fontId="3" fillId="4" borderId="0" xfId="28" applyNumberFormat="1" applyFont="1" applyFill="1" applyBorder="1" applyAlignment="1">
      <alignment horizontal="right"/>
    </xf>
    <xf numFmtId="169" fontId="3" fillId="4" borderId="0" xfId="28" applyNumberFormat="1" applyFont="1" applyFill="1" applyBorder="1" applyAlignment="1">
      <alignment horizontal="right"/>
    </xf>
    <xf numFmtId="199" fontId="3" fillId="4" borderId="0" xfId="28" applyNumberFormat="1" applyFont="1" applyFill="1" applyBorder="1"/>
    <xf numFmtId="173" fontId="3" fillId="4" borderId="0" xfId="32" applyNumberFormat="1" applyFont="1" applyFill="1" applyBorder="1"/>
    <xf numFmtId="183" fontId="3" fillId="4" borderId="0" xfId="28" applyNumberFormat="1" applyFont="1" applyFill="1" applyBorder="1" applyAlignment="1">
      <alignment horizontal="right"/>
    </xf>
    <xf numFmtId="5" fontId="3" fillId="4" borderId="0" xfId="28" quotePrefix="1" applyNumberFormat="1" applyFont="1" applyFill="1" applyBorder="1"/>
    <xf numFmtId="4" fontId="3" fillId="4" borderId="0" xfId="28" applyNumberFormat="1" applyFont="1" applyFill="1" applyBorder="1" applyAlignment="1">
      <alignment horizontal="right"/>
    </xf>
    <xf numFmtId="0" fontId="3" fillId="4" borderId="0" xfId="0" applyFont="1" applyFill="1" applyBorder="1"/>
    <xf numFmtId="176" fontId="3" fillId="4" borderId="0" xfId="0" applyNumberFormat="1" applyFont="1" applyFill="1" applyBorder="1" applyAlignment="1">
      <alignment horizontal="right"/>
    </xf>
    <xf numFmtId="176" fontId="3" fillId="4" borderId="0" xfId="0" applyNumberFormat="1" applyFont="1" applyFill="1" applyBorder="1"/>
    <xf numFmtId="4" fontId="3" fillId="4" borderId="0" xfId="0" applyNumberFormat="1" applyFont="1" applyFill="1" applyBorder="1" applyAlignment="1">
      <alignment horizontal="right"/>
    </xf>
    <xf numFmtId="166" fontId="3" fillId="4" borderId="0" xfId="0" applyNumberFormat="1" applyFont="1" applyFill="1" applyBorder="1"/>
    <xf numFmtId="166" fontId="3" fillId="4" borderId="0" xfId="28" applyNumberFormat="1" applyFont="1" applyFill="1" applyBorder="1" applyAlignment="1">
      <alignment horizontal="right"/>
    </xf>
    <xf numFmtId="1" fontId="3" fillId="4" borderId="0" xfId="28" applyNumberFormat="1" applyFont="1" applyFill="1" applyBorder="1" applyAlignment="1">
      <alignment horizontal="right"/>
    </xf>
    <xf numFmtId="37" fontId="3" fillId="4" borderId="0" xfId="28" applyNumberFormat="1" applyFont="1" applyFill="1" applyBorder="1"/>
    <xf numFmtId="176" fontId="3" fillId="4" borderId="0" xfId="10" applyNumberFormat="1" applyFont="1" applyFill="1" applyBorder="1" applyAlignment="1">
      <alignment horizontal="right"/>
    </xf>
    <xf numFmtId="176" fontId="3" fillId="4" borderId="0" xfId="10" applyNumberFormat="1" applyFont="1" applyFill="1" applyBorder="1"/>
    <xf numFmtId="176" fontId="3" fillId="4" borderId="0" xfId="10" quotePrefix="1" applyNumberFormat="1" applyFont="1" applyFill="1" applyBorder="1" applyAlignment="1">
      <alignment horizontal="right"/>
    </xf>
    <xf numFmtId="166" fontId="3" fillId="4" borderId="0" xfId="10" applyNumberFormat="1" applyFont="1" applyFill="1" applyBorder="1" applyAlignment="1">
      <alignment horizontal="right"/>
    </xf>
    <xf numFmtId="166" fontId="12" fillId="4" borderId="0" xfId="28" applyNumberFormat="1" applyFont="1" applyFill="1" applyBorder="1"/>
    <xf numFmtId="176" fontId="3" fillId="4" borderId="0" xfId="28" applyNumberFormat="1" applyFont="1" applyFill="1" applyBorder="1" applyAlignment="1">
      <alignment horizontal="center"/>
    </xf>
    <xf numFmtId="173" fontId="3" fillId="4" borderId="0" xfId="32" applyNumberFormat="1" applyFont="1" applyFill="1" applyBorder="1" applyAlignment="1">
      <alignment horizontal="center"/>
    </xf>
    <xf numFmtId="3" fontId="3" fillId="4" borderId="0" xfId="28" applyNumberFormat="1" applyFont="1" applyFill="1" applyBorder="1" applyAlignment="1">
      <alignment horizontal="right"/>
    </xf>
    <xf numFmtId="192" fontId="3" fillId="4" borderId="0" xfId="28" applyNumberFormat="1" applyFont="1" applyFill="1" applyBorder="1"/>
    <xf numFmtId="178" fontId="3" fillId="4" borderId="0" xfId="28" applyNumberFormat="1" applyFont="1" applyFill="1" applyBorder="1"/>
    <xf numFmtId="178" fontId="3" fillId="4" borderId="0" xfId="28" applyNumberFormat="1" applyFont="1" applyFill="1" applyBorder="1" applyAlignment="1">
      <alignment horizontal="right"/>
    </xf>
    <xf numFmtId="193" fontId="3" fillId="4" borderId="0" xfId="28" applyNumberFormat="1" applyFont="1" applyFill="1" applyBorder="1"/>
    <xf numFmtId="184" fontId="3" fillId="4" borderId="0" xfId="28" applyNumberFormat="1" applyFont="1" applyFill="1" applyBorder="1" applyAlignment="1">
      <alignment horizontal="right"/>
    </xf>
    <xf numFmtId="191" fontId="3" fillId="4" borderId="0" xfId="28" applyNumberFormat="1" applyFont="1" applyFill="1" applyBorder="1"/>
    <xf numFmtId="176" fontId="12" fillId="4" borderId="0" xfId="28" quotePrefix="1" applyNumberFormat="1" applyFont="1" applyFill="1" applyBorder="1"/>
    <xf numFmtId="0" fontId="12" fillId="4" borderId="0" xfId="28" quotePrefix="1" applyFont="1" applyFill="1" applyBorder="1"/>
    <xf numFmtId="5" fontId="12" fillId="4" borderId="0" xfId="28" quotePrefix="1" applyNumberFormat="1" applyFont="1" applyFill="1" applyBorder="1"/>
    <xf numFmtId="5" fontId="12" fillId="4" borderId="0" xfId="28" applyNumberFormat="1" applyFont="1" applyFill="1" applyBorder="1" applyAlignment="1">
      <alignment horizontal="right"/>
    </xf>
    <xf numFmtId="185" fontId="3" fillId="4" borderId="0" xfId="28" applyNumberFormat="1" applyFont="1" applyFill="1" applyBorder="1" applyAlignment="1">
      <alignment horizontal="right"/>
    </xf>
    <xf numFmtId="37" fontId="3" fillId="4" borderId="0" xfId="28" applyNumberFormat="1" applyFont="1" applyFill="1" applyBorder="1" applyAlignment="1">
      <alignment horizontal="right"/>
    </xf>
    <xf numFmtId="9" fontId="12" fillId="4" borderId="0" xfId="28" applyNumberFormat="1" applyFont="1" applyFill="1" applyBorder="1"/>
    <xf numFmtId="9" fontId="12" fillId="4" borderId="0" xfId="10" applyNumberFormat="1" applyFont="1" applyFill="1" applyBorder="1" applyAlignment="1">
      <alignment horizontal="right"/>
    </xf>
    <xf numFmtId="9" fontId="12" fillId="4" borderId="0" xfId="10" applyNumberFormat="1" applyFont="1" applyFill="1" applyBorder="1"/>
    <xf numFmtId="166" fontId="12" fillId="4" borderId="0" xfId="10" applyNumberFormat="1" applyFont="1" applyFill="1" applyBorder="1" applyAlignment="1">
      <alignment horizontal="right"/>
    </xf>
    <xf numFmtId="166" fontId="12" fillId="4" borderId="0" xfId="10" applyNumberFormat="1" applyFont="1" applyFill="1" applyBorder="1"/>
    <xf numFmtId="1" fontId="3" fillId="4" borderId="0" xfId="28" applyNumberFormat="1" applyFont="1" applyFill="1" applyBorder="1" applyAlignment="1">
      <alignment horizontal="center"/>
    </xf>
    <xf numFmtId="0" fontId="4" fillId="4" borderId="0" xfId="28" applyFont="1" applyFill="1" applyBorder="1" applyAlignment="1">
      <alignment horizontal="right"/>
    </xf>
    <xf numFmtId="164" fontId="4" fillId="4" borderId="0" xfId="10" applyNumberFormat="1" applyFont="1" applyFill="1" applyBorder="1" applyAlignment="1">
      <alignment horizontal="center"/>
    </xf>
    <xf numFmtId="176" fontId="4" fillId="4" borderId="0" xfId="28" applyNumberFormat="1" applyFont="1" applyFill="1" applyBorder="1" applyAlignment="1">
      <alignment horizontal="right"/>
    </xf>
    <xf numFmtId="164" fontId="4" fillId="4" borderId="0" xfId="10" applyNumberFormat="1" applyFont="1" applyFill="1" applyBorder="1"/>
    <xf numFmtId="187" fontId="4" fillId="4" borderId="0" xfId="28" applyNumberFormat="1" applyFont="1" applyFill="1" applyBorder="1" applyAlignment="1">
      <alignment horizontal="right"/>
    </xf>
    <xf numFmtId="173" fontId="75" fillId="4" borderId="0" xfId="10" applyNumberFormat="1" applyFont="1" applyFill="1" applyBorder="1" applyAlignment="1">
      <alignment horizontal="right"/>
    </xf>
    <xf numFmtId="173" fontId="61" fillId="0" borderId="0" xfId="32" applyNumberFormat="1" applyFont="1"/>
    <xf numFmtId="9" fontId="71" fillId="0" borderId="0" xfId="32" applyFont="1"/>
    <xf numFmtId="44" fontId="1" fillId="0" borderId="0" xfId="45" applyFont="1"/>
    <xf numFmtId="8" fontId="71" fillId="0" borderId="0" xfId="32" applyNumberFormat="1" applyFont="1"/>
    <xf numFmtId="173" fontId="5" fillId="0" borderId="23" xfId="28" applyNumberFormat="1" applyFont="1" applyFill="1" applyBorder="1"/>
    <xf numFmtId="43" fontId="3" fillId="4" borderId="0" xfId="10" applyFont="1" applyFill="1" applyBorder="1" applyAlignment="1">
      <alignment horizontal="right"/>
    </xf>
    <xf numFmtId="166" fontId="5" fillId="9" borderId="0" xfId="28" applyNumberFormat="1" applyFont="1" applyFill="1" applyAlignment="1"/>
    <xf numFmtId="166" fontId="37" fillId="0" borderId="0" xfId="28" applyNumberFormat="1" applyFont="1" applyFill="1" applyAlignment="1"/>
    <xf numFmtId="166" fontId="3" fillId="9" borderId="0" xfId="28" applyNumberFormat="1" applyFont="1" applyFill="1" applyAlignment="1"/>
    <xf numFmtId="200" fontId="3" fillId="4" borderId="0" xfId="28" applyNumberFormat="1" applyFont="1" applyFill="1" applyBorder="1" applyAlignment="1">
      <alignment horizontal="right"/>
    </xf>
    <xf numFmtId="44" fontId="3" fillId="4" borderId="0" xfId="45" applyFont="1" applyFill="1" applyBorder="1" applyAlignment="1">
      <alignment horizontal="right"/>
    </xf>
    <xf numFmtId="0" fontId="63" fillId="4" borderId="0" xfId="28" applyFont="1" applyFill="1" applyBorder="1"/>
    <xf numFmtId="5" fontId="3" fillId="4" borderId="0" xfId="28" applyNumberFormat="1" applyFont="1" applyFill="1" applyBorder="1" applyAlignment="1">
      <alignment horizontal="center"/>
    </xf>
    <xf numFmtId="201" fontId="3" fillId="4" borderId="0" xfId="45" applyNumberFormat="1" applyFont="1" applyFill="1" applyBorder="1"/>
    <xf numFmtId="201" fontId="3" fillId="4" borderId="0" xfId="28" applyNumberFormat="1" applyFont="1" applyFill="1" applyBorder="1"/>
    <xf numFmtId="181" fontId="5" fillId="0" borderId="7" xfId="28" applyNumberFormat="1" applyFont="1" applyBorder="1"/>
    <xf numFmtId="5" fontId="4" fillId="0" borderId="7" xfId="28" applyNumberFormat="1" applyFont="1" applyFill="1" applyBorder="1"/>
    <xf numFmtId="5" fontId="4" fillId="9" borderId="7" xfId="28" applyNumberFormat="1" applyFont="1" applyFill="1" applyBorder="1"/>
    <xf numFmtId="173" fontId="63" fillId="0" borderId="7" xfId="28" applyNumberFormat="1" applyFont="1" applyFill="1" applyBorder="1"/>
    <xf numFmtId="169" fontId="5" fillId="0" borderId="7" xfId="28" applyNumberFormat="1" applyFont="1" applyBorder="1"/>
    <xf numFmtId="170" fontId="44" fillId="5" borderId="20" xfId="28" applyNumberFormat="1" applyFont="1" applyFill="1" applyBorder="1"/>
    <xf numFmtId="5" fontId="33" fillId="5" borderId="7" xfId="28" applyNumberFormat="1" applyFont="1" applyFill="1" applyBorder="1"/>
    <xf numFmtId="5" fontId="33" fillId="5" borderId="6" xfId="28" applyNumberFormat="1" applyFont="1" applyFill="1" applyBorder="1"/>
    <xf numFmtId="181" fontId="5" fillId="0" borderId="6" xfId="28" applyNumberFormat="1" applyFont="1" applyBorder="1"/>
    <xf numFmtId="5" fontId="4" fillId="9" borderId="6" xfId="28" applyNumberFormat="1" applyFont="1" applyFill="1" applyBorder="1"/>
    <xf numFmtId="173" fontId="63" fillId="0" borderId="6" xfId="28" applyNumberFormat="1" applyFont="1" applyFill="1" applyBorder="1"/>
    <xf numFmtId="169" fontId="5" fillId="0" borderId="6" xfId="28" applyNumberFormat="1" applyFont="1" applyBorder="1"/>
    <xf numFmtId="173" fontId="3" fillId="5" borderId="8" xfId="28" applyNumberFormat="1" applyFont="1" applyFill="1" applyBorder="1"/>
    <xf numFmtId="5" fontId="3" fillId="5" borderId="6" xfId="28" applyNumberFormat="1" applyFont="1" applyFill="1" applyBorder="1"/>
    <xf numFmtId="9" fontId="3" fillId="0" borderId="6" xfId="28" applyNumberFormat="1" applyFont="1" applyFill="1" applyBorder="1"/>
    <xf numFmtId="0" fontId="3" fillId="4" borderId="0" xfId="28" applyNumberFormat="1" applyFont="1" applyFill="1" applyBorder="1" applyAlignment="1">
      <alignment horizontal="right"/>
    </xf>
    <xf numFmtId="166" fontId="74" fillId="0" borderId="0" xfId="28" applyNumberFormat="1" applyFont="1" applyFill="1" applyBorder="1"/>
    <xf numFmtId="166" fontId="74" fillId="0" borderId="7" xfId="28" applyNumberFormat="1" applyFont="1" applyFill="1" applyBorder="1"/>
    <xf numFmtId="176" fontId="3" fillId="4" borderId="0" xfId="10" quotePrefix="1" applyNumberFormat="1" applyFont="1" applyFill="1" applyBorder="1" applyAlignment="1">
      <alignment horizontal="left"/>
    </xf>
    <xf numFmtId="173" fontId="3" fillId="0" borderId="0" xfId="10" applyNumberFormat="1" applyFont="1" applyFill="1" applyBorder="1"/>
    <xf numFmtId="173" fontId="3" fillId="0" borderId="7" xfId="10" applyNumberFormat="1" applyFont="1" applyFill="1" applyBorder="1"/>
    <xf numFmtId="173" fontId="3" fillId="0" borderId="7" xfId="28" applyNumberFormat="1" applyFont="1" applyFill="1" applyBorder="1"/>
    <xf numFmtId="176" fontId="75" fillId="4" borderId="0" xfId="28" applyNumberFormat="1" applyFont="1" applyFill="1" applyBorder="1"/>
    <xf numFmtId="6" fontId="3" fillId="4" borderId="0" xfId="10" applyNumberFormat="1" applyFont="1" applyFill="1" applyBorder="1" applyAlignment="1">
      <alignment horizontal="right"/>
    </xf>
    <xf numFmtId="201" fontId="3" fillId="4" borderId="0" xfId="45" applyNumberFormat="1" applyFont="1" applyFill="1" applyBorder="1" applyAlignment="1">
      <alignment horizontal="right"/>
    </xf>
    <xf numFmtId="9" fontId="3" fillId="4" borderId="0" xfId="32" applyFont="1" applyFill="1" applyBorder="1" applyAlignment="1">
      <alignment horizontal="right"/>
    </xf>
    <xf numFmtId="9" fontId="3" fillId="4" borderId="0" xfId="32" applyFont="1" applyFill="1" applyBorder="1"/>
    <xf numFmtId="9" fontId="3" fillId="4" borderId="0" xfId="32" applyFont="1" applyFill="1" applyBorder="1" applyAlignment="1">
      <alignment horizontal="center"/>
    </xf>
    <xf numFmtId="9" fontId="3" fillId="4" borderId="0" xfId="32" applyFont="1" applyFill="1" applyBorder="1" applyAlignment="1">
      <alignment horizontal="left"/>
    </xf>
    <xf numFmtId="0" fontId="3" fillId="4" borderId="0" xfId="28" applyNumberFormat="1" applyFont="1" applyFill="1" applyBorder="1" applyAlignment="1">
      <alignment horizontal="center"/>
    </xf>
    <xf numFmtId="9" fontId="3" fillId="4" borderId="0" xfId="28" applyNumberFormat="1" applyFont="1" applyFill="1" applyBorder="1" applyAlignment="1">
      <alignment horizontal="center"/>
    </xf>
    <xf numFmtId="0" fontId="3" fillId="4" borderId="0" xfId="28" applyFont="1" applyFill="1" applyBorder="1" applyAlignment="1">
      <alignment horizontal="left"/>
    </xf>
    <xf numFmtId="164" fontId="61" fillId="0" borderId="0" xfId="26" applyNumberFormat="1" applyFont="1" applyBorder="1"/>
    <xf numFmtId="0" fontId="78" fillId="4" borderId="0" xfId="10" applyNumberFormat="1" applyFont="1" applyFill="1" applyBorder="1" applyAlignment="1">
      <alignment horizontal="center"/>
    </xf>
    <xf numFmtId="0" fontId="6" fillId="0" borderId="0" xfId="0" applyFont="1" applyAlignment="1">
      <alignment horizontal="center"/>
    </xf>
    <xf numFmtId="196" fontId="58" fillId="10" borderId="0" xfId="4" applyNumberFormat="1" applyFont="1" applyFill="1" applyAlignment="1"/>
    <xf numFmtId="196" fontId="54" fillId="10" borderId="0" xfId="4" applyNumberFormat="1" applyFont="1" applyFill="1" applyAlignment="1"/>
    <xf numFmtId="0" fontId="1" fillId="0" borderId="0" xfId="26" applyFont="1" applyFill="1" applyAlignment="1"/>
    <xf numFmtId="0" fontId="2" fillId="0" borderId="0" xfId="26" applyFont="1" applyAlignment="1"/>
    <xf numFmtId="197" fontId="67" fillId="0" borderId="0" xfId="26" applyNumberFormat="1" applyFont="1" applyAlignment="1"/>
    <xf numFmtId="173" fontId="1" fillId="0" borderId="0" xfId="32" applyNumberFormat="1" applyFont="1" applyAlignment="1"/>
    <xf numFmtId="0" fontId="6" fillId="0" borderId="0" xfId="26" applyFont="1" applyAlignment="1"/>
    <xf numFmtId="9" fontId="1" fillId="0" borderId="0" xfId="32" applyFont="1" applyAlignment="1"/>
    <xf numFmtId="201" fontId="1" fillId="0" borderId="0" xfId="45" applyNumberFormat="1" applyFont="1" applyAlignment="1"/>
    <xf numFmtId="164" fontId="2" fillId="0" borderId="0" xfId="26" applyNumberFormat="1" applyFont="1" applyAlignment="1"/>
    <xf numFmtId="164" fontId="2" fillId="0" borderId="0" xfId="12" applyNumberFormat="1" applyFont="1" applyAlignment="1"/>
    <xf numFmtId="176" fontId="3" fillId="4" borderId="0" xfId="28" applyNumberFormat="1" applyFont="1" applyFill="1" applyBorder="1" applyAlignment="1">
      <alignment horizontal="left"/>
    </xf>
    <xf numFmtId="166" fontId="3" fillId="4" borderId="0" xfId="28" applyNumberFormat="1" applyFont="1" applyFill="1" applyBorder="1" applyAlignment="1">
      <alignment horizontal="left"/>
    </xf>
    <xf numFmtId="173" fontId="3" fillId="4" borderId="0" xfId="32" applyNumberFormat="1" applyFont="1" applyFill="1" applyBorder="1" applyAlignment="1">
      <alignment horizontal="left"/>
    </xf>
    <xf numFmtId="5" fontId="4" fillId="4" borderId="0" xfId="28" applyNumberFormat="1" applyFont="1" applyFill="1" applyBorder="1" applyAlignment="1">
      <alignment horizontal="left"/>
    </xf>
    <xf numFmtId="173" fontId="4" fillId="4" borderId="0" xfId="32" applyNumberFormat="1" applyFont="1" applyFill="1" applyBorder="1" applyAlignment="1">
      <alignment horizontal="left"/>
    </xf>
    <xf numFmtId="9" fontId="3" fillId="4" borderId="0" xfId="32" applyFont="1" applyFill="1" applyBorder="1" applyAlignment="1"/>
    <xf numFmtId="167" fontId="3" fillId="4" borderId="0" xfId="10" applyNumberFormat="1" applyFont="1" applyFill="1" applyBorder="1"/>
    <xf numFmtId="9" fontId="4" fillId="4" borderId="0" xfId="32" applyFont="1" applyFill="1" applyBorder="1" applyAlignment="1">
      <alignment horizontal="right"/>
    </xf>
    <xf numFmtId="0" fontId="79" fillId="0" borderId="0" xfId="26" applyFont="1" applyAlignment="1">
      <alignment horizontal="center"/>
    </xf>
    <xf numFmtId="9" fontId="79" fillId="0" borderId="0" xfId="32" applyFont="1" applyAlignment="1">
      <alignment horizontal="center"/>
    </xf>
    <xf numFmtId="201" fontId="3" fillId="4" borderId="0" xfId="10" applyNumberFormat="1" applyFont="1" applyFill="1" applyBorder="1" applyAlignment="1">
      <alignment horizontal="center"/>
    </xf>
    <xf numFmtId="5" fontId="77" fillId="4" borderId="0" xfId="28" applyNumberFormat="1" applyFont="1" applyFill="1" applyBorder="1" applyAlignment="1">
      <alignment horizontal="left"/>
    </xf>
    <xf numFmtId="202" fontId="17" fillId="6" borderId="9" xfId="28" applyNumberFormat="1" applyFont="1" applyFill="1" applyBorder="1" applyAlignment="1">
      <alignment horizontal="center"/>
    </xf>
    <xf numFmtId="166" fontId="3" fillId="9" borderId="0" xfId="28" applyNumberFormat="1" applyFont="1" applyFill="1" applyAlignment="1">
      <alignment horizontal="right"/>
    </xf>
    <xf numFmtId="201" fontId="2" fillId="0" borderId="0" xfId="26" applyNumberFormat="1" applyFont="1"/>
    <xf numFmtId="7" fontId="33" fillId="0" borderId="5" xfId="28" applyNumberFormat="1" applyFont="1" applyFill="1" applyBorder="1"/>
    <xf numFmtId="176" fontId="3" fillId="0" borderId="0" xfId="10" applyNumberFormat="1" applyFont="1" applyFill="1"/>
    <xf numFmtId="170" fontId="37" fillId="0" borderId="6" xfId="28" applyNumberFormat="1" applyFont="1" applyFill="1" applyBorder="1"/>
    <xf numFmtId="5" fontId="5" fillId="0" borderId="6" xfId="28" applyNumberFormat="1" applyFont="1" applyFill="1" applyBorder="1"/>
    <xf numFmtId="5" fontId="3" fillId="0" borderId="8" xfId="28" applyNumberFormat="1" applyFont="1" applyFill="1" applyBorder="1"/>
    <xf numFmtId="173" fontId="3" fillId="0" borderId="8" xfId="32" applyNumberFormat="1" applyFont="1" applyFill="1" applyBorder="1"/>
    <xf numFmtId="176" fontId="3" fillId="0" borderId="21" xfId="10" applyNumberFormat="1" applyFont="1" applyFill="1" applyBorder="1"/>
    <xf numFmtId="176" fontId="3" fillId="0" borderId="10" xfId="10" applyNumberFormat="1" applyFont="1" applyFill="1" applyBorder="1"/>
    <xf numFmtId="9" fontId="3" fillId="0" borderId="0" xfId="28" applyNumberFormat="1" applyFont="1" applyFill="1" applyBorder="1"/>
    <xf numFmtId="7" fontId="24" fillId="0" borderId="5" xfId="28" applyNumberFormat="1" applyFont="1" applyFill="1" applyBorder="1"/>
    <xf numFmtId="7" fontId="6" fillId="0" borderId="5" xfId="28" applyNumberFormat="1" applyFont="1" applyFill="1" applyBorder="1"/>
    <xf numFmtId="176" fontId="27" fillId="0" borderId="0" xfId="10" applyNumberFormat="1" applyFont="1" applyFill="1" applyBorder="1"/>
    <xf numFmtId="7" fontId="4" fillId="0" borderId="5" xfId="28" applyNumberFormat="1" applyFont="1" applyFill="1" applyBorder="1"/>
    <xf numFmtId="176" fontId="37" fillId="13" borderId="8" xfId="28" applyNumberFormat="1" applyFont="1" applyFill="1" applyBorder="1"/>
    <xf numFmtId="176" fontId="5" fillId="13" borderId="8" xfId="28" applyNumberFormat="1" applyFont="1" applyFill="1" applyBorder="1"/>
    <xf numFmtId="9" fontId="37" fillId="13" borderId="8" xfId="28" applyNumberFormat="1" applyFont="1" applyFill="1" applyBorder="1"/>
    <xf numFmtId="176" fontId="77" fillId="4" borderId="0" xfId="28" applyNumberFormat="1" applyFont="1" applyFill="1" applyBorder="1" applyAlignment="1">
      <alignment horizontal="left"/>
    </xf>
    <xf numFmtId="0" fontId="17" fillId="12" borderId="8" xfId="30" applyFont="1" applyFill="1" applyBorder="1" applyAlignment="1" applyProtection="1">
      <alignment horizontal="center" wrapText="1"/>
    </xf>
    <xf numFmtId="0" fontId="17" fillId="6" borderId="9" xfId="28" applyFont="1" applyFill="1" applyBorder="1" applyAlignment="1">
      <alignment horizontal="center" wrapText="1"/>
    </xf>
    <xf numFmtId="178" fontId="5" fillId="0" borderId="8" xfId="10" applyNumberFormat="1" applyFont="1" applyFill="1" applyBorder="1"/>
    <xf numFmtId="0" fontId="17" fillId="12" borderId="8" xfId="30" quotePrefix="1" applyFont="1" applyFill="1" applyBorder="1" applyAlignment="1" applyProtection="1">
      <alignment horizontal="center" wrapText="1"/>
    </xf>
    <xf numFmtId="166" fontId="77" fillId="4" borderId="0" xfId="28" applyNumberFormat="1" applyFont="1" applyFill="1" applyBorder="1" applyAlignment="1"/>
    <xf numFmtId="201" fontId="3" fillId="4" borderId="0" xfId="45" applyNumberFormat="1" applyFont="1" applyFill="1" applyBorder="1" applyAlignment="1">
      <alignment horizontal="left"/>
    </xf>
    <xf numFmtId="201" fontId="36" fillId="0" borderId="0" xfId="45" applyNumberFormat="1" applyFont="1"/>
    <xf numFmtId="0" fontId="36" fillId="13" borderId="0" xfId="26" applyFill="1"/>
    <xf numFmtId="176" fontId="63" fillId="0" borderId="8" xfId="28" applyNumberFormat="1" applyFont="1" applyFill="1" applyBorder="1"/>
    <xf numFmtId="176" fontId="81" fillId="4" borderId="0" xfId="28" applyNumberFormat="1" applyFont="1" applyFill="1" applyBorder="1" applyAlignment="1">
      <alignment horizontal="center"/>
    </xf>
    <xf numFmtId="176" fontId="74" fillId="4" borderId="0" xfId="28" applyNumberFormat="1" applyFont="1" applyFill="1" applyBorder="1"/>
    <xf numFmtId="176" fontId="74" fillId="4" borderId="7" xfId="28" applyNumberFormat="1" applyFont="1" applyFill="1" applyBorder="1"/>
    <xf numFmtId="5" fontId="4" fillId="0" borderId="11" xfId="28" applyNumberFormat="1" applyFont="1" applyFill="1" applyBorder="1"/>
    <xf numFmtId="176" fontId="4" fillId="14" borderId="8" xfId="28" applyNumberFormat="1" applyFont="1" applyFill="1" applyBorder="1"/>
    <xf numFmtId="176" fontId="4" fillId="14" borderId="0" xfId="28" applyNumberFormat="1" applyFont="1" applyFill="1" applyBorder="1"/>
    <xf numFmtId="176" fontId="4" fillId="14" borderId="0" xfId="10" applyNumberFormat="1" applyFont="1" applyFill="1"/>
    <xf numFmtId="176" fontId="4" fillId="14" borderId="0" xfId="28" applyNumberFormat="1" applyFont="1" applyFill="1"/>
    <xf numFmtId="0" fontId="12" fillId="14" borderId="0" xfId="0" applyFont="1" applyFill="1" applyAlignment="1">
      <alignment horizontal="center"/>
    </xf>
    <xf numFmtId="1" fontId="12" fillId="14" borderId="0" xfId="0" applyNumberFormat="1" applyFont="1" applyFill="1" applyAlignment="1">
      <alignment horizontal="center"/>
    </xf>
    <xf numFmtId="5" fontId="12" fillId="14" borderId="3" xfId="0" applyNumberFormat="1" applyFont="1" applyFill="1" applyBorder="1" applyAlignment="1">
      <alignment horizontal="center"/>
    </xf>
    <xf numFmtId="5" fontId="3" fillId="14" borderId="0" xfId="0" applyNumberFormat="1" applyFont="1" applyFill="1" applyAlignment="1">
      <alignment horizontal="center"/>
    </xf>
    <xf numFmtId="176" fontId="3" fillId="14" borderId="0" xfId="0" applyNumberFormat="1" applyFont="1" applyFill="1" applyAlignment="1">
      <alignment horizontal="center"/>
    </xf>
    <xf numFmtId="5" fontId="4" fillId="14" borderId="32" xfId="45" applyNumberFormat="1" applyFont="1" applyFill="1" applyBorder="1" applyAlignment="1">
      <alignment horizontal="center"/>
    </xf>
    <xf numFmtId="176" fontId="3" fillId="4" borderId="32" xfId="28" applyNumberFormat="1" applyFont="1" applyFill="1" applyBorder="1" applyAlignment="1">
      <alignment horizontal="right"/>
    </xf>
    <xf numFmtId="176" fontId="4" fillId="4" borderId="32" xfId="28" applyNumberFormat="1" applyFont="1" applyFill="1" applyBorder="1" applyAlignment="1">
      <alignment horizontal="right"/>
    </xf>
    <xf numFmtId="176" fontId="3" fillId="4" borderId="3" xfId="28" applyNumberFormat="1" applyFont="1" applyFill="1" applyBorder="1" applyAlignment="1">
      <alignment horizontal="right"/>
    </xf>
    <xf numFmtId="0" fontId="3" fillId="4" borderId="3" xfId="28" applyFont="1" applyFill="1" applyBorder="1" applyAlignment="1">
      <alignment horizontal="right"/>
    </xf>
    <xf numFmtId="166" fontId="4" fillId="4" borderId="3" xfId="28" applyNumberFormat="1" applyFont="1" applyFill="1" applyBorder="1" applyAlignment="1">
      <alignment horizontal="right"/>
    </xf>
    <xf numFmtId="0" fontId="81" fillId="4" borderId="3" xfId="28" applyFont="1" applyFill="1" applyBorder="1" applyAlignment="1">
      <alignment horizontal="center"/>
    </xf>
    <xf numFmtId="6" fontId="81" fillId="4" borderId="3" xfId="10" applyNumberFormat="1" applyFont="1" applyFill="1" applyBorder="1" applyAlignment="1">
      <alignment horizontal="center"/>
    </xf>
    <xf numFmtId="7" fontId="6" fillId="0" borderId="12" xfId="28" applyNumberFormat="1" applyFont="1" applyFill="1" applyBorder="1"/>
    <xf numFmtId="7" fontId="33" fillId="0" borderId="12" xfId="28" applyNumberFormat="1" applyFont="1" applyFill="1" applyBorder="1"/>
    <xf numFmtId="7" fontId="4" fillId="0" borderId="12" xfId="28" applyNumberFormat="1" applyFont="1" applyFill="1" applyBorder="1"/>
    <xf numFmtId="181" fontId="37" fillId="0" borderId="8" xfId="28" applyNumberFormat="1" applyFont="1" applyFill="1" applyBorder="1"/>
    <xf numFmtId="1" fontId="3" fillId="0" borderId="0" xfId="10" applyNumberFormat="1" applyFont="1" applyFill="1"/>
    <xf numFmtId="181" fontId="3" fillId="0" borderId="8" xfId="28" applyNumberFormat="1" applyFont="1" applyFill="1" applyBorder="1"/>
    <xf numFmtId="173" fontId="37" fillId="0" borderId="0" xfId="28" applyNumberFormat="1" applyFont="1" applyFill="1"/>
    <xf numFmtId="5" fontId="4" fillId="0" borderId="0" xfId="0" applyNumberFormat="1" applyFont="1" applyFill="1" applyAlignment="1">
      <alignment horizontal="left" indent="1"/>
    </xf>
    <xf numFmtId="176" fontId="3" fillId="0" borderId="0" xfId="0" applyNumberFormat="1" applyFont="1" applyFill="1" applyAlignment="1">
      <alignment horizontal="left" indent="3"/>
    </xf>
    <xf numFmtId="5" fontId="63" fillId="0" borderId="0" xfId="28" applyNumberFormat="1" applyFont="1" applyFill="1" applyBorder="1"/>
    <xf numFmtId="176" fontId="63" fillId="0" borderId="0" xfId="10" applyNumberFormat="1" applyFont="1" applyFill="1"/>
    <xf numFmtId="179" fontId="1" fillId="0" borderId="0" xfId="26" applyNumberFormat="1" applyFont="1" applyAlignment="1">
      <alignment horizontal="right"/>
    </xf>
    <xf numFmtId="8" fontId="2" fillId="0" borderId="0" xfId="26" applyNumberFormat="1" applyFont="1" applyAlignment="1"/>
    <xf numFmtId="7" fontId="2" fillId="0" borderId="0" xfId="26" applyNumberFormat="1" applyFont="1"/>
    <xf numFmtId="176" fontId="3" fillId="4" borderId="0" xfId="10" applyNumberFormat="1" applyFont="1" applyFill="1" applyBorder="1" applyAlignment="1">
      <alignment horizontal="left"/>
    </xf>
    <xf numFmtId="203" fontId="3" fillId="4" borderId="0" xfId="45" applyNumberFormat="1" applyFont="1" applyFill="1" applyBorder="1"/>
    <xf numFmtId="0" fontId="81" fillId="4" borderId="0" xfId="10" applyNumberFormat="1" applyFont="1" applyFill="1" applyBorder="1" applyAlignment="1">
      <alignment horizontal="center"/>
    </xf>
    <xf numFmtId="0" fontId="81" fillId="4" borderId="0" xfId="28" applyNumberFormat="1" applyFont="1" applyFill="1" applyBorder="1" applyAlignment="1">
      <alignment horizontal="center"/>
    </xf>
    <xf numFmtId="173" fontId="82" fillId="0" borderId="0" xfId="26" applyNumberFormat="1" applyFont="1" applyAlignment="1"/>
    <xf numFmtId="176" fontId="3" fillId="6" borderId="0" xfId="28" applyNumberFormat="1" applyFont="1" applyFill="1" applyBorder="1"/>
    <xf numFmtId="173" fontId="3" fillId="6" borderId="0" xfId="28" applyNumberFormat="1" applyFont="1" applyFill="1" applyBorder="1"/>
    <xf numFmtId="9" fontId="3" fillId="6" borderId="0" xfId="28" applyNumberFormat="1" applyFont="1" applyFill="1" applyBorder="1"/>
    <xf numFmtId="0" fontId="3" fillId="6" borderId="0" xfId="28" applyFont="1" applyFill="1" applyBorder="1"/>
    <xf numFmtId="176" fontId="28" fillId="6" borderId="0" xfId="28" applyNumberFormat="1" applyFont="1" applyFill="1" applyBorder="1"/>
    <xf numFmtId="173" fontId="28" fillId="6" borderId="0" xfId="28" applyNumberFormat="1" applyFont="1" applyFill="1" applyBorder="1"/>
    <xf numFmtId="7" fontId="3" fillId="4" borderId="0" xfId="28" applyNumberFormat="1" applyFont="1" applyFill="1" applyBorder="1" applyAlignment="1">
      <alignment horizontal="left"/>
    </xf>
    <xf numFmtId="176" fontId="21" fillId="6" borderId="0" xfId="28" applyNumberFormat="1" applyFont="1" applyFill="1" applyBorder="1"/>
    <xf numFmtId="166" fontId="3" fillId="6" borderId="0" xfId="28" applyNumberFormat="1" applyFont="1" applyFill="1" applyBorder="1"/>
    <xf numFmtId="1" fontId="3" fillId="6" borderId="0" xfId="28" applyNumberFormat="1" applyFont="1" applyFill="1" applyBorder="1"/>
    <xf numFmtId="3" fontId="28" fillId="6" borderId="0" xfId="28" applyNumberFormat="1" applyFont="1" applyFill="1" applyBorder="1"/>
    <xf numFmtId="173" fontId="28" fillId="6" borderId="0" xfId="32" applyNumberFormat="1" applyFont="1" applyFill="1" applyBorder="1"/>
    <xf numFmtId="178" fontId="28" fillId="6" borderId="0" xfId="28" applyNumberFormat="1" applyFont="1" applyFill="1" applyBorder="1"/>
    <xf numFmtId="169" fontId="28" fillId="6" borderId="0" xfId="28" applyNumberFormat="1" applyFont="1" applyFill="1" applyBorder="1"/>
    <xf numFmtId="0" fontId="3" fillId="6" borderId="0" xfId="0" applyFont="1" applyFill="1" applyBorder="1"/>
    <xf numFmtId="10" fontId="3" fillId="4" borderId="0" xfId="28" applyNumberFormat="1" applyFont="1" applyFill="1" applyBorder="1" applyAlignment="1">
      <alignment horizontal="right"/>
    </xf>
    <xf numFmtId="9" fontId="4" fillId="4" borderId="0" xfId="10" applyNumberFormat="1" applyFont="1" applyFill="1" applyBorder="1"/>
    <xf numFmtId="173" fontId="3" fillId="4" borderId="0" xfId="28" applyNumberFormat="1" applyFont="1" applyFill="1" applyBorder="1" applyAlignment="1">
      <alignment horizontal="center"/>
    </xf>
    <xf numFmtId="176" fontId="3" fillId="0" borderId="11" xfId="10" applyNumberFormat="1" applyFont="1" applyFill="1" applyBorder="1"/>
    <xf numFmtId="181" fontId="3" fillId="5" borderId="7" xfId="28" applyNumberFormat="1" applyFont="1" applyFill="1" applyBorder="1"/>
    <xf numFmtId="9" fontId="1" fillId="0" borderId="0" xfId="26" applyNumberFormat="1" applyFont="1" applyFill="1"/>
    <xf numFmtId="164" fontId="4" fillId="4" borderId="32" xfId="10" applyNumberFormat="1" applyFont="1" applyFill="1" applyBorder="1"/>
    <xf numFmtId="164" fontId="1" fillId="0" borderId="0" xfId="12" applyNumberFormat="1" applyFont="1"/>
    <xf numFmtId="0" fontId="1" fillId="0" borderId="0" xfId="26" applyNumberFormat="1" applyFont="1"/>
    <xf numFmtId="164" fontId="1" fillId="0" borderId="0" xfId="26" applyNumberFormat="1" applyFont="1"/>
    <xf numFmtId="0" fontId="1" fillId="15" borderId="0" xfId="46" applyFont="1" applyFill="1" applyAlignment="1">
      <alignment vertical="top"/>
    </xf>
    <xf numFmtId="0" fontId="1" fillId="15" borderId="0" xfId="42" applyFill="1" applyAlignment="1">
      <alignment vertical="top"/>
    </xf>
    <xf numFmtId="0" fontId="1" fillId="15" borderId="0" xfId="42" applyFill="1"/>
    <xf numFmtId="0" fontId="25" fillId="15" borderId="0" xfId="46" applyFont="1" applyFill="1" applyAlignment="1">
      <alignment horizontal="left" vertical="top"/>
    </xf>
    <xf numFmtId="0" fontId="1" fillId="15" borderId="0" xfId="42" applyFont="1" applyFill="1" applyAlignment="1">
      <alignment vertical="top"/>
    </xf>
    <xf numFmtId="0" fontId="61" fillId="15" borderId="0" xfId="46" applyFont="1" applyFill="1" applyAlignment="1">
      <alignment vertical="top"/>
    </xf>
    <xf numFmtId="0" fontId="0" fillId="15" borderId="0" xfId="0" applyFill="1" applyAlignment="1">
      <alignment vertical="top"/>
    </xf>
    <xf numFmtId="0" fontId="83" fillId="15" borderId="0" xfId="0" applyFont="1" applyFill="1" applyAlignment="1">
      <alignment vertical="top"/>
    </xf>
    <xf numFmtId="0" fontId="84" fillId="15" borderId="0" xfId="0" applyFont="1" applyFill="1" applyAlignment="1">
      <alignment vertical="top"/>
    </xf>
    <xf numFmtId="0" fontId="83" fillId="15" borderId="33" xfId="0" applyFont="1" applyFill="1" applyBorder="1" applyAlignment="1">
      <alignment vertical="top"/>
    </xf>
    <xf numFmtId="9" fontId="83" fillId="15" borderId="33" xfId="0" applyNumberFormat="1" applyFont="1" applyFill="1" applyBorder="1" applyAlignment="1">
      <alignment vertical="top"/>
    </xf>
    <xf numFmtId="3" fontId="83" fillId="15" borderId="33" xfId="0" applyNumberFormat="1" applyFont="1" applyFill="1" applyBorder="1" applyAlignment="1">
      <alignment vertical="top"/>
    </xf>
    <xf numFmtId="2" fontId="1" fillId="0" borderId="0" xfId="42" applyNumberFormat="1" applyAlignment="1">
      <alignment horizontal="left"/>
    </xf>
    <xf numFmtId="0" fontId="1" fillId="0" borderId="0" xfId="42" applyNumberFormat="1" applyAlignment="1">
      <alignment horizontal="left"/>
    </xf>
    <xf numFmtId="1" fontId="1" fillId="0" borderId="0" xfId="42" applyNumberFormat="1" applyAlignment="1">
      <alignment horizontal="left"/>
    </xf>
    <xf numFmtId="0" fontId="1" fillId="0" borderId="0" xfId="42" applyFont="1"/>
    <xf numFmtId="204" fontId="1" fillId="0" borderId="0" xfId="42" applyNumberFormat="1" applyAlignment="1">
      <alignment horizontal="left"/>
    </xf>
    <xf numFmtId="49" fontId="1" fillId="0" borderId="0" xfId="42" applyNumberFormat="1"/>
    <xf numFmtId="0" fontId="0" fillId="15" borderId="38" xfId="0" applyFill="1" applyBorder="1" applyAlignment="1">
      <alignment vertical="top"/>
    </xf>
    <xf numFmtId="0" fontId="83" fillId="15" borderId="0" xfId="0" applyFont="1" applyFill="1" applyAlignment="1">
      <alignment vertical="top"/>
    </xf>
    <xf numFmtId="0" fontId="83" fillId="15" borderId="34" xfId="0" applyFont="1" applyFill="1" applyBorder="1" applyAlignment="1">
      <alignment vertical="top"/>
    </xf>
    <xf numFmtId="0" fontId="83" fillId="15" borderId="35" xfId="0" applyFont="1" applyFill="1" applyBorder="1" applyAlignment="1">
      <alignment vertical="top"/>
    </xf>
    <xf numFmtId="0" fontId="83" fillId="15" borderId="36" xfId="0" applyFont="1" applyFill="1" applyBorder="1" applyAlignment="1">
      <alignment vertical="top"/>
    </xf>
    <xf numFmtId="0" fontId="84" fillId="15" borderId="0" xfId="0" applyFont="1" applyFill="1" applyAlignment="1">
      <alignment vertical="top"/>
    </xf>
    <xf numFmtId="0" fontId="0" fillId="15" borderId="0" xfId="0" applyFill="1" applyAlignment="1">
      <alignment vertical="top"/>
    </xf>
    <xf numFmtId="0" fontId="0" fillId="15" borderId="37" xfId="0" applyFill="1" applyBorder="1" applyAlignment="1">
      <alignment vertical="top"/>
    </xf>
  </cellXfs>
  <cellStyles count="47">
    <cellStyle name=" 1" xfId="1"/>
    <cellStyle name=" 2" xfId="2"/>
    <cellStyle name=" 3" xfId="3"/>
    <cellStyle name="****************************************** 2" xfId="4"/>
    <cellStyle name="_Pension+Analyzer_US_NEW" xfId="5"/>
    <cellStyle name="_SUMMARY " xfId="6"/>
    <cellStyle name="0_Capex &amp; Depreciation " xfId="7"/>
    <cellStyle name="0_Valuing BP " xfId="8"/>
    <cellStyle name="c_HardInc " xfId="9"/>
    <cellStyle name="Comma" xfId="10" builtinId="3"/>
    <cellStyle name="Comma 2" xfId="11"/>
    <cellStyle name="Comma 2 2" xfId="12"/>
    <cellStyle name="Comma 3" xfId="13"/>
    <cellStyle name="Comma_JBHTqq" xfId="14"/>
    <cellStyle name="Comma0" xfId="15"/>
    <cellStyle name="Currency" xfId="45" builtinId="4"/>
    <cellStyle name="Currency 2" xfId="16"/>
    <cellStyle name="Currency 2 2" xfId="17"/>
    <cellStyle name="Currency 3" xfId="18"/>
    <cellStyle name="Currency 4" xfId="44"/>
    <cellStyle name="Currency0" xfId="19"/>
    <cellStyle name="Date" xfId="20"/>
    <cellStyle name="Fixed" xfId="21"/>
    <cellStyle name="Input" xfId="22" builtinId="20" customBuiltin="1"/>
    <cellStyle name="Normal" xfId="0" builtinId="0"/>
    <cellStyle name="Normal 2" xfId="23"/>
    <cellStyle name="Normal 2 2" xfId="24"/>
    <cellStyle name="Normal 3" xfId="25"/>
    <cellStyle name="Normal 3 2" xfId="26"/>
    <cellStyle name="Normal 4" xfId="27"/>
    <cellStyle name="Normal 5" xfId="42"/>
    <cellStyle name="Normal_DisclaimerSheet Samples" xfId="46"/>
    <cellStyle name="Normal_GRx" xfId="28"/>
    <cellStyle name="Normal_Inc Statement" xfId="29"/>
    <cellStyle name="Normal_JBHTqq" xfId="30"/>
    <cellStyle name="p " xfId="31"/>
    <cellStyle name="Percent" xfId="32" builtinId="5"/>
    <cellStyle name="Percent 2" xfId="33"/>
    <cellStyle name="RRSInstruction" xfId="34"/>
    <cellStyle name="RRSInstruction 2" xfId="35"/>
    <cellStyle name="RRSInstruction 3" xfId="43"/>
    <cellStyle name="s_HardInc " xfId="36"/>
    <cellStyle name="s_Valuation " xfId="37"/>
    <cellStyle name="ssp " xfId="38"/>
    <cellStyle name="Style 1" xfId="39"/>
    <cellStyle name="콤마 [0]_#3이설 견적_준공내역총괄표 " xfId="40"/>
    <cellStyle name="콤마_#3이설 견적_준공내역총괄표 " xfId="41"/>
  </cellStyles>
  <dxfs count="31">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s>
  <tableStyles count="0" defaultTableStyle="TableStyleMedium9" defaultPivotStyle="PivotStyleLight16"/>
  <colors>
    <mruColors>
      <color rgb="FF0000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externalLinks/externalLink1.xml" Type="http://schemas.openxmlformats.org/officeDocument/2006/relationships/externalLink"/>
<Relationship Id="rId12" Target="externalLinks/externalLink2.xml" Type="http://schemas.openxmlformats.org/officeDocument/2006/relationships/externalLink"/>
<Relationship Id="rId13" Target="externalLinks/externalLink3.xml" Type="http://schemas.openxmlformats.org/officeDocument/2006/relationships/externalLink"/>
<Relationship Id="rId14" Target="externalLinks/externalLink4.xml" Type="http://schemas.openxmlformats.org/officeDocument/2006/relationships/externalLink"/>
<Relationship Id="rId15" Target="externalLinks/externalLink5.xml" Type="http://schemas.openxmlformats.org/officeDocument/2006/relationships/externalLink"/>
<Relationship Id="rId16" Target="externalLinks/externalLink6.xml" Type="http://schemas.openxmlformats.org/officeDocument/2006/relationships/externalLink"/>
<Relationship Id="rId17" Target="externalLinks/externalLink7.xml" Type="http://schemas.openxmlformats.org/officeDocument/2006/relationships/externalLink"/>
<Relationship Id="rId18" Target="externalLinks/externalLink8.xml" Type="http://schemas.openxmlformats.org/officeDocument/2006/relationships/externalLink"/>
<Relationship Id="rId19" Target="externalLinks/externalLink9.xml" Type="http://schemas.openxmlformats.org/officeDocument/2006/relationships/externalLink"/>
<Relationship Id="rId2" Target="worksheets/sheet2.xml" Type="http://schemas.openxmlformats.org/officeDocument/2006/relationships/worksheet"/>
<Relationship Id="rId20" Target="externalLinks/externalLink10.xml" Type="http://schemas.openxmlformats.org/officeDocument/2006/relationships/externalLink"/>
<Relationship Id="rId21" Target="externalLinks/externalLink11.xml" Type="http://schemas.openxmlformats.org/officeDocument/2006/relationships/externalLink"/>
<Relationship Id="rId22" Target="externalLinks/externalLink12.xml" Type="http://schemas.openxmlformats.org/officeDocument/2006/relationships/externalLink"/>
<Relationship Id="rId23" Target="externalLinks/externalLink13.xml" Type="http://schemas.openxmlformats.org/officeDocument/2006/relationships/externalLink"/>
<Relationship Id="rId24" Target="externalLinks/externalLink14.xml" Type="http://schemas.openxmlformats.org/officeDocument/2006/relationships/externalLink"/>
<Relationship Id="rId25" Target="externalLinks/externalLink15.xml" Type="http://schemas.openxmlformats.org/officeDocument/2006/relationships/externalLink"/>
<Relationship Id="rId26" Target="externalLinks/externalLink16.xml" Type="http://schemas.openxmlformats.org/officeDocument/2006/relationships/externalLink"/>
<Relationship Id="rId27" Target="externalLinks/externalLink17.xml" Type="http://schemas.openxmlformats.org/officeDocument/2006/relationships/externalLink"/>
<Relationship Id="rId28" Target="externalLinks/externalLink18.xml" Type="http://schemas.openxmlformats.org/officeDocument/2006/relationships/externalLink"/>
<Relationship Id="rId29" Target="externalLinks/externalLink19.xml" Type="http://schemas.openxmlformats.org/officeDocument/2006/relationships/externalLink"/>
<Relationship Id="rId3" Target="worksheets/sheet3.xml" Type="http://schemas.openxmlformats.org/officeDocument/2006/relationships/worksheet"/>
<Relationship Id="rId30" Target="externalLinks/externalLink20.xml" Type="http://schemas.openxmlformats.org/officeDocument/2006/relationships/externalLink"/>
<Relationship Id="rId31" Target="externalLinks/externalLink21.xml" Type="http://schemas.openxmlformats.org/officeDocument/2006/relationships/externalLink"/>
<Relationship Id="rId32" Target="externalLinks/externalLink22.xml" Type="http://schemas.openxmlformats.org/officeDocument/2006/relationships/externalLink"/>
<Relationship Id="rId33" Target="externalLinks/externalLink23.xml" Type="http://schemas.openxmlformats.org/officeDocument/2006/relationships/externalLink"/>
<Relationship Id="rId34" Target="theme/theme1.xml" Type="http://schemas.openxmlformats.org/officeDocument/2006/relationships/theme"/>
<Relationship Id="rId35" Target="styles.xml" Type="http://schemas.openxmlformats.org/officeDocument/2006/relationships/styles"/>
<Relationship Id="rId36" Target="sharedStrings.xml" Type="http://schemas.openxmlformats.org/officeDocument/2006/relationships/sharedStrings"/>
<Relationship Id="rId37" Target="calcChain.xml" Type="http://schemas.openxmlformats.org/officeDocument/2006/relationships/calcChain"/>
<Relationship Id="rId38" Target="../customXml/item1.xml" Type="http://schemas.openxmlformats.org/officeDocument/2006/relationships/customXml"/>
<Relationship Id="rId39" Target="../customXml/item2.xml" Type="http://schemas.openxmlformats.org/officeDocument/2006/relationships/customXml"/>
<Relationship Id="rId4" Target="worksheets/sheet4.xml" Type="http://schemas.openxmlformats.org/officeDocument/2006/relationships/worksheet"/>
<Relationship Id="rId40" Target="vbaProject.bin" Type="http://schemas.microsoft.com/office/2006/relationships/vbaProjec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drawings/_rels/drawing1.xml.rels><?xml version="1.0" encoding="UTF-8" standalone="yes"?>
<Relationships xmlns="http://schemas.openxmlformats.org/package/2006/relationships">
<Relationship Id="rId1" Target="../media/image1.png" Type="http://schemas.openxmlformats.org/officeDocument/2006/relationships/image"/>
<Relationship Id="rId2" Target="../media/image2.jpeg" Type="http://schemas.openxmlformats.org/officeDocument/2006/relationships/image"/>
<Relationship Id="rId3" Target="../media/image3.gif" Type="http://schemas.openxmlformats.org/officeDocument/2006/relationships/image"/>
</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28575</xdr:rowOff>
    </xdr:from>
    <xdr:to>
      <xdr:col>0</xdr:col>
      <xdr:colOff>1581150</xdr:colOff>
      <xdr:row>0</xdr:row>
      <xdr:rowOff>323850</xdr:rowOff>
    </xdr:to>
    <xdr:pic>
      <xdr:nvPicPr>
        <xdr:cNvPr id="2"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 y="28575"/>
          <a:ext cx="15621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xdr:colOff>
      <xdr:row>0</xdr:row>
      <xdr:rowOff>95250</xdr:rowOff>
    </xdr:from>
    <xdr:to>
      <xdr:col>1</xdr:col>
      <xdr:colOff>523875</xdr:colOff>
      <xdr:row>0</xdr:row>
      <xdr:rowOff>314325</xdr:rowOff>
    </xdr:to>
    <xdr:pic>
      <xdr:nvPicPr>
        <xdr:cNvPr id="3" name="Picture 6" descr="MSMS_logo_3" hidden="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9050" y="95250"/>
          <a:ext cx="221932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177</xdr:row>
      <xdr:rowOff>0</xdr:rowOff>
    </xdr:from>
    <xdr:to>
      <xdr:col>7</xdr:col>
      <xdr:colOff>390525</xdr:colOff>
      <xdr:row>200</xdr:row>
      <xdr:rowOff>104775</xdr:rowOff>
    </xdr:to>
    <xdr:pic>
      <xdr:nvPicPr>
        <xdr:cNvPr id="1263617" name="Picture 1" descr="C:\Users\sharpmat\AppData\Local\Temp\MercuryPriceRatingHistoryChart\LMT.N_2018_04_11_12_20_47.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7289125"/>
          <a:ext cx="6400800" cy="382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
<Relationship Id="rId1" Target="file://///Sony/c/business/&#38750;&#37444;/&#38750;&#37444;&#20250;~1/&#21516;&#21644;&#37489;&#26989;/5714work.wk4" TargetMode="External" Type="http://schemas.openxmlformats.org/officeDocument/2006/relationships/externalLinkPath"/>
</Relationships>

</file>

<file path=xl/externalLinks/_rels/externalLink2.xml.rels><?xml version="1.0" encoding="UTF-8" standalone="yes"?>
<Relationships xmlns="http://schemas.openxmlformats.org/package/2006/relationships">
<Relationship Id="rId1" Target="AERO/Companies/LMT/LMT.model.jack.Marco.xls" TargetMode="External" Type="http://schemas.microsoft.com/office/2006/relationships/xlExternalLinkPath/xlAlternateStartup"/>
</Relationships>

</file>

<file path=xl/externalLinks/_rels/externalLink3.xml.rels><?xml version="1.0" encoding="UTF-8" standalone="yes"?>
<Relationships xmlns="http://schemas.openxmlformats.org/package/2006/relationships">
<Relationship Id="rId1" Target="file://///msad/root/na/ny/users/johndasc/Docs/ID/Charts/Chart_Gallery/From%20Vlad/B11_BarSingle_AverageLine.xls" TargetMode="External" Type="http://schemas.openxmlformats.org/officeDocument/2006/relationships/externalLinkPath"/>
</Relationships>

</file>

<file path=xl/externalLinks/_rels/externalLink4.xml.rels><?xml version="1.0" encoding="UTF-8" standalone="yes"?>
<Relationships xmlns="http://schemas.openxmlformats.org/package/2006/relationships">
<Relationship Id="rId1" Target="Documents%20and%20Settings/sanclaur/Local%20Settings/Temporary%20Internet%20Files/OLK8A2/MS_Rolls-Royce_PUBLIC_WIP%20(2).xls" TargetMode="External" Type="http://schemas.microsoft.com/office/2006/relationships/xlExternalLinkPath/xlAlternateStartup"/>
</Relationships>

</file>

<file path=xl/externalLinks/_rels/externalLink5.xml.rels><?xml version="1.0" encoding="UTF-8" standalone="yes"?>
<Relationships xmlns="http://schemas.openxmlformats.org/package/2006/relationships">
<Relationship Id="rId1" Target="AERO/Companies/BEAV/BEAV.jdg.xls" TargetMode="External" Type="http://schemas.microsoft.com/office/2006/relationships/xlExternalLinkPath/xlAlternateStartup"/>
</Relationships>

</file>

<file path=xl/externalLinks/_rels/externalLink6.xml.rels><?xml version="1.0" encoding="UTF-8" standalone="yes"?>
<Relationships xmlns="http://schemas.openxmlformats.org/package/2006/relationships">
<Relationship Id="rId1" Target="AERO/Wood/Industry/Aerospace/Global%20Fleet%20Boeing%20&amp;%20Airbus/World%20Fleet.xls" TargetMode="External" Type="http://schemas.microsoft.com/office/2006/relationships/xlExternalLinkPath/xlStartup"/>
</Relationships>

</file>

<file path=xl/externalLinks/_rels/externalLink7.xml.rels><?xml version="1.0" encoding="UTF-8" standalone="yes"?>
<Relationships xmlns="http://schemas.openxmlformats.org/package/2006/relationships">
<Relationship Id="rId1" Target="AERO/AD/Industry/Aero/Storage/ACSTORx.xls" TargetMode="External" Type="http://schemas.microsoft.com/office/2006/relationships/xlExternalLinkPath/xlStartup"/>
</Relationships>

</file>

<file path=xl/externalLinks/_rels/externalLink8.xml.rels><?xml version="1.0" encoding="UTF-8" standalone="yes"?>
<Relationships xmlns="http://schemas.openxmlformats.org/package/2006/relationships">
<Relationship Id="rId1" Target="file://///msad/root/Documents%20and%20Settings/warjohn/Local%20Settings/Temporary%20Internet%20Files/OLK1DA/Funded%20status%20Chart.xls" TargetMode="External" Type="http://schemas.openxmlformats.org/officeDocument/2006/relationships/externalLinkPath"/>
</Relationships>

</file>

<file path=xl/externalLinks/_rels/externalLink9.xml.rels><?xml version="1.0" encoding="UTF-8" standalone="yes"?>
<Relationships xmlns="http://schemas.openxmlformats.org/package/2006/relationships">
<Relationship Id="rId1" Target="file://///msad/root/NA/NY/LIB/ER/AERO/AD/Models/COL/COLx.xls" TargetMode="External" Type="http://schemas.openxmlformats.org/officeDocument/2006/relationships/externalLinkPath"/>
</Relationships>

</file>

<file path=xl/externalLinks/_rels/externalLink10.xml.rels><?xml version="1.0" encoding="UTF-8" standalone="yes"?>
<Relationships xmlns="http://schemas.openxmlformats.org/package/2006/relationships">
<Relationship Id="rId1" Target="AERO/AD/Models/LMT/F-35%20Model.xls" TargetMode="External" Type="http://schemas.microsoft.com/office/2006/relationships/xlExternalLinkPath/xlStartup"/>
</Relationships>

</file>

<file path=xl/externalLinks/_rels/externalLink11.xml.rels><?xml version="1.0" encoding="UTF-8" standalone="yes"?>
<Relationships xmlns="http://schemas.openxmlformats.org/package/2006/relationships">
<Relationship Id="rId1" Target="AERO/Industry/Aero/Aero%20Data%20Pack.xls" TargetMode="External" Type="http://schemas.microsoft.com/office/2006/relationships/xlExternalLinkPath/xlAlternateStartup"/>
</Relationships>

</file>

<file path=xl/externalLinks/_rels/externalLink12.xml.rels><?xml version="1.0" encoding="UTF-8" standalone="yes"?>
<Relationships xmlns="http://schemas.openxmlformats.org/package/2006/relationships">
<Relationship Id="rId1" Target="AERO/AD/Models/GR/Archive/GRx1Q10.xls" TargetMode="External" Type="http://schemas.microsoft.com/office/2006/relationships/xlExternalLinkPath/xlStartup"/>
</Relationships>

</file>

<file path=xl/externalLinks/_rels/externalLink13.xml.rels><?xml version="1.0" encoding="UTF-8" standalone="yes"?>
<Relationships xmlns="http://schemas.openxmlformats.org/package/2006/relationships">
<Relationship Id="rId1" Target="AERO/AD/Industry/Aero/Commercial%20Traffic.xls" TargetMode="External" Type="http://schemas.microsoft.com/office/2006/relationships/xlExternalLinkPath/xlAlternateStartup"/>
</Relationships>

</file>

<file path=xl/externalLinks/_rels/externalLink14.xml.rels><?xml version="1.0" encoding="UTF-8" standalone="yes"?>
<Relationships xmlns="http://schemas.openxmlformats.org/package/2006/relationships">
<Relationship Id="rId1" Target="AERO/AD/Industry/Aero/Biz%20Jets%20Data.xls" TargetMode="External" Type="http://schemas.microsoft.com/office/2006/relationships/xlExternalLinkPath/xlStartup"/>
</Relationships>

</file>

<file path=xl/externalLinks/_rels/externalLink15.xml.rels><?xml version="1.0" encoding="UTF-8" standalone="yes"?>
<Relationships xmlns="http://schemas.openxmlformats.org/package/2006/relationships">
<Relationship Id="rId1" Target="TEMPLATE/Excel/LINKTAB.XLS" TargetMode="External" Type="http://schemas.microsoft.com/office/2006/relationships/xlExternalLinkPath/xlStartup"/>
</Relationships>

</file>

<file path=xl/externalLinks/_rels/externalLink16.xml.rels><?xml version="1.0" encoding="UTF-8" standalone="yes"?>
<Relationships xmlns="http://schemas.openxmlformats.org/package/2006/relationships">
<Relationship Id="rId1" Target="AERO/Wood/Industry/Aerospace/Airord.xls" TargetMode="External" Type="http://schemas.microsoft.com/office/2006/relationships/xlExternalLinkPath/xlStartup"/>
</Relationships>

</file>

<file path=xl/externalLinks/_rels/externalLink17.xml.rels><?xml version="1.0" encoding="UTF-8" standalone="yes"?>
<Relationships xmlns="http://schemas.openxmlformats.org/package/2006/relationships">
<Relationship Id="rId1" Target="AERO/Wood/Models/txt.xls" TargetMode="External" Type="http://schemas.microsoft.com/office/2006/relationships/xlExternalLinkPath/xlStartup"/>
</Relationships>

</file>

<file path=xl/externalLinks/_rels/externalLink18.xml.rels><?xml version="1.0" encoding="UTF-8" standalone="yes"?>
<Relationships xmlns="http://schemas.openxmlformats.org/package/2006/relationships">
<Relationship Id="rId1" Target="AERO/AD/Models/GR/GRx.xls" TargetMode="External" Type="http://schemas.microsoft.com/office/2006/relationships/xlExternalLinkPath/xlStartup"/>
</Relationships>

</file>

<file path=xl/externalLinks/_rels/externalLink19.xml.rels><?xml version="1.0" encoding="UTF-8" standalone="yes"?>
<Relationships xmlns="http://schemas.openxmlformats.org/package/2006/relationships">
<Relationship Id="rId1" Target="AERO/Companies/SPR/SPR.model.xls" TargetMode="External" Type="http://schemas.microsoft.com/office/2006/relationships/xlExternalLinkPath/xlAlternateStartup"/>
</Relationships>

</file>

<file path=xl/externalLinks/_rels/externalLink20.xml.rels><?xml version="1.0" encoding="UTF-8" standalone="yes"?>
<Relationships xmlns="http://schemas.openxmlformats.org/package/2006/relationships">
<Relationship Id="rId1" Target="MultipleSecurities" TargetMode="External" Type="http://schemas.microsoft.com/office/2006/relationships/xlExternalLinkPath/xlPathMissing"/>
</Relationships>

</file>

<file path=xl/externalLinks/_rels/externalLink21.xml.rels><?xml version="1.0" encoding="UTF-8" standalone="yes"?>
<Relationships xmlns="http://schemas.openxmlformats.org/package/2006/relationships">
<Relationship Id="rId1" Target="file://///MSSERVER/Home/Comman%20Access/Book1.xls" TargetMode="External" Type="http://schemas.openxmlformats.org/officeDocument/2006/relationships/externalLinkPath"/>
</Relationships>

</file>

<file path=xl/externalLinks/_rels/externalLink22.xml.rels><?xml version="1.0" encoding="UTF-8" standalone="yes"?>
<Relationships xmlns="http://schemas.openxmlformats.org/package/2006/relationships">
<Relationship Id="rId1" Target="AERO/Industry/Aero/Biz%20Jets%20Data.xls" TargetMode="External" Type="http://schemas.microsoft.com/office/2006/relationships/xlExternalLinkPath/xlAlternateStartup"/>
</Relationships>

</file>

<file path=xl/externalLinks/_rels/externalLink23.xml.rels><?xml version="1.0" encoding="UTF-8" standalone="yes"?>
<Relationships xmlns="http://schemas.openxmlformats.org/package/2006/relationships">
<Relationship Id="rId1" Target="TEMP/TOS.XLS" TargetMode="External" Type="http://schemas.microsoft.com/office/2006/relationships/xlExternalLinkPath/xlStartup"/>
</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単独"/>
      <sheetName val="連結"/>
      <sheetName val="期中"/>
      <sheetName val="valu"/>
      <sheetName val="増減分析"/>
      <sheetName val="新素材"/>
      <sheetName val="子会社"/>
      <sheetName val="環境"/>
      <sheetName val="製錬拠点"/>
      <sheetName val="ﾃｨｻﾊﾟ"/>
      <sheetName val="ﾚｲﾃﾞﾌﾟﾗﾀ"/>
      <sheetName val="小坂"/>
      <sheetName val="中計"/>
      <sheetName val="cash"/>
      <sheetName val="ｾｸﾞﾒﾝﾄ"/>
      <sheetName val="含み益"/>
      <sheetName val="capx"/>
      <sheetName val="dep"/>
      <sheetName val="人"/>
      <sheetName val="exp"/>
      <sheetName val="Valuation Matrix"/>
      <sheetName val="HANDOUT"/>
      <sheetName val="Interm-Euro"/>
      <sheetName val="SCATTER DATA"/>
      <sheetName val="10 Yr DCF"/>
      <sheetName val="Annual-Euro"/>
      <sheetName val="Residual Income Model"/>
      <sheetName val="P"/>
      <sheetName val="Exclusion List"/>
      <sheetName val="EARNMOD"/>
      <sheetName val="Good 12-00 (2)"/>
      <sheetName val="Good 11-36"/>
      <sheetName val="Good 11-50"/>
      <sheetName val="Sheet3 (5)"/>
      <sheetName val="IS Quarterly"/>
      <sheetName val="Sheet1 (2)"/>
      <sheetName val="1Q11 Preview"/>
      <sheetName val="2Q11 Preview"/>
      <sheetName val="exh 11"/>
      <sheetName val="exh 14"/>
      <sheetName val="exh 12"/>
      <sheetName val="exh 10"/>
      <sheetName val="exh 1 and 5"/>
      <sheetName val="exh 15"/>
      <sheetName val="exh 3"/>
      <sheetName val="exh 9"/>
      <sheetName val="Operating Leases tagged"/>
      <sheetName val="WACC"/>
      <sheetName val="Sheet1"/>
      <sheetName val="Fixed Line Mkt"/>
      <sheetName val="Cash Flow"/>
      <sheetName val="upside_downside"/>
      <sheetName val="Income Statement"/>
      <sheetName val="Balance Sheet"/>
      <sheetName val="Valsum"/>
      <sheetName val="Total_Production"/>
      <sheetName val="RFS"/>
      <sheetName val="Corn_Uses"/>
      <sheetName val="US_Production"/>
      <sheetName val="DCF"/>
      <sheetName val="OP"/>
      <sheetName val="Inputs"/>
      <sheetName val="MWA RR"/>
      <sheetName val="Summary"/>
      <sheetName val="IS"/>
      <sheetName val="Risk-Reward_View_Chart"/>
      <sheetName val="variables"/>
      <sheetName val="Model"/>
      <sheetName val="Intrinsic Value"/>
      <sheetName val="Rev by Geo"/>
      <sheetName val="fin"/>
      <sheetName val="Report template"/>
      <sheetName val="Model (WIP)"/>
      <sheetName val="sales bkd"/>
      <sheetName val="Presentation"/>
      <sheetName val="Valuation"/>
    </sheetNames>
    <sheetDataSet>
      <sheetData sheetId="0" refreshError="1">
        <row r="14">
          <cell r="AR14">
            <v>28</v>
          </cell>
        </row>
        <row r="15">
          <cell r="AR15">
            <v>5</v>
          </cell>
        </row>
        <row r="16">
          <cell r="AR16">
            <v>14</v>
          </cell>
        </row>
        <row r="17">
          <cell r="AR17">
            <v>6</v>
          </cell>
        </row>
        <row r="18">
          <cell r="AR18">
            <v>-5</v>
          </cell>
        </row>
        <row r="512">
          <cell r="B512" t="str">
            <v>売上高</v>
          </cell>
          <cell r="D512" t="str">
            <v>M\</v>
          </cell>
          <cell r="Q512">
            <v>210000</v>
          </cell>
          <cell r="R512">
            <v>105000</v>
          </cell>
          <cell r="S512">
            <v>105000</v>
          </cell>
          <cell r="T512">
            <v>210000</v>
          </cell>
          <cell r="U512">
            <v>105000</v>
          </cell>
          <cell r="V512">
            <v>105000</v>
          </cell>
          <cell r="W512">
            <v>210000</v>
          </cell>
          <cell r="X512">
            <v>93000</v>
          </cell>
          <cell r="Y512">
            <v>100000</v>
          </cell>
          <cell r="Z512">
            <v>193000</v>
          </cell>
          <cell r="AA512">
            <v>91000</v>
          </cell>
          <cell r="AB512">
            <v>94000</v>
          </cell>
          <cell r="AC512">
            <v>185000</v>
          </cell>
        </row>
        <row r="513">
          <cell r="B513" t="str">
            <v>営業利益</v>
          </cell>
          <cell r="D513" t="str">
            <v>M\</v>
          </cell>
          <cell r="Q513">
            <v>8000</v>
          </cell>
          <cell r="R513">
            <v>5000</v>
          </cell>
          <cell r="S513">
            <v>5000</v>
          </cell>
          <cell r="T513">
            <v>10000</v>
          </cell>
          <cell r="V513">
            <v>0</v>
          </cell>
          <cell r="X513">
            <v>3000</v>
          </cell>
          <cell r="Y513">
            <v>4500</v>
          </cell>
          <cell r="Z513">
            <v>7500</v>
          </cell>
          <cell r="AA513">
            <v>3300</v>
          </cell>
          <cell r="AB513">
            <v>4400</v>
          </cell>
          <cell r="AC513">
            <v>7700</v>
          </cell>
        </row>
        <row r="514">
          <cell r="B514" t="str">
            <v>経常利益</v>
          </cell>
          <cell r="D514" t="str">
            <v>M\</v>
          </cell>
          <cell r="Q514">
            <v>6000</v>
          </cell>
          <cell r="R514">
            <v>4000</v>
          </cell>
          <cell r="S514">
            <v>4000</v>
          </cell>
          <cell r="T514">
            <v>8000</v>
          </cell>
          <cell r="U514">
            <v>3600</v>
          </cell>
          <cell r="V514">
            <v>3600</v>
          </cell>
          <cell r="W514">
            <v>7200</v>
          </cell>
          <cell r="X514">
            <v>2000</v>
          </cell>
          <cell r="Y514">
            <v>3000</v>
          </cell>
          <cell r="Z514">
            <v>5000</v>
          </cell>
          <cell r="AA514">
            <v>2500</v>
          </cell>
          <cell r="AB514">
            <v>3500</v>
          </cell>
          <cell r="AC514">
            <v>6000</v>
          </cell>
        </row>
        <row r="515">
          <cell r="B515" t="str">
            <v>当期利益</v>
          </cell>
          <cell r="D515" t="str">
            <v>M\</v>
          </cell>
          <cell r="Q515">
            <v>3000</v>
          </cell>
          <cell r="R515">
            <v>2000</v>
          </cell>
          <cell r="S515">
            <v>2000</v>
          </cell>
          <cell r="T515">
            <v>4000</v>
          </cell>
          <cell r="U515">
            <v>2000</v>
          </cell>
          <cell r="V515">
            <v>2000</v>
          </cell>
          <cell r="W515">
            <v>4000</v>
          </cell>
          <cell r="X515">
            <v>1200</v>
          </cell>
          <cell r="Y515">
            <v>1600</v>
          </cell>
          <cell r="Z515">
            <v>2800</v>
          </cell>
          <cell r="AA515">
            <v>1300</v>
          </cell>
          <cell r="AB515">
            <v>1700</v>
          </cell>
          <cell r="AC515">
            <v>3000</v>
          </cell>
        </row>
        <row r="516">
          <cell r="D516" t="str">
            <v xml:space="preserve"> </v>
          </cell>
        </row>
        <row r="517">
          <cell r="A517" t="str">
            <v>中間決算後の会社予想</v>
          </cell>
          <cell r="D517" t="str">
            <v xml:space="preserve"> </v>
          </cell>
          <cell r="Q517" t="str">
            <v>97/3期</v>
          </cell>
          <cell r="R517" t="str">
            <v>97/9上</v>
          </cell>
          <cell r="S517" t="str">
            <v>下</v>
          </cell>
          <cell r="T517" t="str">
            <v>98/3期</v>
          </cell>
          <cell r="U517" t="str">
            <v>98/9上</v>
          </cell>
          <cell r="V517" t="str">
            <v>下</v>
          </cell>
          <cell r="W517" t="str">
            <v>99/3期</v>
          </cell>
          <cell r="Z517" t="str">
            <v>00/3期</v>
          </cell>
          <cell r="AC517" t="str">
            <v>01/3期</v>
          </cell>
        </row>
        <row r="518">
          <cell r="B518" t="str">
            <v>売上高</v>
          </cell>
          <cell r="D518" t="str">
            <v>M\</v>
          </cell>
          <cell r="Q518">
            <v>200000</v>
          </cell>
          <cell r="S518">
            <v>109491</v>
          </cell>
          <cell r="T518">
            <v>222000</v>
          </cell>
          <cell r="U518">
            <v>104114</v>
          </cell>
          <cell r="V518">
            <v>105886</v>
          </cell>
          <cell r="W518">
            <v>210000</v>
          </cell>
          <cell r="X518">
            <v>91000</v>
          </cell>
          <cell r="Y518">
            <v>93000</v>
          </cell>
          <cell r="Z518">
            <v>184000</v>
          </cell>
          <cell r="AA518">
            <v>92800</v>
          </cell>
          <cell r="AB518">
            <v>94200</v>
          </cell>
          <cell r="AC518">
            <v>187000</v>
          </cell>
        </row>
        <row r="519">
          <cell r="B519" t="str">
            <v>営業利益</v>
          </cell>
          <cell r="D519" t="str">
            <v>M\</v>
          </cell>
          <cell r="Q519">
            <v>7500</v>
          </cell>
          <cell r="S519">
            <v>5552</v>
          </cell>
          <cell r="T519">
            <v>11000</v>
          </cell>
          <cell r="U519">
            <v>4811</v>
          </cell>
          <cell r="V519">
            <v>5689</v>
          </cell>
          <cell r="W519">
            <v>10500</v>
          </cell>
          <cell r="X519">
            <v>750</v>
          </cell>
          <cell r="Y519">
            <v>2350</v>
          </cell>
          <cell r="Z519">
            <v>3100</v>
          </cell>
          <cell r="AA519">
            <v>4000</v>
          </cell>
          <cell r="AB519">
            <v>4600</v>
          </cell>
          <cell r="AC519">
            <v>8600</v>
          </cell>
        </row>
        <row r="520">
          <cell r="B520" t="str">
            <v>経常利益</v>
          </cell>
          <cell r="D520" t="str">
            <v>M\</v>
          </cell>
          <cell r="Q520">
            <v>6000</v>
          </cell>
          <cell r="S520">
            <v>4344</v>
          </cell>
          <cell r="T520">
            <v>8500</v>
          </cell>
          <cell r="U520">
            <v>2863</v>
          </cell>
          <cell r="V520">
            <v>4337</v>
          </cell>
          <cell r="W520">
            <v>7200</v>
          </cell>
          <cell r="X520">
            <v>1200</v>
          </cell>
          <cell r="Y520">
            <v>1300</v>
          </cell>
          <cell r="Z520">
            <v>2500</v>
          </cell>
          <cell r="AA520">
            <v>3200</v>
          </cell>
          <cell r="AB520">
            <v>3800</v>
          </cell>
          <cell r="AC520">
            <v>7000</v>
          </cell>
        </row>
        <row r="521">
          <cell r="B521" t="str">
            <v>当期利益</v>
          </cell>
          <cell r="D521" t="str">
            <v>M\</v>
          </cell>
          <cell r="Q521">
            <v>3000</v>
          </cell>
          <cell r="S521">
            <v>1985</v>
          </cell>
          <cell r="T521">
            <v>4500</v>
          </cell>
          <cell r="U521">
            <v>1269</v>
          </cell>
          <cell r="V521">
            <v>2731</v>
          </cell>
          <cell r="W521">
            <v>4000</v>
          </cell>
          <cell r="X521">
            <v>900</v>
          </cell>
          <cell r="Y521">
            <v>700</v>
          </cell>
          <cell r="Z521">
            <v>1600</v>
          </cell>
          <cell r="AA521">
            <v>1700</v>
          </cell>
          <cell r="AB521">
            <v>1800</v>
          </cell>
          <cell r="AC521">
            <v>3500</v>
          </cell>
        </row>
        <row r="522">
          <cell r="D522" t="str">
            <v xml:space="preserve"> </v>
          </cell>
        </row>
        <row r="523">
          <cell r="A523" t="str">
            <v>修正後の会社予想</v>
          </cell>
          <cell r="D523" t="str">
            <v xml:space="preserve"> </v>
          </cell>
          <cell r="Q523" t="str">
            <v>97/3期</v>
          </cell>
          <cell r="R523" t="str">
            <v>97/9上</v>
          </cell>
          <cell r="S523" t="str">
            <v>下</v>
          </cell>
          <cell r="T523" t="str">
            <v>98/3期</v>
          </cell>
          <cell r="U523" t="str">
            <v>98/9上</v>
          </cell>
          <cell r="V523" t="str">
            <v>下</v>
          </cell>
          <cell r="W523" t="str">
            <v>99/3期</v>
          </cell>
          <cell r="Z523" t="str">
            <v>00/3期</v>
          </cell>
          <cell r="AC523" t="str">
            <v>01/3期</v>
          </cell>
        </row>
        <row r="524">
          <cell r="B524" t="str">
            <v>売上高</v>
          </cell>
          <cell r="D524" t="str">
            <v>M\</v>
          </cell>
          <cell r="U524">
            <v>112509</v>
          </cell>
          <cell r="V524">
            <v>82491</v>
          </cell>
          <cell r="W524">
            <v>195000</v>
          </cell>
          <cell r="X524">
            <v>92411</v>
          </cell>
          <cell r="Y524">
            <v>91589</v>
          </cell>
          <cell r="Z524">
            <v>184000</v>
          </cell>
          <cell r="AC524">
            <v>188600</v>
          </cell>
        </row>
        <row r="525">
          <cell r="B525" t="str">
            <v>営業利益</v>
          </cell>
          <cell r="D525" t="str">
            <v>M\</v>
          </cell>
          <cell r="U525">
            <v>5448</v>
          </cell>
          <cell r="V525">
            <v>-5448</v>
          </cell>
          <cell r="W525" t="str">
            <v>-</v>
          </cell>
          <cell r="X525">
            <v>739</v>
          </cell>
          <cell r="Y525">
            <v>2261</v>
          </cell>
          <cell r="Z525">
            <v>3000</v>
          </cell>
          <cell r="AC525">
            <v>8500</v>
          </cell>
        </row>
        <row r="526">
          <cell r="B526" t="str">
            <v>経常利益</v>
          </cell>
          <cell r="D526" t="str">
            <v>M\</v>
          </cell>
          <cell r="U526">
            <v>4156</v>
          </cell>
          <cell r="V526">
            <v>1144</v>
          </cell>
          <cell r="W526">
            <v>5300</v>
          </cell>
          <cell r="X526">
            <v>1209</v>
          </cell>
          <cell r="Y526">
            <v>1291</v>
          </cell>
          <cell r="Z526">
            <v>2500</v>
          </cell>
          <cell r="AC526">
            <v>7000</v>
          </cell>
        </row>
        <row r="527">
          <cell r="B527" t="str">
            <v>当期利益</v>
          </cell>
          <cell r="D527" t="str">
            <v>M\</v>
          </cell>
          <cell r="U527">
            <v>2515</v>
          </cell>
          <cell r="V527">
            <v>-1515</v>
          </cell>
          <cell r="W527">
            <v>1000</v>
          </cell>
          <cell r="X527">
            <v>1015</v>
          </cell>
          <cell r="Y527">
            <v>585</v>
          </cell>
          <cell r="Z527">
            <v>1600</v>
          </cell>
          <cell r="AC527">
            <v>3500</v>
          </cell>
        </row>
        <row r="529">
          <cell r="A529" t="str">
            <v>自分の業績予想の要約</v>
          </cell>
          <cell r="D529" t="str">
            <v xml:space="preserve"> </v>
          </cell>
          <cell r="Q529" t="str">
            <v>97/3期</v>
          </cell>
          <cell r="R529" t="str">
            <v>97/9上</v>
          </cell>
          <cell r="S529" t="str">
            <v>下</v>
          </cell>
          <cell r="T529" t="str">
            <v>98/3期</v>
          </cell>
          <cell r="U529" t="str">
            <v>98/9上</v>
          </cell>
          <cell r="V529" t="str">
            <v>下</v>
          </cell>
          <cell r="W529" t="str">
            <v>99/3期</v>
          </cell>
          <cell r="Z529" t="str">
            <v>00/3期</v>
          </cell>
          <cell r="AC529" t="str">
            <v>01/3期</v>
          </cell>
        </row>
        <row r="530">
          <cell r="B530" t="str">
            <v>売上高</v>
          </cell>
          <cell r="D530" t="str">
            <v>M\</v>
          </cell>
          <cell r="Q530">
            <v>212588</v>
          </cell>
          <cell r="R530">
            <v>112509</v>
          </cell>
          <cell r="S530">
            <v>108769</v>
          </cell>
          <cell r="T530">
            <v>221278</v>
          </cell>
          <cell r="U530">
            <v>104114</v>
          </cell>
          <cell r="V530">
            <v>105886</v>
          </cell>
          <cell r="W530">
            <v>196247</v>
          </cell>
          <cell r="X530">
            <v>92411</v>
          </cell>
          <cell r="Y530">
            <v>94325</v>
          </cell>
          <cell r="Z530">
            <v>186736</v>
          </cell>
          <cell r="AA530">
            <v>93449</v>
          </cell>
          <cell r="AB530">
            <v>95973</v>
          </cell>
          <cell r="AC530">
            <v>189422</v>
          </cell>
        </row>
        <row r="531">
          <cell r="B531" t="str">
            <v>営業利益</v>
          </cell>
          <cell r="D531" t="str">
            <v>M\</v>
          </cell>
          <cell r="Q531">
            <v>8473</v>
          </cell>
          <cell r="R531">
            <v>5448</v>
          </cell>
          <cell r="S531">
            <v>6280</v>
          </cell>
          <cell r="T531">
            <v>11728</v>
          </cell>
          <cell r="U531">
            <v>4811</v>
          </cell>
          <cell r="V531">
            <v>-4811</v>
          </cell>
          <cell r="W531">
            <v>9099</v>
          </cell>
          <cell r="X531">
            <v>739</v>
          </cell>
          <cell r="Y531">
            <v>2937</v>
          </cell>
          <cell r="Z531">
            <v>3676</v>
          </cell>
          <cell r="AA531">
            <v>3823</v>
          </cell>
          <cell r="AB531">
            <v>4774</v>
          </cell>
          <cell r="AC531">
            <v>8597</v>
          </cell>
        </row>
        <row r="532">
          <cell r="B532" t="str">
            <v>経常利益</v>
          </cell>
          <cell r="D532" t="str">
            <v>M\</v>
          </cell>
          <cell r="Q532">
            <v>6780</v>
          </cell>
          <cell r="R532">
            <v>4156</v>
          </cell>
          <cell r="S532">
            <v>4254</v>
          </cell>
          <cell r="T532">
            <v>8410</v>
          </cell>
          <cell r="U532">
            <v>2863</v>
          </cell>
          <cell r="V532">
            <v>4337</v>
          </cell>
          <cell r="W532">
            <v>5436</v>
          </cell>
          <cell r="X532">
            <v>1209</v>
          </cell>
          <cell r="Y532">
            <v>2206</v>
          </cell>
          <cell r="Z532">
            <v>3415</v>
          </cell>
          <cell r="AA532">
            <v>3188</v>
          </cell>
          <cell r="AB532">
            <v>4246</v>
          </cell>
          <cell r="AC532">
            <v>7434</v>
          </cell>
        </row>
        <row r="533">
          <cell r="B533" t="str">
            <v>当期利益</v>
          </cell>
          <cell r="D533" t="str">
            <v>M\</v>
          </cell>
          <cell r="Q533">
            <v>2642</v>
          </cell>
          <cell r="R533">
            <v>2515</v>
          </cell>
          <cell r="S533">
            <v>1930</v>
          </cell>
          <cell r="T533">
            <v>4445</v>
          </cell>
          <cell r="U533">
            <v>1269</v>
          </cell>
          <cell r="V533">
            <v>2731</v>
          </cell>
          <cell r="W533">
            <v>1249</v>
          </cell>
          <cell r="X533">
            <v>1015</v>
          </cell>
          <cell r="Y533">
            <v>-371</v>
          </cell>
          <cell r="Z533">
            <v>644</v>
          </cell>
          <cell r="AA533">
            <v>1886</v>
          </cell>
          <cell r="AB533">
            <v>1735</v>
          </cell>
          <cell r="AC533">
            <v>3621</v>
          </cell>
        </row>
        <row r="534">
          <cell r="B534" t="str">
            <v>ｷｬｯｼｭﾌﾛｰ</v>
          </cell>
          <cell r="D534" t="str">
            <v>M\</v>
          </cell>
          <cell r="Q534">
            <v>6569</v>
          </cell>
          <cell r="T534">
            <v>8397</v>
          </cell>
          <cell r="W534">
            <v>5219</v>
          </cell>
          <cell r="X534">
            <v>0</v>
          </cell>
          <cell r="Y534">
            <v>0</v>
          </cell>
          <cell r="Z534">
            <v>5272</v>
          </cell>
          <cell r="AA534">
            <v>0</v>
          </cell>
          <cell r="AB534">
            <v>0</v>
          </cell>
          <cell r="AC534">
            <v>7744</v>
          </cell>
        </row>
        <row r="535">
          <cell r="B535" t="str">
            <v>ＥＰＳ</v>
          </cell>
          <cell r="D535" t="str">
            <v xml:space="preserve"> </v>
          </cell>
          <cell r="Q535">
            <v>9.3778729053303369</v>
          </cell>
          <cell r="T535">
            <v>15.777685489853653</v>
          </cell>
          <cell r="W535">
            <v>4.4585484502642458</v>
          </cell>
          <cell r="X535">
            <v>0</v>
          </cell>
          <cell r="Y535">
            <v>0</v>
          </cell>
          <cell r="Z535">
            <v>2.3091291751816403</v>
          </cell>
          <cell r="AA535">
            <v>0</v>
          </cell>
          <cell r="AB535">
            <v>0</v>
          </cell>
          <cell r="AC535">
            <v>12.474266786471992</v>
          </cell>
        </row>
        <row r="536">
          <cell r="B536" t="str">
            <v>ＣＦＰＳ</v>
          </cell>
          <cell r="Q536">
            <v>23.316898983767974</v>
          </cell>
          <cell r="T536">
            <v>29.805449956873144</v>
          </cell>
          <cell r="W536">
            <v>18.63023567808575</v>
          </cell>
          <cell r="X536">
            <v>0</v>
          </cell>
          <cell r="Y536">
            <v>0</v>
          </cell>
          <cell r="Z536">
            <v>18.903305918567714</v>
          </cell>
          <cell r="AA536">
            <v>0</v>
          </cell>
          <cell r="AB536">
            <v>0</v>
          </cell>
          <cell r="AC536">
            <v>26.677912729753963</v>
          </cell>
        </row>
        <row r="537">
          <cell r="B537" t="str">
            <v>ＢＰＳ</v>
          </cell>
          <cell r="D537" t="str">
            <v xml:space="preserve"> </v>
          </cell>
          <cell r="Q537">
            <v>274.47138541921788</v>
          </cell>
          <cell r="T537">
            <v>285.04545180263165</v>
          </cell>
          <cell r="W537">
            <v>283.40518700030344</v>
          </cell>
          <cell r="X537">
            <v>0</v>
          </cell>
          <cell r="Y537">
            <v>0</v>
          </cell>
          <cell r="Z537">
            <v>284.88701918588026</v>
          </cell>
          <cell r="AA537">
            <v>0</v>
          </cell>
          <cell r="AB537">
            <v>0</v>
          </cell>
          <cell r="AC537">
            <v>301.13934185933795</v>
          </cell>
        </row>
        <row r="538">
          <cell r="B538" t="str">
            <v>ＲＯＥ</v>
          </cell>
          <cell r="D538" t="str">
            <v xml:space="preserve"> </v>
          </cell>
          <cell r="Q538">
            <v>3.4167033080723171E-2</v>
          </cell>
          <cell r="T538">
            <v>5.5351472511051616E-2</v>
          </cell>
          <cell r="W538">
            <v>1.5732063683998387E-2</v>
          </cell>
          <cell r="X538">
            <v>0</v>
          </cell>
          <cell r="Y538">
            <v>0</v>
          </cell>
          <cell r="Z538">
            <v>8.1054208148213392E-3</v>
          </cell>
          <cell r="AA538">
            <v>0</v>
          </cell>
          <cell r="AB538">
            <v>0</v>
          </cell>
          <cell r="AC538">
            <v>4.1423570595099185E-2</v>
          </cell>
        </row>
        <row r="539">
          <cell r="B539" t="str">
            <v>発行済株式数</v>
          </cell>
          <cell r="D539" t="str">
            <v xml:space="preserve"> </v>
          </cell>
          <cell r="Q539">
            <v>281727</v>
          </cell>
          <cell r="T539">
            <v>281727</v>
          </cell>
          <cell r="W539">
            <v>280136.016</v>
          </cell>
          <cell r="X539">
            <v>0</v>
          </cell>
          <cell r="Y539">
            <v>0</v>
          </cell>
          <cell r="Z539">
            <v>278893.016</v>
          </cell>
          <cell r="AA539">
            <v>0</v>
          </cell>
          <cell r="AB539">
            <v>0</v>
          </cell>
          <cell r="AC539">
            <v>290277.58199999999</v>
          </cell>
        </row>
        <row r="540">
          <cell r="C540" t="str">
            <v>売上前期比</v>
          </cell>
          <cell r="D540" t="str">
            <v xml:space="preserve"> </v>
          </cell>
          <cell r="T540">
            <v>4.0877189681449488E-2</v>
          </cell>
          <cell r="U540">
            <v>-7.461625292198848E-2</v>
          </cell>
          <cell r="V540">
            <v>-2.6505713944230402E-2</v>
          </cell>
          <cell r="W540">
            <v>-0.11312014750675625</v>
          </cell>
          <cell r="X540">
            <v>-0.11240563228768463</v>
          </cell>
          <cell r="Y540">
            <v>-0.10918346145854974</v>
          </cell>
          <cell r="Z540">
            <v>-4.8464435125122884E-2</v>
          </cell>
          <cell r="AA540">
            <v>1.1232429039832903E-2</v>
          </cell>
          <cell r="AB540">
            <v>1.7471508083753085E-2</v>
          </cell>
          <cell r="AC540">
            <v>1.4383943106845987E-2</v>
          </cell>
        </row>
        <row r="541">
          <cell r="C541" t="str">
            <v>営業前期比</v>
          </cell>
          <cell r="D541" t="str">
            <v xml:space="preserve"> </v>
          </cell>
          <cell r="T541">
            <v>0.38416145403044966</v>
          </cell>
          <cell r="U541">
            <v>-0.11692364170337743</v>
          </cell>
          <cell r="V541">
            <v>-1.7660828025477708</v>
          </cell>
          <cell r="W541">
            <v>-0.22416439290586632</v>
          </cell>
          <cell r="X541">
            <v>-0.84639368114737057</v>
          </cell>
          <cell r="Y541">
            <v>-1.6104759925171481</v>
          </cell>
          <cell r="Z541">
            <v>-0.59599956039125179</v>
          </cell>
          <cell r="AA541">
            <v>4.1732070365358593</v>
          </cell>
          <cell r="AB541">
            <v>0.62546816479400746</v>
          </cell>
          <cell r="AC541">
            <v>1.3386833514689882</v>
          </cell>
        </row>
        <row r="542">
          <cell r="C542" t="str">
            <v>経常前期比</v>
          </cell>
          <cell r="D542" t="str">
            <v xml:space="preserve"> </v>
          </cell>
          <cell r="T542">
            <v>0.24041297935103234</v>
          </cell>
          <cell r="U542">
            <v>-0.31111645813282007</v>
          </cell>
          <cell r="V542">
            <v>1.9511048425011834E-2</v>
          </cell>
          <cell r="W542">
            <v>-0.35362663495838287</v>
          </cell>
          <cell r="X542">
            <v>-0.57771568285015718</v>
          </cell>
          <cell r="Y542">
            <v>-0.49135347014065023</v>
          </cell>
          <cell r="Z542">
            <v>-0.37178072111846949</v>
          </cell>
          <cell r="AA542">
            <v>1.6368899917287014</v>
          </cell>
          <cell r="AB542">
            <v>0.92475067996373528</v>
          </cell>
          <cell r="AC542">
            <v>1.1768667642752564</v>
          </cell>
        </row>
        <row r="543">
          <cell r="C543" t="str">
            <v>当期前期比</v>
          </cell>
          <cell r="D543" t="str">
            <v xml:space="preserve"> </v>
          </cell>
          <cell r="I543" t="str">
            <v>-</v>
          </cell>
          <cell r="J543" t="str">
            <v>-</v>
          </cell>
          <cell r="K543" t="str">
            <v>-</v>
          </cell>
          <cell r="T543">
            <v>0.68243754731264183</v>
          </cell>
          <cell r="U543">
            <v>-0.49542743538767398</v>
          </cell>
          <cell r="V543">
            <v>0.41502590673575135</v>
          </cell>
          <cell r="W543">
            <v>-0.71901012373453321</v>
          </cell>
          <cell r="X543">
            <v>-0.20015760441292352</v>
          </cell>
          <cell r="Y543">
            <v>-1.1358476748443793</v>
          </cell>
          <cell r="Z543">
            <v>-0.48438751000800639</v>
          </cell>
          <cell r="AA543">
            <v>0.8581280788177339</v>
          </cell>
          <cell r="AB543">
            <v>-5.6765498652291102</v>
          </cell>
          <cell r="AC543">
            <v>4.6226708074534164</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row r="164">
          <cell r="E164">
            <v>1247</v>
          </cell>
          <cell r="F164">
            <v>1807</v>
          </cell>
          <cell r="G164">
            <v>2812</v>
          </cell>
          <cell r="H164">
            <v>2828</v>
          </cell>
          <cell r="I164">
            <v>6670</v>
          </cell>
        </row>
        <row r="165">
          <cell r="E165" t="e">
            <v>#VALUE!</v>
          </cell>
          <cell r="F165" t="e">
            <v>#VALUE!</v>
          </cell>
          <cell r="G165" t="e">
            <v>#VALUE!</v>
          </cell>
          <cell r="H165" t="e">
            <v>#VALUE!</v>
          </cell>
          <cell r="I165" t="e">
            <v>#VALUE!</v>
          </cell>
        </row>
        <row r="167">
          <cell r="E167">
            <v>2721</v>
          </cell>
          <cell r="F167">
            <v>1584</v>
          </cell>
          <cell r="G167">
            <v>1802</v>
          </cell>
          <cell r="H167">
            <v>1616</v>
          </cell>
          <cell r="I167">
            <v>795</v>
          </cell>
        </row>
      </sheetData>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Ware_Cached"/>
      <sheetName val="AFOSHEET"/>
      <sheetName val="Model"/>
      <sheetName val="Guidance History"/>
      <sheetName val="JSF"/>
      <sheetName val="Pension"/>
      <sheetName val="OPEB"/>
      <sheetName val="Cons 2013"/>
      <sheetName val="Cons 2014"/>
      <sheetName val="Cons 2015"/>
      <sheetName val="Cons 2016"/>
      <sheetName val="10-K"/>
      <sheetName val="10-Q"/>
      <sheetName val="RiskRetire"/>
      <sheetName val="__FDSCACHE__"/>
      <sheetName val="MW-Cache"/>
      <sheetName val="mStartup"/>
      <sheetName val="mwareDates"/>
      <sheetName val="MWA RR"/>
      <sheetName val="mwareSettings"/>
      <sheetName val="LinkingMetadata"/>
      <sheetName val="P"/>
    </sheetNames>
    <sheetDataSet>
      <sheetData sheetId="0"/>
      <sheetData sheetId="1"/>
      <sheetData sheetId="2"/>
      <sheetData sheetId="3"/>
      <sheetData sheetId="4"/>
      <sheetData sheetId="5">
        <row r="9">
          <cell r="L9">
            <v>0.1</v>
          </cell>
        </row>
      </sheetData>
      <sheetData sheetId="6"/>
      <sheetData sheetId="7"/>
      <sheetData sheetId="8"/>
      <sheetData sheetId="9"/>
      <sheetData sheetId="10"/>
      <sheetData sheetId="11"/>
      <sheetData sheetId="12"/>
      <sheetData sheetId="13"/>
      <sheetData sheetId="14"/>
      <sheetData sheetId="15"/>
      <sheetData sheetId="16" refreshError="1"/>
      <sheetData sheetId="17"/>
      <sheetData sheetId="18"/>
      <sheetData sheetId="19"/>
      <sheetData sheetId="20"/>
      <sheetData sheetId="2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Cash Flow"/>
      <sheetName val="upside_downside"/>
      <sheetName val="Income Statement"/>
      <sheetName val="Balance Sheet"/>
      <sheetName val="Cash"/>
      <sheetName val="Exhibit 3"/>
      <sheetName val="Cash_published"/>
      <sheetName val="NVF_published"/>
      <sheetName val="Exhibit 5"/>
      <sheetName val="IFRS"/>
      <sheetName val="Exhibit 4"/>
      <sheetName val="IFRS Life"/>
      <sheetName val="Exhibit 1"/>
      <sheetName val="Exhibit 2"/>
      <sheetName val="MCEV Roll-up"/>
      <sheetName val="Weekahead"/>
      <sheetName val="MCEV_Capital"/>
      <sheetName val="Assets(new)"/>
      <sheetName val="MCEV P&amp;L"/>
      <sheetName val="RI"/>
      <sheetName val="BULLBEAR"/>
      <sheetName val="Sheet2"/>
      <sheetName val="DCF"/>
      <sheetName val="MWA RR"/>
      <sheetName val="REVENUE BY GEOGRAPHY"/>
      <sheetName val="NonQtr"/>
      <sheetName val="Data 20d"/>
      <sheetName val="Data"/>
      <sheetName val="Risk-Reward_View_Chart"/>
      <sheetName val="Valsum"/>
      <sheetName val="Interims"/>
      <sheetName val="Financial Statements"/>
      <sheetName val="CPB"/>
      <sheetName val="Total_Food_Promo"/>
      <sheetName val="CPB_2yr"/>
      <sheetName val="FX"/>
      <sheetName val="Inputs"/>
      <sheetName val="Good 12-00 (2)"/>
      <sheetName val="Good 11-36"/>
      <sheetName val="Good 11-50"/>
      <sheetName val="Sheet3 (5)"/>
      <sheetName val="B11_BarSingle_AverageLine"/>
      <sheetName val="Summary"/>
      <sheetName val="Floater Demand"/>
      <sheetName val="Quero_Sales"/>
      <sheetName val="L2005"/>
      <sheetName val="C2000"/>
      <sheetName val="Cell Reference"/>
      <sheetName val="Shading Period-Level"/>
      <sheetName val="Sources of Change"/>
      <sheetName val="Basic (gridlines)"/>
      <sheetName val="Average (reference) Line"/>
      <sheetName val="Double (overlapping)"/>
      <sheetName val="Reference Step Line"/>
      <sheetName val="Double (gridlines)"/>
      <sheetName val="Growth Line"/>
      <sheetName val="Reference Marks"/>
      <sheetName val="Single-point highlighting"/>
      <sheetName val="CPNO"/>
      <sheetName val="MMP"/>
      <sheetName val="PAA"/>
      <sheetName val="EEP"/>
      <sheetName val="KMP"/>
      <sheetName val="ETP"/>
      <sheetName val="BPL"/>
      <sheetName val="NS"/>
      <sheetName val="BWP"/>
      <sheetName val="EPD"/>
      <sheetName val="RGNC"/>
      <sheetName val="画像1"/>
      <sheetName val="業績推移"/>
      <sheetName val="バリュエーション比較"/>
      <sheetName val="自動車設備投資"/>
      <sheetName val="ロボット機械統計年"/>
      <sheetName val="ロボット機械統計"/>
      <sheetName val="株価と関連指標"/>
      <sheetName val="画像3"/>
      <sheetName val="利益率比較"/>
      <sheetName val="ロボット試算"/>
      <sheetName val="画像2"/>
      <sheetName val="内訳"/>
      <sheetName val="株価(過去1年) "/>
      <sheetName val="WWロボット出荷台数"/>
      <sheetName val="長期営業利益"/>
      <sheetName val="中国NC化率"/>
      <sheetName val="画像4"/>
      <sheetName val="成長率比較"/>
      <sheetName val="バリュエーション"/>
      <sheetName val="四半期"/>
      <sheetName val="画像5"/>
      <sheetName val="RRBox"/>
      <sheetName val="シェアと競合"/>
      <sheetName val="WP Detail "/>
      <sheetName val="Model"/>
      <sheetName val="Sheet4"/>
      <sheetName val="ForeignStake"/>
      <sheetName val="rev change analysis"/>
      <sheetName val="rev contribution analysis"/>
      <sheetName val="WPZ"/>
      <sheetName val="TPP"/>
      <sheetName val="EPE"/>
      <sheetName val="WMZ"/>
      <sheetName val="HEP"/>
      <sheetName val="MGG"/>
      <sheetName val="ETE"/>
      <sheetName val="BGH"/>
      <sheetName val="SEP"/>
      <sheetName val="TCLP"/>
      <sheetName val="SXL"/>
      <sheetName val="WES"/>
      <sheetName val="Charts"/>
      <sheetName val="Pension"/>
      <sheetName val="Walk"/>
      <sheetName val="HTC"/>
      <sheetName val="MS Tele Rep"/>
      <sheetName val="China Handset"/>
      <sheetName val="Smartphone"/>
      <sheetName val="IDC"/>
      <sheetName val="CW"/>
      <sheetName val="R2000"/>
      <sheetName val="__FDS_DOWNL_SCRATCH_SHEET__"/>
      <sheetName val="FIH"/>
      <sheetName val="MIC"/>
      <sheetName val="Valuation"/>
      <sheetName val="Sales by App"/>
      <sheetName val="Net Income &amp; EPS"/>
      <sheetName val="IDC_2"/>
      <sheetName val="Sales by Region Comp"/>
      <sheetName val="What's Changed"/>
      <sheetName val="Outsourcing"/>
      <sheetName val="Nokia vs HTC"/>
      <sheetName val="2012 Outlook"/>
      <sheetName val=" Capital"/>
      <sheetName val="New Business"/>
      <sheetName val="Basket_June09_2010"/>
      <sheetName val="C1070"/>
      <sheetName val="Basket_Jan09"/>
      <sheetName val="Basket_2010"/>
      <sheetName val="Inflation v Price 6mth lag"/>
      <sheetName val="Basket_2011"/>
      <sheetName val="Basket_June09"/>
      <sheetName val="Basket_June09_Futures"/>
      <sheetName val="Commodities Exposure"/>
    </sheetNames>
    <sheetDataSet>
      <sheetData sheetId="0" refreshError="1">
        <row r="5">
          <cell r="F5" t="str">
            <v>Display horizontal line for the average?</v>
          </cell>
        </row>
        <row r="10">
          <cell r="Y10" t="str">
            <v>invisible1</v>
          </cell>
        </row>
        <row r="11">
          <cell r="D11" t="str">
            <v>Jupiter</v>
          </cell>
          <cell r="E11">
            <v>78</v>
          </cell>
          <cell r="X11" t="str">
            <v xml:space="preserve">  </v>
          </cell>
          <cell r="Y11">
            <v>44.5</v>
          </cell>
        </row>
        <row r="12">
          <cell r="D12" t="str">
            <v>Juno</v>
          </cell>
          <cell r="E12">
            <v>58</v>
          </cell>
        </row>
        <row r="13">
          <cell r="D13" t="str">
            <v>Neptune</v>
          </cell>
          <cell r="E13">
            <v>45</v>
          </cell>
          <cell r="X13" t="str">
            <v>width</v>
          </cell>
          <cell r="Y13">
            <v>0.624</v>
          </cell>
        </row>
        <row r="14">
          <cell r="D14" t="str">
            <v>Pluto</v>
          </cell>
          <cell r="E14">
            <v>37</v>
          </cell>
        </row>
        <row r="15">
          <cell r="D15" t="str">
            <v>Minerva</v>
          </cell>
          <cell r="E15">
            <v>26</v>
          </cell>
          <cell r="X15" t="str">
            <v>scaling</v>
          </cell>
          <cell r="Y15">
            <v>8.0000000000000002E-3</v>
          </cell>
        </row>
        <row r="16">
          <cell r="D16" t="str">
            <v>Hermes</v>
          </cell>
          <cell r="E16">
            <v>23</v>
          </cell>
        </row>
        <row r="17">
          <cell r="X17" t="str">
            <v>label</v>
          </cell>
          <cell r="Y17" t="str">
            <v>average: 44.5</v>
          </cell>
        </row>
        <row r="28">
          <cell r="R28" t="b">
            <v>1</v>
          </cell>
        </row>
        <row r="34">
          <cell r="R34" t="str">
            <v>Notes:</v>
          </cell>
        </row>
        <row r="35">
          <cell r="R35" t="str">
            <v>-doesn't work for negative average</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for earnings"/>
      <sheetName val="Earnings "/>
      <sheetName val="AFOSHEET"/>
      <sheetName val="Rolls Royce Valuation Summary"/>
      <sheetName val="UK GAAP Financials"/>
      <sheetName val="__FDSCACHE__"/>
      <sheetName val="Segment Summary"/>
      <sheetName val="Civil Aero. Segment Fin."/>
      <sheetName val="Defence Aero. Segment Fin."/>
      <sheetName val="Marine Segment Fin."/>
      <sheetName val="Energy Segment Fin."/>
      <sheetName val="Pension"/>
      <sheetName val="FCF"/>
      <sheetName val="2010e Fair Market Value"/>
      <sheetName val="ROIC"/>
      <sheetName val="Segment DCF"/>
      <sheetName val="Sensitivity"/>
      <sheetName val="Hedge Book Analysis"/>
      <sheetName val="Contingent Lia"/>
      <sheetName val="LBO Analysis-Margin improvement"/>
      <sheetName val="LBO Analysis"/>
      <sheetName val="Charts"/>
      <sheetName val="MW-Cache"/>
      <sheetName val="MWA RR"/>
      <sheetName val="mwareDates"/>
      <sheetName val="mwareValPrintout"/>
      <sheetName val="mwareSettings"/>
    </sheetNames>
    <sheetDataSet>
      <sheetData sheetId="0"/>
      <sheetData sheetId="1"/>
      <sheetData sheetId="2"/>
      <sheetData sheetId="3"/>
      <sheetData sheetId="4"/>
      <sheetData sheetId="5"/>
      <sheetData sheetId="6"/>
      <sheetData sheetId="7"/>
      <sheetData sheetId="8"/>
      <sheetData sheetId="9"/>
      <sheetData sheetId="10"/>
      <sheetData sheetId="11"/>
      <sheetData sheetId="12" refreshError="1">
        <row r="1">
          <cell r="A1" t="str">
            <v xml:space="preserve">Rolls Royce - Free Cash Flow </v>
          </cell>
        </row>
        <row r="3">
          <cell r="G3" t="str">
            <v>IFRS</v>
          </cell>
        </row>
        <row r="4">
          <cell r="A4" t="str">
            <v>(in millions £)</v>
          </cell>
          <cell r="B4">
            <v>2000</v>
          </cell>
          <cell r="C4">
            <v>2001</v>
          </cell>
          <cell r="D4">
            <v>2002</v>
          </cell>
          <cell r="E4">
            <v>2003</v>
          </cell>
          <cell r="F4">
            <v>2004</v>
          </cell>
          <cell r="G4" t="str">
            <v>Adjustment</v>
          </cell>
          <cell r="H4" t="str">
            <v>2004 IFRS</v>
          </cell>
          <cell r="I4">
            <v>2005</v>
          </cell>
          <cell r="J4">
            <v>2006</v>
          </cell>
          <cell r="K4">
            <v>2007</v>
          </cell>
          <cell r="L4">
            <v>2008</v>
          </cell>
          <cell r="M4">
            <v>2009</v>
          </cell>
          <cell r="N4" t="str">
            <v>2010E</v>
          </cell>
          <cell r="O4" t="str">
            <v>2011E</v>
          </cell>
          <cell r="P4" t="str">
            <v>2012E</v>
          </cell>
          <cell r="Q4" t="str">
            <v>2013E</v>
          </cell>
          <cell r="R4" t="str">
            <v>2014E</v>
          </cell>
        </row>
        <row r="5">
          <cell r="A5" t="str">
            <v>Consolidated EBIT</v>
          </cell>
          <cell r="D5">
            <v>168</v>
          </cell>
          <cell r="E5">
            <v>223</v>
          </cell>
          <cell r="F5">
            <v>320</v>
          </cell>
          <cell r="I5">
            <v>633</v>
          </cell>
          <cell r="J5">
            <v>653</v>
          </cell>
          <cell r="K5">
            <v>476</v>
          </cell>
          <cell r="L5">
            <v>788</v>
          </cell>
          <cell r="M5">
            <v>1081</v>
          </cell>
          <cell r="N5">
            <v>986.85709092824584</v>
          </cell>
          <cell r="O5">
            <v>1090.206544392222</v>
          </cell>
          <cell r="P5">
            <v>1273.8541951046338</v>
          </cell>
          <cell r="Q5">
            <v>1479.4717180275675</v>
          </cell>
          <cell r="R5">
            <v>1662.2582343491893</v>
          </cell>
          <cell r="T5" t="str">
            <v>Consolidated EBIT ex.JVs</v>
          </cell>
        </row>
        <row r="6">
          <cell r="A6" t="str">
            <v>Depreciation &amp; Amortisation</v>
          </cell>
          <cell r="D6">
            <v>258</v>
          </cell>
          <cell r="E6">
            <v>238</v>
          </cell>
          <cell r="F6">
            <v>237</v>
          </cell>
          <cell r="I6">
            <v>254</v>
          </cell>
          <cell r="J6">
            <v>205</v>
          </cell>
          <cell r="K6">
            <v>233</v>
          </cell>
          <cell r="L6">
            <v>315</v>
          </cell>
          <cell r="M6">
            <v>315</v>
          </cell>
          <cell r="N6">
            <v>296.5282812986008</v>
          </cell>
          <cell r="O6">
            <v>310.27420402342739</v>
          </cell>
          <cell r="P6">
            <v>325.6287405500529</v>
          </cell>
          <cell r="Q6">
            <v>342.48794483357085</v>
          </cell>
          <cell r="R6">
            <v>361.85038037676804</v>
          </cell>
          <cell r="T6" t="str">
            <v>Reported D&amp;A was £109mm in 1H06, we expect an increase in 2H06</v>
          </cell>
        </row>
        <row r="7">
          <cell r="A7" t="str">
            <v>Consolidated EBITDA</v>
          </cell>
          <cell r="C7">
            <v>853</v>
          </cell>
          <cell r="D7">
            <v>426</v>
          </cell>
          <cell r="E7">
            <v>461</v>
          </cell>
          <cell r="F7">
            <v>557</v>
          </cell>
          <cell r="G7">
            <v>402</v>
          </cell>
          <cell r="H7">
            <v>959</v>
          </cell>
          <cell r="I7">
            <v>887</v>
          </cell>
          <cell r="J7">
            <v>858</v>
          </cell>
          <cell r="K7">
            <v>709</v>
          </cell>
          <cell r="L7">
            <v>1103</v>
          </cell>
          <cell r="M7">
            <v>1396</v>
          </cell>
          <cell r="N7">
            <v>1283.3853722268466</v>
          </cell>
          <cell r="O7">
            <v>1400.4807484156495</v>
          </cell>
          <cell r="P7">
            <v>1599.4829356546868</v>
          </cell>
          <cell r="Q7">
            <v>1821.9596628611384</v>
          </cell>
          <cell r="R7">
            <v>2024.1086147259573</v>
          </cell>
        </row>
        <row r="9">
          <cell r="A9" t="str">
            <v>Cash Taxes</v>
          </cell>
          <cell r="C9">
            <v>0</v>
          </cell>
          <cell r="D9">
            <v>-41</v>
          </cell>
          <cell r="E9">
            <v>-43</v>
          </cell>
          <cell r="F9">
            <v>-84</v>
          </cell>
          <cell r="G9">
            <v>0</v>
          </cell>
          <cell r="H9">
            <v>-84</v>
          </cell>
          <cell r="I9">
            <v>-60</v>
          </cell>
          <cell r="J9">
            <v>-25</v>
          </cell>
          <cell r="K9">
            <v>-71</v>
          </cell>
          <cell r="L9">
            <v>-117</v>
          </cell>
          <cell r="M9">
            <v>-119</v>
          </cell>
          <cell r="N9">
            <v>-40.921743637129836</v>
          </cell>
          <cell r="O9">
            <v>-44.822759173399163</v>
          </cell>
          <cell r="P9">
            <v>-54.607173581772926</v>
          </cell>
          <cell r="Q9">
            <v>-66.590608801859076</v>
          </cell>
          <cell r="R9">
            <v>-78.754349173500884</v>
          </cell>
          <cell r="T9" t="str">
            <v>Tax loss carryforwards in the UK drive cash taxes below 50% of tax provision</v>
          </cell>
        </row>
        <row r="10">
          <cell r="A10" t="str">
            <v>Net interest expense (ex RRSPs)</v>
          </cell>
          <cell r="D10">
            <v>-72</v>
          </cell>
          <cell r="E10">
            <v>-66</v>
          </cell>
          <cell r="F10">
            <v>-48</v>
          </cell>
          <cell r="G10">
            <v>-5</v>
          </cell>
          <cell r="H10">
            <v>-53</v>
          </cell>
          <cell r="I10">
            <v>-53</v>
          </cell>
          <cell r="J10">
            <v>-13</v>
          </cell>
          <cell r="K10">
            <v>24</v>
          </cell>
          <cell r="L10">
            <v>-32</v>
          </cell>
          <cell r="M10">
            <v>-140</v>
          </cell>
          <cell r="N10">
            <v>-57.843499999999999</v>
          </cell>
          <cell r="O10">
            <v>-60.425790057242892</v>
          </cell>
          <cell r="P10">
            <v>-53.754189610092482</v>
          </cell>
          <cell r="Q10">
            <v>-32.404905699880402</v>
          </cell>
          <cell r="R10">
            <v>-0.56674330645421378</v>
          </cell>
          <cell r="T10" t="str">
            <v>Excludes non-cash RRSP finance charge</v>
          </cell>
        </row>
        <row r="11">
          <cell r="A11" t="str">
            <v>Capital Expenditures- fixed assets</v>
          </cell>
          <cell r="C11">
            <v>0</v>
          </cell>
          <cell r="D11">
            <v>-314</v>
          </cell>
          <cell r="E11">
            <v>-182</v>
          </cell>
          <cell r="F11">
            <v>-175</v>
          </cell>
          <cell r="G11">
            <v>0</v>
          </cell>
          <cell r="H11">
            <v>-175</v>
          </cell>
          <cell r="I11">
            <v>-235</v>
          </cell>
          <cell r="J11">
            <v>-273</v>
          </cell>
          <cell r="K11">
            <v>-304</v>
          </cell>
          <cell r="L11">
            <v>-286</v>
          </cell>
          <cell r="M11">
            <v>-258</v>
          </cell>
          <cell r="N11">
            <v>-213.2</v>
          </cell>
          <cell r="O11">
            <v>-225</v>
          </cell>
          <cell r="P11">
            <v>-240</v>
          </cell>
          <cell r="Q11">
            <v>-250</v>
          </cell>
          <cell r="R11">
            <v>-300</v>
          </cell>
          <cell r="T11" t="str">
            <v>Increased investment in PPE for factory modernisation</v>
          </cell>
          <cell r="AH11">
            <v>-189</v>
          </cell>
        </row>
        <row r="12">
          <cell r="A12" t="str">
            <v>Cash outflows for financial RRSPs</v>
          </cell>
          <cell r="F12">
            <v>0</v>
          </cell>
          <cell r="H12">
            <v>0</v>
          </cell>
          <cell r="I12">
            <v>-58</v>
          </cell>
          <cell r="J12">
            <v>-87</v>
          </cell>
          <cell r="K12">
            <v>-55</v>
          </cell>
          <cell r="L12">
            <v>-53</v>
          </cell>
          <cell r="M12">
            <v>-55</v>
          </cell>
          <cell r="N12">
            <v>-25</v>
          </cell>
          <cell r="O12">
            <v>-25</v>
          </cell>
          <cell r="P12">
            <v>-25</v>
          </cell>
          <cell r="Q12">
            <v>-25</v>
          </cell>
          <cell r="R12">
            <v>-25</v>
          </cell>
          <cell r="T12" t="str">
            <v>Cash outflows to financial RRSPs increased to £58mm in 1H06</v>
          </cell>
        </row>
        <row r="13">
          <cell r="A13" t="str">
            <v>Engine certification fees &amp; other capitalised intangibles</v>
          </cell>
          <cell r="C13">
            <v>0</v>
          </cell>
          <cell r="D13">
            <v>-50</v>
          </cell>
          <cell r="E13">
            <v>-37</v>
          </cell>
          <cell r="F13">
            <v>-110</v>
          </cell>
          <cell r="G13">
            <v>0</v>
          </cell>
          <cell r="H13">
            <v>-110</v>
          </cell>
          <cell r="I13">
            <v>-10</v>
          </cell>
          <cell r="J13">
            <v>-120</v>
          </cell>
          <cell r="K13">
            <v>-168</v>
          </cell>
          <cell r="L13">
            <v>-183</v>
          </cell>
          <cell r="M13">
            <v>-98</v>
          </cell>
          <cell r="N13">
            <v>-102.9</v>
          </cell>
          <cell r="O13">
            <v>-108.04500000000002</v>
          </cell>
          <cell r="P13">
            <v>-113.44725000000003</v>
          </cell>
          <cell r="Q13">
            <v>-119.11961250000003</v>
          </cell>
          <cell r="R13">
            <v>-125.07559312500004</v>
          </cell>
          <cell r="T13" t="str">
            <v>Certification fees on Trent 900 &amp; payments to Boeing for position on Trent 1000</v>
          </cell>
        </row>
        <row r="14">
          <cell r="A14" t="str">
            <v>Excess of cash over expensed R&amp;D</v>
          </cell>
          <cell r="E14">
            <v>0</v>
          </cell>
          <cell r="F14">
            <v>0</v>
          </cell>
          <cell r="H14">
            <v>6</v>
          </cell>
          <cell r="I14">
            <v>-57</v>
          </cell>
          <cell r="J14">
            <v>-25</v>
          </cell>
          <cell r="K14">
            <v>-73</v>
          </cell>
          <cell r="L14">
            <v>-87</v>
          </cell>
          <cell r="M14">
            <v>-92</v>
          </cell>
          <cell r="N14">
            <v>-104.14962626262633</v>
          </cell>
          <cell r="O14">
            <v>-103.51685716763598</v>
          </cell>
          <cell r="P14">
            <v>-103.28014472354141</v>
          </cell>
          <cell r="Q14">
            <v>-103.42797065666593</v>
          </cell>
          <cell r="R14">
            <v>-103.95053449702368</v>
          </cell>
          <cell r="T14" t="str">
            <v>Capitalised Trent 900 development costs</v>
          </cell>
        </row>
        <row r="15">
          <cell r="A15" t="str">
            <v>Recoverable engine costs</v>
          </cell>
          <cell r="E15">
            <v>0</v>
          </cell>
          <cell r="F15">
            <v>-21</v>
          </cell>
          <cell r="H15">
            <v>-21</v>
          </cell>
          <cell r="I15">
            <v>-36</v>
          </cell>
          <cell r="J15">
            <v>-64</v>
          </cell>
          <cell r="K15">
            <v>-37</v>
          </cell>
          <cell r="L15">
            <v>-97</v>
          </cell>
          <cell r="M15">
            <v>-123</v>
          </cell>
          <cell r="N15">
            <v>-123</v>
          </cell>
          <cell r="O15">
            <v>-123</v>
          </cell>
          <cell r="P15">
            <v>-123</v>
          </cell>
          <cell r="Q15">
            <v>-123</v>
          </cell>
          <cell r="R15">
            <v>-123</v>
          </cell>
          <cell r="T15" t="str">
            <v>Increase in capitalised losses on engine sales driven by Trent 900 deliveries (on A380)</v>
          </cell>
        </row>
        <row r="16">
          <cell r="A16" t="str">
            <v>Change in working capital</v>
          </cell>
          <cell r="C16">
            <v>0</v>
          </cell>
          <cell r="D16">
            <v>258</v>
          </cell>
          <cell r="E16">
            <v>161</v>
          </cell>
          <cell r="F16">
            <v>28</v>
          </cell>
          <cell r="G16">
            <v>-36</v>
          </cell>
          <cell r="H16">
            <v>-8</v>
          </cell>
          <cell r="I16">
            <v>274</v>
          </cell>
          <cell r="J16">
            <v>166</v>
          </cell>
          <cell r="K16">
            <v>249</v>
          </cell>
          <cell r="L16">
            <v>278</v>
          </cell>
          <cell r="M16">
            <v>122</v>
          </cell>
          <cell r="N16">
            <v>-18.703215398714747</v>
          </cell>
          <cell r="O16">
            <v>-113.53194811519461</v>
          </cell>
          <cell r="P16">
            <v>-227.2776762299909</v>
          </cell>
          <cell r="Q16">
            <v>-273.37041081903863</v>
          </cell>
          <cell r="R16">
            <v>-268.60125593563589</v>
          </cell>
          <cell r="T16" t="str">
            <v>Largest swing factor in our forecasts, RR will try to reduce inventories to drive up FCF</v>
          </cell>
        </row>
        <row r="17">
          <cell r="A17" t="str">
            <v>Cash flow from JVs</v>
          </cell>
          <cell r="D17">
            <v>22</v>
          </cell>
          <cell r="E17">
            <v>18</v>
          </cell>
          <cell r="F17">
            <v>15</v>
          </cell>
          <cell r="G17">
            <v>0</v>
          </cell>
          <cell r="H17">
            <v>15</v>
          </cell>
          <cell r="I17">
            <v>35</v>
          </cell>
          <cell r="J17">
            <v>44</v>
          </cell>
          <cell r="K17">
            <v>42</v>
          </cell>
          <cell r="L17">
            <v>59</v>
          </cell>
          <cell r="M17">
            <v>77</v>
          </cell>
          <cell r="N17">
            <v>77.004000000000005</v>
          </cell>
          <cell r="O17">
            <v>78.544080000000008</v>
          </cell>
          <cell r="P17">
            <v>80.114961600000015</v>
          </cell>
          <cell r="Q17">
            <v>81.717260832000022</v>
          </cell>
          <cell r="R17">
            <v>83.351606048640008</v>
          </cell>
        </row>
        <row r="18">
          <cell r="A18" t="str">
            <v>Free Cash Flow</v>
          </cell>
          <cell r="D18">
            <v>229</v>
          </cell>
          <cell r="E18">
            <v>312</v>
          </cell>
          <cell r="F18">
            <v>162</v>
          </cell>
          <cell r="G18">
            <v>361</v>
          </cell>
          <cell r="H18">
            <v>529</v>
          </cell>
          <cell r="I18">
            <v>687</v>
          </cell>
          <cell r="J18">
            <v>461</v>
          </cell>
          <cell r="K18">
            <v>316</v>
          </cell>
          <cell r="L18">
            <v>585</v>
          </cell>
          <cell r="M18">
            <v>710</v>
          </cell>
          <cell r="N18">
            <v>674.67128692837571</v>
          </cell>
          <cell r="O18">
            <v>675.68247390217675</v>
          </cell>
          <cell r="P18">
            <v>739.23146310928917</v>
          </cell>
          <cell r="Q18">
            <v>910.76341521569407</v>
          </cell>
          <cell r="R18">
            <v>1082.5117447369823</v>
          </cell>
          <cell r="AE18" t="str">
            <v>275/</v>
          </cell>
        </row>
        <row r="20">
          <cell r="A20" t="str">
            <v>FCF as a % of Underlying Net Income</v>
          </cell>
          <cell r="F20">
            <v>0.61596958174904948</v>
          </cell>
          <cell r="H20">
            <v>2.0114068441064639</v>
          </cell>
          <cell r="I20">
            <v>1.9628571428571429</v>
          </cell>
          <cell r="J20">
            <v>0.4619238476953908</v>
          </cell>
          <cell r="K20">
            <v>0.52145214521452143</v>
          </cell>
          <cell r="L20">
            <v>-0.43656716417910446</v>
          </cell>
          <cell r="M20">
            <v>0.31967582170193609</v>
          </cell>
          <cell r="N20">
            <v>0.87929949796987128</v>
          </cell>
          <cell r="O20">
            <v>0.80397546408750575</v>
          </cell>
          <cell r="P20">
            <v>0.76101349032011989</v>
          </cell>
          <cell r="Q20">
            <v>0.80938188150934365</v>
          </cell>
          <cell r="R20">
            <v>0.85527068722007737</v>
          </cell>
        </row>
        <row r="22">
          <cell r="A22" t="str">
            <v>Diluted Shares Outstanding</v>
          </cell>
          <cell r="D22">
            <v>1624</v>
          </cell>
          <cell r="E22">
            <v>1671</v>
          </cell>
          <cell r="F22">
            <v>1752</v>
          </cell>
          <cell r="H22">
            <v>1752</v>
          </cell>
          <cell r="I22">
            <v>1813</v>
          </cell>
          <cell r="J22">
            <v>1810</v>
          </cell>
          <cell r="K22">
            <v>1838</v>
          </cell>
          <cell r="L22">
            <v>1820</v>
          </cell>
          <cell r="M22">
            <v>1845</v>
          </cell>
          <cell r="N22">
            <v>1847.2727272727273</v>
          </cell>
          <cell r="O22">
            <v>1851.6498316498316</v>
          </cell>
          <cell r="P22">
            <v>1855.7027060730766</v>
          </cell>
          <cell r="Q22">
            <v>1859.4553675760808</v>
          </cell>
          <cell r="R22">
            <v>1862.9300541529369</v>
          </cell>
        </row>
        <row r="23">
          <cell r="A23" t="str">
            <v>FCF/share</v>
          </cell>
          <cell r="D23">
            <v>14.100985221674877</v>
          </cell>
          <cell r="E23">
            <v>18.671454219030519</v>
          </cell>
          <cell r="F23">
            <v>9.2465753424657535</v>
          </cell>
          <cell r="H23">
            <v>30.19406392694064</v>
          </cell>
          <cell r="I23">
            <v>37.892995035852181</v>
          </cell>
          <cell r="J23">
            <v>25.46961325966851</v>
          </cell>
          <cell r="K23">
            <v>17.19260065288357</v>
          </cell>
          <cell r="L23">
            <v>32.142857142857146</v>
          </cell>
          <cell r="M23">
            <v>38.482384823848236</v>
          </cell>
          <cell r="N23">
            <v>36.522559823878609</v>
          </cell>
          <cell r="O23">
            <v>36.490834409016706</v>
          </cell>
          <cell r="P23">
            <v>39.835662290626559</v>
          </cell>
          <cell r="Q23">
            <v>48.980117033028471</v>
          </cell>
          <cell r="R23">
            <v>58.108018726940017</v>
          </cell>
        </row>
        <row r="24">
          <cell r="A24" t="str">
            <v xml:space="preserve">P/FCF </v>
          </cell>
          <cell r="I24">
            <v>11.611644832605531</v>
          </cell>
          <cell r="J24">
            <v>17.275488069414315</v>
          </cell>
          <cell r="K24">
            <v>25.592405063291139</v>
          </cell>
          <cell r="L24">
            <v>11.2</v>
          </cell>
          <cell r="M24">
            <v>9.3549295774647891</v>
          </cell>
        </row>
        <row r="25">
          <cell r="A25" t="str">
            <v>FCF Yield</v>
          </cell>
          <cell r="I25">
            <v>8.61204432633004E-2</v>
          </cell>
          <cell r="J25">
            <v>5.7885484681064796E-2</v>
          </cell>
          <cell r="K25">
            <v>3.9074092392917203E-2</v>
          </cell>
          <cell r="L25">
            <v>8.9285714285714288E-2</v>
          </cell>
          <cell r="M25">
            <v>0.10689551339957844</v>
          </cell>
        </row>
        <row r="27">
          <cell r="A27" t="str">
            <v>Target Value per Share</v>
          </cell>
          <cell r="N27">
            <v>698.51863232985727</v>
          </cell>
          <cell r="O27">
            <v>768.37049556284308</v>
          </cell>
          <cell r="P27">
            <v>845.20754511912742</v>
          </cell>
          <cell r="Q27">
            <v>929.72829963104027</v>
          </cell>
        </row>
        <row r="28">
          <cell r="A28" t="str">
            <v>Target Forward FCF multiple</v>
          </cell>
          <cell r="N28">
            <v>19.142303639876669</v>
          </cell>
          <cell r="O28">
            <v>19.288508120113338</v>
          </cell>
          <cell r="P28">
            <v>17.256135679487734</v>
          </cell>
          <cell r="Q28">
            <v>16</v>
          </cell>
        </row>
        <row r="29">
          <cell r="A29" t="str">
            <v>Required Return on Equity</v>
          </cell>
          <cell r="F29">
            <v>0.1</v>
          </cell>
          <cell r="I29">
            <v>0.1</v>
          </cell>
        </row>
        <row r="30">
          <cell r="A30" t="str">
            <v>Cash from operations</v>
          </cell>
          <cell r="B30">
            <v>479</v>
          </cell>
          <cell r="C30">
            <v>418</v>
          </cell>
          <cell r="D30">
            <v>611</v>
          </cell>
          <cell r="E30">
            <v>673</v>
          </cell>
          <cell r="F30">
            <v>640</v>
          </cell>
          <cell r="I30">
            <v>1060</v>
          </cell>
          <cell r="AB30">
            <v>164</v>
          </cell>
          <cell r="AC30">
            <v>446</v>
          </cell>
          <cell r="AE30">
            <v>340</v>
          </cell>
        </row>
        <row r="31">
          <cell r="A31" t="str">
            <v>Interest, dividends, taxation</v>
          </cell>
          <cell r="B31">
            <v>-162</v>
          </cell>
          <cell r="C31">
            <v>-147</v>
          </cell>
          <cell r="D31">
            <v>-222</v>
          </cell>
          <cell r="E31">
            <v>-176</v>
          </cell>
          <cell r="F31">
            <v>-150</v>
          </cell>
          <cell r="I31">
            <v>-224</v>
          </cell>
        </row>
        <row r="32">
          <cell r="A32" t="str">
            <v>Capital expenditure and financial investment</v>
          </cell>
          <cell r="B32">
            <v>-253</v>
          </cell>
          <cell r="C32">
            <v>-181</v>
          </cell>
          <cell r="D32">
            <v>-381</v>
          </cell>
          <cell r="E32">
            <v>-198</v>
          </cell>
          <cell r="F32">
            <v>-219</v>
          </cell>
          <cell r="I32">
            <v>-289</v>
          </cell>
        </row>
        <row r="33">
          <cell r="A33" t="str">
            <v>Dividends</v>
          </cell>
          <cell r="B33">
            <v>126</v>
          </cell>
          <cell r="C33">
            <v>132</v>
          </cell>
          <cell r="D33">
            <v>133</v>
          </cell>
          <cell r="E33">
            <v>53</v>
          </cell>
          <cell r="I33">
            <v>149</v>
          </cell>
        </row>
        <row r="34">
          <cell r="A34" t="str">
            <v>FCF</v>
          </cell>
          <cell r="B34">
            <v>190</v>
          </cell>
          <cell r="C34">
            <v>222</v>
          </cell>
          <cell r="D34">
            <v>141</v>
          </cell>
          <cell r="E34">
            <v>352</v>
          </cell>
          <cell r="F34">
            <v>271</v>
          </cell>
          <cell r="I34">
            <v>696</v>
          </cell>
          <cell r="J34">
            <v>461</v>
          </cell>
          <cell r="K34">
            <v>316</v>
          </cell>
          <cell r="L34">
            <v>585</v>
          </cell>
          <cell r="M34">
            <v>710</v>
          </cell>
          <cell r="N34">
            <v>674.67128692837571</v>
          </cell>
          <cell r="O34">
            <v>675.68247390217675</v>
          </cell>
          <cell r="P34">
            <v>739.23146310928917</v>
          </cell>
          <cell r="Q34">
            <v>910.76341521569407</v>
          </cell>
          <cell r="R34">
            <v>1082.5117447369823</v>
          </cell>
          <cell r="AB34">
            <v>44</v>
          </cell>
          <cell r="AE34">
            <v>175</v>
          </cell>
        </row>
        <row r="36">
          <cell r="I36">
            <v>103</v>
          </cell>
        </row>
        <row r="41">
          <cell r="O41" t="str">
            <v xml:space="preserve"> </v>
          </cell>
        </row>
        <row r="43">
          <cell r="I43">
            <v>8.9198544395924309</v>
          </cell>
          <cell r="J43">
            <v>13.270715835140997</v>
          </cell>
          <cell r="K43">
            <v>19.659620253164555</v>
          </cell>
        </row>
        <row r="44">
          <cell r="A44" t="str">
            <v>Base Case Valuation</v>
          </cell>
        </row>
        <row r="45">
          <cell r="A45" t="str">
            <v>Base-case 2010E FCF</v>
          </cell>
        </row>
        <row r="46">
          <cell r="A46" t="str">
            <v>FCF/share</v>
          </cell>
          <cell r="I46">
            <v>674.67128692837571</v>
          </cell>
        </row>
        <row r="47">
          <cell r="A47" t="str">
            <v>Target P/FCF</v>
          </cell>
          <cell r="I47">
            <v>36.522559823878609</v>
          </cell>
        </row>
        <row r="48">
          <cell r="A48" t="str">
            <v>YE 2009 Fair Value</v>
          </cell>
          <cell r="I48">
            <v>15</v>
          </cell>
        </row>
        <row r="49">
          <cell r="I49">
            <v>547.83839735817912</v>
          </cell>
        </row>
        <row r="50">
          <cell r="A50" t="str">
            <v>YE 2006 Fair Value</v>
          </cell>
        </row>
        <row r="51">
          <cell r="A51" t="str">
            <v>YE 2005 Fair Value</v>
          </cell>
          <cell r="I51">
            <v>411.59909643739968</v>
          </cell>
        </row>
        <row r="52">
          <cell r="A52" t="str">
            <v>12 month Target Value</v>
          </cell>
          <cell r="I52">
            <v>374.18099676127241</v>
          </cell>
        </row>
        <row r="53">
          <cell r="A53" t="str">
            <v>Required Return on Equity</v>
          </cell>
          <cell r="I53">
            <v>392.89004659933607</v>
          </cell>
        </row>
        <row r="54">
          <cell r="I54">
            <v>0.1</v>
          </cell>
        </row>
        <row r="55">
          <cell r="A55" t="str">
            <v>Bull Case Valuation</v>
          </cell>
        </row>
        <row r="56">
          <cell r="A56" t="str">
            <v>Base-case 2010E FCF</v>
          </cell>
        </row>
        <row r="57">
          <cell r="A57" t="str">
            <v>Incremental FCF in Bull Case</v>
          </cell>
          <cell r="I57">
            <v>674.67128692837571</v>
          </cell>
        </row>
        <row r="58">
          <cell r="A58" t="str">
            <v>Bull Case 2010 FCF</v>
          </cell>
        </row>
        <row r="59">
          <cell r="A59" t="str">
            <v>Bull Case 2010E FCF/share</v>
          </cell>
          <cell r="I59">
            <v>674.67128692837571</v>
          </cell>
        </row>
        <row r="60">
          <cell r="A60" t="str">
            <v>Target P/FCF</v>
          </cell>
          <cell r="I60">
            <v>36.522559823878609</v>
          </cell>
        </row>
        <row r="61">
          <cell r="A61" t="str">
            <v>YE 2009 Fair Value</v>
          </cell>
          <cell r="I61">
            <v>15</v>
          </cell>
        </row>
        <row r="62">
          <cell r="I62">
            <v>547.83839735817912</v>
          </cell>
        </row>
        <row r="63">
          <cell r="A63" t="str">
            <v>YE 2006 Fair Value</v>
          </cell>
        </row>
        <row r="64">
          <cell r="A64" t="str">
            <v>YE 2005 Fair Value</v>
          </cell>
          <cell r="I64">
            <v>411.59909643739968</v>
          </cell>
        </row>
        <row r="65">
          <cell r="A65" t="str">
            <v>12 month Target Value</v>
          </cell>
          <cell r="I65">
            <v>374.18099676127241</v>
          </cell>
        </row>
        <row r="66">
          <cell r="A66" t="str">
            <v>Required Return on Equity</v>
          </cell>
          <cell r="I66">
            <v>392.89004659933607</v>
          </cell>
        </row>
        <row r="67">
          <cell r="I67">
            <v>0.1</v>
          </cell>
        </row>
        <row r="68">
          <cell r="A68" t="str">
            <v>Bear Case Valuation</v>
          </cell>
        </row>
        <row r="69">
          <cell r="A69" t="str">
            <v>Base-case 2010E FCF</v>
          </cell>
        </row>
        <row r="70">
          <cell r="A70" t="str">
            <v>Downside FCF in Bear Case</v>
          </cell>
          <cell r="I70">
            <v>674.67128692837571</v>
          </cell>
        </row>
        <row r="71">
          <cell r="A71" t="str">
            <v>Bear Case 2010E FCF</v>
          </cell>
        </row>
        <row r="72">
          <cell r="A72" t="str">
            <v>Bull Case 2010E FCF/share</v>
          </cell>
          <cell r="I72">
            <v>674.67128692837571</v>
          </cell>
        </row>
        <row r="73">
          <cell r="I73">
            <v>36.522559823878609</v>
          </cell>
        </row>
        <row r="74">
          <cell r="A74" t="str">
            <v>Target P/FCF</v>
          </cell>
        </row>
        <row r="75">
          <cell r="A75" t="str">
            <v>YE 2009 Fair Value</v>
          </cell>
          <cell r="I75">
            <v>15</v>
          </cell>
        </row>
        <row r="76">
          <cell r="I76">
            <v>547.83839735817912</v>
          </cell>
        </row>
        <row r="78">
          <cell r="I78">
            <v>411.59909643739968</v>
          </cell>
        </row>
        <row r="79">
          <cell r="I79">
            <v>374.18099676127241</v>
          </cell>
        </row>
        <row r="80">
          <cell r="I80">
            <v>392.89004659933607</v>
          </cell>
        </row>
        <row r="81">
          <cell r="I81">
            <v>0.1</v>
          </cell>
        </row>
      </sheetData>
      <sheetData sheetId="13" refreshError="1">
        <row r="2">
          <cell r="A2" t="str">
            <v>(in millions £)</v>
          </cell>
          <cell r="G2" t="str">
            <v xml:space="preserve">2011E </v>
          </cell>
        </row>
        <row r="3">
          <cell r="A3" t="str">
            <v>Segment</v>
          </cell>
          <cell r="B3" t="str">
            <v xml:space="preserve">Value </v>
          </cell>
          <cell r="C3" t="str">
            <v>Value/share (p)</v>
          </cell>
          <cell r="D3" t="str">
            <v xml:space="preserve">% of Total </v>
          </cell>
          <cell r="G3" t="str">
            <v>EBITA</v>
          </cell>
          <cell r="H3" t="str">
            <v>Multiple</v>
          </cell>
        </row>
        <row r="4">
          <cell r="A4" t="str">
            <v>Civil Aerospace</v>
          </cell>
          <cell r="B4">
            <v>6333.6349989401715</v>
          </cell>
          <cell r="C4">
            <v>342.44278686823242</v>
          </cell>
          <cell r="D4">
            <v>0.50540320273456019</v>
          </cell>
          <cell r="G4">
            <v>554.72726895351991</v>
          </cell>
          <cell r="H4">
            <v>11.417565628039931</v>
          </cell>
        </row>
        <row r="5">
          <cell r="A5" t="str">
            <v>Defence Aero</v>
          </cell>
          <cell r="B5">
            <v>2558.856187926338</v>
          </cell>
          <cell r="C5">
            <v>138.35054346124215</v>
          </cell>
          <cell r="D5">
            <v>0.20418829202054165</v>
          </cell>
          <cell r="G5">
            <v>288.13661679501985</v>
          </cell>
          <cell r="H5">
            <v>8.880704633756098</v>
          </cell>
        </row>
        <row r="6">
          <cell r="A6" t="str">
            <v>Marine</v>
          </cell>
          <cell r="B6">
            <v>3239.5376671221748</v>
          </cell>
          <cell r="C6">
            <v>175.15317934796718</v>
          </cell>
          <cell r="D6">
            <v>0.25850443112316435</v>
          </cell>
          <cell r="G6">
            <v>343.32754372199997</v>
          </cell>
          <cell r="H6">
            <v>9.4357057170609693</v>
          </cell>
        </row>
        <row r="7">
          <cell r="A7" t="str">
            <v xml:space="preserve">Energy </v>
          </cell>
          <cell r="B7">
            <v>843.1166669776328</v>
          </cell>
          <cell r="C7">
            <v>45.585074154602907</v>
          </cell>
          <cell r="D7">
            <v>6.7277931841775898E-2</v>
          </cell>
          <cell r="G7">
            <v>52.195214921682258</v>
          </cell>
          <cell r="H7" t="str">
            <v>NM</v>
          </cell>
        </row>
        <row r="8">
          <cell r="A8" t="str">
            <v>Corporate</v>
          </cell>
          <cell r="B8">
            <v>-443.29972997986181</v>
          </cell>
          <cell r="C8">
            <v>-23.968036518940675</v>
          </cell>
          <cell r="D8">
            <v>-3.5373857720041986E-2</v>
          </cell>
          <cell r="G8">
            <v>-50</v>
          </cell>
          <cell r="H8">
            <v>8.8659945995972365</v>
          </cell>
        </row>
        <row r="9">
          <cell r="A9" t="str">
            <v>Consolidated Asset Value</v>
          </cell>
          <cell r="B9">
            <v>12531.845790986454</v>
          </cell>
          <cell r="C9">
            <v>677.56354731310398</v>
          </cell>
          <cell r="D9">
            <v>1.0000000000000002</v>
          </cell>
          <cell r="G9">
            <v>1188.386644392222</v>
          </cell>
          <cell r="H9">
            <v>10.545259701564241</v>
          </cell>
        </row>
        <row r="11">
          <cell r="A11" t="str">
            <v>Contingent liabilities</v>
          </cell>
          <cell r="B11">
            <v>-200</v>
          </cell>
        </row>
        <row r="12">
          <cell r="A12" t="str">
            <v>Long-term Debt</v>
          </cell>
          <cell r="B12">
            <v>-1913</v>
          </cell>
        </row>
        <row r="13">
          <cell r="A13" t="str">
            <v>Average 2010e cash</v>
          </cell>
          <cell r="B13">
            <v>3274.2954971378549</v>
          </cell>
        </row>
        <row r="14">
          <cell r="A14" t="str">
            <v>Pension deficit</v>
          </cell>
          <cell r="B14">
            <v>-435.08699999999953</v>
          </cell>
        </row>
        <row r="15">
          <cell r="A15" t="str">
            <v>Total Net Debt</v>
          </cell>
          <cell r="B15">
            <v>726.20849713785537</v>
          </cell>
        </row>
        <row r="17">
          <cell r="A17" t="str">
            <v>Total Equity Value</v>
          </cell>
          <cell r="B17">
            <v>13258.054288124309</v>
          </cell>
        </row>
        <row r="19">
          <cell r="A19" t="str">
            <v>2010e Fair Market Value</v>
          </cell>
          <cell r="B19">
            <v>716.82770788580683</v>
          </cell>
        </row>
        <row r="20">
          <cell r="A20" t="str">
            <v>Total Shares Outstanding</v>
          </cell>
          <cell r="B20">
            <v>1849.5454545454545</v>
          </cell>
        </row>
      </sheetData>
      <sheetData sheetId="14"/>
      <sheetData sheetId="15"/>
      <sheetData sheetId="16" refreshError="1">
        <row r="1">
          <cell r="B1">
            <v>2007</v>
          </cell>
          <cell r="C1">
            <v>2008</v>
          </cell>
          <cell r="D1">
            <v>2009</v>
          </cell>
          <cell r="E1" t="str">
            <v>2010e</v>
          </cell>
          <cell r="F1" t="str">
            <v>2011e</v>
          </cell>
          <cell r="G1" t="str">
            <v>2012e</v>
          </cell>
          <cell r="H1" t="str">
            <v>2013e</v>
          </cell>
        </row>
        <row r="3">
          <cell r="A3" t="str">
            <v>Base Case - topline</v>
          </cell>
        </row>
        <row r="4">
          <cell r="A4" t="str">
            <v>Revenue</v>
          </cell>
          <cell r="B4">
            <v>7435</v>
          </cell>
          <cell r="C4">
            <v>9082</v>
          </cell>
          <cell r="D4">
            <v>10414</v>
          </cell>
          <cell r="E4">
            <v>10504.628687793149</v>
          </cell>
          <cell r="F4">
            <v>11333.869412789531</v>
          </cell>
          <cell r="G4">
            <v>12197.254435587442</v>
          </cell>
          <cell r="H4">
            <v>13099.104931524082</v>
          </cell>
        </row>
        <row r="5">
          <cell r="A5" t="str">
            <v>Change %</v>
          </cell>
          <cell r="C5">
            <v>0.22151983860121049</v>
          </cell>
          <cell r="D5">
            <v>0.14666373045584669</v>
          </cell>
          <cell r="E5">
            <v>8.7025818891059981E-3</v>
          </cell>
          <cell r="F5">
            <v>7.8940508002914633E-2</v>
          </cell>
          <cell r="G5">
            <v>7.6177428145028481E-2</v>
          </cell>
          <cell r="H5">
            <v>7.3938811451317088E-2</v>
          </cell>
        </row>
        <row r="6">
          <cell r="A6" t="str">
            <v>EBIT</v>
          </cell>
          <cell r="B6">
            <v>832</v>
          </cell>
          <cell r="C6">
            <v>919</v>
          </cell>
          <cell r="D6">
            <v>983</v>
          </cell>
          <cell r="E6">
            <v>1083.1120909282458</v>
          </cell>
          <cell r="F6">
            <v>1188.386644392222</v>
          </cell>
          <cell r="G6">
            <v>1373.9978971046339</v>
          </cell>
          <cell r="H6">
            <v>1581.6182940675674</v>
          </cell>
        </row>
        <row r="7">
          <cell r="A7" t="str">
            <v>Margin %</v>
          </cell>
          <cell r="B7">
            <v>0.11190316072629455</v>
          </cell>
          <cell r="C7">
            <v>0.10118916538207444</v>
          </cell>
          <cell r="D7">
            <v>9.439216439408489E-2</v>
          </cell>
          <cell r="E7">
            <v>0.10310807960179219</v>
          </cell>
          <cell r="F7">
            <v>0.1048526854430849</v>
          </cell>
          <cell r="G7">
            <v>0.11264812949181212</v>
          </cell>
          <cell r="H7">
            <v>0.1207424707516673</v>
          </cell>
        </row>
        <row r="8">
          <cell r="A8" t="str">
            <v>EPS</v>
          </cell>
          <cell r="B8">
            <v>32.970620239390641</v>
          </cell>
          <cell r="C8">
            <v>-73.626373626373635</v>
          </cell>
          <cell r="D8">
            <v>39.674796747967477</v>
          </cell>
          <cell r="E8">
            <v>41.535972564754076</v>
          </cell>
          <cell r="F8">
            <v>45.387995080711818</v>
          </cell>
          <cell r="G8">
            <v>52.345540252998276</v>
          </cell>
          <cell r="H8">
            <v>60.515460194994539</v>
          </cell>
        </row>
        <row r="10">
          <cell r="A10" t="str">
            <v>Base Case - Civil after-market</v>
          </cell>
        </row>
        <row r="11">
          <cell r="B11">
            <v>2007</v>
          </cell>
          <cell r="C11">
            <v>2008</v>
          </cell>
          <cell r="D11">
            <v>2009</v>
          </cell>
          <cell r="E11" t="str">
            <v>2010e</v>
          </cell>
          <cell r="F11" t="str">
            <v>2011e</v>
          </cell>
          <cell r="G11" t="str">
            <v>2012e</v>
          </cell>
          <cell r="H11" t="str">
            <v>2013e</v>
          </cell>
        </row>
        <row r="12">
          <cell r="A12" t="str">
            <v>Revenue (USD terms)</v>
          </cell>
          <cell r="B12">
            <v>5108</v>
          </cell>
          <cell r="C12">
            <v>4988.58</v>
          </cell>
          <cell r="D12">
            <v>4201.6000000000004</v>
          </cell>
          <cell r="E12">
            <v>4586.282339260064</v>
          </cell>
          <cell r="F12">
            <v>5022.6528532213715</v>
          </cell>
          <cell r="G12">
            <v>5505.3337504966257</v>
          </cell>
          <cell r="H12">
            <v>6000.5503645203335</v>
          </cell>
        </row>
        <row r="13">
          <cell r="C13">
            <v>-2.3379013312451069E-2</v>
          </cell>
          <cell r="D13">
            <v>-0.15775631542442936</v>
          </cell>
          <cell r="E13">
            <v>9.155615462206379E-2</v>
          </cell>
          <cell r="F13">
            <v>9.5146892773223746E-2</v>
          </cell>
          <cell r="G13">
            <v>9.6100788045838659E-2</v>
          </cell>
          <cell r="H13">
            <v>8.9952151216815102E-2</v>
          </cell>
        </row>
        <row r="15">
          <cell r="A15" t="str">
            <v>Factor 1 - Top-line</v>
          </cell>
          <cell r="B15">
            <v>2007</v>
          </cell>
          <cell r="C15">
            <v>2008</v>
          </cell>
          <cell r="D15">
            <v>2009</v>
          </cell>
          <cell r="E15" t="str">
            <v>2010e</v>
          </cell>
          <cell r="F15" t="str">
            <v>2011e</v>
          </cell>
          <cell r="G15" t="str">
            <v>2012e</v>
          </cell>
          <cell r="H15" t="str">
            <v>2013e</v>
          </cell>
        </row>
        <row r="17">
          <cell r="A17" t="str">
            <v>Top-line upside</v>
          </cell>
        </row>
        <row r="18">
          <cell r="A18" t="str">
            <v>Revenue</v>
          </cell>
          <cell r="D18">
            <v>10414</v>
          </cell>
          <cell r="E18">
            <v>10660.838687793148</v>
          </cell>
          <cell r="F18">
            <v>11662.323289861561</v>
          </cell>
          <cell r="G18">
            <v>12725.663933627004</v>
          </cell>
          <cell r="H18">
            <v>13857.469358812681</v>
          </cell>
        </row>
        <row r="19">
          <cell r="A19" t="str">
            <v>Change %</v>
          </cell>
          <cell r="E19">
            <v>2.3702581889105998E-2</v>
          </cell>
          <cell r="F19">
            <v>9.3940508002914633E-2</v>
          </cell>
          <cell r="G19">
            <v>9.117742814502848E-2</v>
          </cell>
          <cell r="H19">
            <v>8.8938811451317087E-2</v>
          </cell>
        </row>
        <row r="20">
          <cell r="A20" t="str">
            <v>Incremental revenue</v>
          </cell>
          <cell r="E20">
            <v>156.20999999999913</v>
          </cell>
          <cell r="F20">
            <v>328.45387707203008</v>
          </cell>
          <cell r="G20">
            <v>528.4094980395621</v>
          </cell>
          <cell r="H20">
            <v>758.36442728859947</v>
          </cell>
        </row>
        <row r="21">
          <cell r="A21" t="str">
            <v>Incremental EBIT</v>
          </cell>
          <cell r="E21">
            <v>23.431499999999868</v>
          </cell>
          <cell r="F21">
            <v>49.268081560804511</v>
          </cell>
          <cell r="G21">
            <v>79.261424705934317</v>
          </cell>
          <cell r="H21">
            <v>113.75466409328992</v>
          </cell>
        </row>
        <row r="22">
          <cell r="A22" t="str">
            <v>Incremental margin</v>
          </cell>
          <cell r="E22">
            <v>0.15</v>
          </cell>
          <cell r="F22">
            <v>0.15</v>
          </cell>
          <cell r="G22">
            <v>0.15</v>
          </cell>
          <cell r="H22">
            <v>0.15</v>
          </cell>
        </row>
        <row r="24">
          <cell r="A24" t="str">
            <v>Valuation impact</v>
          </cell>
          <cell r="E24">
            <v>940.12119085363554</v>
          </cell>
          <cell r="F24">
            <v>1034.1333099389992</v>
          </cell>
          <cell r="G24">
            <v>1137.5466409328992</v>
          </cell>
        </row>
        <row r="25">
          <cell r="A25" t="str">
            <v>Upside per share</v>
          </cell>
          <cell r="E25">
            <v>50.89238730014759</v>
          </cell>
        </row>
        <row r="28">
          <cell r="A28" t="str">
            <v>Top-line downside</v>
          </cell>
        </row>
        <row r="29">
          <cell r="A29" t="str">
            <v>Revenue</v>
          </cell>
          <cell r="D29">
            <v>10414</v>
          </cell>
          <cell r="E29">
            <v>10192.208687793149</v>
          </cell>
          <cell r="F29">
            <v>10691.020558645465</v>
          </cell>
          <cell r="G29">
            <v>11184.704392289337</v>
          </cell>
          <cell r="H29">
            <v>11676.147009720857</v>
          </cell>
        </row>
        <row r="30">
          <cell r="A30" t="str">
            <v>Change %</v>
          </cell>
          <cell r="E30">
            <v>-2.1297418110894001E-2</v>
          </cell>
          <cell r="F30">
            <v>4.8940508002914634E-2</v>
          </cell>
          <cell r="G30">
            <v>4.6177428145028482E-2</v>
          </cell>
          <cell r="H30">
            <v>4.3938811451317089E-2</v>
          </cell>
        </row>
        <row r="31">
          <cell r="A31" t="str">
            <v>Revenue downside</v>
          </cell>
          <cell r="E31">
            <v>-312.42000000000007</v>
          </cell>
          <cell r="F31">
            <v>-642.84885414406563</v>
          </cell>
          <cell r="G31">
            <v>-1012.5500432981044</v>
          </cell>
          <cell r="H31">
            <v>-1422.957921803225</v>
          </cell>
        </row>
        <row r="32">
          <cell r="A32" t="str">
            <v>EBIT downside</v>
          </cell>
          <cell r="E32">
            <v>-46.863000000000007</v>
          </cell>
          <cell r="F32">
            <v>-96.427328121609847</v>
          </cell>
          <cell r="G32">
            <v>-151.88250649471564</v>
          </cell>
          <cell r="H32">
            <v>-213.44368827048373</v>
          </cell>
        </row>
        <row r="33">
          <cell r="A33" t="str">
            <v>Incremental margin</v>
          </cell>
          <cell r="E33">
            <v>0.15</v>
          </cell>
          <cell r="F33">
            <v>0.15</v>
          </cell>
          <cell r="G33">
            <v>0.15</v>
          </cell>
          <cell r="H33">
            <v>0.15</v>
          </cell>
        </row>
        <row r="35">
          <cell r="A35" t="str">
            <v>Valuation impact</v>
          </cell>
          <cell r="E35">
            <v>-1763.9974237230058</v>
          </cell>
          <cell r="F35">
            <v>-1940.3971660953066</v>
          </cell>
          <cell r="G35">
            <v>-2134.4368827048374</v>
          </cell>
        </row>
        <row r="36">
          <cell r="A36" t="str">
            <v>Upside per share</v>
          </cell>
          <cell r="E36">
            <v>-95.491986520438303</v>
          </cell>
        </row>
        <row r="40">
          <cell r="A40" t="str">
            <v>Factor 2 - margins</v>
          </cell>
          <cell r="B40">
            <v>2007</v>
          </cell>
          <cell r="C40">
            <v>2008</v>
          </cell>
          <cell r="D40">
            <v>2009</v>
          </cell>
          <cell r="E40" t="str">
            <v>2010e</v>
          </cell>
          <cell r="F40" t="str">
            <v>2011e</v>
          </cell>
          <cell r="G40" t="str">
            <v>2012e</v>
          </cell>
          <cell r="H40" t="str">
            <v>2013e</v>
          </cell>
        </row>
        <row r="43">
          <cell r="A43" t="str">
            <v>Margin upside</v>
          </cell>
        </row>
        <row r="44">
          <cell r="A44" t="str">
            <v>Revenue</v>
          </cell>
          <cell r="D44">
            <v>10414</v>
          </cell>
          <cell r="E44">
            <v>10504.628687793149</v>
          </cell>
          <cell r="F44">
            <v>11333.869412789531</v>
          </cell>
          <cell r="G44">
            <v>12197.254435587442</v>
          </cell>
          <cell r="H44">
            <v>13099.104931524082</v>
          </cell>
        </row>
        <row r="45">
          <cell r="A45" t="str">
            <v>Change %</v>
          </cell>
          <cell r="E45">
            <v>8.7025818891059981E-3</v>
          </cell>
          <cell r="F45">
            <v>7.8940508002914633E-2</v>
          </cell>
          <cell r="G45">
            <v>7.6177428145028481E-2</v>
          </cell>
          <cell r="H45">
            <v>7.3938811451317088E-2</v>
          </cell>
        </row>
        <row r="46">
          <cell r="A46" t="str">
            <v xml:space="preserve">EBIT </v>
          </cell>
          <cell r="E46">
            <v>1188.1583778061772</v>
          </cell>
          <cell r="F46">
            <v>1301.7253385201172</v>
          </cell>
          <cell r="G46">
            <v>1495.9704414605083</v>
          </cell>
          <cell r="H46">
            <v>1712.6093433828082</v>
          </cell>
        </row>
        <row r="47">
          <cell r="A47" t="str">
            <v>EBIT margin</v>
          </cell>
          <cell r="E47">
            <v>0.11310807960179219</v>
          </cell>
          <cell r="F47">
            <v>0.1148526854430849</v>
          </cell>
          <cell r="G47">
            <v>0.12264812949181211</v>
          </cell>
          <cell r="H47">
            <v>0.13074247075166731</v>
          </cell>
        </row>
        <row r="48">
          <cell r="A48" t="str">
            <v>EBIT upside</v>
          </cell>
          <cell r="E48">
            <v>105.04628687793138</v>
          </cell>
          <cell r="F48">
            <v>113.33869412789522</v>
          </cell>
          <cell r="G48">
            <v>121.97254435587433</v>
          </cell>
          <cell r="H48">
            <v>130.99104931524084</v>
          </cell>
        </row>
        <row r="50">
          <cell r="A50" t="str">
            <v>Valuation impact</v>
          </cell>
          <cell r="E50">
            <v>1082.5706554978581</v>
          </cell>
          <cell r="F50">
            <v>1190.827721047644</v>
          </cell>
          <cell r="G50">
            <v>1309.9104931524084</v>
          </cell>
        </row>
        <row r="51">
          <cell r="A51" t="str">
            <v>Upside per share</v>
          </cell>
          <cell r="E51">
            <v>58.60372642951004</v>
          </cell>
        </row>
        <row r="54">
          <cell r="A54" t="str">
            <v>Margin downside</v>
          </cell>
        </row>
        <row r="55">
          <cell r="A55" t="str">
            <v>Revenue</v>
          </cell>
          <cell r="D55">
            <v>10414</v>
          </cell>
          <cell r="E55">
            <v>10504.628687793149</v>
          </cell>
          <cell r="F55">
            <v>11333.869412789531</v>
          </cell>
          <cell r="G55">
            <v>12197.254435587442</v>
          </cell>
          <cell r="H55">
            <v>13099.104931524082</v>
          </cell>
        </row>
        <row r="56">
          <cell r="A56" t="str">
            <v>Change %</v>
          </cell>
          <cell r="E56">
            <v>8.7025818891059981E-3</v>
          </cell>
          <cell r="F56">
            <v>7.8940508002914633E-2</v>
          </cell>
          <cell r="G56">
            <v>7.6177428145028481E-2</v>
          </cell>
          <cell r="H56">
            <v>7.3938811451317088E-2</v>
          </cell>
        </row>
        <row r="57">
          <cell r="A57" t="str">
            <v xml:space="preserve">EBIT </v>
          </cell>
          <cell r="E57">
            <v>925.54266061134865</v>
          </cell>
          <cell r="F57">
            <v>1018.3786032003791</v>
          </cell>
          <cell r="G57">
            <v>1130.052808392885</v>
          </cell>
          <cell r="H57">
            <v>1385.1317200947062</v>
          </cell>
        </row>
        <row r="58">
          <cell r="A58" t="str">
            <v>EBIT margin</v>
          </cell>
          <cell r="E58">
            <v>8.8108079601792191E-2</v>
          </cell>
          <cell r="F58">
            <v>8.9852685443084904E-2</v>
          </cell>
          <cell r="G58">
            <v>9.2648129491812115E-2</v>
          </cell>
          <cell r="H58">
            <v>0.1057424707516673</v>
          </cell>
        </row>
        <row r="59">
          <cell r="A59" t="str">
            <v>EBIT downside</v>
          </cell>
          <cell r="E59">
            <v>-157.56943031689718</v>
          </cell>
          <cell r="F59">
            <v>-170.00804119184295</v>
          </cell>
          <cell r="G59">
            <v>-243.94508871174889</v>
          </cell>
          <cell r="H59">
            <v>-196.48657397286115</v>
          </cell>
        </row>
        <row r="61">
          <cell r="A61" t="str">
            <v>Valuation impact</v>
          </cell>
          <cell r="E61">
            <v>-1623.8559832467861</v>
          </cell>
          <cell r="F61">
            <v>-1786.2415815714648</v>
          </cell>
          <cell r="G61">
            <v>-1964.8657397286115</v>
          </cell>
        </row>
        <row r="62">
          <cell r="A62" t="str">
            <v>Upside per share</v>
          </cell>
          <cell r="E62">
            <v>-87.905589644264992</v>
          </cell>
        </row>
        <row r="67">
          <cell r="A67" t="str">
            <v>Summary</v>
          </cell>
        </row>
        <row r="69">
          <cell r="J69" t="str">
            <v>2010-13e</v>
          </cell>
        </row>
        <row r="70">
          <cell r="A70" t="str">
            <v>£mn</v>
          </cell>
          <cell r="D70">
            <v>2009</v>
          </cell>
          <cell r="E70" t="str">
            <v>2010e</v>
          </cell>
          <cell r="F70" t="str">
            <v>2011e</v>
          </cell>
          <cell r="G70" t="str">
            <v>2012e</v>
          </cell>
          <cell r="H70" t="str">
            <v>2013e</v>
          </cell>
          <cell r="J70" t="str">
            <v>CAGR %</v>
          </cell>
        </row>
        <row r="71">
          <cell r="A71" t="str">
            <v>Base Case</v>
          </cell>
        </row>
        <row r="72">
          <cell r="A72" t="str">
            <v>Revenue</v>
          </cell>
          <cell r="E72">
            <v>10504.628687793149</v>
          </cell>
          <cell r="F72">
            <v>11333.869412789531</v>
          </cell>
          <cell r="G72">
            <v>12197.254435587442</v>
          </cell>
          <cell r="H72">
            <v>13099.104931524082</v>
          </cell>
          <cell r="J72">
            <v>7.6350305548355868E-2</v>
          </cell>
        </row>
        <row r="73">
          <cell r="A73" t="str">
            <v>EBIT</v>
          </cell>
          <cell r="E73">
            <v>1083.1120909282458</v>
          </cell>
          <cell r="F73">
            <v>1188.386644392222</v>
          </cell>
          <cell r="G73">
            <v>1373.9978971046339</v>
          </cell>
          <cell r="H73">
            <v>1581.6182940675674</v>
          </cell>
          <cell r="J73">
            <v>0.13451286562294129</v>
          </cell>
        </row>
        <row r="74">
          <cell r="A74" t="str">
            <v>Margin %</v>
          </cell>
          <cell r="E74">
            <v>0.10310807960179219</v>
          </cell>
          <cell r="F74">
            <v>0.1048526854430849</v>
          </cell>
          <cell r="G74">
            <v>0.11264812949181212</v>
          </cell>
          <cell r="H74">
            <v>0.1207424707516673</v>
          </cell>
        </row>
        <row r="75">
          <cell r="A75" t="str">
            <v xml:space="preserve"> Base Case EPS</v>
          </cell>
          <cell r="E75">
            <v>41.535972564754076</v>
          </cell>
          <cell r="F75">
            <v>45.387995080711818</v>
          </cell>
          <cell r="G75">
            <v>52.345540252998276</v>
          </cell>
          <cell r="H75">
            <v>60.515460194994539</v>
          </cell>
          <cell r="J75">
            <v>0.1336543325046986</v>
          </cell>
        </row>
        <row r="77">
          <cell r="A77" t="str">
            <v>Consolidated asset value</v>
          </cell>
          <cell r="E77">
            <v>675.17248977886447</v>
          </cell>
          <cell r="F77">
            <v>742.68973875675101</v>
          </cell>
          <cell r="G77">
            <v>816.95871263242623</v>
          </cell>
        </row>
        <row r="78">
          <cell r="A78" t="str">
            <v>Target forward P/E</v>
          </cell>
          <cell r="G78">
            <v>13.5</v>
          </cell>
        </row>
        <row r="79">
          <cell r="A79" t="str">
            <v>Present value of dividends</v>
          </cell>
          <cell r="E79">
            <v>44.219973163716098</v>
          </cell>
        </row>
        <row r="80">
          <cell r="A80" t="str">
            <v>Target Price</v>
          </cell>
          <cell r="E80">
            <v>720</v>
          </cell>
          <cell r="I80">
            <v>720</v>
          </cell>
        </row>
        <row r="81">
          <cell r="A81" t="str">
            <v>Implied multiples</v>
          </cell>
          <cell r="E81">
            <v>17.334372004351859</v>
          </cell>
          <cell r="F81">
            <v>15.8632254788882</v>
          </cell>
          <cell r="G81">
            <v>13.754753442606019</v>
          </cell>
        </row>
        <row r="83">
          <cell r="D83">
            <v>2009</v>
          </cell>
          <cell r="E83" t="str">
            <v>2010e</v>
          </cell>
          <cell r="F83" t="str">
            <v>2011e</v>
          </cell>
          <cell r="G83" t="str">
            <v>2012e</v>
          </cell>
          <cell r="H83" t="str">
            <v>2013e</v>
          </cell>
        </row>
        <row r="84">
          <cell r="A84" t="str">
            <v>Bull Case</v>
          </cell>
        </row>
        <row r="85">
          <cell r="A85" t="str">
            <v>Revenue</v>
          </cell>
          <cell r="E85">
            <v>10660.838687793148</v>
          </cell>
          <cell r="F85">
            <v>11662.323289861561</v>
          </cell>
          <cell r="G85">
            <v>12725.663933627004</v>
          </cell>
          <cell r="H85">
            <v>13857.469358812681</v>
          </cell>
          <cell r="J85">
            <v>9.1350332258545608E-2</v>
          </cell>
        </row>
        <row r="86">
          <cell r="A86" t="str">
            <v>EBIT</v>
          </cell>
          <cell r="E86">
            <v>1211.5898778061771</v>
          </cell>
          <cell r="F86">
            <v>1350.9934200809219</v>
          </cell>
          <cell r="G86">
            <v>1575.2318661664426</v>
          </cell>
          <cell r="H86">
            <v>1826.3640074760981</v>
          </cell>
          <cell r="J86">
            <v>0.14659638401751418</v>
          </cell>
        </row>
        <row r="87">
          <cell r="A87" t="str">
            <v>Margin %</v>
          </cell>
          <cell r="E87">
            <v>0.11364864559797433</v>
          </cell>
          <cell r="F87">
            <v>0.11584256296988309</v>
          </cell>
          <cell r="G87">
            <v>0.12378386498200397</v>
          </cell>
          <cell r="H87">
            <v>0.13179635907436582</v>
          </cell>
        </row>
        <row r="88">
          <cell r="A88" t="str">
            <v>NOPAT</v>
          </cell>
          <cell r="E88">
            <v>884.46061079850926</v>
          </cell>
          <cell r="F88">
            <v>986.22519665907294</v>
          </cell>
          <cell r="G88">
            <v>1149.9192623015031</v>
          </cell>
          <cell r="H88">
            <v>1333.2457254575515</v>
          </cell>
        </row>
        <row r="89">
          <cell r="A89" t="str">
            <v>Bull Case EPS</v>
          </cell>
          <cell r="E89">
            <v>46.619375514395799</v>
          </cell>
          <cell r="F89">
            <v>51.813843549118602</v>
          </cell>
          <cell r="G89">
            <v>60.279048787073037</v>
          </cell>
          <cell r="H89">
            <v>70.143315465319915</v>
          </cell>
          <cell r="J89">
            <v>0.14588212838028447</v>
          </cell>
        </row>
        <row r="91">
          <cell r="A91" t="str">
            <v>Consolidated asset value</v>
          </cell>
          <cell r="E91">
            <v>840.56039193978404</v>
          </cell>
          <cell r="F91">
            <v>924.61643113376249</v>
          </cell>
          <cell r="G91">
            <v>1017.0780742471388</v>
          </cell>
        </row>
        <row r="92">
          <cell r="A92" t="str">
            <v>Target forward P/E</v>
          </cell>
          <cell r="G92">
            <v>14.5</v>
          </cell>
        </row>
        <row r="93">
          <cell r="A93" t="str">
            <v>Present value of dividends</v>
          </cell>
          <cell r="E93">
            <v>44.219973163716098</v>
          </cell>
        </row>
        <row r="94">
          <cell r="A94" t="str">
            <v>Target Price</v>
          </cell>
          <cell r="E94">
            <v>884.78036510350012</v>
          </cell>
          <cell r="I94">
            <v>885</v>
          </cell>
        </row>
        <row r="95">
          <cell r="A95" t="str">
            <v>Implied multiples</v>
          </cell>
          <cell r="E95">
            <v>18.983523271921928</v>
          </cell>
          <cell r="F95">
            <v>17.080377354384755</v>
          </cell>
          <cell r="G95">
            <v>14.68171807299305</v>
          </cell>
          <cell r="I95" t="str">
            <v>.</v>
          </cell>
        </row>
        <row r="97">
          <cell r="A97" t="str">
            <v>Bear Case</v>
          </cell>
        </row>
        <row r="98">
          <cell r="A98" t="str">
            <v>Revenue</v>
          </cell>
          <cell r="E98">
            <v>10192.208687793149</v>
          </cell>
          <cell r="F98">
            <v>10691.020558645465</v>
          </cell>
          <cell r="G98">
            <v>11184.704392289337</v>
          </cell>
          <cell r="H98">
            <v>11676.147009720857</v>
          </cell>
          <cell r="J98">
            <v>4.6350249830918955E-2</v>
          </cell>
        </row>
        <row r="99">
          <cell r="A99" t="str">
            <v>EBIT</v>
          </cell>
          <cell r="E99">
            <v>878.6796606113486</v>
          </cell>
          <cell r="F99">
            <v>921.95127507876919</v>
          </cell>
          <cell r="G99">
            <v>978.17030189816933</v>
          </cell>
          <cell r="H99">
            <v>1171.6880318242224</v>
          </cell>
          <cell r="J99">
            <v>0.10067847492641824</v>
          </cell>
        </row>
        <row r="100">
          <cell r="A100" t="str">
            <v>Margin %</v>
          </cell>
          <cell r="E100">
            <v>8.6210917331756801E-2</v>
          </cell>
          <cell r="F100">
            <v>8.623603986367967E-2</v>
          </cell>
          <cell r="G100">
            <v>8.7456071040421385E-2</v>
          </cell>
          <cell r="H100">
            <v>0.10034885916122378</v>
          </cell>
        </row>
        <row r="101">
          <cell r="A101" t="str">
            <v>NOPAT</v>
          </cell>
          <cell r="E101">
            <v>641.43615224628445</v>
          </cell>
          <cell r="F101">
            <v>673.02443080750152</v>
          </cell>
          <cell r="G101">
            <v>714.06432038566356</v>
          </cell>
          <cell r="H101">
            <v>855.3322632316823</v>
          </cell>
        </row>
        <row r="102">
          <cell r="A102" t="str">
            <v>Bear Case EPS</v>
          </cell>
          <cell r="E102">
            <v>33.447318140291472</v>
          </cell>
          <cell r="F102">
            <v>34.859077681169367</v>
          </cell>
          <cell r="G102">
            <v>36.740314061647659</v>
          </cell>
          <cell r="H102">
            <v>44.389542478848384</v>
          </cell>
          <cell r="J102">
            <v>9.8937826747595992E-2</v>
          </cell>
        </row>
        <row r="104">
          <cell r="A104" t="str">
            <v>Consolidated asset value</v>
          </cell>
          <cell r="E104">
            <v>458.56965370711129</v>
          </cell>
          <cell r="F104">
            <v>504.42661907782247</v>
          </cell>
          <cell r="G104">
            <v>554.86928098560475</v>
          </cell>
        </row>
        <row r="105">
          <cell r="A105" t="str">
            <v>Target forward P/E</v>
          </cell>
          <cell r="G105">
            <v>12.5</v>
          </cell>
        </row>
        <row r="106">
          <cell r="A106" t="str">
            <v>Present value of dividends</v>
          </cell>
          <cell r="E106">
            <v>44.219973163716098</v>
          </cell>
        </row>
        <row r="107">
          <cell r="A107" t="str">
            <v>Target Price</v>
          </cell>
          <cell r="E107">
            <v>500</v>
          </cell>
          <cell r="I107">
            <v>500</v>
          </cell>
        </row>
        <row r="108">
          <cell r="A108" t="str">
            <v>Implied multiples</v>
          </cell>
          <cell r="E108">
            <v>14.948881638366323</v>
          </cell>
          <cell r="F108">
            <v>14.343466128769567</v>
          </cell>
          <cell r="G108">
            <v>13.609029012681688</v>
          </cell>
        </row>
        <row r="111">
          <cell r="K111" t="str">
            <v>Current share price</v>
          </cell>
          <cell r="L111">
            <v>580</v>
          </cell>
        </row>
        <row r="112">
          <cell r="K112" t="str">
            <v>Upside to bull</v>
          </cell>
          <cell r="L112">
            <v>0.52586206896551735</v>
          </cell>
        </row>
        <row r="113">
          <cell r="K113" t="str">
            <v>Upside to base</v>
          </cell>
          <cell r="L113">
            <v>0.24137931034482762</v>
          </cell>
        </row>
        <row r="114">
          <cell r="K114" t="str">
            <v>Dowside to bear</v>
          </cell>
          <cell r="L114">
            <v>-0.13793103448275867</v>
          </cell>
        </row>
        <row r="115">
          <cell r="E115">
            <v>790.67182637761948</v>
          </cell>
          <cell r="F115">
            <v>867.52225040632209</v>
          </cell>
          <cell r="G115">
            <v>1003.0184648863827</v>
          </cell>
          <cell r="H115">
            <v>1154.5813546693241</v>
          </cell>
        </row>
        <row r="118">
          <cell r="D118">
            <v>2009</v>
          </cell>
          <cell r="E118" t="str">
            <v>2010e</v>
          </cell>
          <cell r="F118" t="str">
            <v>2011e</v>
          </cell>
          <cell r="G118" t="str">
            <v>2012e</v>
          </cell>
          <cell r="H118" t="str">
            <v>2013e</v>
          </cell>
        </row>
        <row r="119">
          <cell r="A119" t="str">
            <v>Dividends</v>
          </cell>
          <cell r="D119">
            <v>15.011513216700001</v>
          </cell>
          <cell r="E119">
            <v>15.762088877535001</v>
          </cell>
          <cell r="F119">
            <v>16.550193321411751</v>
          </cell>
          <cell r="G119">
            <v>17.377702987482341</v>
          </cell>
          <cell r="H119">
            <v>18.24658813685646</v>
          </cell>
        </row>
      </sheetData>
      <sheetData sheetId="17"/>
      <sheetData sheetId="18"/>
      <sheetData sheetId="19"/>
      <sheetData sheetId="20"/>
      <sheetData sheetId="21" refreshError="1">
        <row r="4">
          <cell r="A4" t="str">
            <v>Dollarised content</v>
          </cell>
        </row>
        <row r="6">
          <cell r="B6" t="str">
            <v>Percentage USD costs</v>
          </cell>
          <cell r="E6" t="str">
            <v>EIS</v>
          </cell>
        </row>
        <row r="7">
          <cell r="A7" t="str">
            <v>RB211</v>
          </cell>
          <cell r="B7">
            <v>0.25</v>
          </cell>
          <cell r="E7">
            <v>1972</v>
          </cell>
        </row>
        <row r="8">
          <cell r="A8" t="str">
            <v>Trent 700</v>
          </cell>
          <cell r="B8">
            <v>0.45</v>
          </cell>
          <cell r="E8">
            <v>1993</v>
          </cell>
        </row>
        <row r="9">
          <cell r="A9" t="str">
            <v>Trent 1000</v>
          </cell>
          <cell r="B9">
            <v>0.7</v>
          </cell>
          <cell r="E9" t="str">
            <v>3Q09</v>
          </cell>
        </row>
        <row r="10">
          <cell r="A10" t="str">
            <v>RB282</v>
          </cell>
          <cell r="B10">
            <v>0.85</v>
          </cell>
          <cell r="E10">
            <v>2012</v>
          </cell>
        </row>
        <row r="14">
          <cell r="A14" t="str">
            <v>Changes to estimates</v>
          </cell>
        </row>
        <row r="15">
          <cell r="B15" t="str">
            <v>2008e</v>
          </cell>
          <cell r="C15" t="str">
            <v>2009e</v>
          </cell>
          <cell r="D15" t="str">
            <v>2010e</v>
          </cell>
          <cell r="E15" t="str">
            <v>2011e</v>
          </cell>
          <cell r="F15" t="str">
            <v>2012e</v>
          </cell>
        </row>
        <row r="16">
          <cell r="A16" t="str">
            <v>Current</v>
          </cell>
        </row>
        <row r="17">
          <cell r="A17" t="str">
            <v>Revenue</v>
          </cell>
          <cell r="B17">
            <v>9082</v>
          </cell>
          <cell r="C17">
            <v>10414</v>
          </cell>
          <cell r="D17">
            <v>10504.628687793149</v>
          </cell>
          <cell r="E17">
            <v>11333.869412789531</v>
          </cell>
          <cell r="F17">
            <v>12197.254435587442</v>
          </cell>
          <cell r="H17">
            <v>7.6627748591430844E-2</v>
          </cell>
        </row>
        <row r="18">
          <cell r="A18" t="str">
            <v xml:space="preserve">Underlying EBIT </v>
          </cell>
          <cell r="B18">
            <v>919</v>
          </cell>
          <cell r="C18">
            <v>983</v>
          </cell>
          <cell r="D18">
            <v>1083.1120909282458</v>
          </cell>
          <cell r="E18">
            <v>1188.386644392222</v>
          </cell>
          <cell r="F18">
            <v>1373.9978971046339</v>
          </cell>
          <cell r="H18">
            <v>8.9467009223566984E-2</v>
          </cell>
        </row>
        <row r="19">
          <cell r="A19" t="str">
            <v>Margin %</v>
          </cell>
          <cell r="B19">
            <v>0.10118916538207444</v>
          </cell>
          <cell r="C19">
            <v>9.439216439408489E-2</v>
          </cell>
          <cell r="D19">
            <v>0.10310807960179219</v>
          </cell>
          <cell r="E19">
            <v>0.1048526854430849</v>
          </cell>
          <cell r="F19">
            <v>0.11264812949181212</v>
          </cell>
          <cell r="H19">
            <v>1.1925440941805476E-2</v>
          </cell>
        </row>
        <row r="20">
          <cell r="A20" t="str">
            <v>EPS</v>
          </cell>
          <cell r="B20">
            <v>-73.626373626373635</v>
          </cell>
          <cell r="C20">
            <v>120.37940379403793</v>
          </cell>
          <cell r="D20">
            <v>41.535972564754076</v>
          </cell>
          <cell r="E20">
            <v>45.387995080711818</v>
          </cell>
          <cell r="F20">
            <v>52.345540252998276</v>
          </cell>
          <cell r="H20">
            <v>-1.8510776706010228</v>
          </cell>
        </row>
        <row r="22">
          <cell r="A22" t="str">
            <v>Prior</v>
          </cell>
        </row>
        <row r="23">
          <cell r="A23" t="str">
            <v>Revenue</v>
          </cell>
          <cell r="B23">
            <v>8028.001201904106</v>
          </cell>
          <cell r="C23">
            <v>8592.4855591195756</v>
          </cell>
          <cell r="D23">
            <v>9238.1087377510903</v>
          </cell>
          <cell r="E23">
            <v>9584.8931342761462</v>
          </cell>
          <cell r="F23">
            <v>10095.928147389963</v>
          </cell>
        </row>
        <row r="24">
          <cell r="A24" t="str">
            <v xml:space="preserve">Underlying EBIT </v>
          </cell>
          <cell r="B24">
            <v>916.76796025048441</v>
          </cell>
          <cell r="C24">
            <v>969.2546835260755</v>
          </cell>
          <cell r="D24">
            <v>1045.1409000307481</v>
          </cell>
          <cell r="E24">
            <v>1074.397143580898</v>
          </cell>
          <cell r="F24">
            <v>1133.2909731549125</v>
          </cell>
        </row>
        <row r="25">
          <cell r="A25" t="str">
            <v>Margin %</v>
          </cell>
          <cell r="B25">
            <v>0.11419629085668828</v>
          </cell>
          <cell r="C25">
            <v>0.11280259674074909</v>
          </cell>
          <cell r="D25">
            <v>0.11313364344368775</v>
          </cell>
          <cell r="E25">
            <v>0.11209276186280995</v>
          </cell>
          <cell r="F25">
            <v>0.11225228197051849</v>
          </cell>
        </row>
        <row r="26">
          <cell r="A26" t="str">
            <v>EPS</v>
          </cell>
          <cell r="B26">
            <v>35.623517741419313</v>
          </cell>
          <cell r="C26">
            <v>37.961719406606811</v>
          </cell>
          <cell r="D26">
            <v>41.175894534746114</v>
          </cell>
          <cell r="E26">
            <v>42.96894110681103</v>
          </cell>
          <cell r="F26">
            <v>46.190081547557483</v>
          </cell>
        </row>
        <row r="28">
          <cell r="A28" t="str">
            <v>Change %</v>
          </cell>
        </row>
        <row r="29">
          <cell r="A29" t="str">
            <v>Revenue</v>
          </cell>
          <cell r="B29">
            <v>0.13129031393840651</v>
          </cell>
          <cell r="C29">
            <v>0.21198923505285072</v>
          </cell>
          <cell r="D29">
            <v>0.1370973200246588</v>
          </cell>
          <cell r="E29">
            <v>0.18247217303434948</v>
          </cell>
          <cell r="F29">
            <v>0.20813601855325414</v>
          </cell>
        </row>
        <row r="30">
          <cell r="A30" t="str">
            <v xml:space="preserve">Underlying EBIT </v>
          </cell>
          <cell r="B30">
            <v>2.4346834164075126E-3</v>
          </cell>
          <cell r="C30">
            <v>1.4181325824416113E-2</v>
          </cell>
          <cell r="D30">
            <v>3.6331169219748993E-2</v>
          </cell>
          <cell r="E30">
            <v>0.10609624336062939</v>
          </cell>
          <cell r="F30">
            <v>0.21239640096984913</v>
          </cell>
        </row>
        <row r="31">
          <cell r="A31" t="str">
            <v>EPS</v>
          </cell>
          <cell r="B31">
            <v>-3.0667912181162436</v>
          </cell>
          <cell r="C31">
            <v>2.1710735360708462</v>
          </cell>
          <cell r="D31">
            <v>8.7448744969975678E-3</v>
          </cell>
          <cell r="E31">
            <v>5.6297733004115003E-2</v>
          </cell>
          <cell r="F31">
            <v>0.13326364663597978</v>
          </cell>
        </row>
        <row r="35">
          <cell r="A35" t="str">
            <v xml:space="preserve">Marine growth </v>
          </cell>
        </row>
        <row r="36">
          <cell r="B36" t="str">
            <v>1H05</v>
          </cell>
          <cell r="C36" t="str">
            <v>2H05</v>
          </cell>
          <cell r="D36" t="str">
            <v>1H06</v>
          </cell>
          <cell r="E36" t="str">
            <v>2H06</v>
          </cell>
          <cell r="F36" t="str">
            <v>1H07</v>
          </cell>
          <cell r="G36" t="str">
            <v>2H07</v>
          </cell>
          <cell r="H36" t="str">
            <v>1H08</v>
          </cell>
        </row>
        <row r="37">
          <cell r="A37" t="str">
            <v>Marine revenue</v>
          </cell>
          <cell r="B37">
            <v>488</v>
          </cell>
          <cell r="C37">
            <v>609</v>
          </cell>
          <cell r="D37">
            <v>620</v>
          </cell>
          <cell r="E37">
            <v>679</v>
          </cell>
          <cell r="F37">
            <v>698</v>
          </cell>
          <cell r="G37">
            <v>850</v>
          </cell>
          <cell r="H37">
            <v>1009</v>
          </cell>
        </row>
        <row r="38">
          <cell r="A38" t="str">
            <v xml:space="preserve">Marine underlying EBIT </v>
          </cell>
          <cell r="B38">
            <v>39</v>
          </cell>
          <cell r="C38">
            <v>50</v>
          </cell>
          <cell r="D38">
            <v>50</v>
          </cell>
          <cell r="E38">
            <v>51</v>
          </cell>
          <cell r="F38">
            <v>58</v>
          </cell>
          <cell r="G38">
            <v>55</v>
          </cell>
          <cell r="H38">
            <v>87</v>
          </cell>
        </row>
        <row r="39">
          <cell r="B39">
            <v>7.9918032786885251E-2</v>
          </cell>
          <cell r="C39">
            <v>8.2101806239737271E-2</v>
          </cell>
          <cell r="D39">
            <v>8.0645161290322578E-2</v>
          </cell>
          <cell r="E39">
            <v>7.511045655375552E-2</v>
          </cell>
          <cell r="F39">
            <v>8.3094555873925502E-2</v>
          </cell>
          <cell r="G39">
            <v>6.4705882352941183E-2</v>
          </cell>
          <cell r="H39">
            <v>8.6223984142715565E-2</v>
          </cell>
        </row>
        <row r="42">
          <cell r="B42" t="str">
            <v>1H05</v>
          </cell>
          <cell r="C42" t="str">
            <v>2H05</v>
          </cell>
          <cell r="D42" t="str">
            <v>1H06</v>
          </cell>
          <cell r="E42" t="str">
            <v>2H06</v>
          </cell>
          <cell r="F42" t="str">
            <v>1H07</v>
          </cell>
          <cell r="G42" t="str">
            <v>2H07</v>
          </cell>
          <cell r="H42" t="str">
            <v>1H08</v>
          </cell>
        </row>
        <row r="43">
          <cell r="A43" t="str">
            <v>Order book</v>
          </cell>
          <cell r="B43">
            <v>1.7</v>
          </cell>
          <cell r="C43">
            <v>1.9</v>
          </cell>
          <cell r="D43">
            <v>2.1</v>
          </cell>
          <cell r="E43">
            <v>2.4</v>
          </cell>
          <cell r="F43">
            <v>3.1</v>
          </cell>
          <cell r="G43">
            <v>4.7</v>
          </cell>
          <cell r="H43">
            <v>5.5</v>
          </cell>
        </row>
        <row r="48">
          <cell r="B48" t="str">
            <v>1H05</v>
          </cell>
          <cell r="C48" t="str">
            <v>2H05</v>
          </cell>
          <cell r="D48" t="str">
            <v>1H06</v>
          </cell>
          <cell r="E48" t="str">
            <v>2H06</v>
          </cell>
          <cell r="F48" t="str">
            <v>1H07</v>
          </cell>
          <cell r="G48" t="str">
            <v>2H07</v>
          </cell>
          <cell r="I48" t="str">
            <v>CAGR</v>
          </cell>
        </row>
        <row r="49">
          <cell r="A49" t="str">
            <v>Marine revenue</v>
          </cell>
          <cell r="B49">
            <v>488</v>
          </cell>
          <cell r="C49">
            <v>609</v>
          </cell>
          <cell r="D49">
            <v>620</v>
          </cell>
          <cell r="E49">
            <v>679</v>
          </cell>
          <cell r="F49">
            <v>698</v>
          </cell>
          <cell r="G49">
            <v>850</v>
          </cell>
          <cell r="I49">
            <v>0.1173772395573629</v>
          </cell>
        </row>
        <row r="50">
          <cell r="A50" t="str">
            <v>Order book</v>
          </cell>
          <cell r="B50">
            <v>1700</v>
          </cell>
          <cell r="C50">
            <v>1900</v>
          </cell>
          <cell r="D50">
            <v>2100</v>
          </cell>
          <cell r="E50">
            <v>2400</v>
          </cell>
          <cell r="F50">
            <v>3100</v>
          </cell>
          <cell r="G50">
            <v>4700</v>
          </cell>
          <cell r="I50">
            <v>0.22554648108752806</v>
          </cell>
        </row>
        <row r="55">
          <cell r="A55" t="str">
            <v>ROIC improvement</v>
          </cell>
          <cell r="B55">
            <v>2006</v>
          </cell>
          <cell r="C55">
            <v>2007</v>
          </cell>
          <cell r="D55" t="str">
            <v>2008e</v>
          </cell>
          <cell r="E55" t="str">
            <v>2009e</v>
          </cell>
          <cell r="F55" t="str">
            <v>2010e</v>
          </cell>
          <cell r="G55" t="str">
            <v>2011e</v>
          </cell>
          <cell r="H55" t="str">
            <v>2012e</v>
          </cell>
        </row>
        <row r="56">
          <cell r="A56" t="str">
            <v>ROIC</v>
          </cell>
          <cell r="B56">
            <v>0.11089277049975739</v>
          </cell>
          <cell r="C56">
            <v>7.5356022206130815E-2</v>
          </cell>
          <cell r="D56">
            <v>0.11649419218585004</v>
          </cell>
          <cell r="E56">
            <v>0.14340231630909436</v>
          </cell>
          <cell r="F56">
            <v>0.12528145420424655</v>
          </cell>
          <cell r="G56">
            <v>0.12964233440802561</v>
          </cell>
          <cell r="H56">
            <v>0.13981334207096835</v>
          </cell>
        </row>
        <row r="90">
          <cell r="I90" t="str">
            <v>EPS estimates</v>
          </cell>
          <cell r="M90" t="str">
            <v>Revenue</v>
          </cell>
          <cell r="Q90" t="str">
            <v>EBIT</v>
          </cell>
        </row>
        <row r="92">
          <cell r="A92" t="str">
            <v>Consensus estimates</v>
          </cell>
          <cell r="B92" t="str">
            <v>2008e</v>
          </cell>
          <cell r="C92" t="str">
            <v>2009e</v>
          </cell>
          <cell r="D92" t="str">
            <v>2010e</v>
          </cell>
          <cell r="I92" t="str">
            <v>2008e</v>
          </cell>
          <cell r="J92" t="str">
            <v>2009e</v>
          </cell>
          <cell r="K92" t="str">
            <v>2010e</v>
          </cell>
          <cell r="M92" t="str">
            <v>2008e</v>
          </cell>
          <cell r="N92" t="str">
            <v>2009e</v>
          </cell>
          <cell r="O92" t="str">
            <v>2010e</v>
          </cell>
          <cell r="Q92" t="str">
            <v>2008e</v>
          </cell>
          <cell r="R92" t="str">
            <v>2009e</v>
          </cell>
          <cell r="S92" t="str">
            <v>2010e</v>
          </cell>
        </row>
        <row r="93">
          <cell r="A93" t="str">
            <v>Revenue</v>
          </cell>
          <cell r="B93">
            <v>8317.6923076923085</v>
          </cell>
          <cell r="C93">
            <v>8944.4166666666661</v>
          </cell>
          <cell r="D93">
            <v>9394.8333333333339</v>
          </cell>
          <cell r="I93">
            <v>32.5</v>
          </cell>
          <cell r="J93">
            <v>34.4</v>
          </cell>
          <cell r="K93">
            <v>39</v>
          </cell>
          <cell r="M93">
            <v>8484</v>
          </cell>
          <cell r="N93">
            <v>9062</v>
          </cell>
          <cell r="O93">
            <v>9855</v>
          </cell>
          <cell r="Q93">
            <v>920</v>
          </cell>
          <cell r="R93">
            <v>975</v>
          </cell>
          <cell r="S93">
            <v>924</v>
          </cell>
        </row>
        <row r="94">
          <cell r="A94" t="str">
            <v>EBIT</v>
          </cell>
          <cell r="B94">
            <v>880.33333333333337</v>
          </cell>
          <cell r="C94">
            <v>922.81818181818187</v>
          </cell>
          <cell r="D94">
            <v>991.33333333333337</v>
          </cell>
          <cell r="I94">
            <v>33.6</v>
          </cell>
          <cell r="J94">
            <v>36.200000000000003</v>
          </cell>
          <cell r="K94">
            <v>37.4</v>
          </cell>
          <cell r="M94">
            <v>7991</v>
          </cell>
          <cell r="N94">
            <v>8464</v>
          </cell>
          <cell r="O94">
            <v>9467</v>
          </cell>
          <cell r="Q94">
            <v>882</v>
          </cell>
          <cell r="R94">
            <v>944</v>
          </cell>
          <cell r="S94">
            <v>1025</v>
          </cell>
        </row>
        <row r="95">
          <cell r="A95" t="str">
            <v>EBIT margin %</v>
          </cell>
          <cell r="B95">
            <v>0.10583865100650451</v>
          </cell>
          <cell r="C95">
            <v>0.10317253949687592</v>
          </cell>
          <cell r="D95">
            <v>0.10551899093473363</v>
          </cell>
          <cell r="I95">
            <v>32</v>
          </cell>
          <cell r="J95">
            <v>34.1</v>
          </cell>
          <cell r="K95">
            <v>38.5</v>
          </cell>
          <cell r="M95">
            <v>8605</v>
          </cell>
          <cell r="N95">
            <v>9153</v>
          </cell>
          <cell r="O95">
            <v>8924</v>
          </cell>
          <cell r="Q95">
            <v>810</v>
          </cell>
          <cell r="R95">
            <v>882</v>
          </cell>
          <cell r="S95">
            <v>940</v>
          </cell>
        </row>
        <row r="96">
          <cell r="A96" t="str">
            <v>EPS</v>
          </cell>
          <cell r="B96">
            <v>34.649999999999991</v>
          </cell>
          <cell r="C96">
            <v>37.53</v>
          </cell>
          <cell r="D96">
            <v>39.54</v>
          </cell>
          <cell r="I96">
            <v>32.4</v>
          </cell>
          <cell r="J96">
            <v>36.799999999999997</v>
          </cell>
          <cell r="K96">
            <v>40.1</v>
          </cell>
          <cell r="M96">
            <v>7915</v>
          </cell>
          <cell r="N96">
            <v>8144</v>
          </cell>
          <cell r="O96">
            <v>9445</v>
          </cell>
          <cell r="Q96">
            <v>860</v>
          </cell>
          <cell r="R96">
            <v>900</v>
          </cell>
          <cell r="S96">
            <v>1003</v>
          </cell>
        </row>
        <row r="97">
          <cell r="I97">
            <v>36</v>
          </cell>
          <cell r="J97">
            <v>38</v>
          </cell>
          <cell r="K97">
            <v>42.7</v>
          </cell>
          <cell r="M97">
            <v>8190</v>
          </cell>
          <cell r="N97">
            <v>8740</v>
          </cell>
          <cell r="O97">
            <v>9203</v>
          </cell>
          <cell r="Q97">
            <v>844</v>
          </cell>
          <cell r="R97">
            <v>882</v>
          </cell>
          <cell r="S97">
            <v>1100</v>
          </cell>
        </row>
        <row r="98">
          <cell r="A98" t="str">
            <v xml:space="preserve">MS estimates </v>
          </cell>
          <cell r="I98">
            <v>35.4</v>
          </cell>
          <cell r="J98">
            <v>37.4</v>
          </cell>
          <cell r="M98">
            <v>8561</v>
          </cell>
          <cell r="N98">
            <v>9292</v>
          </cell>
          <cell r="Q98">
            <v>928</v>
          </cell>
          <cell r="R98">
            <v>1003</v>
          </cell>
          <cell r="S98">
            <v>956</v>
          </cell>
        </row>
        <row r="99">
          <cell r="A99" t="str">
            <v xml:space="preserve">Revenue </v>
          </cell>
          <cell r="B99">
            <v>9082</v>
          </cell>
          <cell r="C99">
            <v>10414</v>
          </cell>
          <cell r="D99">
            <v>10504.628687793149</v>
          </cell>
          <cell r="I99">
            <v>36.299999999999997</v>
          </cell>
          <cell r="J99">
            <v>39.6</v>
          </cell>
          <cell r="M99">
            <v>8382</v>
          </cell>
          <cell r="N99">
            <v>8815</v>
          </cell>
          <cell r="O99">
            <v>9475</v>
          </cell>
          <cell r="Q99">
            <v>921</v>
          </cell>
          <cell r="R99">
            <v>1032</v>
          </cell>
        </row>
        <row r="100">
          <cell r="A100" t="str">
            <v xml:space="preserve">EBIT </v>
          </cell>
          <cell r="B100">
            <v>919</v>
          </cell>
          <cell r="C100">
            <v>983</v>
          </cell>
          <cell r="D100">
            <v>1083.1120909282458</v>
          </cell>
          <cell r="I100">
            <v>35.700000000000003</v>
          </cell>
          <cell r="J100">
            <v>43.3</v>
          </cell>
          <cell r="M100">
            <v>8528</v>
          </cell>
          <cell r="N100">
            <v>9328</v>
          </cell>
          <cell r="Q100">
            <v>928</v>
          </cell>
          <cell r="R100">
            <v>825</v>
          </cell>
        </row>
        <row r="101">
          <cell r="A101" t="str">
            <v>EBIT margin %</v>
          </cell>
          <cell r="B101">
            <v>0.10118916538207444</v>
          </cell>
          <cell r="C101">
            <v>9.439216439408489E-2</v>
          </cell>
          <cell r="D101">
            <v>0.10310807960179219</v>
          </cell>
          <cell r="I101">
            <v>38.700000000000003</v>
          </cell>
          <cell r="J101">
            <v>35.5</v>
          </cell>
          <cell r="M101">
            <v>8554</v>
          </cell>
          <cell r="N101">
            <v>9525</v>
          </cell>
          <cell r="Q101">
            <v>810</v>
          </cell>
          <cell r="R101">
            <v>879</v>
          </cell>
        </row>
        <row r="102">
          <cell r="A102" t="str">
            <v>EPS</v>
          </cell>
          <cell r="B102">
            <v>-73.626373626373635</v>
          </cell>
          <cell r="C102">
            <v>120.37940379403793</v>
          </cell>
          <cell r="D102">
            <v>41.535972564754076</v>
          </cell>
          <cell r="I102">
            <v>33.9</v>
          </cell>
          <cell r="J102">
            <v>40</v>
          </cell>
          <cell r="M102">
            <v>8090</v>
          </cell>
          <cell r="N102">
            <v>8455</v>
          </cell>
          <cell r="Q102">
            <v>860</v>
          </cell>
          <cell r="R102">
            <v>1028</v>
          </cell>
        </row>
        <row r="103">
          <cell r="M103">
            <v>8221</v>
          </cell>
          <cell r="N103">
            <v>8985</v>
          </cell>
          <cell r="Q103">
            <v>955</v>
          </cell>
          <cell r="R103">
            <v>801</v>
          </cell>
        </row>
        <row r="104">
          <cell r="I104">
            <v>34.649999999999991</v>
          </cell>
          <cell r="J104">
            <v>37.53</v>
          </cell>
          <cell r="K104">
            <v>39.54</v>
          </cell>
          <cell r="M104">
            <v>8625</v>
          </cell>
          <cell r="N104">
            <v>9370</v>
          </cell>
          <cell r="Q104">
            <v>846</v>
          </cell>
        </row>
        <row r="105">
          <cell r="A105" t="str">
            <v>Revenue</v>
          </cell>
          <cell r="B105">
            <v>9.1889392398039282E-2</v>
          </cell>
          <cell r="C105">
            <v>0.16430175248991463</v>
          </cell>
          <cell r="D105">
            <v>0.11812826423670608</v>
          </cell>
          <cell r="M105">
            <v>7984</v>
          </cell>
          <cell r="Q105">
            <v>880.33333333333337</v>
          </cell>
          <cell r="R105">
            <v>922.81818181818187</v>
          </cell>
          <cell r="S105">
            <v>991.33333333333337</v>
          </cell>
        </row>
        <row r="106">
          <cell r="A106" t="str">
            <v xml:space="preserve">EBIT </v>
          </cell>
          <cell r="B106">
            <v>4.3922756531616702E-2</v>
          </cell>
          <cell r="C106">
            <v>6.5215249729090763E-2</v>
          </cell>
          <cell r="D106">
            <v>9.2581127365412685E-2</v>
          </cell>
          <cell r="M106">
            <v>8317.6923076923085</v>
          </cell>
          <cell r="N106">
            <v>8944.4166666666661</v>
          </cell>
          <cell r="O106">
            <v>9394.8333333333339</v>
          </cell>
        </row>
        <row r="107">
          <cell r="A107" t="str">
            <v>EPS</v>
          </cell>
          <cell r="B107">
            <v>-3.1248592677164115</v>
          </cell>
          <cell r="C107">
            <v>2.2075513933929636</v>
          </cell>
          <cell r="D107">
            <v>5.0479832189025631E-2</v>
          </cell>
        </row>
        <row r="113">
          <cell r="A113" t="str">
            <v>FX effect on FV</v>
          </cell>
        </row>
        <row r="117">
          <cell r="B117" t="str">
            <v xml:space="preserve">FCF </v>
          </cell>
          <cell r="C117" t="str">
            <v>FV</v>
          </cell>
        </row>
        <row r="118">
          <cell r="A118" t="str">
            <v>FV at 1.95</v>
          </cell>
          <cell r="B118">
            <v>0</v>
          </cell>
          <cell r="C118">
            <v>716.82770788580683</v>
          </cell>
          <cell r="E118">
            <v>358.41385394290342</v>
          </cell>
        </row>
        <row r="120">
          <cell r="B120" t="str">
            <v>2008e</v>
          </cell>
          <cell r="C120" t="str">
            <v>2009e</v>
          </cell>
          <cell r="D120" t="str">
            <v>2010e</v>
          </cell>
          <cell r="E120" t="str">
            <v>2011e</v>
          </cell>
        </row>
        <row r="121">
          <cell r="A121" t="str">
            <v>EPS</v>
          </cell>
          <cell r="B121">
            <v>-73.626373626373635</v>
          </cell>
          <cell r="C121">
            <v>120.37940379403793</v>
          </cell>
          <cell r="D121">
            <v>41.535972564754076</v>
          </cell>
          <cell r="E121">
            <v>45.387995080711818</v>
          </cell>
        </row>
        <row r="124">
          <cell r="B124" t="str">
            <v xml:space="preserve">FCF </v>
          </cell>
          <cell r="C124" t="str">
            <v>FV</v>
          </cell>
        </row>
        <row r="125">
          <cell r="A125" t="str">
            <v>FV at 2.05</v>
          </cell>
          <cell r="B125">
            <v>492.53194569714242</v>
          </cell>
          <cell r="C125">
            <v>545.99807087321074</v>
          </cell>
          <cell r="E125">
            <v>519.26500828517658</v>
          </cell>
        </row>
        <row r="127">
          <cell r="B127" t="str">
            <v>2008e</v>
          </cell>
          <cell r="C127" t="str">
            <v>2009e</v>
          </cell>
          <cell r="D127" t="str">
            <v>2010e</v>
          </cell>
          <cell r="E127" t="str">
            <v>2011e</v>
          </cell>
        </row>
        <row r="128">
          <cell r="A128" t="str">
            <v>EPS</v>
          </cell>
          <cell r="B128">
            <v>35.623517741419313</v>
          </cell>
          <cell r="C128">
            <v>37.961719406606811</v>
          </cell>
          <cell r="D128">
            <v>41.175894534746114</v>
          </cell>
          <cell r="E128">
            <v>43.14640215682121</v>
          </cell>
        </row>
        <row r="131">
          <cell r="A131" t="str">
            <v>Cut to EPS</v>
          </cell>
          <cell r="B131">
            <v>-1.4838418081297249</v>
          </cell>
          <cell r="C131">
            <v>-0.68464938178662949</v>
          </cell>
          <cell r="D131">
            <v>-8.6690646149335526E-3</v>
          </cell>
          <cell r="E131">
            <v>-4.9387352754940217E-2</v>
          </cell>
        </row>
        <row r="133">
          <cell r="B133">
            <v>-492.53194569714242</v>
          </cell>
          <cell r="C133">
            <v>170.82963701259609</v>
          </cell>
        </row>
        <row r="140">
          <cell r="B140">
            <v>2004</v>
          </cell>
          <cell r="C140">
            <v>2005</v>
          </cell>
          <cell r="D140">
            <v>2006</v>
          </cell>
          <cell r="E140">
            <v>2007</v>
          </cell>
          <cell r="F140" t="str">
            <v>2008e</v>
          </cell>
          <cell r="G140" t="str">
            <v>2009e</v>
          </cell>
          <cell r="H140" t="str">
            <v>2010e</v>
          </cell>
          <cell r="I140" t="str">
            <v>2011e</v>
          </cell>
        </row>
        <row r="141">
          <cell r="A141" t="str">
            <v>Civil Aerospace</v>
          </cell>
          <cell r="B141">
            <v>194</v>
          </cell>
          <cell r="C141">
            <v>454</v>
          </cell>
          <cell r="D141">
            <v>519</v>
          </cell>
          <cell r="E141">
            <v>564</v>
          </cell>
          <cell r="F141">
            <v>566</v>
          </cell>
          <cell r="G141">
            <v>493</v>
          </cell>
          <cell r="H141">
            <v>472.81882601904039</v>
          </cell>
          <cell r="I141">
            <v>554.72726895351991</v>
          </cell>
        </row>
        <row r="142">
          <cell r="A142" t="str">
            <v xml:space="preserve">Non-civil divisions </v>
          </cell>
          <cell r="B142">
            <v>223</v>
          </cell>
          <cell r="C142">
            <v>225</v>
          </cell>
          <cell r="D142">
            <v>229</v>
          </cell>
          <cell r="E142">
            <v>268</v>
          </cell>
          <cell r="F142">
            <v>353</v>
          </cell>
          <cell r="G142">
            <v>490</v>
          </cell>
          <cell r="H142">
            <v>610.29326490920539</v>
          </cell>
          <cell r="I142">
            <v>633.65937543870211</v>
          </cell>
        </row>
        <row r="143">
          <cell r="A143" t="str">
            <v xml:space="preserve">Total </v>
          </cell>
          <cell r="B143">
            <v>417</v>
          </cell>
          <cell r="C143">
            <v>679</v>
          </cell>
          <cell r="D143">
            <v>748</v>
          </cell>
          <cell r="E143">
            <v>832</v>
          </cell>
          <cell r="F143">
            <v>919</v>
          </cell>
          <cell r="G143">
            <v>983</v>
          </cell>
          <cell r="H143">
            <v>1083.1120909282458</v>
          </cell>
          <cell r="I143">
            <v>1188.386644392222</v>
          </cell>
        </row>
        <row r="146">
          <cell r="B146">
            <v>1.1494845360824741</v>
          </cell>
          <cell r="C146">
            <v>0.49559471365638769</v>
          </cell>
          <cell r="D146">
            <v>0.44123314065510599</v>
          </cell>
          <cell r="E146">
            <v>0.47517730496453903</v>
          </cell>
          <cell r="F146">
            <v>0.62367491166077738</v>
          </cell>
          <cell r="G146">
            <v>0.99391480730223125</v>
          </cell>
          <cell r="H146">
            <v>1.2907550023920344</v>
          </cell>
          <cell r="I146">
            <v>1.1422899339960082</v>
          </cell>
        </row>
      </sheetData>
      <sheetData sheetId="22"/>
      <sheetData sheetId="23"/>
      <sheetData sheetId="24"/>
      <sheetData sheetId="25"/>
      <sheetData sheetId="26"/>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W-Cache"/>
      <sheetName val="Model"/>
      <sheetName val="Comm.Aero.Prod"/>
      <sheetName val="BizJet.Prod"/>
      <sheetName val="10K"/>
      <sheetName val="10Q"/>
      <sheetName val="__FDSCACHE__"/>
      <sheetName val="Notes"/>
      <sheetName val="Guidance Tracker"/>
      <sheetName val="M&amp;A"/>
      <sheetName val="Valuation"/>
      <sheetName val="DCF"/>
      <sheetName val="ROIC"/>
      <sheetName val="Other ---&gt;"/>
      <sheetName val="Bull Bear"/>
      <sheetName val="Revenue Data"/>
      <sheetName val="EPS walk"/>
      <sheetName val="MWA RR"/>
      <sheetName val="mwareDates"/>
      <sheetName val="mwareSettings"/>
      <sheetName val="BEAV.Notes"/>
      <sheetName val="Revenue Build-up"/>
      <sheetName val="Quarterly Analysis"/>
      <sheetName val="Variance"/>
      <sheetName val="Working Cap"/>
      <sheetName val="Output"/>
      <sheetName val="BEAV.10Q"/>
      <sheetName val="BEAV.10K"/>
      <sheetName val="#REF"/>
      <sheetName val="Monthly Note"/>
      <sheetName val="Boeing Del Schedule- Reported"/>
      <sheetName val="787 vs A350 Orders"/>
      <sheetName val="Paris 05 Orders"/>
      <sheetName val="Boeing Del Schedule"/>
      <sheetName val="New Tables 2006"/>
      <sheetName val="Graphs"/>
      <sheetName val="Main"/>
      <sheetName val="F'boro 08 Order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Fleet v2"/>
      <sheetName val="Main"/>
      <sheetName val="Deliveries"/>
      <sheetName val="Old Format"/>
      <sheetName val="Deliveries LCA &amp; RJ"/>
      <sheetName val="Backlog v Deliveries"/>
      <sheetName val="Airbus Monthly"/>
      <sheetName val="Boeing Monthly"/>
      <sheetName val="Storage Summary"/>
      <sheetName val="WW Fleet Stats"/>
      <sheetName val="Sang-scratch"/>
      <sheetName val="from AIRCAP"/>
      <sheetName val="Program Lifecycles"/>
      <sheetName val="Sang - Charts"/>
      <sheetName val="Boeing Charts"/>
      <sheetName val="StoredAC"/>
      <sheetName val="StoredAC v2"/>
      <sheetName val="Table of Contents"/>
    </sheetNames>
    <sheetDataSet>
      <sheetData sheetId="0">
        <row r="5">
          <cell r="A5" t="str">
            <v>Boeing ceded share in North America</v>
          </cell>
        </row>
      </sheetData>
      <sheetData sheetId="1" refreshError="1"/>
      <sheetData sheetId="2">
        <row r="1">
          <cell r="A1" t="str">
            <v>Global Fleet by Region, OEM and Plane Type</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oredAC"/>
      <sheetName val="Total Stored AC"/>
      <sheetName val="By Type"/>
      <sheetName val="Summary"/>
      <sheetName val="Graphs"/>
      <sheetName val="MWare_Cached"/>
      <sheetName val="BJs charts"/>
      <sheetName val="Biz Jet Output Data"/>
    </sheetNames>
    <sheetDataSet>
      <sheetData sheetId="0"/>
      <sheetData sheetId="1" refreshError="1"/>
      <sheetData sheetId="2" refreshError="1"/>
      <sheetData sheetId="3" refreshError="1"/>
      <sheetData sheetId="4">
        <row r="78">
          <cell r="B78" t="str">
            <v>SE-210 (Caravelle)</v>
          </cell>
        </row>
      </sheetData>
      <sheetData sheetId="5" refreshError="1"/>
      <sheetData sheetId="6" refreshError="1"/>
      <sheetData sheetId="7"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1500"/>
      <sheetName val="Sheet1"/>
    </sheetNames>
    <sheetDataSet>
      <sheetData sheetId="0" refreshError="1">
        <row r="1">
          <cell r="P1" t="str">
            <v>SmartCharts</v>
          </cell>
          <cell r="BC1" t="str">
            <v>.</v>
          </cell>
        </row>
        <row r="2">
          <cell r="BC2" t="str">
            <v>.</v>
          </cell>
        </row>
        <row r="3">
          <cell r="BC3" t="str">
            <v>.</v>
          </cell>
        </row>
        <row r="6">
          <cell r="P6" t="str">
            <v>MORE</v>
          </cell>
        </row>
        <row r="7">
          <cell r="I7" t="str">
            <v xml:space="preserve">Adjust spacing between legend entries using these buttons: </v>
          </cell>
        </row>
        <row r="8">
          <cell r="P8" t="str">
            <v>LESS</v>
          </cell>
          <cell r="AB8" t="str">
            <v>Funded Status (%)</v>
          </cell>
          <cell r="AD8">
            <v>0</v>
          </cell>
        </row>
        <row r="10">
          <cell r="C10" t="str">
            <v>Input your data here:</v>
          </cell>
          <cell r="BC10" t="str">
            <v>.</v>
          </cell>
        </row>
        <row r="11">
          <cell r="D11" t="str">
            <v>Funded Status (%)</v>
          </cell>
          <cell r="E11" t="str">
            <v>% of Market Cap</v>
          </cell>
          <cell r="BC11" t="str">
            <v>.</v>
          </cell>
        </row>
        <row r="12">
          <cell r="C12">
            <v>2005</v>
          </cell>
          <cell r="D12">
            <v>0.91</v>
          </cell>
          <cell r="E12">
            <v>0.45</v>
          </cell>
        </row>
        <row r="13">
          <cell r="C13">
            <v>2006</v>
          </cell>
          <cell r="D13">
            <v>0.98</v>
          </cell>
          <cell r="E13">
            <v>0.5</v>
          </cell>
        </row>
        <row r="14">
          <cell r="C14">
            <v>2007</v>
          </cell>
          <cell r="D14">
            <v>1.05</v>
          </cell>
          <cell r="E14">
            <v>0.35</v>
          </cell>
          <cell r="BC14" t="str">
            <v>.</v>
          </cell>
        </row>
        <row r="15">
          <cell r="C15">
            <v>2008</v>
          </cell>
          <cell r="D15">
            <v>0.77</v>
          </cell>
          <cell r="E15">
            <v>0.6</v>
          </cell>
          <cell r="BC15" t="str">
            <v>.</v>
          </cell>
        </row>
        <row r="16">
          <cell r="C16">
            <v>2009</v>
          </cell>
          <cell r="D16">
            <v>0.82</v>
          </cell>
          <cell r="E16">
            <v>0.56000000000000005</v>
          </cell>
          <cell r="BC16" t="str">
            <v>.</v>
          </cell>
        </row>
        <row r="17">
          <cell r="C17">
            <v>2010</v>
          </cell>
          <cell r="D17">
            <v>0.84</v>
          </cell>
          <cell r="E17">
            <v>0.52</v>
          </cell>
          <cell r="BC17" t="str">
            <v>.</v>
          </cell>
        </row>
        <row r="18">
          <cell r="C18">
            <v>2011</v>
          </cell>
          <cell r="D18">
            <v>0.78</v>
          </cell>
          <cell r="E18">
            <v>0.6</v>
          </cell>
          <cell r="BC18" t="str">
            <v>.</v>
          </cell>
        </row>
        <row r="19">
          <cell r="BC19" t="str">
            <v>.</v>
          </cell>
        </row>
        <row r="20">
          <cell r="BC20" t="str">
            <v>.</v>
          </cell>
        </row>
        <row r="21">
          <cell r="BC21" t="str">
            <v>.</v>
          </cell>
        </row>
        <row r="22">
          <cell r="BC22" t="str">
            <v>.</v>
          </cell>
        </row>
        <row r="23">
          <cell r="BC23" t="str">
            <v>.</v>
          </cell>
        </row>
        <row r="24">
          <cell r="BC24" t="str">
            <v>.</v>
          </cell>
        </row>
        <row r="25">
          <cell r="BC25" t="str">
            <v>.</v>
          </cell>
        </row>
        <row r="26">
          <cell r="BC26" t="str">
            <v>.</v>
          </cell>
        </row>
        <row r="27">
          <cell r="BC27" t="str">
            <v>.</v>
          </cell>
        </row>
        <row r="28">
          <cell r="BC28" t="str">
            <v>.</v>
          </cell>
        </row>
        <row r="29">
          <cell r="BC29" t="str">
            <v>.</v>
          </cell>
        </row>
        <row r="30">
          <cell r="BC30" t="str">
            <v>.</v>
          </cell>
        </row>
        <row r="31">
          <cell r="BC31" t="str">
            <v>.</v>
          </cell>
        </row>
        <row r="32">
          <cell r="BC32" t="str">
            <v>.</v>
          </cell>
        </row>
        <row r="33">
          <cell r="BC33" t="str">
            <v>.</v>
          </cell>
        </row>
        <row r="34">
          <cell r="BC34" t="str">
            <v>.</v>
          </cell>
        </row>
        <row r="35">
          <cell r="BC35" t="str">
            <v>.</v>
          </cell>
        </row>
        <row r="36">
          <cell r="BC36" t="str">
            <v>.</v>
          </cell>
        </row>
        <row r="37">
          <cell r="BC37" t="str">
            <v>.</v>
          </cell>
        </row>
        <row r="38">
          <cell r="BC38" t="str">
            <v>.</v>
          </cell>
        </row>
        <row r="39">
          <cell r="BC39" t="str">
            <v>.</v>
          </cell>
        </row>
        <row r="40">
          <cell r="BC40" t="str">
            <v>.</v>
          </cell>
        </row>
        <row r="41">
          <cell r="BC41" t="str">
            <v>.</v>
          </cell>
        </row>
        <row r="42">
          <cell r="G42" t="str">
            <v>Do not change the width of the exhibit or font sizes (they are optimized for export to Word).</v>
          </cell>
          <cell r="BC42" t="str">
            <v>.</v>
          </cell>
        </row>
        <row r="43">
          <cell r="BC43" t="str">
            <v>.</v>
          </cell>
        </row>
        <row r="44">
          <cell r="G44" t="str">
            <v>Do not delete any rows or columns (some gray cells are used for calculations).</v>
          </cell>
          <cell r="BC44" t="str">
            <v>.</v>
          </cell>
        </row>
        <row r="45">
          <cell r="BC45" t="str">
            <v>.</v>
          </cell>
        </row>
        <row r="46">
          <cell r="BC46" t="str">
            <v>.</v>
          </cell>
        </row>
        <row r="47">
          <cell r="BC47" t="str">
            <v>.</v>
          </cell>
        </row>
        <row r="48">
          <cell r="BC48" t="str">
            <v>.</v>
          </cell>
        </row>
        <row r="49">
          <cell r="BC49" t="str">
            <v>.</v>
          </cell>
        </row>
        <row r="50">
          <cell r="BC50" t="str">
            <v>.</v>
          </cell>
        </row>
        <row r="51">
          <cell r="BC51" t="str">
            <v>.</v>
          </cell>
        </row>
        <row r="52">
          <cell r="BC52" t="str">
            <v>.</v>
          </cell>
        </row>
        <row r="53">
          <cell r="BC53" t="str">
            <v>.</v>
          </cell>
        </row>
        <row r="54">
          <cell r="BC54" t="str">
            <v>.</v>
          </cell>
        </row>
        <row r="55">
          <cell r="BC55" t="str">
            <v>.</v>
          </cell>
        </row>
        <row r="56">
          <cell r="BC56" t="str">
            <v>.</v>
          </cell>
        </row>
        <row r="57">
          <cell r="BC57" t="str">
            <v>.</v>
          </cell>
        </row>
        <row r="58">
          <cell r="BC58" t="str">
            <v>.</v>
          </cell>
        </row>
        <row r="59">
          <cell r="BC59" t="str">
            <v>.</v>
          </cell>
        </row>
        <row r="60">
          <cell r="BC60" t="str">
            <v>.</v>
          </cell>
        </row>
        <row r="61">
          <cell r="BC61" t="str">
            <v>.</v>
          </cell>
        </row>
        <row r="62">
          <cell r="BC62" t="str">
            <v>.</v>
          </cell>
        </row>
        <row r="63">
          <cell r="BC63" t="str">
            <v>.</v>
          </cell>
        </row>
        <row r="64">
          <cell r="BC64" t="str">
            <v>.</v>
          </cell>
        </row>
        <row r="65">
          <cell r="BC65" t="str">
            <v>.</v>
          </cell>
        </row>
        <row r="66">
          <cell r="BC66" t="str">
            <v>.</v>
          </cell>
        </row>
        <row r="67">
          <cell r="BC67" t="str">
            <v>.</v>
          </cell>
        </row>
        <row r="68">
          <cell r="BC68" t="str">
            <v>.</v>
          </cell>
        </row>
        <row r="69">
          <cell r="BC69" t="str">
            <v>.</v>
          </cell>
        </row>
        <row r="70">
          <cell r="BC70" t="str">
            <v>.</v>
          </cell>
        </row>
        <row r="71">
          <cell r="BC71" t="str">
            <v>.</v>
          </cell>
        </row>
        <row r="72">
          <cell r="BC72" t="str">
            <v>.</v>
          </cell>
        </row>
        <row r="73">
          <cell r="BC73" t="str">
            <v>.</v>
          </cell>
        </row>
        <row r="74">
          <cell r="BC74" t="str">
            <v>.</v>
          </cell>
        </row>
        <row r="75">
          <cell r="BC75" t="str">
            <v>.</v>
          </cell>
        </row>
        <row r="76">
          <cell r="BC76" t="str">
            <v>.</v>
          </cell>
        </row>
        <row r="77">
          <cell r="BC77" t="str">
            <v>.</v>
          </cell>
        </row>
        <row r="78">
          <cell r="BC78" t="str">
            <v>.</v>
          </cell>
        </row>
        <row r="79">
          <cell r="BC79" t="str">
            <v>.</v>
          </cell>
        </row>
        <row r="80">
          <cell r="BC80" t="str">
            <v>.</v>
          </cell>
        </row>
        <row r="81">
          <cell r="BC81" t="str">
            <v>.</v>
          </cell>
        </row>
        <row r="82">
          <cell r="BC82" t="str">
            <v>.</v>
          </cell>
        </row>
        <row r="83">
          <cell r="BC83" t="str">
            <v>.</v>
          </cell>
        </row>
        <row r="84">
          <cell r="BC84" t="str">
            <v>.</v>
          </cell>
        </row>
        <row r="85">
          <cell r="BC85" t="str">
            <v>.</v>
          </cell>
        </row>
        <row r="86">
          <cell r="BC86" t="str">
            <v>.</v>
          </cell>
        </row>
        <row r="87">
          <cell r="BC87" t="str">
            <v>.</v>
          </cell>
        </row>
        <row r="88">
          <cell r="BC88" t="str">
            <v>.</v>
          </cell>
        </row>
        <row r="89">
          <cell r="BC89" t="str">
            <v>.</v>
          </cell>
        </row>
        <row r="90">
          <cell r="BC90" t="str">
            <v>.</v>
          </cell>
        </row>
        <row r="91">
          <cell r="BC91" t="str">
            <v>.</v>
          </cell>
        </row>
        <row r="92">
          <cell r="BC92" t="str">
            <v>.</v>
          </cell>
        </row>
        <row r="93">
          <cell r="BC93" t="str">
            <v>.</v>
          </cell>
        </row>
        <row r="94">
          <cell r="BC94" t="str">
            <v>.</v>
          </cell>
        </row>
        <row r="95">
          <cell r="BC95" t="str">
            <v>.</v>
          </cell>
        </row>
        <row r="96">
          <cell r="BC96" t="str">
            <v>.</v>
          </cell>
        </row>
        <row r="97">
          <cell r="BC97" t="str">
            <v>.</v>
          </cell>
        </row>
        <row r="98">
          <cell r="BC98" t="str">
            <v>.</v>
          </cell>
        </row>
        <row r="99">
          <cell r="BC99" t="str">
            <v>.</v>
          </cell>
        </row>
        <row r="100">
          <cell r="BC100" t="str">
            <v>.</v>
          </cell>
        </row>
        <row r="101">
          <cell r="BC101" t="str">
            <v>.</v>
          </cell>
        </row>
        <row r="102">
          <cell r="BC102" t="str">
            <v>.</v>
          </cell>
        </row>
        <row r="103">
          <cell r="BC103" t="str">
            <v>.</v>
          </cell>
        </row>
        <row r="104">
          <cell r="BC104" t="str">
            <v>.</v>
          </cell>
        </row>
        <row r="105">
          <cell r="BC105" t="str">
            <v>.</v>
          </cell>
        </row>
        <row r="106">
          <cell r="BC106" t="str">
            <v>.</v>
          </cell>
        </row>
        <row r="107">
          <cell r="BC107" t="str">
            <v>.</v>
          </cell>
        </row>
        <row r="108">
          <cell r="BC108" t="str">
            <v>.</v>
          </cell>
        </row>
        <row r="109">
          <cell r="BC109" t="str">
            <v>.</v>
          </cell>
        </row>
        <row r="110">
          <cell r="BC110" t="str">
            <v>.</v>
          </cell>
        </row>
        <row r="111">
          <cell r="BC111" t="str">
            <v>.</v>
          </cell>
        </row>
        <row r="112">
          <cell r="BC112" t="str">
            <v>.</v>
          </cell>
        </row>
        <row r="113">
          <cell r="BC113" t="str">
            <v>.</v>
          </cell>
        </row>
        <row r="114">
          <cell r="BC114" t="str">
            <v>.</v>
          </cell>
        </row>
        <row r="115">
          <cell r="BC115" t="str">
            <v>.</v>
          </cell>
        </row>
        <row r="116">
          <cell r="BC116" t="str">
            <v>.</v>
          </cell>
        </row>
        <row r="117">
          <cell r="BC117" t="str">
            <v>.</v>
          </cell>
        </row>
        <row r="118">
          <cell r="BC118" t="str">
            <v>.</v>
          </cell>
        </row>
        <row r="119">
          <cell r="BC119" t="str">
            <v>.</v>
          </cell>
        </row>
        <row r="120">
          <cell r="BC120" t="str">
            <v>.</v>
          </cell>
        </row>
        <row r="121">
          <cell r="BC121" t="str">
            <v>.</v>
          </cell>
        </row>
        <row r="122">
          <cell r="BC122" t="str">
            <v>.</v>
          </cell>
        </row>
        <row r="123">
          <cell r="BC123" t="str">
            <v>.</v>
          </cell>
        </row>
        <row r="124">
          <cell r="BC124" t="str">
            <v>.</v>
          </cell>
        </row>
        <row r="125">
          <cell r="BC125" t="str">
            <v>.</v>
          </cell>
        </row>
        <row r="126">
          <cell r="BC126" t="str">
            <v>.</v>
          </cell>
        </row>
        <row r="127">
          <cell r="BC127" t="str">
            <v>.</v>
          </cell>
        </row>
        <row r="128">
          <cell r="BC128" t="str">
            <v>.</v>
          </cell>
        </row>
        <row r="129">
          <cell r="BC129" t="str">
            <v>.</v>
          </cell>
        </row>
        <row r="130">
          <cell r="BC130" t="str">
            <v>.</v>
          </cell>
        </row>
        <row r="131">
          <cell r="BC131" t="str">
            <v>.</v>
          </cell>
        </row>
        <row r="132">
          <cell r="BC132" t="str">
            <v>.</v>
          </cell>
        </row>
        <row r="133">
          <cell r="BC133" t="str">
            <v>.</v>
          </cell>
        </row>
        <row r="134">
          <cell r="BC134" t="str">
            <v>.</v>
          </cell>
        </row>
        <row r="135">
          <cell r="BC135" t="str">
            <v>.</v>
          </cell>
        </row>
        <row r="136">
          <cell r="BC136" t="str">
            <v>.</v>
          </cell>
        </row>
        <row r="137">
          <cell r="BC137" t="str">
            <v>.</v>
          </cell>
        </row>
        <row r="138">
          <cell r="BC138" t="str">
            <v>.</v>
          </cell>
        </row>
        <row r="139">
          <cell r="BC139" t="str">
            <v>.</v>
          </cell>
        </row>
        <row r="140">
          <cell r="BC140" t="str">
            <v>.</v>
          </cell>
        </row>
        <row r="141">
          <cell r="BC141" t="str">
            <v>.</v>
          </cell>
        </row>
        <row r="142">
          <cell r="BC142" t="str">
            <v>.</v>
          </cell>
        </row>
        <row r="143">
          <cell r="BC143" t="str">
            <v>.</v>
          </cell>
        </row>
        <row r="144">
          <cell r="BC144" t="str">
            <v>.</v>
          </cell>
        </row>
        <row r="145">
          <cell r="BC145" t="str">
            <v>.</v>
          </cell>
        </row>
        <row r="146">
          <cell r="BC146" t="str">
            <v>.</v>
          </cell>
        </row>
        <row r="147">
          <cell r="BC147" t="str">
            <v>.</v>
          </cell>
        </row>
        <row r="148">
          <cell r="BC148" t="str">
            <v>.</v>
          </cell>
        </row>
        <row r="149">
          <cell r="BC149" t="str">
            <v>.</v>
          </cell>
        </row>
        <row r="150">
          <cell r="BC150" t="str">
            <v>.</v>
          </cell>
        </row>
        <row r="151">
          <cell r="BC151" t="str">
            <v>.</v>
          </cell>
        </row>
        <row r="152">
          <cell r="BC152" t="str">
            <v>.</v>
          </cell>
        </row>
        <row r="153">
          <cell r="BC153" t="str">
            <v>.</v>
          </cell>
        </row>
        <row r="154">
          <cell r="BC154" t="str">
            <v>.</v>
          </cell>
        </row>
        <row r="155">
          <cell r="BC155" t="str">
            <v>.</v>
          </cell>
        </row>
        <row r="156">
          <cell r="BC156" t="str">
            <v>.</v>
          </cell>
        </row>
        <row r="157">
          <cell r="BC157" t="str">
            <v>.</v>
          </cell>
        </row>
        <row r="158">
          <cell r="BC158" t="str">
            <v>.</v>
          </cell>
        </row>
        <row r="159">
          <cell r="BC159" t="str">
            <v>.</v>
          </cell>
        </row>
        <row r="160">
          <cell r="BC160" t="str">
            <v>.</v>
          </cell>
        </row>
        <row r="161">
          <cell r="BC161" t="str">
            <v>.</v>
          </cell>
        </row>
        <row r="162">
          <cell r="BC162" t="str">
            <v>.</v>
          </cell>
        </row>
        <row r="163">
          <cell r="BC163" t="str">
            <v>.</v>
          </cell>
        </row>
        <row r="164">
          <cell r="BC164" t="str">
            <v>.</v>
          </cell>
        </row>
        <row r="165">
          <cell r="BC165" t="str">
            <v>.</v>
          </cell>
        </row>
        <row r="166">
          <cell r="BC166" t="str">
            <v>.</v>
          </cell>
        </row>
        <row r="167">
          <cell r="BC167" t="str">
            <v>.</v>
          </cell>
        </row>
        <row r="168">
          <cell r="BC168" t="str">
            <v>.</v>
          </cell>
        </row>
        <row r="169">
          <cell r="BC169" t="str">
            <v>.</v>
          </cell>
        </row>
        <row r="170">
          <cell r="BC170" t="str">
            <v>.</v>
          </cell>
        </row>
        <row r="171">
          <cell r="BC171" t="str">
            <v>.</v>
          </cell>
        </row>
        <row r="172">
          <cell r="BC172" t="str">
            <v>.</v>
          </cell>
        </row>
        <row r="173">
          <cell r="BC173" t="str">
            <v>.</v>
          </cell>
        </row>
        <row r="174">
          <cell r="BC174" t="str">
            <v>.</v>
          </cell>
        </row>
        <row r="175">
          <cell r="BC175" t="str">
            <v>.</v>
          </cell>
        </row>
        <row r="176">
          <cell r="BC176" t="str">
            <v>.</v>
          </cell>
        </row>
        <row r="177">
          <cell r="BC177" t="str">
            <v>.</v>
          </cell>
        </row>
        <row r="178">
          <cell r="BC178" t="str">
            <v>.</v>
          </cell>
        </row>
        <row r="179">
          <cell r="BC179" t="str">
            <v>.</v>
          </cell>
        </row>
        <row r="180">
          <cell r="BC180" t="str">
            <v>.</v>
          </cell>
        </row>
        <row r="181">
          <cell r="BC181" t="str">
            <v>.</v>
          </cell>
        </row>
        <row r="182">
          <cell r="BC182" t="str">
            <v>.</v>
          </cell>
        </row>
        <row r="183">
          <cell r="BC183" t="str">
            <v>.</v>
          </cell>
        </row>
        <row r="184">
          <cell r="BC184" t="str">
            <v>.</v>
          </cell>
        </row>
        <row r="185">
          <cell r="BC185" t="str">
            <v>.</v>
          </cell>
        </row>
        <row r="186">
          <cell r="BC186" t="str">
            <v>.</v>
          </cell>
        </row>
        <row r="187">
          <cell r="BC187" t="str">
            <v>.</v>
          </cell>
        </row>
        <row r="188">
          <cell r="BC188" t="str">
            <v>.</v>
          </cell>
        </row>
        <row r="189">
          <cell r="BC189" t="str">
            <v>.</v>
          </cell>
        </row>
        <row r="190">
          <cell r="BC190" t="str">
            <v>.</v>
          </cell>
        </row>
        <row r="191">
          <cell r="BC191" t="str">
            <v>.</v>
          </cell>
        </row>
        <row r="192">
          <cell r="BC192" t="str">
            <v>.</v>
          </cell>
        </row>
        <row r="193">
          <cell r="BC193" t="str">
            <v>.</v>
          </cell>
        </row>
        <row r="194">
          <cell r="BC194" t="str">
            <v>.</v>
          </cell>
        </row>
        <row r="195">
          <cell r="BC195" t="str">
            <v>.</v>
          </cell>
        </row>
        <row r="196">
          <cell r="BC196" t="str">
            <v>.</v>
          </cell>
        </row>
        <row r="197">
          <cell r="BC197" t="str">
            <v>.</v>
          </cell>
        </row>
        <row r="198">
          <cell r="BC198" t="str">
            <v>.</v>
          </cell>
        </row>
        <row r="199">
          <cell r="BC199" t="str">
            <v>.</v>
          </cell>
        </row>
        <row r="200">
          <cell r="BC200" t="str">
            <v>.</v>
          </cell>
        </row>
        <row r="201">
          <cell r="BC201" t="str">
            <v>.</v>
          </cell>
        </row>
        <row r="202">
          <cell r="BC202" t="str">
            <v>.</v>
          </cell>
        </row>
        <row r="203">
          <cell r="BC203" t="str">
            <v>.</v>
          </cell>
        </row>
        <row r="204">
          <cell r="BC204" t="str">
            <v>.</v>
          </cell>
        </row>
        <row r="205">
          <cell r="BC205" t="str">
            <v>.</v>
          </cell>
        </row>
        <row r="206">
          <cell r="BC206" t="str">
            <v>.</v>
          </cell>
        </row>
        <row r="207">
          <cell r="BC207" t="str">
            <v>.</v>
          </cell>
        </row>
        <row r="208">
          <cell r="BC208" t="str">
            <v>.</v>
          </cell>
        </row>
        <row r="209">
          <cell r="BC209" t="str">
            <v>.</v>
          </cell>
        </row>
        <row r="210">
          <cell r="BC210" t="str">
            <v>.</v>
          </cell>
        </row>
        <row r="211">
          <cell r="BC211" t="str">
            <v>.</v>
          </cell>
        </row>
        <row r="212">
          <cell r="BC212" t="str">
            <v>.</v>
          </cell>
        </row>
        <row r="213">
          <cell r="BC213" t="str">
            <v>.</v>
          </cell>
        </row>
        <row r="214">
          <cell r="BC214" t="str">
            <v>.</v>
          </cell>
        </row>
        <row r="215">
          <cell r="BC215" t="str">
            <v>.</v>
          </cell>
        </row>
        <row r="216">
          <cell r="BC216" t="str">
            <v>.</v>
          </cell>
        </row>
        <row r="217">
          <cell r="BC217" t="str">
            <v>.</v>
          </cell>
        </row>
        <row r="218">
          <cell r="BC218" t="str">
            <v>.</v>
          </cell>
        </row>
        <row r="219">
          <cell r="BC219" t="str">
            <v>.</v>
          </cell>
        </row>
        <row r="220">
          <cell r="BC220" t="str">
            <v>.</v>
          </cell>
        </row>
        <row r="221">
          <cell r="BC221" t="str">
            <v>.</v>
          </cell>
        </row>
        <row r="222">
          <cell r="BC222" t="str">
            <v>.</v>
          </cell>
        </row>
        <row r="223">
          <cell r="BC223" t="str">
            <v>.</v>
          </cell>
        </row>
        <row r="224">
          <cell r="BC224" t="str">
            <v>.</v>
          </cell>
        </row>
        <row r="225">
          <cell r="BC225" t="str">
            <v>.</v>
          </cell>
        </row>
        <row r="226">
          <cell r="BC226" t="str">
            <v>.</v>
          </cell>
        </row>
        <row r="227">
          <cell r="BC227" t="str">
            <v>.</v>
          </cell>
        </row>
        <row r="228">
          <cell r="BC228" t="str">
            <v>.</v>
          </cell>
        </row>
        <row r="229">
          <cell r="BC229" t="str">
            <v>.</v>
          </cell>
        </row>
        <row r="230">
          <cell r="BC230" t="str">
            <v>.</v>
          </cell>
        </row>
        <row r="231">
          <cell r="BC231" t="str">
            <v>.</v>
          </cell>
        </row>
        <row r="232">
          <cell r="BC232" t="str">
            <v>.</v>
          </cell>
        </row>
        <row r="233">
          <cell r="BC233" t="str">
            <v>.</v>
          </cell>
        </row>
        <row r="234">
          <cell r="BC234" t="str">
            <v>.</v>
          </cell>
        </row>
        <row r="235">
          <cell r="BC235" t="str">
            <v>.</v>
          </cell>
        </row>
        <row r="236">
          <cell r="BC236" t="str">
            <v>.</v>
          </cell>
        </row>
        <row r="237">
          <cell r="BC237" t="str">
            <v>.</v>
          </cell>
        </row>
        <row r="238">
          <cell r="BC238" t="str">
            <v>.</v>
          </cell>
        </row>
        <row r="239">
          <cell r="BC239" t="str">
            <v>.</v>
          </cell>
        </row>
        <row r="240">
          <cell r="BC240" t="str">
            <v>.</v>
          </cell>
        </row>
        <row r="241">
          <cell r="BC241" t="str">
            <v>.</v>
          </cell>
        </row>
        <row r="242">
          <cell r="BC242" t="str">
            <v>.</v>
          </cell>
        </row>
        <row r="243">
          <cell r="BC243" t="str">
            <v>.</v>
          </cell>
        </row>
        <row r="244">
          <cell r="BC244" t="str">
            <v>.</v>
          </cell>
        </row>
        <row r="245">
          <cell r="BC245" t="str">
            <v>.</v>
          </cell>
        </row>
        <row r="246">
          <cell r="BC246" t="str">
            <v>.</v>
          </cell>
        </row>
        <row r="247">
          <cell r="BC247" t="str">
            <v>.</v>
          </cell>
        </row>
        <row r="248">
          <cell r="BC248" t="str">
            <v>.</v>
          </cell>
        </row>
        <row r="249">
          <cell r="BC249" t="str">
            <v>.</v>
          </cell>
        </row>
        <row r="250">
          <cell r="BC250" t="str">
            <v>.</v>
          </cell>
        </row>
        <row r="251">
          <cell r="BC251" t="str">
            <v>.</v>
          </cell>
        </row>
        <row r="252">
          <cell r="BC252" t="str">
            <v>.</v>
          </cell>
        </row>
        <row r="253">
          <cell r="BC253" t="str">
            <v>.</v>
          </cell>
        </row>
        <row r="254">
          <cell r="BC254" t="str">
            <v>.</v>
          </cell>
        </row>
        <row r="255">
          <cell r="BC255" t="str">
            <v>.</v>
          </cell>
        </row>
        <row r="256">
          <cell r="BC256" t="str">
            <v>.</v>
          </cell>
        </row>
        <row r="257">
          <cell r="BC257" t="str">
            <v>.</v>
          </cell>
        </row>
        <row r="258">
          <cell r="BC258" t="str">
            <v>.</v>
          </cell>
        </row>
        <row r="259">
          <cell r="BC259" t="str">
            <v>.</v>
          </cell>
        </row>
        <row r="260">
          <cell r="BC260" t="str">
            <v>.</v>
          </cell>
        </row>
        <row r="261">
          <cell r="BC261" t="str">
            <v>.</v>
          </cell>
        </row>
        <row r="262">
          <cell r="BC262" t="str">
            <v>.</v>
          </cell>
        </row>
        <row r="263">
          <cell r="BC263" t="str">
            <v>.</v>
          </cell>
        </row>
        <row r="264">
          <cell r="BC264" t="str">
            <v>.</v>
          </cell>
        </row>
        <row r="265">
          <cell r="BC265" t="str">
            <v>.</v>
          </cell>
        </row>
        <row r="266">
          <cell r="BC266" t="str">
            <v>.</v>
          </cell>
        </row>
        <row r="267">
          <cell r="BC267" t="str">
            <v>.</v>
          </cell>
        </row>
        <row r="268">
          <cell r="BC268" t="str">
            <v>.</v>
          </cell>
        </row>
        <row r="269">
          <cell r="BC269" t="str">
            <v>.</v>
          </cell>
        </row>
        <row r="270">
          <cell r="BC270" t="str">
            <v>.</v>
          </cell>
        </row>
        <row r="271">
          <cell r="BC271" t="str">
            <v>.</v>
          </cell>
        </row>
        <row r="272">
          <cell r="BC272" t="str">
            <v>.</v>
          </cell>
        </row>
        <row r="273">
          <cell r="BC273" t="str">
            <v>.</v>
          </cell>
        </row>
        <row r="274">
          <cell r="BC274" t="str">
            <v>.</v>
          </cell>
        </row>
        <row r="275">
          <cell r="BC275" t="str">
            <v>.</v>
          </cell>
        </row>
        <row r="276">
          <cell r="BC276" t="str">
            <v>.</v>
          </cell>
        </row>
        <row r="277">
          <cell r="BC277" t="str">
            <v>.</v>
          </cell>
        </row>
        <row r="278">
          <cell r="BC278" t="str">
            <v>.</v>
          </cell>
        </row>
        <row r="279">
          <cell r="BC279" t="str">
            <v>.</v>
          </cell>
        </row>
        <row r="280">
          <cell r="BC280" t="str">
            <v>.</v>
          </cell>
        </row>
        <row r="281">
          <cell r="BC281" t="str">
            <v>.</v>
          </cell>
        </row>
        <row r="282">
          <cell r="BC282" t="str">
            <v>.</v>
          </cell>
        </row>
        <row r="283">
          <cell r="BC283" t="str">
            <v>.</v>
          </cell>
        </row>
        <row r="284">
          <cell r="BC284" t="str">
            <v>.</v>
          </cell>
        </row>
        <row r="285">
          <cell r="BC285" t="str">
            <v>.</v>
          </cell>
        </row>
        <row r="286">
          <cell r="BC286" t="str">
            <v>.</v>
          </cell>
        </row>
        <row r="287">
          <cell r="BC287" t="str">
            <v>.</v>
          </cell>
        </row>
        <row r="288">
          <cell r="BC288" t="str">
            <v>.</v>
          </cell>
        </row>
        <row r="289">
          <cell r="BC289" t="str">
            <v>.</v>
          </cell>
        </row>
        <row r="290">
          <cell r="BC290" t="str">
            <v>.</v>
          </cell>
        </row>
        <row r="291">
          <cell r="BC291" t="str">
            <v>.</v>
          </cell>
        </row>
        <row r="292">
          <cell r="BC292" t="str">
            <v>.</v>
          </cell>
        </row>
        <row r="293">
          <cell r="BC293" t="str">
            <v>.</v>
          </cell>
        </row>
        <row r="294">
          <cell r="BC294" t="str">
            <v>.</v>
          </cell>
        </row>
        <row r="295">
          <cell r="BC295" t="str">
            <v>.</v>
          </cell>
        </row>
        <row r="296">
          <cell r="BC296" t="str">
            <v>.</v>
          </cell>
        </row>
        <row r="297">
          <cell r="BC297" t="str">
            <v>.</v>
          </cell>
        </row>
        <row r="298">
          <cell r="BC298" t="str">
            <v>.</v>
          </cell>
        </row>
        <row r="299">
          <cell r="BC299" t="str">
            <v>.</v>
          </cell>
        </row>
        <row r="300">
          <cell r="BC300" t="str">
            <v>.</v>
          </cell>
        </row>
        <row r="301">
          <cell r="BC301" t="str">
            <v>.</v>
          </cell>
        </row>
        <row r="302">
          <cell r="BC302" t="str">
            <v>.</v>
          </cell>
        </row>
        <row r="303">
          <cell r="BC303" t="str">
            <v>.</v>
          </cell>
        </row>
        <row r="304">
          <cell r="BC304" t="str">
            <v>.</v>
          </cell>
        </row>
        <row r="305">
          <cell r="BC305" t="str">
            <v>.</v>
          </cell>
        </row>
        <row r="306">
          <cell r="BC306" t="str">
            <v>.</v>
          </cell>
        </row>
        <row r="307">
          <cell r="BC307" t="str">
            <v>.</v>
          </cell>
        </row>
        <row r="308">
          <cell r="BC308" t="str">
            <v>.</v>
          </cell>
        </row>
        <row r="309">
          <cell r="BC309" t="str">
            <v>.</v>
          </cell>
        </row>
        <row r="310">
          <cell r="BC310" t="str">
            <v>.</v>
          </cell>
        </row>
        <row r="311">
          <cell r="BC311" t="str">
            <v>.</v>
          </cell>
        </row>
        <row r="312">
          <cell r="BC312" t="str">
            <v>.</v>
          </cell>
        </row>
        <row r="313">
          <cell r="BC313" t="str">
            <v>.</v>
          </cell>
        </row>
        <row r="314">
          <cell r="BC314" t="str">
            <v>.</v>
          </cell>
        </row>
        <row r="315">
          <cell r="BC315" t="str">
            <v>.</v>
          </cell>
        </row>
        <row r="316">
          <cell r="BC316" t="str">
            <v>.</v>
          </cell>
        </row>
        <row r="317">
          <cell r="BC317" t="str">
            <v>.</v>
          </cell>
        </row>
        <row r="318">
          <cell r="BC318" t="str">
            <v>.</v>
          </cell>
        </row>
        <row r="319">
          <cell r="BC319" t="str">
            <v>.</v>
          </cell>
        </row>
        <row r="320">
          <cell r="BC320" t="str">
            <v>.</v>
          </cell>
        </row>
        <row r="321">
          <cell r="BC321" t="str">
            <v>.</v>
          </cell>
        </row>
        <row r="322">
          <cell r="BC322" t="str">
            <v>.</v>
          </cell>
        </row>
        <row r="323">
          <cell r="BC323" t="str">
            <v>.</v>
          </cell>
        </row>
        <row r="324">
          <cell r="BC324" t="str">
            <v>.</v>
          </cell>
        </row>
        <row r="325">
          <cell r="BC325" t="str">
            <v>.</v>
          </cell>
        </row>
        <row r="326">
          <cell r="BC326" t="str">
            <v>.</v>
          </cell>
        </row>
        <row r="327">
          <cell r="BC327" t="str">
            <v>.</v>
          </cell>
        </row>
        <row r="328">
          <cell r="BC328" t="str">
            <v>.</v>
          </cell>
        </row>
        <row r="329">
          <cell r="BC329" t="str">
            <v>.</v>
          </cell>
        </row>
        <row r="330">
          <cell r="BC330" t="str">
            <v>.</v>
          </cell>
        </row>
        <row r="331">
          <cell r="BC331" t="str">
            <v>.</v>
          </cell>
        </row>
        <row r="332">
          <cell r="BC332" t="str">
            <v>.</v>
          </cell>
        </row>
        <row r="333">
          <cell r="BC333" t="str">
            <v>.</v>
          </cell>
        </row>
        <row r="334">
          <cell r="BC334" t="str">
            <v>.</v>
          </cell>
        </row>
        <row r="335">
          <cell r="BC335" t="str">
            <v>.</v>
          </cell>
        </row>
        <row r="336">
          <cell r="BC336" t="str">
            <v>.</v>
          </cell>
        </row>
        <row r="337">
          <cell r="BC337" t="str">
            <v>.</v>
          </cell>
        </row>
        <row r="338">
          <cell r="BC338" t="str">
            <v>.</v>
          </cell>
        </row>
        <row r="339">
          <cell r="BC339" t="str">
            <v>.</v>
          </cell>
        </row>
        <row r="340">
          <cell r="BC340" t="str">
            <v>.</v>
          </cell>
        </row>
        <row r="341">
          <cell r="BC341" t="str">
            <v>.</v>
          </cell>
        </row>
        <row r="342">
          <cell r="BC342" t="str">
            <v>.</v>
          </cell>
        </row>
        <row r="343">
          <cell r="BC343" t="str">
            <v>.</v>
          </cell>
        </row>
        <row r="344">
          <cell r="BC344" t="str">
            <v>.</v>
          </cell>
        </row>
        <row r="345">
          <cell r="BC345" t="str">
            <v>.</v>
          </cell>
        </row>
        <row r="346">
          <cell r="BC346" t="str">
            <v>.</v>
          </cell>
        </row>
        <row r="347">
          <cell r="BC347" t="str">
            <v>.</v>
          </cell>
        </row>
        <row r="348">
          <cell r="BC348" t="str">
            <v>.</v>
          </cell>
        </row>
        <row r="349">
          <cell r="BC349" t="str">
            <v>.</v>
          </cell>
        </row>
        <row r="350">
          <cell r="BC350" t="str">
            <v>.</v>
          </cell>
        </row>
        <row r="351">
          <cell r="BC351" t="str">
            <v>.</v>
          </cell>
        </row>
        <row r="352">
          <cell r="BC352" t="str">
            <v>.</v>
          </cell>
        </row>
        <row r="353">
          <cell r="BC353" t="str">
            <v>.</v>
          </cell>
        </row>
        <row r="354">
          <cell r="BC354" t="str">
            <v>.</v>
          </cell>
        </row>
        <row r="355">
          <cell r="BC355" t="str">
            <v>.</v>
          </cell>
        </row>
        <row r="356">
          <cell r="BC356" t="str">
            <v>.</v>
          </cell>
        </row>
        <row r="357">
          <cell r="BC357" t="str">
            <v>.</v>
          </cell>
        </row>
        <row r="358">
          <cell r="BC358" t="str">
            <v>.</v>
          </cell>
        </row>
        <row r="359">
          <cell r="BC359" t="str">
            <v>.</v>
          </cell>
        </row>
        <row r="360">
          <cell r="BC360" t="str">
            <v>.</v>
          </cell>
        </row>
        <row r="361">
          <cell r="BC361" t="str">
            <v>.</v>
          </cell>
        </row>
        <row r="362">
          <cell r="BC362" t="str">
            <v>.</v>
          </cell>
        </row>
        <row r="363">
          <cell r="BC363" t="str">
            <v>.</v>
          </cell>
        </row>
        <row r="364">
          <cell r="BC364" t="str">
            <v>.</v>
          </cell>
        </row>
        <row r="365">
          <cell r="BC365" t="str">
            <v>.</v>
          </cell>
        </row>
        <row r="366">
          <cell r="BC366" t="str">
            <v>.</v>
          </cell>
        </row>
        <row r="367">
          <cell r="BC367" t="str">
            <v>.</v>
          </cell>
        </row>
        <row r="368">
          <cell r="BC368" t="str">
            <v>.</v>
          </cell>
        </row>
        <row r="369">
          <cell r="BC369" t="str">
            <v>.</v>
          </cell>
        </row>
        <row r="370">
          <cell r="BC370" t="str">
            <v>.</v>
          </cell>
        </row>
        <row r="371">
          <cell r="BC371" t="str">
            <v>.</v>
          </cell>
        </row>
        <row r="372">
          <cell r="BC372" t="str">
            <v>.</v>
          </cell>
        </row>
        <row r="373">
          <cell r="BC373" t="str">
            <v>.</v>
          </cell>
        </row>
        <row r="374">
          <cell r="BC374" t="str">
            <v>.</v>
          </cell>
        </row>
        <row r="375">
          <cell r="BC375" t="str">
            <v>.</v>
          </cell>
        </row>
        <row r="376">
          <cell r="BC376" t="str">
            <v>.</v>
          </cell>
        </row>
        <row r="377">
          <cell r="BC377" t="str">
            <v>.</v>
          </cell>
        </row>
        <row r="378">
          <cell r="BC378" t="str">
            <v>.</v>
          </cell>
        </row>
        <row r="379">
          <cell r="BC379" t="str">
            <v>.</v>
          </cell>
        </row>
        <row r="380">
          <cell r="BC380" t="str">
            <v>.</v>
          </cell>
        </row>
        <row r="381">
          <cell r="BC381" t="str">
            <v>.</v>
          </cell>
        </row>
        <row r="382">
          <cell r="BC382" t="str">
            <v>.</v>
          </cell>
        </row>
        <row r="383">
          <cell r="BC383" t="str">
            <v>.</v>
          </cell>
        </row>
        <row r="384">
          <cell r="BC384" t="str">
            <v>.</v>
          </cell>
        </row>
        <row r="385">
          <cell r="BC385" t="str">
            <v>.</v>
          </cell>
        </row>
        <row r="386">
          <cell r="BC386" t="str">
            <v>.</v>
          </cell>
        </row>
        <row r="387">
          <cell r="BC387" t="str">
            <v>.</v>
          </cell>
        </row>
        <row r="388">
          <cell r="BC388" t="str">
            <v>.</v>
          </cell>
        </row>
        <row r="389">
          <cell r="BC389" t="str">
            <v>.</v>
          </cell>
        </row>
        <row r="390">
          <cell r="BC390" t="str">
            <v>.</v>
          </cell>
        </row>
        <row r="391">
          <cell r="BC391" t="str">
            <v>.</v>
          </cell>
        </row>
        <row r="392">
          <cell r="BC392" t="str">
            <v>.</v>
          </cell>
        </row>
        <row r="393">
          <cell r="BC393" t="str">
            <v>.</v>
          </cell>
        </row>
        <row r="394">
          <cell r="BC394" t="str">
            <v>.</v>
          </cell>
        </row>
        <row r="395">
          <cell r="BC395" t="str">
            <v>.</v>
          </cell>
        </row>
        <row r="396">
          <cell r="BC396" t="str">
            <v>.</v>
          </cell>
        </row>
        <row r="397">
          <cell r="BC397" t="str">
            <v>.</v>
          </cell>
        </row>
        <row r="398">
          <cell r="BC398" t="str">
            <v>.</v>
          </cell>
        </row>
        <row r="399">
          <cell r="BC399" t="str">
            <v>.</v>
          </cell>
        </row>
        <row r="400">
          <cell r="BC400" t="str">
            <v>.</v>
          </cell>
        </row>
        <row r="401">
          <cell r="BC401" t="str">
            <v>.</v>
          </cell>
        </row>
        <row r="402">
          <cell r="BC402" t="str">
            <v>.</v>
          </cell>
        </row>
        <row r="403">
          <cell r="BC403" t="str">
            <v>.</v>
          </cell>
        </row>
        <row r="404">
          <cell r="BC404" t="str">
            <v>.</v>
          </cell>
        </row>
        <row r="405">
          <cell r="BC405" t="str">
            <v>.</v>
          </cell>
        </row>
        <row r="406">
          <cell r="BC406" t="str">
            <v>.</v>
          </cell>
        </row>
        <row r="407">
          <cell r="BC407" t="str">
            <v>.</v>
          </cell>
        </row>
        <row r="408">
          <cell r="BC408" t="str">
            <v>.</v>
          </cell>
        </row>
        <row r="409">
          <cell r="BC409" t="str">
            <v>.</v>
          </cell>
        </row>
        <row r="410">
          <cell r="BC410" t="str">
            <v>.</v>
          </cell>
        </row>
        <row r="411">
          <cell r="BC411" t="str">
            <v>.</v>
          </cell>
        </row>
        <row r="412">
          <cell r="BC412" t="str">
            <v>.</v>
          </cell>
        </row>
        <row r="413">
          <cell r="BC413" t="str">
            <v>.</v>
          </cell>
        </row>
        <row r="414">
          <cell r="BC414" t="str">
            <v>.</v>
          </cell>
        </row>
        <row r="415">
          <cell r="BC415" t="str">
            <v>.</v>
          </cell>
        </row>
        <row r="416">
          <cell r="BC416" t="str">
            <v>.</v>
          </cell>
        </row>
        <row r="417">
          <cell r="BC417" t="str">
            <v>.</v>
          </cell>
        </row>
        <row r="418">
          <cell r="BC418" t="str">
            <v>.</v>
          </cell>
        </row>
        <row r="419">
          <cell r="BC419" t="str">
            <v>.</v>
          </cell>
        </row>
        <row r="420">
          <cell r="BC420" t="str">
            <v>.</v>
          </cell>
        </row>
        <row r="421">
          <cell r="BC421" t="str">
            <v>.</v>
          </cell>
        </row>
        <row r="422">
          <cell r="BC422" t="str">
            <v>.</v>
          </cell>
        </row>
        <row r="423">
          <cell r="BC423" t="str">
            <v>.</v>
          </cell>
        </row>
        <row r="424">
          <cell r="BC424" t="str">
            <v>.</v>
          </cell>
        </row>
        <row r="425">
          <cell r="BC425" t="str">
            <v>.</v>
          </cell>
        </row>
        <row r="426">
          <cell r="BC426" t="str">
            <v>.</v>
          </cell>
        </row>
        <row r="427">
          <cell r="BC427" t="str">
            <v>.</v>
          </cell>
        </row>
        <row r="428">
          <cell r="BC428" t="str">
            <v>.</v>
          </cell>
        </row>
        <row r="429">
          <cell r="BC429" t="str">
            <v>.</v>
          </cell>
        </row>
        <row r="430">
          <cell r="BC430" t="str">
            <v>.</v>
          </cell>
        </row>
        <row r="431">
          <cell r="BC431" t="str">
            <v>.</v>
          </cell>
        </row>
        <row r="432">
          <cell r="BC432" t="str">
            <v>.</v>
          </cell>
        </row>
        <row r="433">
          <cell r="BC433" t="str">
            <v>.</v>
          </cell>
        </row>
        <row r="434">
          <cell r="BC434" t="str">
            <v>.</v>
          </cell>
        </row>
        <row r="435">
          <cell r="BC435" t="str">
            <v>.</v>
          </cell>
        </row>
        <row r="436">
          <cell r="BC436" t="str">
            <v>.</v>
          </cell>
        </row>
        <row r="437">
          <cell r="BC437" t="str">
            <v>.</v>
          </cell>
        </row>
        <row r="438">
          <cell r="BC438" t="str">
            <v>.</v>
          </cell>
        </row>
        <row r="439">
          <cell r="BC439" t="str">
            <v>.</v>
          </cell>
        </row>
        <row r="440">
          <cell r="BC440" t="str">
            <v>.</v>
          </cell>
        </row>
        <row r="441">
          <cell r="BC441" t="str">
            <v>.</v>
          </cell>
        </row>
        <row r="442">
          <cell r="BC442" t="str">
            <v>.</v>
          </cell>
        </row>
        <row r="443">
          <cell r="BC443" t="str">
            <v>.</v>
          </cell>
        </row>
        <row r="444">
          <cell r="BC444" t="str">
            <v>.</v>
          </cell>
        </row>
        <row r="445">
          <cell r="BC445" t="str">
            <v>.</v>
          </cell>
        </row>
        <row r="446">
          <cell r="BC446" t="str">
            <v>.</v>
          </cell>
        </row>
        <row r="447">
          <cell r="BC447" t="str">
            <v>.</v>
          </cell>
        </row>
        <row r="448">
          <cell r="BC448" t="str">
            <v>.</v>
          </cell>
        </row>
        <row r="449">
          <cell r="BC449" t="str">
            <v>.</v>
          </cell>
        </row>
        <row r="450">
          <cell r="BC450" t="str">
            <v>.</v>
          </cell>
        </row>
        <row r="451">
          <cell r="BC451" t="str">
            <v>.</v>
          </cell>
        </row>
        <row r="452">
          <cell r="BC452" t="str">
            <v>.</v>
          </cell>
        </row>
        <row r="453">
          <cell r="BC453" t="str">
            <v>.</v>
          </cell>
        </row>
        <row r="454">
          <cell r="BC454" t="str">
            <v>.</v>
          </cell>
        </row>
        <row r="455">
          <cell r="BC455" t="str">
            <v>.</v>
          </cell>
        </row>
        <row r="456">
          <cell r="BC456" t="str">
            <v>.</v>
          </cell>
        </row>
        <row r="457">
          <cell r="BC457" t="str">
            <v>.</v>
          </cell>
        </row>
        <row r="458">
          <cell r="BC458" t="str">
            <v>.</v>
          </cell>
        </row>
        <row r="459">
          <cell r="BC459" t="str">
            <v>.</v>
          </cell>
        </row>
        <row r="460">
          <cell r="BC460" t="str">
            <v>.</v>
          </cell>
        </row>
        <row r="461">
          <cell r="BC461" t="str">
            <v>.</v>
          </cell>
        </row>
        <row r="462">
          <cell r="BC462" t="str">
            <v>.</v>
          </cell>
        </row>
        <row r="463">
          <cell r="BC463" t="str">
            <v>.</v>
          </cell>
        </row>
        <row r="464">
          <cell r="BC464" t="str">
            <v>.</v>
          </cell>
        </row>
        <row r="465">
          <cell r="BC465" t="str">
            <v>.</v>
          </cell>
        </row>
        <row r="466">
          <cell r="BC466" t="str">
            <v>.</v>
          </cell>
        </row>
        <row r="467">
          <cell r="BC467" t="str">
            <v>.</v>
          </cell>
        </row>
        <row r="468">
          <cell r="BC468" t="str">
            <v>.</v>
          </cell>
        </row>
        <row r="469">
          <cell r="BC469" t="str">
            <v>.</v>
          </cell>
        </row>
        <row r="470">
          <cell r="BC470" t="str">
            <v>.</v>
          </cell>
        </row>
        <row r="471">
          <cell r="BC471" t="str">
            <v>.</v>
          </cell>
        </row>
        <row r="472">
          <cell r="BC472" t="str">
            <v>.</v>
          </cell>
        </row>
        <row r="473">
          <cell r="BC473" t="str">
            <v>.</v>
          </cell>
        </row>
        <row r="474">
          <cell r="BC474" t="str">
            <v>.</v>
          </cell>
        </row>
        <row r="475">
          <cell r="BC475" t="str">
            <v>.</v>
          </cell>
        </row>
        <row r="476">
          <cell r="BC476" t="str">
            <v>.</v>
          </cell>
        </row>
        <row r="477">
          <cell r="BC477" t="str">
            <v>.</v>
          </cell>
        </row>
        <row r="478">
          <cell r="BC478" t="str">
            <v>.</v>
          </cell>
        </row>
        <row r="479">
          <cell r="BC479" t="str">
            <v>.</v>
          </cell>
        </row>
        <row r="480">
          <cell r="BC480" t="str">
            <v>.</v>
          </cell>
        </row>
        <row r="481">
          <cell r="BC481" t="str">
            <v>.</v>
          </cell>
        </row>
        <row r="482">
          <cell r="BC482" t="str">
            <v>.</v>
          </cell>
        </row>
        <row r="483">
          <cell r="BC483" t="str">
            <v>.</v>
          </cell>
        </row>
        <row r="484">
          <cell r="BC484" t="str">
            <v>.</v>
          </cell>
        </row>
        <row r="485">
          <cell r="BC485" t="str">
            <v>.</v>
          </cell>
        </row>
        <row r="486">
          <cell r="BC486" t="str">
            <v>.</v>
          </cell>
        </row>
        <row r="487">
          <cell r="BC487" t="str">
            <v>.</v>
          </cell>
        </row>
        <row r="488">
          <cell r="BC488" t="str">
            <v>.</v>
          </cell>
        </row>
        <row r="489">
          <cell r="BC489" t="str">
            <v>.</v>
          </cell>
        </row>
        <row r="490">
          <cell r="BC490" t="str">
            <v>.</v>
          </cell>
        </row>
        <row r="491">
          <cell r="BC491" t="str">
            <v>.</v>
          </cell>
        </row>
        <row r="492">
          <cell r="BC492" t="str">
            <v>.</v>
          </cell>
        </row>
        <row r="493">
          <cell r="BC493" t="str">
            <v>.</v>
          </cell>
        </row>
        <row r="494">
          <cell r="BC494" t="str">
            <v>.</v>
          </cell>
        </row>
        <row r="495">
          <cell r="BC495" t="str">
            <v>.</v>
          </cell>
        </row>
        <row r="496">
          <cell r="BC496" t="str">
            <v>.</v>
          </cell>
        </row>
        <row r="497">
          <cell r="BC497" t="str">
            <v>.</v>
          </cell>
        </row>
        <row r="498">
          <cell r="BC498" t="str">
            <v>.</v>
          </cell>
        </row>
        <row r="499">
          <cell r="BC499" t="str">
            <v>.</v>
          </cell>
        </row>
        <row r="500">
          <cell r="BC500" t="str">
            <v>.</v>
          </cell>
        </row>
        <row r="501">
          <cell r="BC501" t="str">
            <v>.</v>
          </cell>
        </row>
        <row r="502">
          <cell r="BC502" t="str">
            <v>.</v>
          </cell>
        </row>
        <row r="503">
          <cell r="BC503" t="str">
            <v>.</v>
          </cell>
        </row>
        <row r="504">
          <cell r="BC504" t="str">
            <v>.</v>
          </cell>
        </row>
        <row r="505">
          <cell r="BC505" t="str">
            <v>.</v>
          </cell>
        </row>
        <row r="506">
          <cell r="BC506" t="str">
            <v>.</v>
          </cell>
        </row>
        <row r="507">
          <cell r="BC507" t="str">
            <v>.</v>
          </cell>
        </row>
        <row r="508">
          <cell r="BC508" t="str">
            <v>.</v>
          </cell>
        </row>
        <row r="509">
          <cell r="BC509" t="str">
            <v>.</v>
          </cell>
        </row>
        <row r="510">
          <cell r="BC510" t="str">
            <v>.</v>
          </cell>
        </row>
        <row r="511">
          <cell r="BC511" t="str">
            <v>.</v>
          </cell>
        </row>
        <row r="512">
          <cell r="BC512" t="str">
            <v>.</v>
          </cell>
        </row>
        <row r="513">
          <cell r="BC513" t="str">
            <v>.</v>
          </cell>
        </row>
        <row r="514">
          <cell r="BC514" t="str">
            <v>.</v>
          </cell>
        </row>
        <row r="515">
          <cell r="BC515" t="str">
            <v>.</v>
          </cell>
        </row>
        <row r="516">
          <cell r="BC516" t="str">
            <v>.</v>
          </cell>
        </row>
        <row r="517">
          <cell r="BC517" t="str">
            <v>.</v>
          </cell>
        </row>
        <row r="518">
          <cell r="BC518" t="str">
            <v>.</v>
          </cell>
        </row>
        <row r="519">
          <cell r="BC519" t="str">
            <v>.</v>
          </cell>
        </row>
        <row r="520">
          <cell r="BC520" t="str">
            <v>.</v>
          </cell>
        </row>
        <row r="521">
          <cell r="BC521" t="str">
            <v>.</v>
          </cell>
        </row>
        <row r="522">
          <cell r="BC522" t="str">
            <v>.</v>
          </cell>
        </row>
        <row r="523">
          <cell r="BC523" t="str">
            <v>.</v>
          </cell>
        </row>
        <row r="524">
          <cell r="BC524" t="str">
            <v>.</v>
          </cell>
        </row>
        <row r="525">
          <cell r="BC525" t="str">
            <v>.</v>
          </cell>
        </row>
        <row r="526">
          <cell r="BC526" t="str">
            <v>.</v>
          </cell>
        </row>
        <row r="527">
          <cell r="BC527" t="str">
            <v>.</v>
          </cell>
        </row>
        <row r="528">
          <cell r="BC528" t="str">
            <v>.</v>
          </cell>
        </row>
        <row r="529">
          <cell r="BC529" t="str">
            <v>.</v>
          </cell>
        </row>
        <row r="530">
          <cell r="BC530" t="str">
            <v>.</v>
          </cell>
        </row>
        <row r="531">
          <cell r="BC531" t="str">
            <v>.</v>
          </cell>
        </row>
        <row r="532">
          <cell r="BC532" t="str">
            <v>.</v>
          </cell>
        </row>
        <row r="533">
          <cell r="BC533" t="str">
            <v>.</v>
          </cell>
        </row>
        <row r="534">
          <cell r="BC534" t="str">
            <v>.</v>
          </cell>
        </row>
        <row r="535">
          <cell r="BC535" t="str">
            <v>.</v>
          </cell>
        </row>
        <row r="536">
          <cell r="BC536" t="str">
            <v>.</v>
          </cell>
        </row>
        <row r="537">
          <cell r="BC537" t="str">
            <v>.</v>
          </cell>
        </row>
        <row r="538">
          <cell r="BC538" t="str">
            <v>.</v>
          </cell>
        </row>
        <row r="539">
          <cell r="BC539" t="str">
            <v>.</v>
          </cell>
        </row>
        <row r="540">
          <cell r="BC540" t="str">
            <v>.</v>
          </cell>
        </row>
        <row r="541">
          <cell r="BC541" t="str">
            <v>.</v>
          </cell>
        </row>
        <row r="542">
          <cell r="BC542" t="str">
            <v>.</v>
          </cell>
        </row>
        <row r="543">
          <cell r="BC543" t="str">
            <v>.</v>
          </cell>
        </row>
        <row r="544">
          <cell r="BC544" t="str">
            <v>.</v>
          </cell>
        </row>
        <row r="545">
          <cell r="BC545" t="str">
            <v>.</v>
          </cell>
        </row>
        <row r="546">
          <cell r="BC546" t="str">
            <v>.</v>
          </cell>
        </row>
        <row r="547">
          <cell r="BC547" t="str">
            <v>.</v>
          </cell>
        </row>
        <row r="548">
          <cell r="BC548" t="str">
            <v>.</v>
          </cell>
        </row>
        <row r="549">
          <cell r="BC549" t="str">
            <v>.</v>
          </cell>
        </row>
        <row r="550">
          <cell r="BC550" t="str">
            <v>.</v>
          </cell>
        </row>
        <row r="551">
          <cell r="BC551" t="str">
            <v>.</v>
          </cell>
        </row>
        <row r="552">
          <cell r="BC552" t="str">
            <v>.</v>
          </cell>
        </row>
        <row r="553">
          <cell r="BC553" t="str">
            <v>.</v>
          </cell>
        </row>
        <row r="554">
          <cell r="BC554" t="str">
            <v>.</v>
          </cell>
        </row>
        <row r="555">
          <cell r="BC555" t="str">
            <v>.</v>
          </cell>
        </row>
        <row r="556">
          <cell r="BC556" t="str">
            <v>.</v>
          </cell>
        </row>
        <row r="557">
          <cell r="BC557" t="str">
            <v>.</v>
          </cell>
        </row>
        <row r="558">
          <cell r="BC558" t="str">
            <v>.</v>
          </cell>
        </row>
        <row r="559">
          <cell r="BC559" t="str">
            <v>.</v>
          </cell>
        </row>
        <row r="560">
          <cell r="BC560" t="str">
            <v>.</v>
          </cell>
        </row>
        <row r="561">
          <cell r="BC561" t="str">
            <v>.</v>
          </cell>
        </row>
        <row r="562">
          <cell r="BC562" t="str">
            <v>.</v>
          </cell>
        </row>
        <row r="563">
          <cell r="BC563" t="str">
            <v>.</v>
          </cell>
        </row>
        <row r="564">
          <cell r="BC564" t="str">
            <v>.</v>
          </cell>
        </row>
        <row r="565">
          <cell r="BC565" t="str">
            <v>.</v>
          </cell>
        </row>
        <row r="566">
          <cell r="BC566" t="str">
            <v>.</v>
          </cell>
        </row>
        <row r="567">
          <cell r="BC567" t="str">
            <v>.</v>
          </cell>
        </row>
        <row r="568">
          <cell r="BC568" t="str">
            <v>.</v>
          </cell>
        </row>
        <row r="569">
          <cell r="BC569" t="str">
            <v>.</v>
          </cell>
        </row>
        <row r="570">
          <cell r="BC570" t="str">
            <v>.</v>
          </cell>
        </row>
        <row r="571">
          <cell r="BC571" t="str">
            <v>.</v>
          </cell>
        </row>
        <row r="572">
          <cell r="BC572" t="str">
            <v>.</v>
          </cell>
        </row>
        <row r="573">
          <cell r="BC573" t="str">
            <v>.</v>
          </cell>
        </row>
        <row r="574">
          <cell r="BC574" t="str">
            <v>.</v>
          </cell>
        </row>
        <row r="575">
          <cell r="BC575" t="str">
            <v>.</v>
          </cell>
        </row>
        <row r="576">
          <cell r="BC576" t="str">
            <v>.</v>
          </cell>
        </row>
        <row r="577">
          <cell r="BC577" t="str">
            <v>.</v>
          </cell>
        </row>
        <row r="578">
          <cell r="BC578" t="str">
            <v>.</v>
          </cell>
        </row>
        <row r="579">
          <cell r="BC579" t="str">
            <v>.</v>
          </cell>
        </row>
        <row r="580">
          <cell r="BC580" t="str">
            <v>.</v>
          </cell>
        </row>
        <row r="581">
          <cell r="BC581" t="str">
            <v>.</v>
          </cell>
        </row>
        <row r="582">
          <cell r="BC582" t="str">
            <v>.</v>
          </cell>
        </row>
        <row r="583">
          <cell r="BC583" t="str">
            <v>.</v>
          </cell>
        </row>
        <row r="584">
          <cell r="BC584" t="str">
            <v>.</v>
          </cell>
        </row>
        <row r="585">
          <cell r="BC585" t="str">
            <v>.</v>
          </cell>
        </row>
        <row r="586">
          <cell r="BC586" t="str">
            <v>.</v>
          </cell>
        </row>
        <row r="587">
          <cell r="BC587" t="str">
            <v>.</v>
          </cell>
        </row>
        <row r="588">
          <cell r="BC588" t="str">
            <v>.</v>
          </cell>
        </row>
        <row r="589">
          <cell r="BC589" t="str">
            <v>.</v>
          </cell>
        </row>
        <row r="590">
          <cell r="BC590" t="str">
            <v>.</v>
          </cell>
        </row>
        <row r="591">
          <cell r="BC591" t="str">
            <v>.</v>
          </cell>
        </row>
        <row r="592">
          <cell r="BC592" t="str">
            <v>.</v>
          </cell>
        </row>
        <row r="593">
          <cell r="BC593" t="str">
            <v>.</v>
          </cell>
        </row>
        <row r="594">
          <cell r="BC594" t="str">
            <v>.</v>
          </cell>
        </row>
        <row r="595">
          <cell r="BC595" t="str">
            <v>.</v>
          </cell>
        </row>
        <row r="596">
          <cell r="BC596" t="str">
            <v>.</v>
          </cell>
        </row>
        <row r="597">
          <cell r="BC597" t="str">
            <v>.</v>
          </cell>
        </row>
        <row r="598">
          <cell r="BC598" t="str">
            <v>.</v>
          </cell>
        </row>
        <row r="599">
          <cell r="BC599" t="str">
            <v>.</v>
          </cell>
        </row>
        <row r="600">
          <cell r="BC600" t="str">
            <v>.</v>
          </cell>
        </row>
        <row r="601">
          <cell r="BC601" t="str">
            <v>.</v>
          </cell>
        </row>
        <row r="602">
          <cell r="BC602" t="str">
            <v>.</v>
          </cell>
        </row>
        <row r="603">
          <cell r="BC603" t="str">
            <v>.</v>
          </cell>
        </row>
        <row r="604">
          <cell r="BC604" t="str">
            <v>.</v>
          </cell>
        </row>
        <row r="605">
          <cell r="BC605" t="str">
            <v>.</v>
          </cell>
        </row>
        <row r="606">
          <cell r="BC606" t="str">
            <v>.</v>
          </cell>
        </row>
        <row r="607">
          <cell r="BC607" t="str">
            <v>.</v>
          </cell>
        </row>
        <row r="608">
          <cell r="BC608" t="str">
            <v>.</v>
          </cell>
        </row>
        <row r="609">
          <cell r="BC609" t="str">
            <v>.</v>
          </cell>
        </row>
        <row r="610">
          <cell r="BC610" t="str">
            <v>.</v>
          </cell>
        </row>
        <row r="611">
          <cell r="BC611" t="str">
            <v>.</v>
          </cell>
        </row>
        <row r="612">
          <cell r="BC612" t="str">
            <v>.</v>
          </cell>
        </row>
        <row r="613">
          <cell r="BC613" t="str">
            <v>.</v>
          </cell>
        </row>
        <row r="614">
          <cell r="BC614" t="str">
            <v>.</v>
          </cell>
        </row>
        <row r="615">
          <cell r="BC615" t="str">
            <v>.</v>
          </cell>
        </row>
        <row r="616">
          <cell r="BC616" t="str">
            <v>.</v>
          </cell>
        </row>
        <row r="617">
          <cell r="BC617" t="str">
            <v>.</v>
          </cell>
        </row>
        <row r="618">
          <cell r="BC618" t="str">
            <v>.</v>
          </cell>
        </row>
        <row r="619">
          <cell r="BC619" t="str">
            <v>.</v>
          </cell>
        </row>
        <row r="620">
          <cell r="BC620" t="str">
            <v>.</v>
          </cell>
        </row>
        <row r="621">
          <cell r="BC621" t="str">
            <v>.</v>
          </cell>
        </row>
        <row r="622">
          <cell r="BC622" t="str">
            <v>.</v>
          </cell>
        </row>
        <row r="623">
          <cell r="BC623" t="str">
            <v>.</v>
          </cell>
        </row>
        <row r="624">
          <cell r="BC624" t="str">
            <v>.</v>
          </cell>
        </row>
        <row r="625">
          <cell r="BC625" t="str">
            <v>.</v>
          </cell>
        </row>
        <row r="626">
          <cell r="BC626" t="str">
            <v>.</v>
          </cell>
        </row>
        <row r="627">
          <cell r="BC627" t="str">
            <v>.</v>
          </cell>
        </row>
        <row r="628">
          <cell r="BC628" t="str">
            <v>.</v>
          </cell>
        </row>
        <row r="629">
          <cell r="BC629" t="str">
            <v>.</v>
          </cell>
        </row>
        <row r="630">
          <cell r="BC630" t="str">
            <v>.</v>
          </cell>
        </row>
        <row r="631">
          <cell r="BC631" t="str">
            <v>.</v>
          </cell>
        </row>
        <row r="632">
          <cell r="BC632" t="str">
            <v>.</v>
          </cell>
        </row>
        <row r="633">
          <cell r="BC633" t="str">
            <v>.</v>
          </cell>
        </row>
        <row r="634">
          <cell r="BC634" t="str">
            <v>.</v>
          </cell>
        </row>
        <row r="635">
          <cell r="BC635" t="str">
            <v>.</v>
          </cell>
        </row>
        <row r="636">
          <cell r="BC636" t="str">
            <v>.</v>
          </cell>
        </row>
        <row r="637">
          <cell r="BC637" t="str">
            <v>.</v>
          </cell>
        </row>
        <row r="638">
          <cell r="BC638" t="str">
            <v>.</v>
          </cell>
        </row>
        <row r="639">
          <cell r="BC639" t="str">
            <v>.</v>
          </cell>
        </row>
        <row r="640">
          <cell r="BC640" t="str">
            <v>.</v>
          </cell>
        </row>
        <row r="641">
          <cell r="BC641" t="str">
            <v>.</v>
          </cell>
        </row>
        <row r="642">
          <cell r="BC642" t="str">
            <v>.</v>
          </cell>
        </row>
        <row r="643">
          <cell r="BC643" t="str">
            <v>.</v>
          </cell>
        </row>
        <row r="644">
          <cell r="BC644" t="str">
            <v>.</v>
          </cell>
        </row>
        <row r="645">
          <cell r="BC645" t="str">
            <v>.</v>
          </cell>
        </row>
        <row r="646">
          <cell r="BC646" t="str">
            <v>.</v>
          </cell>
        </row>
        <row r="647">
          <cell r="BC647" t="str">
            <v>.</v>
          </cell>
        </row>
        <row r="648">
          <cell r="BC648" t="str">
            <v>.</v>
          </cell>
        </row>
        <row r="649">
          <cell r="BC649" t="str">
            <v>.</v>
          </cell>
        </row>
        <row r="650">
          <cell r="BC650" t="str">
            <v>.</v>
          </cell>
        </row>
        <row r="651">
          <cell r="BC651" t="str">
            <v>.</v>
          </cell>
        </row>
        <row r="652">
          <cell r="BC652" t="str">
            <v>.</v>
          </cell>
        </row>
        <row r="653">
          <cell r="BC653" t="str">
            <v>.</v>
          </cell>
        </row>
        <row r="654">
          <cell r="BC654" t="str">
            <v>.</v>
          </cell>
        </row>
        <row r="655">
          <cell r="BC655" t="str">
            <v>.</v>
          </cell>
        </row>
        <row r="656">
          <cell r="BC656" t="str">
            <v>.</v>
          </cell>
        </row>
        <row r="657">
          <cell r="BC657" t="str">
            <v>.</v>
          </cell>
        </row>
        <row r="658">
          <cell r="BC658" t="str">
            <v>.</v>
          </cell>
        </row>
        <row r="659">
          <cell r="BC659" t="str">
            <v>.</v>
          </cell>
        </row>
        <row r="660">
          <cell r="BC660" t="str">
            <v>.</v>
          </cell>
        </row>
        <row r="661">
          <cell r="BC661" t="str">
            <v>.</v>
          </cell>
        </row>
        <row r="662">
          <cell r="BC662" t="str">
            <v>.</v>
          </cell>
        </row>
        <row r="663">
          <cell r="BC663" t="str">
            <v>.</v>
          </cell>
        </row>
        <row r="664">
          <cell r="BC664" t="str">
            <v>.</v>
          </cell>
        </row>
        <row r="665">
          <cell r="BC665" t="str">
            <v>.</v>
          </cell>
        </row>
        <row r="666">
          <cell r="BC666" t="str">
            <v>.</v>
          </cell>
        </row>
        <row r="667">
          <cell r="BC667" t="str">
            <v>.</v>
          </cell>
        </row>
        <row r="668">
          <cell r="BC668" t="str">
            <v>.</v>
          </cell>
        </row>
        <row r="669">
          <cell r="BC669" t="str">
            <v>.</v>
          </cell>
        </row>
        <row r="670">
          <cell r="BC670" t="str">
            <v>.</v>
          </cell>
        </row>
        <row r="671">
          <cell r="BC671" t="str">
            <v>.</v>
          </cell>
        </row>
        <row r="672">
          <cell r="BC672" t="str">
            <v>.</v>
          </cell>
        </row>
        <row r="673">
          <cell r="BC673" t="str">
            <v>.</v>
          </cell>
        </row>
        <row r="674">
          <cell r="BC674" t="str">
            <v>.</v>
          </cell>
        </row>
        <row r="675">
          <cell r="BC675" t="str">
            <v>.</v>
          </cell>
        </row>
        <row r="676">
          <cell r="BC676" t="str">
            <v>.</v>
          </cell>
        </row>
        <row r="677">
          <cell r="BC677" t="str">
            <v>.</v>
          </cell>
        </row>
        <row r="678">
          <cell r="BC678" t="str">
            <v>.</v>
          </cell>
        </row>
        <row r="679">
          <cell r="BC679" t="str">
            <v>.</v>
          </cell>
        </row>
        <row r="680">
          <cell r="BC680" t="str">
            <v>.</v>
          </cell>
        </row>
        <row r="681">
          <cell r="BC681" t="str">
            <v>.</v>
          </cell>
        </row>
        <row r="682">
          <cell r="BC682" t="str">
            <v>.</v>
          </cell>
        </row>
        <row r="683">
          <cell r="BC683" t="str">
            <v>.</v>
          </cell>
        </row>
        <row r="684">
          <cell r="BC684" t="str">
            <v>.</v>
          </cell>
        </row>
        <row r="685">
          <cell r="BC685" t="str">
            <v>.</v>
          </cell>
        </row>
        <row r="686">
          <cell r="BC686" t="str">
            <v>.</v>
          </cell>
        </row>
        <row r="687">
          <cell r="BC687" t="str">
            <v>.</v>
          </cell>
        </row>
        <row r="688">
          <cell r="BC688" t="str">
            <v>.</v>
          </cell>
        </row>
        <row r="689">
          <cell r="BC689" t="str">
            <v>.</v>
          </cell>
        </row>
        <row r="690">
          <cell r="BC690" t="str">
            <v>.</v>
          </cell>
        </row>
        <row r="691">
          <cell r="BC691" t="str">
            <v>.</v>
          </cell>
        </row>
        <row r="692">
          <cell r="BC692" t="str">
            <v>.</v>
          </cell>
        </row>
        <row r="693">
          <cell r="BC693" t="str">
            <v>.</v>
          </cell>
        </row>
        <row r="694">
          <cell r="BC694" t="str">
            <v>.</v>
          </cell>
        </row>
        <row r="695">
          <cell r="BC695" t="str">
            <v>.</v>
          </cell>
        </row>
        <row r="696">
          <cell r="BC696" t="str">
            <v>.</v>
          </cell>
        </row>
        <row r="697">
          <cell r="BC697" t="str">
            <v>.</v>
          </cell>
        </row>
        <row r="698">
          <cell r="BC698" t="str">
            <v>.</v>
          </cell>
        </row>
        <row r="699">
          <cell r="BC699" t="str">
            <v>.</v>
          </cell>
        </row>
        <row r="700">
          <cell r="BC700" t="str">
            <v>.</v>
          </cell>
        </row>
        <row r="701">
          <cell r="BC701" t="str">
            <v>.</v>
          </cell>
        </row>
        <row r="702">
          <cell r="BC702" t="str">
            <v>.</v>
          </cell>
        </row>
        <row r="703">
          <cell r="BC703" t="str">
            <v>.</v>
          </cell>
        </row>
        <row r="704">
          <cell r="BC704" t="str">
            <v>.</v>
          </cell>
        </row>
        <row r="705">
          <cell r="BC705" t="str">
            <v>.</v>
          </cell>
        </row>
        <row r="706">
          <cell r="BC706" t="str">
            <v>.</v>
          </cell>
        </row>
        <row r="707">
          <cell r="BC707" t="str">
            <v>.</v>
          </cell>
        </row>
        <row r="708">
          <cell r="BC708" t="str">
            <v>.</v>
          </cell>
        </row>
        <row r="709">
          <cell r="BC709" t="str">
            <v>.</v>
          </cell>
        </row>
        <row r="710">
          <cell r="BC710" t="str">
            <v>.</v>
          </cell>
        </row>
        <row r="711">
          <cell r="BC711" t="str">
            <v>.</v>
          </cell>
        </row>
        <row r="712">
          <cell r="BC712" t="str">
            <v>.</v>
          </cell>
        </row>
        <row r="713">
          <cell r="BC713" t="str">
            <v>.</v>
          </cell>
        </row>
        <row r="714">
          <cell r="BC714" t="str">
            <v>.</v>
          </cell>
        </row>
        <row r="715">
          <cell r="BC715" t="str">
            <v>.</v>
          </cell>
        </row>
        <row r="716">
          <cell r="BC716" t="str">
            <v>.</v>
          </cell>
        </row>
        <row r="717">
          <cell r="BC717" t="str">
            <v>.</v>
          </cell>
        </row>
        <row r="718">
          <cell r="BC718" t="str">
            <v>.</v>
          </cell>
        </row>
        <row r="719">
          <cell r="BC719" t="str">
            <v>.</v>
          </cell>
        </row>
        <row r="720">
          <cell r="BC720" t="str">
            <v>.</v>
          </cell>
        </row>
        <row r="721">
          <cell r="BC721" t="str">
            <v>.</v>
          </cell>
        </row>
        <row r="722">
          <cell r="BC722" t="str">
            <v>.</v>
          </cell>
        </row>
        <row r="723">
          <cell r="BC723" t="str">
            <v>.</v>
          </cell>
        </row>
        <row r="724">
          <cell r="BC724" t="str">
            <v>.</v>
          </cell>
        </row>
        <row r="725">
          <cell r="BC725" t="str">
            <v>.</v>
          </cell>
        </row>
        <row r="726">
          <cell r="BC726" t="str">
            <v>.</v>
          </cell>
        </row>
        <row r="727">
          <cell r="BC727" t="str">
            <v>.</v>
          </cell>
        </row>
        <row r="728">
          <cell r="BC728" t="str">
            <v>.</v>
          </cell>
        </row>
        <row r="729">
          <cell r="BC729" t="str">
            <v>.</v>
          </cell>
        </row>
        <row r="730">
          <cell r="BC730" t="str">
            <v>.</v>
          </cell>
        </row>
        <row r="731">
          <cell r="BC731" t="str">
            <v>.</v>
          </cell>
        </row>
        <row r="732">
          <cell r="BC732" t="str">
            <v>.</v>
          </cell>
        </row>
        <row r="733">
          <cell r="BC733" t="str">
            <v>.</v>
          </cell>
        </row>
        <row r="734">
          <cell r="BC734" t="str">
            <v>.</v>
          </cell>
        </row>
        <row r="735">
          <cell r="BC735" t="str">
            <v>.</v>
          </cell>
        </row>
        <row r="736">
          <cell r="BC736" t="str">
            <v>.</v>
          </cell>
        </row>
        <row r="737">
          <cell r="BC737" t="str">
            <v>.</v>
          </cell>
        </row>
        <row r="738">
          <cell r="BC738" t="str">
            <v>.</v>
          </cell>
        </row>
        <row r="739">
          <cell r="BC739" t="str">
            <v>.</v>
          </cell>
        </row>
        <row r="740">
          <cell r="BC740" t="str">
            <v>.</v>
          </cell>
        </row>
        <row r="741">
          <cell r="BC741" t="str">
            <v>.</v>
          </cell>
        </row>
        <row r="742">
          <cell r="BC742" t="str">
            <v>.</v>
          </cell>
        </row>
        <row r="743">
          <cell r="BC743" t="str">
            <v>.</v>
          </cell>
        </row>
        <row r="744">
          <cell r="BC744" t="str">
            <v>.</v>
          </cell>
        </row>
        <row r="745">
          <cell r="BC745" t="str">
            <v>.</v>
          </cell>
        </row>
        <row r="746">
          <cell r="BC746" t="str">
            <v>.</v>
          </cell>
        </row>
        <row r="747">
          <cell r="BC747" t="str">
            <v>.</v>
          </cell>
        </row>
        <row r="748">
          <cell r="BC748" t="str">
            <v>.</v>
          </cell>
        </row>
        <row r="749">
          <cell r="BC749" t="str">
            <v>.</v>
          </cell>
        </row>
        <row r="750">
          <cell r="BC750" t="str">
            <v>.</v>
          </cell>
        </row>
        <row r="751">
          <cell r="BC751" t="str">
            <v>.</v>
          </cell>
        </row>
        <row r="752">
          <cell r="BC752" t="str">
            <v>.</v>
          </cell>
        </row>
        <row r="753">
          <cell r="BC753" t="str">
            <v>.</v>
          </cell>
        </row>
        <row r="754">
          <cell r="BC754" t="str">
            <v>.</v>
          </cell>
        </row>
        <row r="755">
          <cell r="BC755" t="str">
            <v>.</v>
          </cell>
        </row>
        <row r="756">
          <cell r="BC756" t="str">
            <v>.</v>
          </cell>
        </row>
        <row r="757">
          <cell r="BC757" t="str">
            <v>.</v>
          </cell>
        </row>
        <row r="758">
          <cell r="BC758" t="str">
            <v>.</v>
          </cell>
        </row>
        <row r="759">
          <cell r="BC759" t="str">
            <v>.</v>
          </cell>
        </row>
        <row r="760">
          <cell r="BC760" t="str">
            <v>.</v>
          </cell>
        </row>
        <row r="761">
          <cell r="BC761" t="str">
            <v>.</v>
          </cell>
        </row>
        <row r="762">
          <cell r="BC762" t="str">
            <v>.</v>
          </cell>
        </row>
        <row r="763">
          <cell r="BC763" t="str">
            <v>.</v>
          </cell>
        </row>
        <row r="764">
          <cell r="BC764" t="str">
            <v>.</v>
          </cell>
        </row>
        <row r="765">
          <cell r="BC765" t="str">
            <v>.</v>
          </cell>
        </row>
        <row r="766">
          <cell r="BC766" t="str">
            <v>.</v>
          </cell>
        </row>
        <row r="767">
          <cell r="BC767" t="str">
            <v>.</v>
          </cell>
        </row>
        <row r="768">
          <cell r="BC768" t="str">
            <v>.</v>
          </cell>
        </row>
        <row r="769">
          <cell r="BC769" t="str">
            <v>.</v>
          </cell>
        </row>
        <row r="770">
          <cell r="BC770" t="str">
            <v>.</v>
          </cell>
        </row>
        <row r="771">
          <cell r="BC771" t="str">
            <v>.</v>
          </cell>
        </row>
        <row r="772">
          <cell r="BC772" t="str">
            <v>.</v>
          </cell>
        </row>
        <row r="773">
          <cell r="BC773" t="str">
            <v>.</v>
          </cell>
        </row>
        <row r="774">
          <cell r="BC774" t="str">
            <v>.</v>
          </cell>
        </row>
        <row r="775">
          <cell r="BC775" t="str">
            <v>.</v>
          </cell>
        </row>
        <row r="776">
          <cell r="BC776" t="str">
            <v>.</v>
          </cell>
        </row>
        <row r="777">
          <cell r="BC777" t="str">
            <v>.</v>
          </cell>
        </row>
        <row r="778">
          <cell r="BC778" t="str">
            <v>.</v>
          </cell>
        </row>
        <row r="779">
          <cell r="BC779" t="str">
            <v>.</v>
          </cell>
        </row>
        <row r="780">
          <cell r="BC780" t="str">
            <v>.</v>
          </cell>
        </row>
        <row r="781">
          <cell r="BC781" t="str">
            <v>.</v>
          </cell>
        </row>
        <row r="782">
          <cell r="BC782" t="str">
            <v>.</v>
          </cell>
        </row>
        <row r="783">
          <cell r="BC783" t="str">
            <v>.</v>
          </cell>
        </row>
        <row r="784">
          <cell r="BC784" t="str">
            <v>.</v>
          </cell>
        </row>
        <row r="785">
          <cell r="BC785" t="str">
            <v>.</v>
          </cell>
        </row>
        <row r="786">
          <cell r="BC786" t="str">
            <v>.</v>
          </cell>
        </row>
        <row r="787">
          <cell r="BC787" t="str">
            <v>.</v>
          </cell>
        </row>
        <row r="788">
          <cell r="BC788" t="str">
            <v>.</v>
          </cell>
        </row>
        <row r="789">
          <cell r="BC789" t="str">
            <v>.</v>
          </cell>
        </row>
        <row r="790">
          <cell r="BC790" t="str">
            <v>.</v>
          </cell>
        </row>
        <row r="791">
          <cell r="BC791" t="str">
            <v>.</v>
          </cell>
        </row>
        <row r="792">
          <cell r="BC792" t="str">
            <v>.</v>
          </cell>
        </row>
        <row r="793">
          <cell r="BC793" t="str">
            <v>.</v>
          </cell>
        </row>
        <row r="794">
          <cell r="BC794" t="str">
            <v>.</v>
          </cell>
        </row>
        <row r="795">
          <cell r="BC795" t="str">
            <v>.</v>
          </cell>
        </row>
        <row r="796">
          <cell r="BC796" t="str">
            <v>.</v>
          </cell>
        </row>
        <row r="797">
          <cell r="BC797" t="str">
            <v>.</v>
          </cell>
        </row>
        <row r="798">
          <cell r="BC798" t="str">
            <v>.</v>
          </cell>
        </row>
        <row r="799">
          <cell r="BC799" t="str">
            <v>.</v>
          </cell>
        </row>
        <row r="800">
          <cell r="BC800" t="str">
            <v>.</v>
          </cell>
        </row>
        <row r="801">
          <cell r="BC801" t="str">
            <v>.</v>
          </cell>
        </row>
        <row r="802">
          <cell r="BC802" t="str">
            <v>.</v>
          </cell>
        </row>
        <row r="803">
          <cell r="BC803" t="str">
            <v>.</v>
          </cell>
        </row>
        <row r="804">
          <cell r="BC804" t="str">
            <v>.</v>
          </cell>
        </row>
        <row r="805">
          <cell r="BC805" t="str">
            <v>.</v>
          </cell>
        </row>
        <row r="806">
          <cell r="BC806" t="str">
            <v>.</v>
          </cell>
        </row>
        <row r="807">
          <cell r="BC807" t="str">
            <v>.</v>
          </cell>
        </row>
        <row r="808">
          <cell r="BC808" t="str">
            <v>.</v>
          </cell>
        </row>
        <row r="809">
          <cell r="BC809" t="str">
            <v>.</v>
          </cell>
        </row>
        <row r="810">
          <cell r="BC810" t="str">
            <v>.</v>
          </cell>
        </row>
        <row r="811">
          <cell r="BC811" t="str">
            <v>.</v>
          </cell>
        </row>
        <row r="812">
          <cell r="BC812" t="str">
            <v>.</v>
          </cell>
        </row>
        <row r="813">
          <cell r="BC813" t="str">
            <v>.</v>
          </cell>
        </row>
        <row r="814">
          <cell r="BC814" t="str">
            <v>.</v>
          </cell>
        </row>
        <row r="815">
          <cell r="BC815" t="str">
            <v>.</v>
          </cell>
        </row>
        <row r="816">
          <cell r="BC816" t="str">
            <v>.</v>
          </cell>
        </row>
        <row r="817">
          <cell r="BC817" t="str">
            <v>.</v>
          </cell>
        </row>
        <row r="818">
          <cell r="BC818" t="str">
            <v>.</v>
          </cell>
        </row>
        <row r="819">
          <cell r="BC819" t="str">
            <v>.</v>
          </cell>
        </row>
        <row r="820">
          <cell r="BC820" t="str">
            <v>.</v>
          </cell>
        </row>
        <row r="821">
          <cell r="BC821" t="str">
            <v>.</v>
          </cell>
        </row>
        <row r="822">
          <cell r="BC822" t="str">
            <v>.</v>
          </cell>
        </row>
        <row r="823">
          <cell r="BC823" t="str">
            <v>.</v>
          </cell>
        </row>
        <row r="824">
          <cell r="BC824" t="str">
            <v>.</v>
          </cell>
        </row>
        <row r="825">
          <cell r="BC825" t="str">
            <v>.</v>
          </cell>
        </row>
        <row r="826">
          <cell r="BC826" t="str">
            <v>.</v>
          </cell>
        </row>
        <row r="827">
          <cell r="BC827" t="str">
            <v>.</v>
          </cell>
        </row>
        <row r="828">
          <cell r="BC828" t="str">
            <v>.</v>
          </cell>
        </row>
        <row r="829">
          <cell r="BC829" t="str">
            <v>.</v>
          </cell>
        </row>
        <row r="830">
          <cell r="BC830" t="str">
            <v>.</v>
          </cell>
        </row>
        <row r="831">
          <cell r="BC831" t="str">
            <v>.</v>
          </cell>
        </row>
        <row r="832">
          <cell r="BC832" t="str">
            <v>.</v>
          </cell>
        </row>
        <row r="833">
          <cell r="BC833" t="str">
            <v>.</v>
          </cell>
        </row>
        <row r="834">
          <cell r="BC834" t="str">
            <v>.</v>
          </cell>
        </row>
        <row r="835">
          <cell r="BC835" t="str">
            <v>.</v>
          </cell>
        </row>
        <row r="836">
          <cell r="BC836" t="str">
            <v>.</v>
          </cell>
        </row>
        <row r="837">
          <cell r="BC837" t="str">
            <v>.</v>
          </cell>
        </row>
        <row r="838">
          <cell r="BC838" t="str">
            <v>.</v>
          </cell>
        </row>
        <row r="839">
          <cell r="BC839" t="str">
            <v>.</v>
          </cell>
        </row>
        <row r="840">
          <cell r="BC840" t="str">
            <v>.</v>
          </cell>
        </row>
        <row r="841">
          <cell r="BC841" t="str">
            <v>.</v>
          </cell>
        </row>
        <row r="842">
          <cell r="BC842" t="str">
            <v>.</v>
          </cell>
        </row>
        <row r="843">
          <cell r="BC843" t="str">
            <v>.</v>
          </cell>
        </row>
        <row r="844">
          <cell r="BC844" t="str">
            <v>.</v>
          </cell>
        </row>
        <row r="845">
          <cell r="BC845" t="str">
            <v>.</v>
          </cell>
        </row>
        <row r="846">
          <cell r="BC846" t="str">
            <v>.</v>
          </cell>
        </row>
        <row r="847">
          <cell r="BC847" t="str">
            <v>.</v>
          </cell>
        </row>
        <row r="848">
          <cell r="BC848" t="str">
            <v>.</v>
          </cell>
        </row>
        <row r="849">
          <cell r="BC849" t="str">
            <v>.</v>
          </cell>
        </row>
        <row r="850">
          <cell r="BC850" t="str">
            <v>.</v>
          </cell>
        </row>
        <row r="851">
          <cell r="BC851" t="str">
            <v>.</v>
          </cell>
        </row>
        <row r="852">
          <cell r="BC852" t="str">
            <v>.</v>
          </cell>
        </row>
        <row r="853">
          <cell r="BC853" t="str">
            <v>.</v>
          </cell>
        </row>
        <row r="854">
          <cell r="BC854" t="str">
            <v>.</v>
          </cell>
        </row>
        <row r="855">
          <cell r="BC855" t="str">
            <v>.</v>
          </cell>
        </row>
        <row r="856">
          <cell r="BC856" t="str">
            <v>.</v>
          </cell>
        </row>
        <row r="857">
          <cell r="BC857" t="str">
            <v>.</v>
          </cell>
        </row>
        <row r="858">
          <cell r="BC858" t="str">
            <v>.</v>
          </cell>
        </row>
        <row r="859">
          <cell r="BC859" t="str">
            <v>.</v>
          </cell>
        </row>
        <row r="860">
          <cell r="BC860" t="str">
            <v>.</v>
          </cell>
        </row>
        <row r="861">
          <cell r="BC861" t="str">
            <v>.</v>
          </cell>
        </row>
        <row r="862">
          <cell r="BC862" t="str">
            <v>.</v>
          </cell>
        </row>
        <row r="863">
          <cell r="BC863" t="str">
            <v>.</v>
          </cell>
        </row>
        <row r="864">
          <cell r="BC864" t="str">
            <v>.</v>
          </cell>
        </row>
        <row r="865">
          <cell r="BC865" t="str">
            <v>.</v>
          </cell>
        </row>
        <row r="866">
          <cell r="BC866" t="str">
            <v>.</v>
          </cell>
        </row>
        <row r="867">
          <cell r="BC867" t="str">
            <v>.</v>
          </cell>
        </row>
        <row r="868">
          <cell r="BC868" t="str">
            <v>.</v>
          </cell>
        </row>
        <row r="869">
          <cell r="BC869" t="str">
            <v>.</v>
          </cell>
        </row>
        <row r="870">
          <cell r="BC870" t="str">
            <v>.</v>
          </cell>
        </row>
        <row r="871">
          <cell r="BC871" t="str">
            <v>.</v>
          </cell>
        </row>
        <row r="872">
          <cell r="BC872" t="str">
            <v>.</v>
          </cell>
        </row>
        <row r="873">
          <cell r="BC873" t="str">
            <v>.</v>
          </cell>
        </row>
        <row r="874">
          <cell r="BC874" t="str">
            <v>.</v>
          </cell>
        </row>
        <row r="875">
          <cell r="BC875" t="str">
            <v>.</v>
          </cell>
        </row>
        <row r="876">
          <cell r="BC876" t="str">
            <v>.</v>
          </cell>
        </row>
        <row r="877">
          <cell r="BC877" t="str">
            <v>.</v>
          </cell>
        </row>
        <row r="878">
          <cell r="BC878" t="str">
            <v>.</v>
          </cell>
        </row>
        <row r="879">
          <cell r="BC879" t="str">
            <v>.</v>
          </cell>
        </row>
        <row r="880">
          <cell r="BC880" t="str">
            <v>.</v>
          </cell>
        </row>
        <row r="881">
          <cell r="BC881" t="str">
            <v>.</v>
          </cell>
        </row>
        <row r="882">
          <cell r="BC882" t="str">
            <v>.</v>
          </cell>
        </row>
        <row r="883">
          <cell r="BC883" t="str">
            <v>.</v>
          </cell>
        </row>
        <row r="884">
          <cell r="BC884" t="str">
            <v>.</v>
          </cell>
        </row>
        <row r="885">
          <cell r="BC885" t="str">
            <v>.</v>
          </cell>
        </row>
        <row r="886">
          <cell r="BC886" t="str">
            <v>.</v>
          </cell>
        </row>
        <row r="887">
          <cell r="BC887" t="str">
            <v>.</v>
          </cell>
        </row>
        <row r="888">
          <cell r="BC888" t="str">
            <v>.</v>
          </cell>
        </row>
        <row r="889">
          <cell r="BC889" t="str">
            <v>.</v>
          </cell>
        </row>
        <row r="890">
          <cell r="BC890" t="str">
            <v>.</v>
          </cell>
        </row>
        <row r="891">
          <cell r="BC891" t="str">
            <v>.</v>
          </cell>
        </row>
        <row r="892">
          <cell r="BC892" t="str">
            <v>.</v>
          </cell>
        </row>
        <row r="893">
          <cell r="BC893" t="str">
            <v>.</v>
          </cell>
        </row>
        <row r="894">
          <cell r="BC894" t="str">
            <v>.</v>
          </cell>
        </row>
        <row r="895">
          <cell r="BC895" t="str">
            <v>.</v>
          </cell>
        </row>
        <row r="896">
          <cell r="BC896" t="str">
            <v>.</v>
          </cell>
        </row>
        <row r="897">
          <cell r="BC897" t="str">
            <v>.</v>
          </cell>
        </row>
        <row r="898">
          <cell r="BC898" t="str">
            <v>.</v>
          </cell>
        </row>
        <row r="899">
          <cell r="BC899" t="str">
            <v>.</v>
          </cell>
        </row>
        <row r="900">
          <cell r="BC900" t="str">
            <v>.</v>
          </cell>
        </row>
        <row r="901">
          <cell r="BC901" t="str">
            <v>.</v>
          </cell>
        </row>
        <row r="902">
          <cell r="BC902" t="str">
            <v>.</v>
          </cell>
        </row>
        <row r="903">
          <cell r="BC903" t="str">
            <v>.</v>
          </cell>
        </row>
        <row r="904">
          <cell r="BC904" t="str">
            <v>.</v>
          </cell>
        </row>
        <row r="905">
          <cell r="BC905" t="str">
            <v>.</v>
          </cell>
        </row>
        <row r="906">
          <cell r="BC906" t="str">
            <v>.</v>
          </cell>
        </row>
        <row r="907">
          <cell r="BC907" t="str">
            <v>.</v>
          </cell>
        </row>
        <row r="908">
          <cell r="BC908" t="str">
            <v>.</v>
          </cell>
        </row>
        <row r="909">
          <cell r="BC909" t="str">
            <v>.</v>
          </cell>
        </row>
        <row r="910">
          <cell r="BC910" t="str">
            <v>.</v>
          </cell>
        </row>
        <row r="911">
          <cell r="BC911" t="str">
            <v>.</v>
          </cell>
        </row>
        <row r="912">
          <cell r="BC912" t="str">
            <v>.</v>
          </cell>
        </row>
        <row r="913">
          <cell r="BC913" t="str">
            <v>.</v>
          </cell>
        </row>
        <row r="914">
          <cell r="BC914" t="str">
            <v>.</v>
          </cell>
        </row>
        <row r="915">
          <cell r="BC915" t="str">
            <v>.</v>
          </cell>
        </row>
        <row r="916">
          <cell r="BC916" t="str">
            <v>.</v>
          </cell>
        </row>
        <row r="917">
          <cell r="BC917" t="str">
            <v>.</v>
          </cell>
        </row>
        <row r="918">
          <cell r="BC918" t="str">
            <v>.</v>
          </cell>
        </row>
        <row r="919">
          <cell r="BC919" t="str">
            <v>.</v>
          </cell>
        </row>
        <row r="920">
          <cell r="BC920" t="str">
            <v>.</v>
          </cell>
        </row>
        <row r="921">
          <cell r="BC921" t="str">
            <v>.</v>
          </cell>
        </row>
        <row r="922">
          <cell r="BC922" t="str">
            <v>.</v>
          </cell>
        </row>
        <row r="923">
          <cell r="BC923" t="str">
            <v>.</v>
          </cell>
        </row>
        <row r="924">
          <cell r="BC924" t="str">
            <v>.</v>
          </cell>
        </row>
        <row r="925">
          <cell r="BC925" t="str">
            <v>.</v>
          </cell>
        </row>
        <row r="926">
          <cell r="BC926" t="str">
            <v>.</v>
          </cell>
        </row>
        <row r="927">
          <cell r="BC927" t="str">
            <v>.</v>
          </cell>
        </row>
        <row r="928">
          <cell r="BC928" t="str">
            <v>.</v>
          </cell>
        </row>
        <row r="929">
          <cell r="BC929" t="str">
            <v>.</v>
          </cell>
        </row>
        <row r="930">
          <cell r="BC930" t="str">
            <v>.</v>
          </cell>
        </row>
        <row r="931">
          <cell r="BC931" t="str">
            <v>.</v>
          </cell>
        </row>
        <row r="932">
          <cell r="BC932" t="str">
            <v>.</v>
          </cell>
        </row>
        <row r="933">
          <cell r="BC933" t="str">
            <v>.</v>
          </cell>
        </row>
        <row r="934">
          <cell r="BC934" t="str">
            <v>.</v>
          </cell>
        </row>
        <row r="935">
          <cell r="BC935" t="str">
            <v>.</v>
          </cell>
        </row>
        <row r="936">
          <cell r="BC936" t="str">
            <v>.</v>
          </cell>
        </row>
        <row r="937">
          <cell r="BC937" t="str">
            <v>.</v>
          </cell>
        </row>
        <row r="938">
          <cell r="BC938" t="str">
            <v>.</v>
          </cell>
        </row>
        <row r="939">
          <cell r="BC939" t="str">
            <v>.</v>
          </cell>
        </row>
        <row r="940">
          <cell r="BC940" t="str">
            <v>.</v>
          </cell>
        </row>
        <row r="941">
          <cell r="BC941" t="str">
            <v>.</v>
          </cell>
        </row>
        <row r="942">
          <cell r="BC942" t="str">
            <v>.</v>
          </cell>
        </row>
        <row r="943">
          <cell r="BC943" t="str">
            <v>.</v>
          </cell>
        </row>
        <row r="944">
          <cell r="BC944" t="str">
            <v>.</v>
          </cell>
        </row>
        <row r="945">
          <cell r="BC945" t="str">
            <v>.</v>
          </cell>
        </row>
        <row r="946">
          <cell r="BC946" t="str">
            <v>.</v>
          </cell>
        </row>
        <row r="947">
          <cell r="BC947" t="str">
            <v>.</v>
          </cell>
        </row>
        <row r="948">
          <cell r="BC948" t="str">
            <v>.</v>
          </cell>
        </row>
        <row r="949">
          <cell r="BC949" t="str">
            <v>.</v>
          </cell>
        </row>
        <row r="950">
          <cell r="BC950" t="str">
            <v>.</v>
          </cell>
        </row>
        <row r="951">
          <cell r="BC951" t="str">
            <v>.</v>
          </cell>
        </row>
        <row r="952">
          <cell r="BC952" t="str">
            <v>.</v>
          </cell>
        </row>
        <row r="953">
          <cell r="BC953" t="str">
            <v>.</v>
          </cell>
        </row>
        <row r="954">
          <cell r="BC954" t="str">
            <v>.</v>
          </cell>
        </row>
        <row r="955">
          <cell r="BC955" t="str">
            <v>.</v>
          </cell>
        </row>
        <row r="956">
          <cell r="BC956" t="str">
            <v>.</v>
          </cell>
        </row>
        <row r="957">
          <cell r="BC957" t="str">
            <v>.</v>
          </cell>
        </row>
        <row r="958">
          <cell r="BC958" t="str">
            <v>.</v>
          </cell>
        </row>
        <row r="959">
          <cell r="BC959" t="str">
            <v>.</v>
          </cell>
        </row>
        <row r="960">
          <cell r="BC960" t="str">
            <v>.</v>
          </cell>
        </row>
        <row r="961">
          <cell r="BC961" t="str">
            <v>.</v>
          </cell>
        </row>
        <row r="962">
          <cell r="BC962" t="str">
            <v>.</v>
          </cell>
        </row>
        <row r="963">
          <cell r="BC963" t="str">
            <v>.</v>
          </cell>
        </row>
        <row r="964">
          <cell r="BC964" t="str">
            <v>.</v>
          </cell>
        </row>
        <row r="965">
          <cell r="BC965" t="str">
            <v>.</v>
          </cell>
        </row>
        <row r="966">
          <cell r="BC966" t="str">
            <v>.</v>
          </cell>
        </row>
        <row r="967">
          <cell r="BC967" t="str">
            <v>.</v>
          </cell>
        </row>
        <row r="968">
          <cell r="BC968" t="str">
            <v>.</v>
          </cell>
        </row>
        <row r="969">
          <cell r="BC969" t="str">
            <v>.</v>
          </cell>
        </row>
        <row r="970">
          <cell r="BC970" t="str">
            <v>.</v>
          </cell>
        </row>
        <row r="971">
          <cell r="BC971" t="str">
            <v>.</v>
          </cell>
        </row>
        <row r="972">
          <cell r="BC972" t="str">
            <v>.</v>
          </cell>
        </row>
        <row r="973">
          <cell r="BC973" t="str">
            <v>.</v>
          </cell>
        </row>
        <row r="974">
          <cell r="BC974" t="str">
            <v>.</v>
          </cell>
        </row>
        <row r="975">
          <cell r="BC975" t="str">
            <v>.</v>
          </cell>
        </row>
        <row r="976">
          <cell r="BC976" t="str">
            <v>.</v>
          </cell>
        </row>
        <row r="977">
          <cell r="BC977" t="str">
            <v>.</v>
          </cell>
        </row>
        <row r="978">
          <cell r="BC978" t="str">
            <v>.</v>
          </cell>
        </row>
        <row r="979">
          <cell r="BC979" t="str">
            <v>.</v>
          </cell>
        </row>
        <row r="980">
          <cell r="BC980" t="str">
            <v>.</v>
          </cell>
        </row>
        <row r="981">
          <cell r="BC981" t="str">
            <v>.</v>
          </cell>
        </row>
        <row r="982">
          <cell r="BC982" t="str">
            <v>.</v>
          </cell>
        </row>
        <row r="983">
          <cell r="BC983" t="str">
            <v>.</v>
          </cell>
        </row>
        <row r="984">
          <cell r="BC984" t="str">
            <v>.</v>
          </cell>
        </row>
        <row r="985">
          <cell r="BC985" t="str">
            <v>.</v>
          </cell>
        </row>
        <row r="986">
          <cell r="BC986" t="str">
            <v>.</v>
          </cell>
        </row>
        <row r="987">
          <cell r="BC987" t="str">
            <v>.</v>
          </cell>
        </row>
        <row r="988">
          <cell r="BC988" t="str">
            <v>.</v>
          </cell>
        </row>
        <row r="989">
          <cell r="BC989" t="str">
            <v>.</v>
          </cell>
        </row>
        <row r="990">
          <cell r="BC990" t="str">
            <v>.</v>
          </cell>
        </row>
        <row r="991">
          <cell r="BC991" t="str">
            <v>.</v>
          </cell>
        </row>
        <row r="992">
          <cell r="BC992" t="str">
            <v>.</v>
          </cell>
        </row>
        <row r="993">
          <cell r="BC993" t="str">
            <v>.</v>
          </cell>
        </row>
        <row r="994">
          <cell r="BC994" t="str">
            <v>.</v>
          </cell>
        </row>
        <row r="995">
          <cell r="BC995" t="str">
            <v>.</v>
          </cell>
        </row>
        <row r="996">
          <cell r="BC996" t="str">
            <v>.</v>
          </cell>
        </row>
        <row r="997">
          <cell r="BC997" t="str">
            <v>.</v>
          </cell>
        </row>
        <row r="998">
          <cell r="A998" t="str">
            <v>.</v>
          </cell>
          <cell r="B998" t="str">
            <v>.</v>
          </cell>
          <cell r="C998" t="str">
            <v>.</v>
          </cell>
          <cell r="D998" t="str">
            <v>.</v>
          </cell>
          <cell r="E998" t="str">
            <v>.</v>
          </cell>
          <cell r="F998" t="str">
            <v>.</v>
          </cell>
          <cell r="Q998" t="str">
            <v>.</v>
          </cell>
          <cell r="R998" t="str">
            <v>.</v>
          </cell>
          <cell r="S998" t="str">
            <v>.</v>
          </cell>
          <cell r="T998" t="str">
            <v>.</v>
          </cell>
          <cell r="U998" t="str">
            <v>.</v>
          </cell>
          <cell r="V998" t="str">
            <v>.</v>
          </cell>
          <cell r="Z998" t="str">
            <v>.</v>
          </cell>
          <cell r="AB998" t="str">
            <v>.</v>
          </cell>
          <cell r="AC998" t="str">
            <v>.</v>
          </cell>
          <cell r="AD998" t="str">
            <v>.</v>
          </cell>
          <cell r="AE998" t="str">
            <v>.</v>
          </cell>
          <cell r="AF998" t="str">
            <v>.</v>
          </cell>
          <cell r="AG998" t="str">
            <v>.</v>
          </cell>
          <cell r="AH998" t="str">
            <v>.</v>
          </cell>
          <cell r="AI998" t="str">
            <v>.</v>
          </cell>
          <cell r="AJ998" t="str">
            <v>.</v>
          </cell>
          <cell r="AK998" t="str">
            <v>.</v>
          </cell>
          <cell r="AL998" t="str">
            <v>.</v>
          </cell>
          <cell r="AM998" t="str">
            <v>.</v>
          </cell>
          <cell r="AN998" t="str">
            <v>.</v>
          </cell>
          <cell r="AO998" t="str">
            <v>.</v>
          </cell>
          <cell r="AP998" t="str">
            <v>.</v>
          </cell>
          <cell r="AQ998" t="str">
            <v>.</v>
          </cell>
          <cell r="AR998" t="str">
            <v>.</v>
          </cell>
          <cell r="AS998" t="str">
            <v>.</v>
          </cell>
          <cell r="AT998" t="str">
            <v>.</v>
          </cell>
          <cell r="AU998" t="str">
            <v>.</v>
          </cell>
          <cell r="AV998" t="str">
            <v>.</v>
          </cell>
          <cell r="AW998" t="str">
            <v>.</v>
          </cell>
          <cell r="AX998" t="str">
            <v>.</v>
          </cell>
          <cell r="AY998" t="str">
            <v>.</v>
          </cell>
          <cell r="AZ998" t="str">
            <v>.</v>
          </cell>
          <cell r="BA998" t="str">
            <v>.</v>
          </cell>
          <cell r="BB998" t="str">
            <v>.</v>
          </cell>
          <cell r="BC998" t="str">
            <v>.</v>
          </cell>
        </row>
      </sheetData>
      <sheetData sheetId="1"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TOC"/>
      <sheetName val="Main"/>
      <sheetName val="Qtr"/>
      <sheetName val="Scratch"/>
      <sheetName val="Valuation"/>
      <sheetName val="DCF"/>
      <sheetName val="SOTP"/>
      <sheetName val="Govt Systems"/>
      <sheetName val="Comm Systems"/>
      <sheetName val="Capital Deployment"/>
      <sheetName val="M&amp;A"/>
      <sheetName val="Tables"/>
      <sheetName val="Comm Systems Old"/>
      <sheetName val="Variance"/>
      <sheetName val="Breakdown"/>
      <sheetName val="RI"/>
      <sheetName val="DDM"/>
      <sheetName val="FCF"/>
      <sheetName val="HV"/>
      <sheetName val="Output"/>
      <sheetName val="9-11"/>
      <sheetName val="Guid"/>
      <sheetName val="mwareDates"/>
      <sheetName val="MWA RR"/>
      <sheetName val="CS old"/>
      <sheetName val="mwareSettings"/>
      <sheetName val="MW-Cache"/>
      <sheetName val="Sheet1"/>
      <sheetName val="To Do's"/>
      <sheetName val="Guidance History"/>
      <sheetName val="#REF"/>
      <sheetName val="EPS walk"/>
      <sheetName val="DCF-2"/>
      <sheetName val="QTR Analysis"/>
      <sheetName val="Other--&gt;"/>
      <sheetName val="Rev Breakdown"/>
      <sheetName val="C1500"/>
    </sheetNames>
    <sheetDataSet>
      <sheetData sheetId="0" refreshError="1"/>
      <sheetData sheetId="1" refreshError="1"/>
      <sheetData sheetId="2" refreshError="1"/>
      <sheetData sheetId="3" refreshError="1"/>
      <sheetData sheetId="4" refreshError="1">
        <row r="1">
          <cell r="B1" t="str">
            <v>2009 Cash Distribution</v>
          </cell>
        </row>
        <row r="2">
          <cell r="B2" t="str">
            <v>$MM</v>
          </cell>
        </row>
        <row r="3">
          <cell r="C3" t="str">
            <v xml:space="preserve">YTD </v>
          </cell>
          <cell r="D3" t="str">
            <v xml:space="preserve">4Q </v>
          </cell>
          <cell r="E3" t="str">
            <v xml:space="preserve">FY </v>
          </cell>
          <cell r="G3" t="str">
            <v>Notes</v>
          </cell>
        </row>
        <row r="4">
          <cell r="B4" t="str">
            <v>OCF</v>
          </cell>
          <cell r="C4">
            <v>381</v>
          </cell>
          <cell r="D4">
            <v>252</v>
          </cell>
          <cell r="E4">
            <v>633</v>
          </cell>
          <cell r="G4" t="str">
            <v>Guidance range: $625-675MM</v>
          </cell>
        </row>
        <row r="5">
          <cell r="B5" t="str">
            <v>Capex</v>
          </cell>
          <cell r="C5">
            <v>-117</v>
          </cell>
          <cell r="D5">
            <v>-36</v>
          </cell>
          <cell r="E5">
            <v>-153</v>
          </cell>
          <cell r="G5" t="str">
            <v>Guidance: $150MM</v>
          </cell>
        </row>
        <row r="6">
          <cell r="B6" t="str">
            <v>Dividend</v>
          </cell>
          <cell r="C6">
            <v>-114</v>
          </cell>
          <cell r="D6">
            <v>-38</v>
          </cell>
          <cell r="E6">
            <v>-152</v>
          </cell>
          <cell r="G6" t="str">
            <v>Continued at $0.24 per share</v>
          </cell>
        </row>
        <row r="7">
          <cell r="B7" t="str">
            <v>Repo</v>
          </cell>
          <cell r="C7">
            <v>-95</v>
          </cell>
          <cell r="D7">
            <v>-58</v>
          </cell>
          <cell r="E7">
            <v>-153</v>
          </cell>
          <cell r="G7" t="str">
            <v>Within $67MM remaing program balance</v>
          </cell>
        </row>
        <row r="8">
          <cell r="B8" t="str">
            <v>Remaining FCF</v>
          </cell>
          <cell r="C8">
            <v>55</v>
          </cell>
          <cell r="D8">
            <v>120</v>
          </cell>
          <cell r="E8">
            <v>175</v>
          </cell>
          <cell r="G8" t="str">
            <v>69% generated in 4Q</v>
          </cell>
        </row>
        <row r="9">
          <cell r="B9" t="str">
            <v>Net Income</v>
          </cell>
          <cell r="C9">
            <v>460</v>
          </cell>
          <cell r="D9">
            <v>134</v>
          </cell>
          <cell r="E9">
            <v>594</v>
          </cell>
          <cell r="G9" t="str">
            <v>MS EPS estimate of $3.81</v>
          </cell>
        </row>
        <row r="10">
          <cell r="B10" t="str">
            <v>OCF Conversion</v>
          </cell>
          <cell r="C10">
            <v>0.82826086956521738</v>
          </cell>
          <cell r="D10">
            <v>1.8805970149253732</v>
          </cell>
          <cell r="E10">
            <v>1.0656565656565657</v>
          </cell>
          <cell r="G10" t="str">
            <v>OCF guidance implies knockout 4Q09</v>
          </cell>
        </row>
        <row r="12">
          <cell r="B12" t="str">
            <v>2011 Tailwinds / Headwinds</v>
          </cell>
        </row>
        <row r="13">
          <cell r="H13" t="str">
            <v>Guidance Cushion</v>
          </cell>
        </row>
        <row r="14">
          <cell r="B14" t="str">
            <v>Pension</v>
          </cell>
          <cell r="C14">
            <v>40</v>
          </cell>
          <cell r="D14" t="str">
            <v>Tailwind</v>
          </cell>
          <cell r="J14" t="str">
            <v xml:space="preserve">Low </v>
          </cell>
          <cell r="K14" t="str">
            <v xml:space="preserve">High </v>
          </cell>
          <cell r="M14" t="str">
            <v xml:space="preserve">Delta </v>
          </cell>
        </row>
        <row r="15">
          <cell r="B15" t="str">
            <v>incentive Comp</v>
          </cell>
          <cell r="C15">
            <v>27</v>
          </cell>
          <cell r="D15" t="str">
            <v>Headwind; $100M versus $73M last year</v>
          </cell>
          <cell r="H15" t="str">
            <v>Margin Cushion Holding Sales Constant</v>
          </cell>
        </row>
        <row r="16">
          <cell r="B16" t="str">
            <v>Gov Systems Revs</v>
          </cell>
          <cell r="C16">
            <v>150</v>
          </cell>
          <cell r="D16" t="str">
            <v>Headwind F-22</v>
          </cell>
          <cell r="H16" t="str">
            <v>EPS Range</v>
          </cell>
          <cell r="J16">
            <v>3.7</v>
          </cell>
          <cell r="K16">
            <v>3.9</v>
          </cell>
          <cell r="M16">
            <v>0.19999999999999973</v>
          </cell>
        </row>
        <row r="17">
          <cell r="B17" t="str">
            <v>KC-X - Gov Sys Revs</v>
          </cell>
          <cell r="C17">
            <v>60</v>
          </cell>
          <cell r="D17" t="str">
            <v>Tailwind</v>
          </cell>
          <cell r="H17" t="str">
            <v>MSe Sharecount</v>
          </cell>
          <cell r="J17">
            <v>159.4</v>
          </cell>
          <cell r="K17">
            <v>159.4</v>
          </cell>
        </row>
        <row r="18">
          <cell r="H18" t="str">
            <v>Implied Net Income</v>
          </cell>
          <cell r="J18">
            <v>589.78000000000009</v>
          </cell>
          <cell r="K18">
            <v>621.66</v>
          </cell>
        </row>
        <row r="19">
          <cell r="H19" t="str">
            <v>Tax Guidance</v>
          </cell>
          <cell r="J19">
            <v>0.32</v>
          </cell>
          <cell r="K19">
            <v>0.32</v>
          </cell>
        </row>
        <row r="20">
          <cell r="H20" t="str">
            <v>Implied EBT</v>
          </cell>
          <cell r="J20">
            <v>867.32352941176487</v>
          </cell>
          <cell r="K20">
            <v>914.20588235294122</v>
          </cell>
        </row>
        <row r="21">
          <cell r="H21" t="str">
            <v>MSe Corp, Int. &amp; Stock-based comp.</v>
          </cell>
          <cell r="J21">
            <v>39</v>
          </cell>
          <cell r="K21">
            <v>39</v>
          </cell>
        </row>
        <row r="22">
          <cell r="H22" t="str">
            <v>Implied Segment Op. Profit</v>
          </cell>
          <cell r="J22">
            <v>828.32352941176487</v>
          </cell>
          <cell r="K22">
            <v>875.20588235294122</v>
          </cell>
          <cell r="M22">
            <v>46.88235294117635</v>
          </cell>
        </row>
        <row r="23">
          <cell r="H23" t="str">
            <v>Implied Segment Margin</v>
          </cell>
          <cell r="J23">
            <v>0.18204912734324502</v>
          </cell>
          <cell r="K23">
            <v>0.19235294117647059</v>
          </cell>
          <cell r="M23">
            <v>1.0303813833225567E-2</v>
          </cell>
        </row>
        <row r="24">
          <cell r="H24" t="str">
            <v>Revenue Guidance</v>
          </cell>
          <cell r="J24">
            <v>4550</v>
          </cell>
          <cell r="K24">
            <v>4550</v>
          </cell>
        </row>
        <row r="26">
          <cell r="H26" t="str">
            <v>Sales Cushion Holding Margins Constant</v>
          </cell>
        </row>
        <row r="27">
          <cell r="H27" t="str">
            <v>EPS Range</v>
          </cell>
          <cell r="J27">
            <v>3.7</v>
          </cell>
          <cell r="K27">
            <v>3.9</v>
          </cell>
          <cell r="M27">
            <v>0.19999999999999973</v>
          </cell>
        </row>
        <row r="28">
          <cell r="H28" t="str">
            <v>MSe Sharecount</v>
          </cell>
          <cell r="J28">
            <v>159.19999999999999</v>
          </cell>
          <cell r="K28">
            <v>159.19999999999999</v>
          </cell>
        </row>
        <row r="29">
          <cell r="H29" t="str">
            <v>Implied Net Income</v>
          </cell>
          <cell r="J29">
            <v>589.04</v>
          </cell>
          <cell r="K29">
            <v>620.88</v>
          </cell>
        </row>
        <row r="30">
          <cell r="H30" t="str">
            <v>Tax Guidance</v>
          </cell>
          <cell r="J30">
            <v>0.32</v>
          </cell>
          <cell r="K30">
            <v>0.32</v>
          </cell>
        </row>
        <row r="31">
          <cell r="H31" t="str">
            <v>Implied EBT</v>
          </cell>
          <cell r="J31">
            <v>866.23529411764707</v>
          </cell>
          <cell r="K31">
            <v>913.05882352941182</v>
          </cell>
        </row>
        <row r="32">
          <cell r="H32" t="str">
            <v>MSe Corp, Int. &amp; Stock-based comp.</v>
          </cell>
          <cell r="J32">
            <v>39</v>
          </cell>
          <cell r="K32">
            <v>39</v>
          </cell>
        </row>
        <row r="33">
          <cell r="H33" t="str">
            <v>Implied Segment Op. Profit</v>
          </cell>
          <cell r="J33">
            <v>827.23529411764707</v>
          </cell>
          <cell r="K33">
            <v>874.05882352941182</v>
          </cell>
        </row>
        <row r="34">
          <cell r="H34" t="str">
            <v>Implied Segment Margin</v>
          </cell>
          <cell r="J34">
            <v>0.21</v>
          </cell>
          <cell r="K34">
            <v>0.21</v>
          </cell>
        </row>
        <row r="35">
          <cell r="H35" t="str">
            <v>Revenue Guidance</v>
          </cell>
          <cell r="J35">
            <v>3939.2156862745101</v>
          </cell>
          <cell r="K35">
            <v>4162.1848739495799</v>
          </cell>
          <cell r="M35">
            <v>222.96918767506986</v>
          </cell>
        </row>
        <row r="39">
          <cell r="O39" t="str">
            <v>Sum-of-the-Parts Analysis</v>
          </cell>
        </row>
        <row r="41">
          <cell r="P41" t="str">
            <v>Target P/E Multiple</v>
          </cell>
          <cell r="R41" t="str">
            <v xml:space="preserve">2010E </v>
          </cell>
          <cell r="T41" t="str">
            <v>Implied Value</v>
          </cell>
        </row>
        <row r="42">
          <cell r="P42" t="str">
            <v xml:space="preserve">Low </v>
          </cell>
          <cell r="Q42" t="str">
            <v xml:space="preserve">High </v>
          </cell>
          <cell r="R42" t="str">
            <v>EPS (3)</v>
          </cell>
          <cell r="T42" t="str">
            <v xml:space="preserve">Low </v>
          </cell>
          <cell r="U42" t="str">
            <v xml:space="preserve">High </v>
          </cell>
        </row>
        <row r="43">
          <cell r="O43" t="str">
            <v>GS (1)</v>
          </cell>
          <cell r="P43">
            <v>9</v>
          </cell>
          <cell r="Q43">
            <v>12</v>
          </cell>
          <cell r="R43">
            <v>2.4042925741389092</v>
          </cell>
          <cell r="T43">
            <v>21.638633167250184</v>
          </cell>
          <cell r="U43">
            <v>28.851510889666912</v>
          </cell>
        </row>
        <row r="44">
          <cell r="O44" t="str">
            <v>CS (2)</v>
          </cell>
          <cell r="P44">
            <v>15</v>
          </cell>
          <cell r="Q44">
            <v>17</v>
          </cell>
          <cell r="R44">
            <v>1.2420470485026005</v>
          </cell>
          <cell r="T44">
            <v>18.630705727539009</v>
          </cell>
          <cell r="U44">
            <v>21.114799824544207</v>
          </cell>
        </row>
        <row r="45">
          <cell r="O45" t="str">
            <v>Total</v>
          </cell>
          <cell r="P45">
            <v>11.043770757046753</v>
          </cell>
          <cell r="Q45">
            <v>13.703142297538959</v>
          </cell>
          <cell r="R45">
            <v>3.6463396226415097</v>
          </cell>
          <cell r="T45">
            <v>40.269338894789193</v>
          </cell>
          <cell r="U45">
            <v>49.966310714211119</v>
          </cell>
        </row>
        <row r="47">
          <cell r="O47" t="str">
            <v>Notes</v>
          </cell>
          <cell r="T47" t="str">
            <v>Midpoint</v>
          </cell>
          <cell r="U47">
            <v>45.11782480450016</v>
          </cell>
        </row>
        <row r="49">
          <cell r="O49" t="str">
            <v>(1) Defense multiples likely rangebound in current DoD budget environment (50-75% S&amp;P P/E).</v>
          </cell>
        </row>
        <row r="50">
          <cell r="O50" t="str">
            <v>Margins and growth prospects, however, likely warrant multiple premium over 'Primes'. CAE, HRS</v>
          </cell>
        </row>
        <row r="51">
          <cell r="O51" t="str">
            <v>and Thales are the best comps, in our opinion.</v>
          </cell>
        </row>
        <row r="52">
          <cell r="O52" t="str">
            <v>(2) If defense multiples are appropriate, implication is mid-cycle commercial multiples.</v>
          </cell>
        </row>
        <row r="53">
          <cell r="O53" t="str">
            <v>(3) 2010 EPS allocated by segment operating profit.</v>
          </cell>
          <cell r="Z53" t="str">
            <v>Rolling LTM EBITDA Valuation</v>
          </cell>
        </row>
        <row r="55">
          <cell r="AB55">
            <v>39994</v>
          </cell>
          <cell r="AC55">
            <v>40086</v>
          </cell>
          <cell r="AD55">
            <v>40451</v>
          </cell>
        </row>
        <row r="57">
          <cell r="Z57" t="str">
            <v>LTM EBITDA</v>
          </cell>
          <cell r="AB57">
            <v>1075</v>
          </cell>
          <cell r="AC57">
            <v>1050</v>
          </cell>
          <cell r="AD57">
            <v>1019.1784615384616</v>
          </cell>
        </row>
        <row r="59">
          <cell r="Z59" t="str">
            <v>Rolling valuation at today's trough multiples…</v>
          </cell>
        </row>
        <row r="60">
          <cell r="Z60" t="str">
            <v>Target Multiple</v>
          </cell>
          <cell r="AB60">
            <v>7</v>
          </cell>
          <cell r="AC60">
            <v>7</v>
          </cell>
          <cell r="AD60">
            <v>7</v>
          </cell>
        </row>
        <row r="61">
          <cell r="Z61" t="str">
            <v>Enterprise Value ($Bn)</v>
          </cell>
          <cell r="AB61">
            <v>7.5250000000000004</v>
          </cell>
          <cell r="AC61">
            <v>7.3500000000000005</v>
          </cell>
          <cell r="AD61">
            <v>7.1342492307692318</v>
          </cell>
        </row>
        <row r="62">
          <cell r="Z62" t="str">
            <v>Equity Value ($Bn)</v>
          </cell>
          <cell r="AB62" t="e">
            <v>#REF!</v>
          </cell>
          <cell r="AC62" t="e">
            <v>#REF!</v>
          </cell>
          <cell r="AD62" t="e">
            <v>#REF!</v>
          </cell>
        </row>
        <row r="63">
          <cell r="Z63" t="str">
            <v>Implied Price</v>
          </cell>
          <cell r="AB63" t="e">
            <v>#REF!</v>
          </cell>
          <cell r="AC63" t="e">
            <v>#REF!</v>
          </cell>
          <cell r="AD63" t="e">
            <v>#REF!</v>
          </cell>
        </row>
        <row r="65">
          <cell r="Z65" t="str">
            <v>If multiples return to post 9/11 lows…</v>
          </cell>
        </row>
        <row r="66">
          <cell r="Z66" t="str">
            <v>Target Multiple</v>
          </cell>
          <cell r="AB66">
            <v>9</v>
          </cell>
          <cell r="AC66">
            <v>9</v>
          </cell>
          <cell r="AD66">
            <v>9</v>
          </cell>
        </row>
        <row r="67">
          <cell r="P67">
            <v>39748</v>
          </cell>
          <cell r="Q67">
            <v>40283</v>
          </cell>
          <cell r="Z67" t="str">
            <v>Enterprise Value</v>
          </cell>
          <cell r="AB67">
            <v>9.6750000000000007</v>
          </cell>
          <cell r="AC67">
            <v>9.4500000000000011</v>
          </cell>
          <cell r="AD67">
            <v>9.1726061538461554</v>
          </cell>
        </row>
        <row r="68">
          <cell r="O68" t="str">
            <v>COL</v>
          </cell>
          <cell r="P68">
            <v>31.59</v>
          </cell>
          <cell r="Q68" t="str">
            <v>#Calc</v>
          </cell>
          <cell r="R68" t="e">
            <v>#VALUE!</v>
          </cell>
          <cell r="Z68" t="str">
            <v>Equity Value</v>
          </cell>
          <cell r="AB68" t="e">
            <v>#REF!</v>
          </cell>
          <cell r="AC68" t="e">
            <v>#REF!</v>
          </cell>
          <cell r="AD68" t="e">
            <v>#REF!</v>
          </cell>
        </row>
        <row r="69">
          <cell r="O69" t="str">
            <v>SP50</v>
          </cell>
          <cell r="P69">
            <v>848.92</v>
          </cell>
          <cell r="Q69" t="str">
            <v>#Calc</v>
          </cell>
          <cell r="R69" t="e">
            <v>#VALUE!</v>
          </cell>
          <cell r="Z69" t="str">
            <v>Implied Price</v>
          </cell>
          <cell r="AB69" t="e">
            <v>#REF!</v>
          </cell>
          <cell r="AC69" t="e">
            <v>#REF!</v>
          </cell>
          <cell r="AD69" t="e">
            <v>#REF!</v>
          </cell>
        </row>
        <row r="70">
          <cell r="R70" t="e">
            <v>#VALUE!</v>
          </cell>
        </row>
        <row r="71">
          <cell r="AH71" t="str">
            <v>COL</v>
          </cell>
        </row>
        <row r="72">
          <cell r="AJ72">
            <v>64.05</v>
          </cell>
          <cell r="AK72" t="str">
            <v>Current Price</v>
          </cell>
        </row>
        <row r="74">
          <cell r="AO74" t="str">
            <v>Implied</v>
          </cell>
          <cell r="AP74" t="str">
            <v>2011 P/E</v>
          </cell>
          <cell r="AR74" t="str">
            <v>Implied Value</v>
          </cell>
        </row>
        <row r="75">
          <cell r="AM75" t="str">
            <v>EBIT</v>
          </cell>
          <cell r="AN75" t="str">
            <v>% Total</v>
          </cell>
          <cell r="AO75" t="str">
            <v>EPS</v>
          </cell>
          <cell r="AP75" t="str">
            <v xml:space="preserve">Low </v>
          </cell>
          <cell r="AQ75" t="str">
            <v xml:space="preserve">High </v>
          </cell>
          <cell r="AR75" t="str">
            <v xml:space="preserve">Low </v>
          </cell>
          <cell r="AS75" t="str">
            <v xml:space="preserve">High </v>
          </cell>
        </row>
        <row r="77">
          <cell r="AI77" t="str">
            <v>Government Systems</v>
          </cell>
          <cell r="AM77">
            <v>630.48249999999996</v>
          </cell>
          <cell r="AN77">
            <v>0.61246817167741208</v>
          </cell>
          <cell r="AO77">
            <v>2.6403668868014867</v>
          </cell>
          <cell r="AP77">
            <v>12</v>
          </cell>
          <cell r="AQ77">
            <v>14</v>
          </cell>
          <cell r="AR77">
            <v>31.68440264161784</v>
          </cell>
          <cell r="AS77">
            <v>36.965136415220812</v>
          </cell>
        </row>
        <row r="79">
          <cell r="AI79" t="str">
            <v>Commercial Systems</v>
          </cell>
          <cell r="AM79">
            <v>398.9301767</v>
          </cell>
          <cell r="AN79">
            <v>0.38753182832258781</v>
          </cell>
          <cell r="AO79">
            <v>1.6706602145254563</v>
          </cell>
          <cell r="AP79">
            <v>19.37293836112298</v>
          </cell>
          <cell r="AQ79">
            <v>16.21207193975857</v>
          </cell>
          <cell r="AR79">
            <v>32.365597358382161</v>
          </cell>
          <cell r="AS79">
            <v>27.084863584779185</v>
          </cell>
        </row>
        <row r="81">
          <cell r="AH81" t="str">
            <v>Total Segmet EBIT</v>
          </cell>
          <cell r="AM81">
            <v>1029.4126767</v>
          </cell>
          <cell r="AN81">
            <v>0.99999999999999989</v>
          </cell>
          <cell r="AO81">
            <v>4.3110271013269434</v>
          </cell>
          <cell r="AP81">
            <v>14.85724828319573</v>
          </cell>
          <cell r="AQ81">
            <v>14.85724828319573</v>
          </cell>
          <cell r="AR81">
            <v>64.05</v>
          </cell>
          <cell r="AS81">
            <v>64.05</v>
          </cell>
        </row>
        <row r="83">
          <cell r="AH83" t="str">
            <v xml:space="preserve">Eliminations &amp; Corporate </v>
          </cell>
          <cell r="AM83">
            <v>-72.25</v>
          </cell>
        </row>
        <row r="85">
          <cell r="AH85" t="str">
            <v>EBIT</v>
          </cell>
          <cell r="AM85">
            <v>957.16267670000002</v>
          </cell>
        </row>
        <row r="87">
          <cell r="AH87" t="str">
            <v>BA</v>
          </cell>
        </row>
        <row r="88">
          <cell r="AJ88">
            <v>69.5</v>
          </cell>
          <cell r="AK88" t="str">
            <v>Current Price</v>
          </cell>
        </row>
        <row r="90">
          <cell r="AO90" t="str">
            <v>Implied</v>
          </cell>
          <cell r="AP90" t="str">
            <v>2011 P/E</v>
          </cell>
          <cell r="AR90" t="str">
            <v>Implied Value</v>
          </cell>
        </row>
        <row r="91">
          <cell r="AM91" t="str">
            <v>EBIT</v>
          </cell>
          <cell r="AN91" t="str">
            <v>% Total</v>
          </cell>
          <cell r="AO91" t="str">
            <v>EPS</v>
          </cell>
          <cell r="AP91" t="str">
            <v xml:space="preserve">Low </v>
          </cell>
          <cell r="AQ91" t="str">
            <v xml:space="preserve">High </v>
          </cell>
          <cell r="AR91" t="str">
            <v xml:space="preserve">Low </v>
          </cell>
          <cell r="AS91" t="str">
            <v xml:space="preserve">High </v>
          </cell>
        </row>
        <row r="93">
          <cell r="AI93" t="str">
            <v>Defense</v>
          </cell>
          <cell r="AM93">
            <v>2823.85</v>
          </cell>
          <cell r="AN93">
            <v>0.46390109381342148</v>
          </cell>
          <cell r="AO93">
            <v>1.9006451329606506</v>
          </cell>
          <cell r="AP93">
            <v>10</v>
          </cell>
          <cell r="AQ93">
            <v>12</v>
          </cell>
          <cell r="AR93">
            <v>19.006451329606506</v>
          </cell>
          <cell r="AS93">
            <v>22.807741595527808</v>
          </cell>
        </row>
        <row r="95">
          <cell r="AI95" t="str">
            <v>BCA</v>
          </cell>
          <cell r="AM95">
            <v>3263.33116352564</v>
          </cell>
          <cell r="AN95">
            <v>0.53609890618657852</v>
          </cell>
          <cell r="AO95">
            <v>2.1964461615148907</v>
          </cell>
          <cell r="AP95">
            <v>22.988748622715182</v>
          </cell>
          <cell r="AQ95">
            <v>21.258093743699369</v>
          </cell>
          <cell r="AR95">
            <v>50.493548670393494</v>
          </cell>
          <cell r="AS95">
            <v>46.692258404472192</v>
          </cell>
        </row>
        <row r="97">
          <cell r="AH97" t="str">
            <v>Total Segmet EBIT</v>
          </cell>
          <cell r="AM97">
            <v>6087.1811635256399</v>
          </cell>
          <cell r="AN97">
            <v>1</v>
          </cell>
          <cell r="AO97">
            <v>4.0970912944755415</v>
          </cell>
          <cell r="AP97">
            <v>16.963253929370037</v>
          </cell>
          <cell r="AQ97">
            <v>16.963253929370037</v>
          </cell>
          <cell r="AR97">
            <v>69.5</v>
          </cell>
          <cell r="AS97">
            <v>69.5</v>
          </cell>
        </row>
        <row r="100">
          <cell r="AH100" t="str">
            <v>COL CONS</v>
          </cell>
        </row>
        <row r="101">
          <cell r="AN101" t="str">
            <v>Implied</v>
          </cell>
          <cell r="AO101" t="str">
            <v>2011 P/E</v>
          </cell>
          <cell r="AQ101" t="str">
            <v>Implied Value</v>
          </cell>
        </row>
        <row r="102">
          <cell r="AM102" t="str">
            <v>% Total</v>
          </cell>
          <cell r="AN102" t="str">
            <v>EPS</v>
          </cell>
          <cell r="AO102" t="str">
            <v xml:space="preserve">Low </v>
          </cell>
          <cell r="AP102" t="str">
            <v xml:space="preserve">High </v>
          </cell>
          <cell r="AQ102" t="str">
            <v xml:space="preserve">Low </v>
          </cell>
          <cell r="AR102" t="str">
            <v xml:space="preserve">High </v>
          </cell>
        </row>
        <row r="104">
          <cell r="AJ104" t="str">
            <v>Government Systems</v>
          </cell>
          <cell r="AM104">
            <v>0.61246817167741208</v>
          </cell>
          <cell r="AN104">
            <v>2.5647104688991629</v>
          </cell>
          <cell r="AO104">
            <v>12</v>
          </cell>
          <cell r="AP104">
            <v>14</v>
          </cell>
          <cell r="AQ104">
            <v>30.776525626789955</v>
          </cell>
          <cell r="AR104">
            <v>35.905946564588277</v>
          </cell>
        </row>
        <row r="106">
          <cell r="AJ106" t="str">
            <v>Commercial Systems</v>
          </cell>
          <cell r="AM106">
            <v>0.38753182832258781</v>
          </cell>
          <cell r="AN106">
            <v>1.6227895311008365</v>
          </cell>
          <cell r="AO106">
            <v>20.503875416695983</v>
          </cell>
          <cell r="AP106">
            <v>17.343008995331576</v>
          </cell>
          <cell r="AQ106">
            <v>33.273474373210043</v>
          </cell>
          <cell r="AR106">
            <v>28.14405343541172</v>
          </cell>
        </row>
        <row r="108">
          <cell r="AN108">
            <v>4.1875</v>
          </cell>
          <cell r="AO108">
            <v>15.2955223880597</v>
          </cell>
          <cell r="AP108">
            <v>15.2955223880597</v>
          </cell>
          <cell r="AQ108">
            <v>64.05</v>
          </cell>
          <cell r="AR108">
            <v>64.05</v>
          </cell>
        </row>
        <row r="110">
          <cell r="AH110" t="str">
            <v>BA CONS</v>
          </cell>
        </row>
        <row r="111">
          <cell r="AN111" t="str">
            <v>Implied</v>
          </cell>
          <cell r="AO111" t="str">
            <v>2011 P/E</v>
          </cell>
          <cell r="AQ111" t="str">
            <v>Implied Value</v>
          </cell>
        </row>
        <row r="112">
          <cell r="AM112" t="str">
            <v>% Total</v>
          </cell>
          <cell r="AN112" t="str">
            <v>EPS</v>
          </cell>
          <cell r="AO112" t="str">
            <v xml:space="preserve">Low </v>
          </cell>
          <cell r="AP112" t="str">
            <v xml:space="preserve">High </v>
          </cell>
          <cell r="AQ112" t="str">
            <v xml:space="preserve">Low </v>
          </cell>
          <cell r="AR112" t="str">
            <v xml:space="preserve">High </v>
          </cell>
        </row>
        <row r="114">
          <cell r="AJ114" t="str">
            <v>Government Systems</v>
          </cell>
          <cell r="AM114">
            <v>0.46390109381342148</v>
          </cell>
          <cell r="AN114">
            <v>1.9530236049545044</v>
          </cell>
          <cell r="AO114">
            <v>10</v>
          </cell>
          <cell r="AP114">
            <v>12</v>
          </cell>
          <cell r="AQ114">
            <v>19.530236049545046</v>
          </cell>
          <cell r="AR114">
            <v>23.436283259454054</v>
          </cell>
        </row>
        <row r="116">
          <cell r="AJ116" t="str">
            <v>Commercial Systems</v>
          </cell>
          <cell r="AM116">
            <v>0.53609890618657852</v>
          </cell>
          <cell r="AN116">
            <v>2.2569763950454957</v>
          </cell>
          <cell r="AO116">
            <v>22.140135829576398</v>
          </cell>
          <cell r="AP116">
            <v>20.409480950560582</v>
          </cell>
          <cell r="AQ116">
            <v>49.969763950454954</v>
          </cell>
          <cell r="AR116">
            <v>46.063716740545942</v>
          </cell>
        </row>
        <row r="118">
          <cell r="AN118">
            <v>4.21</v>
          </cell>
          <cell r="AO118">
            <v>16.5083135391924</v>
          </cell>
          <cell r="AP118">
            <v>16.5083135391924</v>
          </cell>
          <cell r="AQ118">
            <v>69.5</v>
          </cell>
          <cell r="AR118">
            <v>69.5</v>
          </cell>
          <cell r="AU118" t="str">
            <v>MS #'s</v>
          </cell>
        </row>
        <row r="120">
          <cell r="AV120" t="str">
            <v xml:space="preserve">Implied Commercial </v>
          </cell>
        </row>
        <row r="121">
          <cell r="AV121" t="str">
            <v>Earnings Multiple</v>
          </cell>
        </row>
        <row r="122">
          <cell r="AU122" t="str">
            <v>BA</v>
          </cell>
          <cell r="AV122">
            <v>21.258093743699369</v>
          </cell>
          <cell r="AW122">
            <v>22.988748622715182</v>
          </cell>
        </row>
        <row r="123">
          <cell r="AU123" t="str">
            <v>COL</v>
          </cell>
          <cell r="AV123">
            <v>16.21207193975857</v>
          </cell>
          <cell r="AW123">
            <v>19.37293836112298</v>
          </cell>
        </row>
        <row r="124">
          <cell r="AU124" t="str">
            <v>Difference</v>
          </cell>
          <cell r="AV124">
            <v>5.0460218039407998</v>
          </cell>
          <cell r="AW124">
            <v>3.6158102615922019</v>
          </cell>
        </row>
        <row r="126">
          <cell r="AU126" t="str">
            <v>CONS</v>
          </cell>
        </row>
        <row r="128">
          <cell r="AV128" t="str">
            <v xml:space="preserve">Implied Commercial </v>
          </cell>
        </row>
        <row r="129">
          <cell r="AV129" t="str">
            <v>Earnings Multiple</v>
          </cell>
        </row>
        <row r="130">
          <cell r="AU130" t="str">
            <v>BA</v>
          </cell>
          <cell r="AV130">
            <v>20.409480950560582</v>
          </cell>
          <cell r="AW130">
            <v>22.140135829576398</v>
          </cell>
        </row>
        <row r="131">
          <cell r="AU131" t="str">
            <v>COL</v>
          </cell>
          <cell r="AV131">
            <v>17.343008995331576</v>
          </cell>
          <cell r="AW131">
            <v>20.503875416695983</v>
          </cell>
        </row>
        <row r="132">
          <cell r="AU132" t="str">
            <v>Difference</v>
          </cell>
          <cell r="AV132">
            <v>3.0664719552290052</v>
          </cell>
          <cell r="AW132">
            <v>1.6362604128804143</v>
          </cell>
        </row>
      </sheetData>
      <sheetData sheetId="5" refreshError="1"/>
      <sheetData sheetId="6" refreshError="1">
        <row r="1">
          <cell r="A1" t="str">
            <v>Rockwell Collins, Inc.</v>
          </cell>
        </row>
        <row r="2">
          <cell r="A2" t="str">
            <v>Discounted Cash Flow Analysis</v>
          </cell>
        </row>
        <row r="3">
          <cell r="A3" t="str">
            <v>Morgan Stanley Research</v>
          </cell>
        </row>
        <row r="4">
          <cell r="A4" t="str">
            <v>($ in Millions Except EPS)</v>
          </cell>
        </row>
        <row r="5">
          <cell r="A5" t="str">
            <v xml:space="preserve">Model Updated: </v>
          </cell>
        </row>
        <row r="7">
          <cell r="B7" t="str">
            <v>DCF Analysis</v>
          </cell>
        </row>
        <row r="8">
          <cell r="I8" t="str">
            <v xml:space="preserve">2009A </v>
          </cell>
          <cell r="J8">
            <v>2010</v>
          </cell>
          <cell r="K8">
            <v>2011</v>
          </cell>
          <cell r="L8">
            <v>2012</v>
          </cell>
          <cell r="M8">
            <v>2013</v>
          </cell>
          <cell r="N8">
            <v>2014</v>
          </cell>
          <cell r="O8" t="str">
            <v>2015E</v>
          </cell>
          <cell r="P8" t="str">
            <v>CAGR</v>
          </cell>
          <cell r="R8" t="str">
            <v>Notes</v>
          </cell>
          <cell r="T8" t="str">
            <v>Notes</v>
          </cell>
        </row>
        <row r="10">
          <cell r="B10" t="str">
            <v>Total Revenue</v>
          </cell>
          <cell r="I10">
            <v>4470</v>
          </cell>
          <cell r="J10">
            <v>4725</v>
          </cell>
          <cell r="K10">
            <v>5100</v>
          </cell>
          <cell r="L10">
            <v>5460</v>
          </cell>
          <cell r="M10">
            <v>5850</v>
          </cell>
          <cell r="N10">
            <v>6170</v>
          </cell>
          <cell r="O10">
            <v>5942.203119477932</v>
          </cell>
          <cell r="P10">
            <v>6.6585138818020487E-2</v>
          </cell>
          <cell r="R10">
            <v>5.6486560626350837E-2</v>
          </cell>
        </row>
        <row r="11">
          <cell r="B11" t="str">
            <v>% Growth</v>
          </cell>
          <cell r="J11">
            <v>5.7046979865771785E-2</v>
          </cell>
          <cell r="K11">
            <v>7.9365079365079305E-2</v>
          </cell>
          <cell r="L11">
            <v>7.0588235294117618E-2</v>
          </cell>
          <cell r="M11">
            <v>7.1428571428571397E-2</v>
          </cell>
          <cell r="N11">
            <v>5.4700854700854729E-2</v>
          </cell>
          <cell r="O11">
            <v>4.6489148709557782E-2</v>
          </cell>
          <cell r="P11">
            <v>0.04</v>
          </cell>
        </row>
        <row r="13">
          <cell r="B13" t="str">
            <v>EBITDA</v>
          </cell>
          <cell r="I13">
            <v>1050</v>
          </cell>
          <cell r="J13">
            <v>1019.1784615384616</v>
          </cell>
          <cell r="K13">
            <v>1147.4109615384614</v>
          </cell>
          <cell r="L13">
            <v>1229.9551282051282</v>
          </cell>
          <cell r="M13">
            <v>1339.8369139194142</v>
          </cell>
          <cell r="N13">
            <v>1416.3625457875457</v>
          </cell>
          <cell r="O13">
            <v>1403.0321959061368</v>
          </cell>
          <cell r="P13">
            <v>6.1688289153551061E-2</v>
          </cell>
          <cell r="R13">
            <v>7.0380738483502861E-2</v>
          </cell>
        </row>
        <row r="14">
          <cell r="B14" t="str">
            <v>% Sales</v>
          </cell>
          <cell r="I14">
            <v>0.2348993288590604</v>
          </cell>
          <cell r="J14">
            <v>0.21569914529914533</v>
          </cell>
          <cell r="K14">
            <v>0.22498254147812968</v>
          </cell>
          <cell r="L14">
            <v>0.22526650699727621</v>
          </cell>
          <cell r="M14">
            <v>0.22903195109733576</v>
          </cell>
          <cell r="N14">
            <v>0.22955632832861358</v>
          </cell>
          <cell r="O14">
            <v>0.23611313307469098</v>
          </cell>
          <cell r="P14">
            <v>0.23799999999999999</v>
          </cell>
        </row>
        <row r="16">
          <cell r="B16" t="str">
            <v>Depreciation</v>
          </cell>
          <cell r="I16">
            <v>144</v>
          </cell>
          <cell r="J16">
            <v>151.73846153846159</v>
          </cell>
          <cell r="K16">
            <v>156.23846153846148</v>
          </cell>
          <cell r="L16">
            <v>163.40512820512822</v>
          </cell>
          <cell r="M16">
            <v>170.90512820512822</v>
          </cell>
          <cell r="N16">
            <v>178.73846153846148</v>
          </cell>
          <cell r="O16">
            <v>189.37692307692305</v>
          </cell>
          <cell r="P16">
            <v>191.57662857196851</v>
          </cell>
        </row>
        <row r="17">
          <cell r="B17" t="str">
            <v>% Sales</v>
          </cell>
          <cell r="I17">
            <v>3.2214765100671144E-2</v>
          </cell>
          <cell r="J17">
            <v>3.2113960113960123E-2</v>
          </cell>
          <cell r="K17">
            <v>3.0634992458521859E-2</v>
          </cell>
          <cell r="L17">
            <v>2.9927679158448392E-2</v>
          </cell>
          <cell r="M17">
            <v>2.9214551829936448E-2</v>
          </cell>
          <cell r="N17">
            <v>2.89689564892158E-2</v>
          </cell>
          <cell r="O17">
            <v>3.1869816508992253E-2</v>
          </cell>
          <cell r="P17">
            <v>3.1E-2</v>
          </cell>
        </row>
        <row r="19">
          <cell r="B19" t="str">
            <v>EBIT</v>
          </cell>
          <cell r="I19">
            <v>906</v>
          </cell>
          <cell r="J19">
            <v>867.44</v>
          </cell>
          <cell r="K19">
            <v>991.1724999999999</v>
          </cell>
          <cell r="L19">
            <v>1066.55</v>
          </cell>
          <cell r="M19">
            <v>1168.931785714286</v>
          </cell>
          <cell r="N19">
            <v>1237.6240842490843</v>
          </cell>
          <cell r="O19">
            <v>1213.6552728292138</v>
          </cell>
          <cell r="P19">
            <v>6.4368739641259651E-2</v>
          </cell>
          <cell r="R19">
            <v>7.5459275399642048E-2</v>
          </cell>
        </row>
        <row r="20">
          <cell r="B20" t="str">
            <v>% Sales</v>
          </cell>
          <cell r="I20">
            <v>0.20268456375838925</v>
          </cell>
          <cell r="J20">
            <v>0.18358518518518518</v>
          </cell>
          <cell r="K20">
            <v>0.19434754901960782</v>
          </cell>
          <cell r="L20">
            <v>0.19533882783882783</v>
          </cell>
          <cell r="M20">
            <v>0.1998173992673993</v>
          </cell>
          <cell r="N20">
            <v>0.20058737183939776</v>
          </cell>
          <cell r="O20">
            <v>0.20424331656569875</v>
          </cell>
          <cell r="P20">
            <v>0.20699999999999999</v>
          </cell>
        </row>
        <row r="22">
          <cell r="B22" t="str">
            <v>Taxes</v>
          </cell>
          <cell r="I22">
            <v>-285.28027681660899</v>
          </cell>
          <cell r="J22">
            <v>-270.50626444086129</v>
          </cell>
          <cell r="K22">
            <v>-307.26347499999997</v>
          </cell>
          <cell r="L22">
            <v>-330.63049999999998</v>
          </cell>
          <cell r="M22">
            <v>-362.36885357142864</v>
          </cell>
          <cell r="N22">
            <v>-383.6634661172161</v>
          </cell>
          <cell r="O22">
            <v>-364.09658184876412</v>
          </cell>
          <cell r="P22">
            <v>-383.77124626836269</v>
          </cell>
        </row>
        <row r="23">
          <cell r="B23" t="str">
            <v>Tax Rate</v>
          </cell>
          <cell r="I23">
            <v>0.31487889273356401</v>
          </cell>
          <cell r="J23">
            <v>0.31184435170255148</v>
          </cell>
          <cell r="K23">
            <v>0.31</v>
          </cell>
          <cell r="L23">
            <v>0.31</v>
          </cell>
          <cell r="M23">
            <v>0.31</v>
          </cell>
          <cell r="N23">
            <v>0.31</v>
          </cell>
          <cell r="O23">
            <v>0.3</v>
          </cell>
          <cell r="P23">
            <v>0.3</v>
          </cell>
        </row>
        <row r="25">
          <cell r="B25" t="str">
            <v>Capex</v>
          </cell>
          <cell r="I25">
            <v>-153</v>
          </cell>
          <cell r="J25">
            <v>-135</v>
          </cell>
          <cell r="K25">
            <v>-150</v>
          </cell>
          <cell r="L25">
            <v>-160</v>
          </cell>
          <cell r="M25">
            <v>-170</v>
          </cell>
          <cell r="N25">
            <v>-180</v>
          </cell>
          <cell r="O25">
            <v>-180</v>
          </cell>
          <cell r="P25">
            <v>-187.2</v>
          </cell>
        </row>
        <row r="26">
          <cell r="B26" t="str">
            <v>% Sales</v>
          </cell>
          <cell r="I26">
            <v>3.4228187919463089E-2</v>
          </cell>
          <cell r="J26">
            <v>2.8571428571428571E-2</v>
          </cell>
          <cell r="K26">
            <v>2.9411764705882353E-2</v>
          </cell>
          <cell r="L26">
            <v>2.9304029304029304E-2</v>
          </cell>
          <cell r="M26">
            <v>2.9059829059829061E-2</v>
          </cell>
          <cell r="N26">
            <v>2.9173419773095625E-2</v>
          </cell>
          <cell r="O26">
            <v>3.0291795211439081E-2</v>
          </cell>
          <cell r="P26">
            <v>3.0291795211439081E-2</v>
          </cell>
        </row>
        <row r="27">
          <cell r="B27" t="str">
            <v>% Depreciation</v>
          </cell>
          <cell r="I27">
            <v>1.0625</v>
          </cell>
          <cell r="J27">
            <v>0.88968873567879925</v>
          </cell>
          <cell r="K27">
            <v>0.96007089754320352</v>
          </cell>
          <cell r="L27">
            <v>0.97916143610343953</v>
          </cell>
          <cell r="M27">
            <v>0.99470391430243188</v>
          </cell>
          <cell r="N27">
            <v>1.0070580134274405</v>
          </cell>
          <cell r="O27">
            <v>0.95048539745724858</v>
          </cell>
          <cell r="P27">
            <v>0.95048539745724858</v>
          </cell>
        </row>
        <row r="29">
          <cell r="B29" t="str">
            <v>Change in WC</v>
          </cell>
          <cell r="I29">
            <v>-156</v>
          </cell>
          <cell r="J29">
            <v>20.625000000000057</v>
          </cell>
          <cell r="K29">
            <v>-22.124999999999886</v>
          </cell>
          <cell r="L29">
            <v>-12</v>
          </cell>
          <cell r="M29">
            <v>-68.249999999999886</v>
          </cell>
          <cell r="N29">
            <v>-56.000000000000171</v>
          </cell>
          <cell r="O29">
            <v>-59.037567014674835</v>
          </cell>
          <cell r="P29">
            <v>-59.037567014674835</v>
          </cell>
        </row>
        <row r="31">
          <cell r="B31" t="str">
            <v>Stock-based Compensation</v>
          </cell>
          <cell r="I31">
            <v>81</v>
          </cell>
          <cell r="J31">
            <v>90</v>
          </cell>
          <cell r="K31">
            <v>90</v>
          </cell>
          <cell r="L31">
            <v>90</v>
          </cell>
          <cell r="M31">
            <v>90</v>
          </cell>
          <cell r="N31">
            <v>90</v>
          </cell>
          <cell r="O31">
            <v>90</v>
          </cell>
          <cell r="P31">
            <v>90</v>
          </cell>
        </row>
        <row r="33">
          <cell r="B33" t="str">
            <v>Unlevered Free Cash Flow (UFCF)</v>
          </cell>
          <cell r="I33">
            <v>536.71972318339101</v>
          </cell>
          <cell r="J33">
            <v>724.29719709760047</v>
          </cell>
          <cell r="K33">
            <v>758.02248653846152</v>
          </cell>
          <cell r="L33">
            <v>817.32462820512819</v>
          </cell>
          <cell r="M33">
            <v>829.21806034798567</v>
          </cell>
          <cell r="N33">
            <v>886.69907967032941</v>
          </cell>
          <cell r="O33">
            <v>889.89804704269795</v>
          </cell>
          <cell r="P33">
            <v>0.1056196291744073</v>
          </cell>
          <cell r="R33">
            <v>5.8492035815230728E-2</v>
          </cell>
        </row>
        <row r="35">
          <cell r="B35" t="str">
            <v>WACC</v>
          </cell>
          <cell r="I35">
            <v>0.09</v>
          </cell>
          <cell r="K35" t="str">
            <v xml:space="preserve">Terminal </v>
          </cell>
          <cell r="L35" t="str">
            <v>Discount Rate</v>
          </cell>
          <cell r="O35" t="str">
            <v xml:space="preserve"> </v>
          </cell>
        </row>
        <row r="36">
          <cell r="B36" t="str">
            <v xml:space="preserve">PV UFCF </v>
          </cell>
          <cell r="I36">
            <v>3097.3623199872882</v>
          </cell>
          <cell r="K36">
            <v>86.231155780746278</v>
          </cell>
          <cell r="L36">
            <v>8.5000000000000006E-2</v>
          </cell>
          <cell r="M36">
            <v>9.0000000000000011E-2</v>
          </cell>
          <cell r="N36">
            <v>9.5000000000000015E-2</v>
          </cell>
        </row>
        <row r="37">
          <cell r="K37">
            <v>0.03</v>
          </cell>
          <cell r="L37">
            <v>87.761581583838719</v>
          </cell>
          <cell r="M37">
            <v>80.177442655007965</v>
          </cell>
          <cell r="N37">
            <v>73.761230198315374</v>
          </cell>
        </row>
        <row r="38">
          <cell r="B38" t="str">
            <v>Perp Growth</v>
          </cell>
          <cell r="I38">
            <v>3.5000000000000003E-2</v>
          </cell>
          <cell r="K38">
            <v>3.4999999999999996E-2</v>
          </cell>
          <cell r="L38">
            <v>95.160872824702452</v>
          </cell>
          <cell r="M38">
            <v>86.231155780746278</v>
          </cell>
          <cell r="N38">
            <v>78.790682394190668</v>
          </cell>
        </row>
        <row r="39">
          <cell r="B39" t="str">
            <v xml:space="preserve">Terminal Value </v>
          </cell>
          <cell r="I39">
            <v>16686.064499250744</v>
          </cell>
          <cell r="K39">
            <v>3.9999999999999994E-2</v>
          </cell>
          <cell r="L39">
            <v>104.20445100798037</v>
          </cell>
          <cell r="M39">
            <v>93.495611531632235</v>
          </cell>
          <cell r="N39">
            <v>84.734580443861461</v>
          </cell>
        </row>
        <row r="40">
          <cell r="B40" t="str">
            <v xml:space="preserve">PV Terminal Value </v>
          </cell>
          <cell r="I40">
            <v>10844.797031861641</v>
          </cell>
        </row>
        <row r="41">
          <cell r="B41" t="str">
            <v>Implied EBITDA Exit Multiple</v>
          </cell>
          <cell r="I41">
            <v>11.78092752373138</v>
          </cell>
        </row>
        <row r="43">
          <cell r="B43" t="str">
            <v xml:space="preserve">Enterprise Value </v>
          </cell>
          <cell r="I43">
            <v>13942.159351848928</v>
          </cell>
          <cell r="K43" t="str">
            <v>Weighted Avg. Cost of Capital</v>
          </cell>
        </row>
        <row r="44">
          <cell r="B44" t="str">
            <v>EV / 2010 EBITDA</v>
          </cell>
          <cell r="I44">
            <v>13.679801799189395</v>
          </cell>
          <cell r="K44" t="str">
            <v>Equity Risk Premium</v>
          </cell>
          <cell r="M44">
            <v>0.04</v>
          </cell>
          <cell r="N44">
            <v>0.06</v>
          </cell>
        </row>
        <row r="45">
          <cell r="B45" t="str">
            <v>EV / 2011 EBITDA</v>
          </cell>
          <cell r="I45">
            <v>12.150972771913496</v>
          </cell>
          <cell r="K45" t="str">
            <v>R-f Rate (Normalized) (1)</v>
          </cell>
          <cell r="M45">
            <v>0.05</v>
          </cell>
          <cell r="N45">
            <v>0.05</v>
          </cell>
        </row>
        <row r="46">
          <cell r="K46" t="str">
            <v>Beta</v>
          </cell>
          <cell r="M46">
            <v>0.95</v>
          </cell>
          <cell r="N46">
            <v>0.95</v>
          </cell>
        </row>
        <row r="47">
          <cell r="B47" t="str">
            <v>Net Debt</v>
          </cell>
          <cell r="I47">
            <v>385</v>
          </cell>
          <cell r="K47" t="str">
            <v>Ke</v>
          </cell>
          <cell r="M47">
            <v>8.7999999999999995E-2</v>
          </cell>
          <cell r="N47">
            <v>0.107</v>
          </cell>
        </row>
        <row r="48">
          <cell r="B48" t="str">
            <v xml:space="preserve">Equity Value </v>
          </cell>
          <cell r="I48">
            <v>13557.159351848928</v>
          </cell>
        </row>
        <row r="49">
          <cell r="B49" t="str">
            <v>Diluted Shares (MM)</v>
          </cell>
          <cell r="I49">
            <v>157.218806</v>
          </cell>
          <cell r="K49" t="str">
            <v>Pre-tax Kd (2)</v>
          </cell>
          <cell r="N49">
            <v>4.6100000000000002E-2</v>
          </cell>
        </row>
        <row r="50">
          <cell r="B50" t="str">
            <v>Implied Share Price</v>
          </cell>
          <cell r="I50">
            <v>86.231155780746278</v>
          </cell>
          <cell r="K50" t="str">
            <v>Tax Rate</v>
          </cell>
          <cell r="N50">
            <v>0.31184435170255148</v>
          </cell>
        </row>
        <row r="51">
          <cell r="B51" t="str">
            <v>Upside (Downside)</v>
          </cell>
          <cell r="I51">
            <v>0.34274611928910437</v>
          </cell>
          <cell r="K51" t="str">
            <v>After-tax Kd</v>
          </cell>
          <cell r="N51">
            <v>3.1723975386512372E-2</v>
          </cell>
        </row>
        <row r="53">
          <cell r="B53" t="str">
            <v>Total Debt</v>
          </cell>
          <cell r="I53">
            <v>591</v>
          </cell>
          <cell r="K53" t="str">
            <v>WACC</v>
          </cell>
          <cell r="M53">
            <v>8.4888061275747967E-2</v>
          </cell>
          <cell r="N53">
            <v>0.10283740362594272</v>
          </cell>
        </row>
        <row r="54">
          <cell r="B54" t="str">
            <v>Cash</v>
          </cell>
          <cell r="I54">
            <v>206</v>
          </cell>
        </row>
        <row r="56">
          <cell r="B56" t="str">
            <v>Current Price</v>
          </cell>
          <cell r="I56">
            <v>64.22</v>
          </cell>
        </row>
        <row r="57">
          <cell r="B57" t="str">
            <v xml:space="preserve">Current Market Cap. </v>
          </cell>
          <cell r="I57">
            <v>10096.591721319999</v>
          </cell>
        </row>
        <row r="59">
          <cell r="B59" t="str">
            <v>Debt % Total Capital</v>
          </cell>
          <cell r="I59">
            <v>5.5297771042381004E-2</v>
          </cell>
        </row>
        <row r="60">
          <cell r="B60" t="str">
            <v>Equity % Total Capital</v>
          </cell>
          <cell r="I60">
            <v>0.94470222895761902</v>
          </cell>
        </row>
        <row r="62">
          <cell r="B62" t="str">
            <v xml:space="preserve">Current Enterprise Value </v>
          </cell>
          <cell r="I62">
            <v>10481.591721319999</v>
          </cell>
        </row>
        <row r="63">
          <cell r="B63" t="str">
            <v>EV / 2010 EBITDA</v>
          </cell>
          <cell r="I63">
            <v>10.284353640576269</v>
          </cell>
        </row>
      </sheetData>
      <sheetData sheetId="7" refreshError="1">
        <row r="1">
          <cell r="A1" t="str">
            <v>Rockwell Collins, Inc.</v>
          </cell>
        </row>
        <row r="2">
          <cell r="A2" t="str">
            <v>Sum-of-the-Parts Valuation Analysis</v>
          </cell>
        </row>
        <row r="3">
          <cell r="A3" t="str">
            <v>Morgan Stanley Research</v>
          </cell>
        </row>
        <row r="4">
          <cell r="A4" t="str">
            <v>($ in Millions Except EPS)</v>
          </cell>
        </row>
        <row r="5">
          <cell r="A5" t="str">
            <v>Model Updated: 4/10</v>
          </cell>
        </row>
        <row r="8">
          <cell r="B8" t="str">
            <v>Current Peer Multiple SOTP: 2012 P/E Basis</v>
          </cell>
        </row>
        <row r="10">
          <cell r="I10" t="str">
            <v>Implied</v>
          </cell>
          <cell r="J10" t="str">
            <v>Peer</v>
          </cell>
          <cell r="K10" t="str">
            <v>Implied</v>
          </cell>
        </row>
        <row r="11">
          <cell r="G11" t="str">
            <v>EBIT</v>
          </cell>
          <cell r="H11" t="str">
            <v>% Total</v>
          </cell>
          <cell r="I11" t="str">
            <v>EPS</v>
          </cell>
          <cell r="J11" t="str">
            <v>P/E</v>
          </cell>
          <cell r="K11" t="str">
            <v>Value</v>
          </cell>
          <cell r="L11" t="str">
            <v>% Total</v>
          </cell>
          <cell r="N11" t="str">
            <v>Best Trading Comps</v>
          </cell>
        </row>
        <row r="12">
          <cell r="C12" t="str">
            <v>Commercial Systems</v>
          </cell>
          <cell r="G12">
            <v>439.625</v>
          </cell>
          <cell r="H12">
            <v>0.40395571074152348</v>
          </cell>
          <cell r="I12">
            <v>1.715291211886153</v>
          </cell>
          <cell r="J12">
            <v>16</v>
          </cell>
          <cell r="K12">
            <v>27.5</v>
          </cell>
          <cell r="L12">
            <v>0.37671232876712329</v>
          </cell>
          <cell r="N12" t="str">
            <v>Thales, Honeywell, Aerospace suppliers (i.e. Goodrich)</v>
          </cell>
        </row>
        <row r="14">
          <cell r="C14" t="str">
            <v>Government Systems</v>
          </cell>
          <cell r="G14">
            <v>648.67499999999995</v>
          </cell>
          <cell r="H14">
            <v>0.59604428925847652</v>
          </cell>
          <cell r="I14">
            <v>2.5309446161393239</v>
          </cell>
          <cell r="J14">
            <v>18</v>
          </cell>
          <cell r="K14">
            <v>45.5</v>
          </cell>
          <cell r="L14">
            <v>0.62328767123287676</v>
          </cell>
          <cell r="N14" t="str">
            <v>Thales, CAE, ViaSat, Harris</v>
          </cell>
        </row>
        <row r="16">
          <cell r="B16" t="str">
            <v>Total Segmet EBIT</v>
          </cell>
          <cell r="G16">
            <v>1088.3</v>
          </cell>
          <cell r="H16">
            <v>1</v>
          </cell>
          <cell r="I16">
            <v>4.2462358280254771</v>
          </cell>
          <cell r="J16">
            <v>17.19169705982755</v>
          </cell>
          <cell r="K16">
            <v>73</v>
          </cell>
          <cell r="L16">
            <v>1</v>
          </cell>
        </row>
        <row r="18">
          <cell r="B18" t="str">
            <v>Eliminations &amp; Corporate expense</v>
          </cell>
          <cell r="G18">
            <v>-76.377499999999998</v>
          </cell>
        </row>
        <row r="20">
          <cell r="B20" t="str">
            <v>EBIT</v>
          </cell>
          <cell r="G20">
            <v>1011.9224999999999</v>
          </cell>
        </row>
        <row r="23">
          <cell r="B23" t="str">
            <v>Peer CY2012 P/E Valuation</v>
          </cell>
        </row>
        <row r="25">
          <cell r="B25" t="str">
            <v>COL</v>
          </cell>
          <cell r="D25" t="str">
            <v>Ticker</v>
          </cell>
          <cell r="F25" t="str">
            <v>Company</v>
          </cell>
          <cell r="J25" t="str">
            <v xml:space="preserve">Price </v>
          </cell>
          <cell r="K25" t="str">
            <v xml:space="preserve">EPS </v>
          </cell>
          <cell r="L25" t="str">
            <v xml:space="preserve">P/E </v>
          </cell>
          <cell r="N25" t="str">
            <v>Comments</v>
          </cell>
        </row>
        <row r="26">
          <cell r="C26" t="str">
            <v>Commercial Systems</v>
          </cell>
          <cell r="D26">
            <v>63.73</v>
          </cell>
          <cell r="E26" t="str">
            <v>Current Price</v>
          </cell>
        </row>
        <row r="27">
          <cell r="D27" t="str">
            <v>HON</v>
          </cell>
          <cell r="F27" t="str">
            <v>Honeywell International Inc.</v>
          </cell>
          <cell r="J27">
            <v>45.25</v>
          </cell>
          <cell r="K27">
            <v>2.9610069999999999</v>
          </cell>
          <cell r="L27">
            <v>15.281963196979946</v>
          </cell>
          <cell r="N27">
            <v>14</v>
          </cell>
          <cell r="O27">
            <v>16</v>
          </cell>
          <cell r="P27">
            <v>15</v>
          </cell>
        </row>
        <row r="28">
          <cell r="D28" t="str">
            <v>HO-FR</v>
          </cell>
          <cell r="F28" t="str">
            <v>Thales S.A.</v>
          </cell>
          <cell r="I28" t="str">
            <v>Implied</v>
          </cell>
          <cell r="J28">
            <v>29.28</v>
          </cell>
          <cell r="K28">
            <v>2.9053459999999998</v>
          </cell>
          <cell r="L28">
            <v>10.077973501262846</v>
          </cell>
          <cell r="N28">
            <v>12</v>
          </cell>
          <cell r="O28">
            <v>14</v>
          </cell>
          <cell r="P28">
            <v>13</v>
          </cell>
        </row>
        <row r="29">
          <cell r="D29" t="str">
            <v>GR</v>
          </cell>
          <cell r="F29" t="str">
            <v>Goodrich Corp.</v>
          </cell>
          <cell r="G29" t="str">
            <v>EBIT</v>
          </cell>
          <cell r="H29" t="str">
            <v>% Total</v>
          </cell>
          <cell r="I29" t="str">
            <v>EPS</v>
          </cell>
          <cell r="J29">
            <v>70.430000000000007</v>
          </cell>
          <cell r="K29">
            <v>5.0086729999999999</v>
          </cell>
          <cell r="L29">
            <v>14.061608733490889</v>
          </cell>
          <cell r="M29" t="str">
            <v xml:space="preserve">High </v>
          </cell>
          <cell r="N29">
            <v>14</v>
          </cell>
          <cell r="O29">
            <v>18</v>
          </cell>
          <cell r="P29">
            <v>16</v>
          </cell>
        </row>
        <row r="30">
          <cell r="C30" t="str">
            <v>Government Systems</v>
          </cell>
        </row>
        <row r="31">
          <cell r="C31" t="str">
            <v>Government Systems</v>
          </cell>
          <cell r="D31" t="str">
            <v>HO-FR</v>
          </cell>
          <cell r="F31" t="str">
            <v>Thales S.A.</v>
          </cell>
          <cell r="G31">
            <v>630.48249999999996</v>
          </cell>
          <cell r="H31">
            <v>0.61246817167741208</v>
          </cell>
          <cell r="I31">
            <v>2.6403668868014867</v>
          </cell>
          <cell r="J31">
            <v>29.28</v>
          </cell>
          <cell r="K31">
            <v>2.9053459999999998</v>
          </cell>
          <cell r="L31">
            <v>10.077973501262846</v>
          </cell>
          <cell r="M31">
            <v>36.965136415220812</v>
          </cell>
          <cell r="N31">
            <v>12</v>
          </cell>
          <cell r="O31">
            <v>14</v>
          </cell>
          <cell r="P31">
            <v>13</v>
          </cell>
        </row>
        <row r="32">
          <cell r="D32" t="str">
            <v>CAE-CA</v>
          </cell>
          <cell r="F32" t="str">
            <v>CAE Inc.</v>
          </cell>
          <cell r="J32">
            <v>10.210000000000001</v>
          </cell>
          <cell r="K32">
            <v>0.70489889999999999</v>
          </cell>
          <cell r="L32">
            <v>14.484346620486996</v>
          </cell>
          <cell r="N32">
            <v>15</v>
          </cell>
          <cell r="O32">
            <v>20</v>
          </cell>
          <cell r="P32">
            <v>17.5</v>
          </cell>
        </row>
        <row r="33">
          <cell r="C33" t="str">
            <v>Commercial Systems</v>
          </cell>
          <cell r="D33" t="str">
            <v>VSAT</v>
          </cell>
          <cell r="F33" t="str">
            <v>ViaSat Inc.</v>
          </cell>
          <cell r="G33">
            <v>398.9301767</v>
          </cell>
          <cell r="H33">
            <v>0.38753182832258781</v>
          </cell>
          <cell r="I33">
            <v>1.6706602145254563</v>
          </cell>
          <cell r="J33">
            <v>34.99</v>
          </cell>
          <cell r="K33">
            <v>1.8557079999999999</v>
          </cell>
          <cell r="L33">
            <v>18.855337154336784</v>
          </cell>
          <cell r="M33">
            <v>26.764863584779185</v>
          </cell>
          <cell r="N33">
            <v>18</v>
          </cell>
          <cell r="O33">
            <v>22</v>
          </cell>
          <cell r="P33">
            <v>20</v>
          </cell>
        </row>
        <row r="34">
          <cell r="D34" t="str">
            <v>ESLT</v>
          </cell>
          <cell r="F34" t="str">
            <v>Elbit Systems Ltd.</v>
          </cell>
          <cell r="J34">
            <v>64.61</v>
          </cell>
          <cell r="K34">
            <v>5.4442360000000001</v>
          </cell>
          <cell r="L34">
            <v>11.867597216579149</v>
          </cell>
          <cell r="N34">
            <v>14</v>
          </cell>
          <cell r="O34">
            <v>18</v>
          </cell>
          <cell r="P34">
            <v>16</v>
          </cell>
        </row>
        <row r="35">
          <cell r="B35" t="str">
            <v>Total Segmet EBIT</v>
          </cell>
          <cell r="D35" t="str">
            <v>HRS</v>
          </cell>
          <cell r="F35" t="str">
            <v>Harris Corp.</v>
          </cell>
          <cell r="G35">
            <v>1029.4126767</v>
          </cell>
          <cell r="H35">
            <v>0.99999999999999989</v>
          </cell>
          <cell r="I35">
            <v>4.3110271013269434</v>
          </cell>
          <cell r="J35">
            <v>48.45</v>
          </cell>
          <cell r="K35">
            <v>4.3130939999999995</v>
          </cell>
          <cell r="L35">
            <v>11.233235352626213</v>
          </cell>
          <cell r="M35">
            <v>63.73</v>
          </cell>
          <cell r="N35">
            <v>15</v>
          </cell>
          <cell r="O35">
            <v>20</v>
          </cell>
          <cell r="P35">
            <v>17.5</v>
          </cell>
        </row>
        <row r="36">
          <cell r="C36" t="str">
            <v>Competitors Listed in COL 10-K</v>
          </cell>
        </row>
        <row r="37">
          <cell r="B37" t="str">
            <v xml:space="preserve">Eliminations &amp; Corporate </v>
          </cell>
          <cell r="D37" t="str">
            <v>HON</v>
          </cell>
          <cell r="F37" t="str">
            <v>Honeywell International Inc.</v>
          </cell>
          <cell r="G37">
            <v>-72.25</v>
          </cell>
          <cell r="J37">
            <v>45.25</v>
          </cell>
          <cell r="K37">
            <v>2.9610069999999999</v>
          </cell>
          <cell r="L37">
            <v>15.281963196979946</v>
          </cell>
          <cell r="N37" t="str">
            <v>Avionics competitor but diversified industrial conglomerate</v>
          </cell>
        </row>
        <row r="38">
          <cell r="D38" t="str">
            <v>HO-FR</v>
          </cell>
          <cell r="F38" t="str">
            <v>Thales S.A.</v>
          </cell>
          <cell r="J38">
            <v>29.28</v>
          </cell>
          <cell r="K38">
            <v>2.9053459999999998</v>
          </cell>
          <cell r="L38">
            <v>10.077973501262846</v>
          </cell>
          <cell r="N38" t="str">
            <v>Best overall comp</v>
          </cell>
        </row>
        <row r="39">
          <cell r="B39" t="str">
            <v>EBIT</v>
          </cell>
          <cell r="D39" t="str">
            <v>PC</v>
          </cell>
          <cell r="F39" t="str">
            <v>Panasonic Corp. (ADS)</v>
          </cell>
          <cell r="G39">
            <v>957.16267670000002</v>
          </cell>
          <cell r="J39">
            <v>15.33</v>
          </cell>
          <cell r="K39">
            <v>0.73164940000000001</v>
          </cell>
          <cell r="L39">
            <v>20.952658472760312</v>
          </cell>
          <cell r="N39" t="str">
            <v>Not a revelent public market comp. Consumer electronics company.</v>
          </cell>
        </row>
        <row r="40">
          <cell r="D40" t="str">
            <v>RTN</v>
          </cell>
          <cell r="F40" t="str">
            <v>Raytheon Co.</v>
          </cell>
          <cell r="J40">
            <v>56.81</v>
          </cell>
          <cell r="K40">
            <v>5.2703749999999996</v>
          </cell>
          <cell r="L40">
            <v>10.779119132889027</v>
          </cell>
          <cell r="N40" t="str">
            <v>Defense primes have less attactive margin and growth profile than COL</v>
          </cell>
        </row>
        <row r="41">
          <cell r="B41" t="str">
            <v>2012 Annualized PE Multiple</v>
          </cell>
          <cell r="D41" t="str">
            <v>HRS</v>
          </cell>
          <cell r="F41" t="str">
            <v>Harris Corp.</v>
          </cell>
          <cell r="J41">
            <v>48.45</v>
          </cell>
          <cell r="K41">
            <v>4.3130939999999995</v>
          </cell>
          <cell r="L41">
            <v>11.233235352626213</v>
          </cell>
          <cell r="N41" t="str">
            <v>Close competitor for Government systems but trades like Defense primes</v>
          </cell>
        </row>
        <row r="42">
          <cell r="D42" t="str">
            <v>BA-GB</v>
          </cell>
          <cell r="F42" t="str">
            <v>BAE Systems PLC</v>
          </cell>
          <cell r="I42" t="str">
            <v>Implied</v>
          </cell>
          <cell r="J42">
            <v>3.7050000000000001</v>
          </cell>
          <cell r="K42">
            <v>0.43944610000000001</v>
          </cell>
          <cell r="L42">
            <v>8.4310681105145768</v>
          </cell>
          <cell r="N42" t="str">
            <v>Defense primes have less attactive margin and growth profile than COL</v>
          </cell>
        </row>
        <row r="43">
          <cell r="D43" t="str">
            <v>GD</v>
          </cell>
          <cell r="F43" t="str">
            <v>General Dynamics Corp.</v>
          </cell>
          <cell r="G43" t="str">
            <v>EBIT</v>
          </cell>
          <cell r="H43" t="str">
            <v>% Total</v>
          </cell>
          <cell r="I43" t="str">
            <v>EPS</v>
          </cell>
          <cell r="J43">
            <v>76.47</v>
          </cell>
          <cell r="K43">
            <v>6.9860530000000001</v>
          </cell>
          <cell r="L43">
            <v>10.946095026762608</v>
          </cell>
          <cell r="N43" t="str">
            <v>Defense primes have less attactive margin and growth profile than COL</v>
          </cell>
        </row>
        <row r="44">
          <cell r="C44" t="str">
            <v>Commercial Systems</v>
          </cell>
          <cell r="D44" t="str">
            <v>LLL</v>
          </cell>
          <cell r="F44" t="str">
            <v>L-3 Communications Holdings Inc.</v>
          </cell>
          <cell r="G44">
            <v>498.66588632000003</v>
          </cell>
          <cell r="H44">
            <v>0.43179549437468223</v>
          </cell>
          <cell r="I44">
            <v>2.1127525220745791</v>
          </cell>
          <cell r="J44">
            <v>92.67</v>
          </cell>
          <cell r="K44">
            <v>8.7632500000000011</v>
          </cell>
          <cell r="L44">
            <v>10.574843807947964</v>
          </cell>
          <cell r="N44" t="str">
            <v>Defense primes have less attactive margin and growth profile than COL</v>
          </cell>
        </row>
        <row r="45">
          <cell r="D45" t="str">
            <v>BA</v>
          </cell>
          <cell r="F45" t="str">
            <v>Boeing Co.</v>
          </cell>
          <cell r="J45">
            <v>72.099999999999994</v>
          </cell>
          <cell r="K45">
            <v>4.5076679999999998</v>
          </cell>
          <cell r="L45">
            <v>15.994966798797071</v>
          </cell>
          <cell r="N45" t="str">
            <v>Trades primarily on commercial aero OEM business</v>
          </cell>
        </row>
        <row r="46">
          <cell r="C46" t="str">
            <v>Government Systems</v>
          </cell>
          <cell r="D46" t="str">
            <v>NOC</v>
          </cell>
          <cell r="F46" t="str">
            <v>Northrop Grumman Corp.</v>
          </cell>
          <cell r="G46">
            <v>656.2</v>
          </cell>
          <cell r="H46">
            <v>0.56820450562531777</v>
          </cell>
          <cell r="I46">
            <v>2.7801946012719161</v>
          </cell>
          <cell r="J46">
            <v>65.22</v>
          </cell>
          <cell r="K46">
            <v>6.6385549999999993</v>
          </cell>
          <cell r="L46">
            <v>9.8244271531982488</v>
          </cell>
          <cell r="N46" t="str">
            <v>Defense primes have less attactive margin and growth profile than COL</v>
          </cell>
        </row>
        <row r="47">
          <cell r="D47" t="str">
            <v>CAE-CA</v>
          </cell>
          <cell r="F47" t="str">
            <v>CAE Inc.</v>
          </cell>
          <cell r="J47">
            <v>10.210000000000001</v>
          </cell>
          <cell r="K47">
            <v>0.70489889999999999</v>
          </cell>
          <cell r="L47">
            <v>14.484346620486996</v>
          </cell>
          <cell r="N47" t="str">
            <v>Good comp for Government Systems (simulation and training)</v>
          </cell>
        </row>
        <row r="48">
          <cell r="B48" t="str">
            <v>Total Segmet EBIT</v>
          </cell>
          <cell r="G48">
            <v>1154.8658863200001</v>
          </cell>
          <cell r="H48">
            <v>1</v>
          </cell>
          <cell r="I48">
            <v>4.8929471233464952</v>
          </cell>
          <cell r="J48">
            <v>15.634748970611884</v>
          </cell>
          <cell r="K48">
            <v>76.5</v>
          </cell>
          <cell r="L48">
            <v>1.0234113712374582</v>
          </cell>
        </row>
        <row r="50">
          <cell r="B50" t="str">
            <v xml:space="preserve">Eliminations &amp; Corporate </v>
          </cell>
          <cell r="C50" t="str">
            <v>Calendar Year</v>
          </cell>
          <cell r="E50">
            <v>2011</v>
          </cell>
          <cell r="G50">
            <v>-77</v>
          </cell>
        </row>
        <row r="52">
          <cell r="B52" t="str">
            <v>EBIT</v>
          </cell>
          <cell r="G52">
            <v>1077.8658863200001</v>
          </cell>
        </row>
        <row r="55">
          <cell r="B55" t="str">
            <v>Current Peer Multiple SOTP: 2013 P/E Basis - Year Ended Sept</v>
          </cell>
        </row>
        <row r="57">
          <cell r="I57" t="str">
            <v>Implied</v>
          </cell>
          <cell r="J57" t="str">
            <v>Peer</v>
          </cell>
          <cell r="K57" t="str">
            <v>Implied</v>
          </cell>
        </row>
        <row r="58">
          <cell r="G58" t="str">
            <v>EBIT</v>
          </cell>
          <cell r="H58" t="str">
            <v>% Total</v>
          </cell>
          <cell r="I58" t="str">
            <v>EPS</v>
          </cell>
          <cell r="J58" t="str">
            <v>P/E</v>
          </cell>
          <cell r="K58" t="str">
            <v>Value</v>
          </cell>
          <cell r="L58" t="str">
            <v>% Total</v>
          </cell>
        </row>
        <row r="59">
          <cell r="C59" t="str">
            <v>Commercial Systems</v>
          </cell>
          <cell r="G59">
            <v>548.63802487999999</v>
          </cell>
          <cell r="H59">
            <v>0.45299380715452248</v>
          </cell>
          <cell r="I59">
            <v>2.3468718580783743</v>
          </cell>
          <cell r="J59">
            <v>17</v>
          </cell>
          <cell r="K59">
            <v>40</v>
          </cell>
          <cell r="L59">
            <v>0.53511705685618727</v>
          </cell>
        </row>
        <row r="61">
          <cell r="C61" t="str">
            <v>Government Systems</v>
          </cell>
          <cell r="G61">
            <v>662.5</v>
          </cell>
          <cell r="H61">
            <v>0.54700619284547747</v>
          </cell>
          <cell r="I61">
            <v>2.8339315458803549</v>
          </cell>
          <cell r="J61">
            <v>11</v>
          </cell>
          <cell r="K61">
            <v>31.25</v>
          </cell>
          <cell r="L61">
            <v>0.41806020066889632</v>
          </cell>
        </row>
        <row r="63">
          <cell r="B63" t="str">
            <v>Total Segmet EBIT</v>
          </cell>
          <cell r="G63">
            <v>1211.1380248800001</v>
          </cell>
          <cell r="H63">
            <v>1</v>
          </cell>
          <cell r="I63">
            <v>5.1808034039587296</v>
          </cell>
          <cell r="J63">
            <v>13.752693249382288</v>
          </cell>
          <cell r="K63">
            <v>71.25</v>
          </cell>
          <cell r="L63">
            <v>0.95317725752508364</v>
          </cell>
        </row>
        <row r="65">
          <cell r="B65" t="str">
            <v xml:space="preserve">Eliminations &amp; Corporate </v>
          </cell>
          <cell r="G65">
            <v>-80</v>
          </cell>
        </row>
        <row r="67">
          <cell r="B67" t="str">
            <v>EBIT</v>
          </cell>
          <cell r="G67">
            <v>1131.1380248800001</v>
          </cell>
        </row>
        <row r="72">
          <cell r="B72" t="str">
            <v>Peer CY2012 P/E Valuation</v>
          </cell>
        </row>
        <row r="74">
          <cell r="D74" t="str">
            <v>Ticker</v>
          </cell>
          <cell r="F74" t="str">
            <v>Company</v>
          </cell>
          <cell r="J74" t="str">
            <v xml:space="preserve">Price </v>
          </cell>
          <cell r="K74" t="str">
            <v xml:space="preserve">EPS </v>
          </cell>
          <cell r="L74" t="str">
            <v xml:space="preserve">P/E </v>
          </cell>
          <cell r="N74" t="str">
            <v>Comments</v>
          </cell>
        </row>
        <row r="75">
          <cell r="C75" t="str">
            <v>Commercial Systems</v>
          </cell>
          <cell r="N75" t="str">
            <v>Historical Multiples</v>
          </cell>
        </row>
        <row r="76">
          <cell r="D76" t="str">
            <v>HON</v>
          </cell>
          <cell r="F76" t="str">
            <v>Honeywell International Inc.</v>
          </cell>
          <cell r="J76">
            <v>54.3</v>
          </cell>
          <cell r="K76">
            <v>4.3372820000000001</v>
          </cell>
          <cell r="L76">
            <v>12.519361203629369</v>
          </cell>
          <cell r="N76">
            <v>14</v>
          </cell>
          <cell r="O76">
            <v>16</v>
          </cell>
          <cell r="P76">
            <v>15</v>
          </cell>
        </row>
        <row r="77">
          <cell r="D77" t="str">
            <v>HO-FR</v>
          </cell>
          <cell r="F77" t="str">
            <v>Thales S.A.</v>
          </cell>
          <cell r="J77">
            <v>26.535</v>
          </cell>
          <cell r="K77">
            <v>3.5024700000000002</v>
          </cell>
          <cell r="L77">
            <v>7.5760820221158207</v>
          </cell>
          <cell r="N77">
            <v>12</v>
          </cell>
          <cell r="O77">
            <v>14</v>
          </cell>
          <cell r="P77">
            <v>13</v>
          </cell>
        </row>
        <row r="78">
          <cell r="D78" t="str">
            <v>GR</v>
          </cell>
          <cell r="F78" t="str">
            <v>Goodrich Corp.</v>
          </cell>
          <cell r="J78">
            <v>89.78</v>
          </cell>
          <cell r="K78">
            <v>6.0215500000000004</v>
          </cell>
          <cell r="L78">
            <v>14.909782365005688</v>
          </cell>
          <cell r="N78">
            <v>14</v>
          </cell>
          <cell r="O78">
            <v>18</v>
          </cell>
          <cell r="P78">
            <v>16</v>
          </cell>
        </row>
        <row r="79">
          <cell r="C79" t="str">
            <v>Government Systems</v>
          </cell>
        </row>
        <row r="80">
          <cell r="D80" t="str">
            <v>HO-FR</v>
          </cell>
          <cell r="F80" t="str">
            <v>Thales S.A.</v>
          </cell>
          <cell r="J80">
            <v>26.535</v>
          </cell>
          <cell r="K80">
            <v>3.5024700000000002</v>
          </cell>
          <cell r="L80">
            <v>7.5760820221158207</v>
          </cell>
          <cell r="N80">
            <v>12</v>
          </cell>
          <cell r="O80">
            <v>14</v>
          </cell>
          <cell r="P80">
            <v>13</v>
          </cell>
        </row>
        <row r="81">
          <cell r="D81" t="str">
            <v>CAE-CA</v>
          </cell>
          <cell r="F81" t="str">
            <v>CAE Inc.</v>
          </cell>
          <cell r="J81">
            <v>11.82</v>
          </cell>
          <cell r="K81">
            <v>0.82252179999999997</v>
          </cell>
          <cell r="L81">
            <v>14.370439786519945</v>
          </cell>
          <cell r="N81">
            <v>15</v>
          </cell>
          <cell r="O81">
            <v>20</v>
          </cell>
          <cell r="P81">
            <v>17.5</v>
          </cell>
        </row>
        <row r="82">
          <cell r="D82" t="str">
            <v>ESLT</v>
          </cell>
          <cell r="F82" t="str">
            <v>Elbit Systems Ltd.</v>
          </cell>
          <cell r="J82">
            <v>55.75</v>
          </cell>
          <cell r="K82">
            <v>4.8813000000000004</v>
          </cell>
          <cell r="L82">
            <v>11.421137811648535</v>
          </cell>
          <cell r="N82">
            <v>14</v>
          </cell>
          <cell r="O82">
            <v>18</v>
          </cell>
          <cell r="P82">
            <v>16</v>
          </cell>
        </row>
        <row r="83">
          <cell r="D83" t="str">
            <v>HRS</v>
          </cell>
          <cell r="F83" t="str">
            <v>Harris Corp.</v>
          </cell>
          <cell r="J83">
            <v>46.36</v>
          </cell>
          <cell r="K83">
            <v>5.2782029999999995</v>
          </cell>
          <cell r="L83">
            <v>8.7832923440042006</v>
          </cell>
          <cell r="N83">
            <v>15</v>
          </cell>
          <cell r="O83">
            <v>20</v>
          </cell>
          <cell r="P83">
            <v>17.5</v>
          </cell>
        </row>
        <row r="84">
          <cell r="C84" t="str">
            <v>Competitors Listed in COL 10-K</v>
          </cell>
        </row>
        <row r="85">
          <cell r="D85" t="str">
            <v>HON</v>
          </cell>
          <cell r="F85" t="str">
            <v>Honeywell International Inc.</v>
          </cell>
          <cell r="J85">
            <v>54.3</v>
          </cell>
          <cell r="K85">
            <v>4.3372820000000001</v>
          </cell>
          <cell r="L85">
            <v>12.519361203629369</v>
          </cell>
          <cell r="N85" t="str">
            <v>Avionics competitor but diversified industrial conglomerate</v>
          </cell>
        </row>
        <row r="86">
          <cell r="D86" t="str">
            <v>HO-FR</v>
          </cell>
          <cell r="F86" t="str">
            <v>Thales S.A.</v>
          </cell>
          <cell r="J86">
            <v>26.535</v>
          </cell>
          <cell r="K86">
            <v>3.5024700000000002</v>
          </cell>
          <cell r="L86">
            <v>7.5760820221158207</v>
          </cell>
          <cell r="N86" t="str">
            <v>Best overall comp</v>
          </cell>
        </row>
        <row r="87">
          <cell r="D87" t="str">
            <v>PC</v>
          </cell>
          <cell r="F87" t="str">
            <v>Panasonic Corp. ADS</v>
          </cell>
          <cell r="J87">
            <v>14.28</v>
          </cell>
          <cell r="K87">
            <v>0.97861139999999991</v>
          </cell>
          <cell r="L87">
            <v>14.592104690380676</v>
          </cell>
          <cell r="N87" t="str">
            <v>Not a revelent public market comp. Consumer electronics company.</v>
          </cell>
        </row>
        <row r="88">
          <cell r="D88" t="str">
            <v>RTN</v>
          </cell>
          <cell r="F88" t="str">
            <v>Raytheon Co.</v>
          </cell>
          <cell r="J88">
            <v>49.85</v>
          </cell>
          <cell r="K88">
            <v>5.4044609999999995</v>
          </cell>
          <cell r="L88">
            <v>9.2238615469701806</v>
          </cell>
          <cell r="N88" t="str">
            <v>Defense primes have less attactive margin and growth profile than COL</v>
          </cell>
        </row>
        <row r="89">
          <cell r="D89" t="str">
            <v>HRS</v>
          </cell>
          <cell r="F89" t="str">
            <v>Harris Corp.</v>
          </cell>
          <cell r="J89">
            <v>46.36</v>
          </cell>
          <cell r="K89">
            <v>5.2782029999999995</v>
          </cell>
          <cell r="L89">
            <v>8.7832923440042006</v>
          </cell>
          <cell r="N89" t="str">
            <v>Close competitor for Government systems but trades like Defense primes</v>
          </cell>
        </row>
        <row r="90">
          <cell r="D90" t="str">
            <v>BA-GB</v>
          </cell>
          <cell r="F90" t="str">
            <v>BAE Systems PLC</v>
          </cell>
          <cell r="J90">
            <v>3.468</v>
          </cell>
          <cell r="K90">
            <v>0.4393571</v>
          </cell>
          <cell r="L90">
            <v>7.8933514446449138</v>
          </cell>
          <cell r="N90" t="str">
            <v>Defense primes have less attactive margin and growth profile than COL</v>
          </cell>
        </row>
        <row r="91">
          <cell r="D91" t="str">
            <v>GD</v>
          </cell>
          <cell r="F91" t="str">
            <v>General Dynamics Corp.</v>
          </cell>
          <cell r="J91">
            <v>72.010000000000005</v>
          </cell>
          <cell r="K91">
            <v>7.7467000000000006</v>
          </cell>
          <cell r="L91">
            <v>9.2955710173364139</v>
          </cell>
          <cell r="N91" t="str">
            <v>Defense primes have less attactive margin and growth profile than COL</v>
          </cell>
        </row>
        <row r="92">
          <cell r="D92" t="str">
            <v>LLL</v>
          </cell>
          <cell r="F92" t="str">
            <v>L-3 Communications Holdings Inc.</v>
          </cell>
          <cell r="J92">
            <v>78.23</v>
          </cell>
          <cell r="K92">
            <v>8.9269999999999996</v>
          </cell>
          <cell r="L92">
            <v>8.7633023412120536</v>
          </cell>
          <cell r="N92" t="str">
            <v>Defense primes have less attactive margin and growth profile than COL</v>
          </cell>
        </row>
        <row r="93">
          <cell r="D93" t="str">
            <v>BA</v>
          </cell>
          <cell r="F93" t="str">
            <v>Boeing Co.</v>
          </cell>
          <cell r="J93">
            <v>69.38</v>
          </cell>
          <cell r="K93">
            <v>5.5007419999999998</v>
          </cell>
          <cell r="L93">
            <v>12.612843867245546</v>
          </cell>
          <cell r="N93" t="str">
            <v>Trades primarily on commercial aero OEM business</v>
          </cell>
        </row>
        <row r="94">
          <cell r="D94" t="str">
            <v>NOC</v>
          </cell>
          <cell r="F94" t="str">
            <v>Northrop Grumman Corp.</v>
          </cell>
          <cell r="J94">
            <v>68.06</v>
          </cell>
          <cell r="K94">
            <v>7.3796100000000004</v>
          </cell>
          <cell r="L94">
            <v>9.2227096011848868</v>
          </cell>
          <cell r="N94" t="str">
            <v>Defense primes have less attactive margin and growth profile than COL</v>
          </cell>
        </row>
        <row r="95">
          <cell r="D95" t="str">
            <v>CAE-CA</v>
          </cell>
          <cell r="F95" t="str">
            <v>CAE Inc.</v>
          </cell>
          <cell r="J95">
            <v>11.82</v>
          </cell>
          <cell r="K95">
            <v>0.82252179999999997</v>
          </cell>
          <cell r="L95">
            <v>14.370439786519945</v>
          </cell>
          <cell r="N95" t="str">
            <v>Good comp for Government Systems (simulation and training)</v>
          </cell>
        </row>
        <row r="98">
          <cell r="C98" t="str">
            <v>Calendar Year</v>
          </cell>
          <cell r="E98">
            <v>2012</v>
          </cell>
        </row>
      </sheetData>
      <sheetData sheetId="8" refreshError="1">
        <row r="1">
          <cell r="A1" t="str">
            <v>Rockwell Collins, Inc.</v>
          </cell>
        </row>
        <row r="2">
          <cell r="A2" t="str">
            <v>Government Systems Segment Detail</v>
          </cell>
        </row>
        <row r="3">
          <cell r="A3" t="str">
            <v>Morgan Stanley Research</v>
          </cell>
        </row>
        <row r="4">
          <cell r="A4" t="str">
            <v>($ in Millions Except EPS)</v>
          </cell>
        </row>
        <row r="5">
          <cell r="A5" t="str">
            <v>Model Updated: 4/10</v>
          </cell>
        </row>
        <row r="6">
          <cell r="A6" t="str">
            <v>Fiscal Year Ended Sept. 30</v>
          </cell>
          <cell r="E6">
            <v>2008</v>
          </cell>
          <cell r="I6" t="str">
            <v>2009A</v>
          </cell>
          <cell r="M6" t="str">
            <v>2010E</v>
          </cell>
          <cell r="Q6" t="str">
            <v>2011E</v>
          </cell>
          <cell r="U6" t="str">
            <v>2012E</v>
          </cell>
        </row>
        <row r="8">
          <cell r="E8" t="str">
            <v>Q1</v>
          </cell>
          <cell r="F8" t="str">
            <v>Q2</v>
          </cell>
          <cell r="G8" t="str">
            <v>Q3</v>
          </cell>
          <cell r="H8" t="str">
            <v>Q4</v>
          </cell>
          <cell r="I8" t="str">
            <v>Q1</v>
          </cell>
          <cell r="J8" t="str">
            <v>Q2</v>
          </cell>
          <cell r="K8" t="str">
            <v>Q3</v>
          </cell>
          <cell r="L8" t="str">
            <v>Q4</v>
          </cell>
          <cell r="M8" t="str">
            <v>Q1A</v>
          </cell>
          <cell r="N8" t="str">
            <v>Q2E</v>
          </cell>
          <cell r="O8" t="str">
            <v>Q3E</v>
          </cell>
          <cell r="P8" t="str">
            <v>Q4E</v>
          </cell>
          <cell r="Q8">
            <v>2006</v>
          </cell>
          <cell r="R8">
            <v>2007</v>
          </cell>
          <cell r="S8">
            <v>2008</v>
          </cell>
          <cell r="T8" t="str">
            <v>2009A</v>
          </cell>
          <cell r="U8" t="str">
            <v>2010E</v>
          </cell>
          <cell r="V8" t="str">
            <v>2011E</v>
          </cell>
          <cell r="W8" t="str">
            <v>2012E</v>
          </cell>
          <cell r="X8" t="str">
            <v>2013E</v>
          </cell>
          <cell r="Y8" t="str">
            <v>2014E</v>
          </cell>
          <cell r="Z8" t="str">
            <v>2015E</v>
          </cell>
          <cell r="AA8" t="str">
            <v>2012E</v>
          </cell>
          <cell r="AB8" t="str">
            <v>Comment</v>
          </cell>
          <cell r="AC8" t="str">
            <v>2014E</v>
          </cell>
          <cell r="AD8" t="str">
            <v>2015E</v>
          </cell>
          <cell r="AE8" t="str">
            <v>2012E</v>
          </cell>
          <cell r="AF8" t="str">
            <v>Comment</v>
          </cell>
          <cell r="AG8" t="str">
            <v>2014E</v>
          </cell>
          <cell r="AH8" t="str">
            <v>2015E</v>
          </cell>
          <cell r="AJ8" t="str">
            <v>Comment</v>
          </cell>
        </row>
        <row r="9">
          <cell r="A9" t="str">
            <v>Segment Revenue</v>
          </cell>
        </row>
        <row r="11">
          <cell r="B11" t="str">
            <v>Airborne Solutions</v>
          </cell>
          <cell r="E11">
            <v>375</v>
          </cell>
          <cell r="F11">
            <v>399</v>
          </cell>
          <cell r="G11">
            <v>429</v>
          </cell>
          <cell r="H11">
            <v>459</v>
          </cell>
          <cell r="I11">
            <v>403</v>
          </cell>
          <cell r="J11">
            <v>431</v>
          </cell>
          <cell r="K11">
            <v>452</v>
          </cell>
          <cell r="L11">
            <v>475</v>
          </cell>
          <cell r="M11">
            <v>410</v>
          </cell>
          <cell r="N11">
            <v>460</v>
          </cell>
          <cell r="O11">
            <v>475</v>
          </cell>
          <cell r="P11">
            <v>525</v>
          </cell>
          <cell r="Q11">
            <v>1462</v>
          </cell>
          <cell r="R11">
            <v>1605</v>
          </cell>
          <cell r="S11">
            <v>1662</v>
          </cell>
          <cell r="T11">
            <v>1761</v>
          </cell>
          <cell r="U11">
            <v>1870</v>
          </cell>
          <cell r="V11">
            <v>1970</v>
          </cell>
          <cell r="W11">
            <v>2070</v>
          </cell>
          <cell r="X11">
            <v>2200</v>
          </cell>
          <cell r="Y11">
            <v>2300</v>
          </cell>
          <cell r="Z11">
            <v>2400</v>
          </cell>
          <cell r="AA11">
            <v>1995</v>
          </cell>
          <cell r="AB11">
            <v>2020</v>
          </cell>
          <cell r="AC11">
            <v>2040</v>
          </cell>
          <cell r="AD11">
            <v>2050</v>
          </cell>
          <cell r="AE11">
            <v>2000</v>
          </cell>
          <cell r="AF11">
            <v>2100</v>
          </cell>
          <cell r="AG11">
            <v>2150</v>
          </cell>
          <cell r="AH11">
            <v>2250</v>
          </cell>
        </row>
        <row r="12">
          <cell r="C12" t="str">
            <v>Y/Y Growth</v>
          </cell>
          <cell r="I12">
            <v>7.4666666666666659E-2</v>
          </cell>
          <cell r="J12">
            <v>8.0200501253132828E-2</v>
          </cell>
          <cell r="K12">
            <v>5.3613053613053685E-2</v>
          </cell>
          <cell r="L12">
            <v>3.4858387799564294E-2</v>
          </cell>
          <cell r="M12">
            <v>1.7369727047146455E-2</v>
          </cell>
          <cell r="N12">
            <v>6.728538283062635E-2</v>
          </cell>
          <cell r="O12">
            <v>5.0884955752212413E-2</v>
          </cell>
          <cell r="P12">
            <v>0.10526315789473695</v>
          </cell>
          <cell r="Q12">
            <v>6.8292682926829329E-2</v>
          </cell>
          <cell r="R12">
            <v>9.7811217510259896E-2</v>
          </cell>
          <cell r="S12">
            <v>3.5514018691588767E-2</v>
          </cell>
          <cell r="T12">
            <v>5.9566787003610067E-2</v>
          </cell>
          <cell r="U12">
            <v>6.1896649630891476E-2</v>
          </cell>
          <cell r="V12">
            <v>5.3475935828876997E-2</v>
          </cell>
          <cell r="W12">
            <v>5.0761421319796884E-2</v>
          </cell>
          <cell r="X12">
            <v>6.2801932367149815E-2</v>
          </cell>
          <cell r="Y12">
            <v>4.5454545454545414E-2</v>
          </cell>
          <cell r="Z12">
            <v>4.3478260869565188E-2</v>
          </cell>
          <cell r="AA12">
            <v>2.3076923076922995E-2</v>
          </cell>
          <cell r="AB12">
            <v>1.2531328320801949E-2</v>
          </cell>
          <cell r="AC12">
            <v>9.9009900990099098E-3</v>
          </cell>
          <cell r="AD12">
            <v>4.9019607843137081E-3</v>
          </cell>
          <cell r="AE12">
            <v>1.5228426395939021E-2</v>
          </cell>
          <cell r="AF12">
            <v>5.0000000000000044E-2</v>
          </cell>
          <cell r="AG12">
            <v>2.3809523809523725E-2</v>
          </cell>
          <cell r="AH12">
            <v>4.6511627906976827E-2</v>
          </cell>
        </row>
        <row r="14">
          <cell r="B14" t="str">
            <v>DataPath</v>
          </cell>
          <cell r="E14">
            <v>0</v>
          </cell>
          <cell r="F14">
            <v>0</v>
          </cell>
          <cell r="G14">
            <v>0</v>
          </cell>
          <cell r="H14">
            <v>0</v>
          </cell>
          <cell r="I14">
            <v>0</v>
          </cell>
          <cell r="J14">
            <v>0</v>
          </cell>
          <cell r="K14">
            <v>23</v>
          </cell>
          <cell r="L14">
            <v>61</v>
          </cell>
          <cell r="M14">
            <v>60</v>
          </cell>
          <cell r="N14">
            <v>60</v>
          </cell>
          <cell r="O14">
            <v>65</v>
          </cell>
          <cell r="P14">
            <v>65</v>
          </cell>
          <cell r="Q14">
            <v>0</v>
          </cell>
          <cell r="R14">
            <v>0</v>
          </cell>
          <cell r="S14">
            <v>0</v>
          </cell>
          <cell r="T14">
            <v>84</v>
          </cell>
          <cell r="U14">
            <v>250</v>
          </cell>
          <cell r="V14">
            <v>260</v>
          </cell>
          <cell r="W14">
            <v>270</v>
          </cell>
          <cell r="X14">
            <v>280</v>
          </cell>
          <cell r="Y14">
            <v>290</v>
          </cell>
          <cell r="Z14">
            <v>300</v>
          </cell>
          <cell r="AA14">
            <v>275</v>
          </cell>
          <cell r="AB14" t="str">
            <v>Annuity-like business, low sgl-digits sales growth</v>
          </cell>
          <cell r="AC14">
            <v>290</v>
          </cell>
          <cell r="AD14">
            <v>300</v>
          </cell>
          <cell r="AE14">
            <v>250</v>
          </cell>
          <cell r="AF14" t="str">
            <v>Annuity-like business, low sgl-digits sales growth</v>
          </cell>
          <cell r="AG14">
            <v>290</v>
          </cell>
          <cell r="AH14">
            <v>300</v>
          </cell>
          <cell r="AJ14" t="str">
            <v>Annuity-like business, low sgl-digits sales growth</v>
          </cell>
        </row>
        <row r="15">
          <cell r="C15" t="str">
            <v>Y/Y Growth</v>
          </cell>
          <cell r="O15">
            <v>1.8260869565217392</v>
          </cell>
          <cell r="P15">
            <v>6.5573770491803351E-2</v>
          </cell>
          <cell r="S15">
            <v>0.14035087719298245</v>
          </cell>
          <cell r="T15">
            <v>-0.11392405063291144</v>
          </cell>
          <cell r="U15" t="str">
            <v xml:space="preserve">NM </v>
          </cell>
          <cell r="V15">
            <v>4.0000000000000036E-2</v>
          </cell>
          <cell r="W15">
            <v>3.8461538461538547E-2</v>
          </cell>
          <cell r="X15">
            <v>3.7037037037036979E-2</v>
          </cell>
          <cell r="Y15">
            <v>3.5714285714285809E-2</v>
          </cell>
          <cell r="Z15">
            <v>3.4482758620689724E-2</v>
          </cell>
          <cell r="AA15">
            <v>7.8431372549019551E-2</v>
          </cell>
          <cell r="AB15">
            <v>1.8181818181818077E-2</v>
          </cell>
          <cell r="AC15">
            <v>3.5714285714285809E-2</v>
          </cell>
          <cell r="AD15">
            <v>3.4482758620689724E-2</v>
          </cell>
          <cell r="AE15">
            <v>4.1666666666666741E-2</v>
          </cell>
          <cell r="AF15">
            <v>0.10000000000000009</v>
          </cell>
          <cell r="AG15">
            <v>5.4545454545454453E-2</v>
          </cell>
          <cell r="AH15">
            <v>3.4482758620689724E-2</v>
          </cell>
        </row>
        <row r="17">
          <cell r="B17" t="str">
            <v>Surface Solutions ex. DataPath</v>
          </cell>
          <cell r="E17">
            <v>172</v>
          </cell>
          <cell r="F17">
            <v>177</v>
          </cell>
          <cell r="G17">
            <v>178</v>
          </cell>
          <cell r="H17">
            <v>177</v>
          </cell>
          <cell r="I17">
            <v>171</v>
          </cell>
          <cell r="J17">
            <v>182</v>
          </cell>
          <cell r="K17">
            <v>176</v>
          </cell>
          <cell r="L17">
            <v>205</v>
          </cell>
          <cell r="M17">
            <v>146</v>
          </cell>
          <cell r="N17">
            <v>180</v>
          </cell>
          <cell r="O17">
            <v>220</v>
          </cell>
          <cell r="P17">
            <v>234</v>
          </cell>
          <cell r="Q17">
            <v>581</v>
          </cell>
          <cell r="R17">
            <v>626</v>
          </cell>
          <cell r="S17">
            <v>704</v>
          </cell>
          <cell r="T17">
            <v>734</v>
          </cell>
          <cell r="U17">
            <v>780</v>
          </cell>
          <cell r="V17">
            <v>820</v>
          </cell>
          <cell r="W17">
            <v>860</v>
          </cell>
          <cell r="X17">
            <v>890</v>
          </cell>
          <cell r="Y17">
            <v>925</v>
          </cell>
          <cell r="Z17">
            <v>960</v>
          </cell>
          <cell r="AA17">
            <v>820</v>
          </cell>
          <cell r="AB17">
            <v>840</v>
          </cell>
          <cell r="AC17">
            <v>850</v>
          </cell>
          <cell r="AD17">
            <v>860</v>
          </cell>
          <cell r="AE17">
            <v>500</v>
          </cell>
          <cell r="AF17">
            <v>550</v>
          </cell>
          <cell r="AG17">
            <v>600</v>
          </cell>
          <cell r="AH17">
            <v>625</v>
          </cell>
        </row>
        <row r="18">
          <cell r="C18" t="str">
            <v>Y/Y Growth</v>
          </cell>
          <cell r="I18">
            <v>-5.8139534883721034E-3</v>
          </cell>
          <cell r="J18">
            <v>2.8248587570621542E-2</v>
          </cell>
          <cell r="K18">
            <v>-1.1235955056179803E-2</v>
          </cell>
          <cell r="L18">
            <v>0.15819209039548032</v>
          </cell>
          <cell r="M18">
            <v>-0.14619883040935677</v>
          </cell>
          <cell r="N18">
            <v>-1.098901098901095E-2</v>
          </cell>
          <cell r="O18">
            <v>0.25</v>
          </cell>
          <cell r="P18">
            <v>0.14146341463414625</v>
          </cell>
          <cell r="Q18">
            <v>4.1095890410958846E-2</v>
          </cell>
          <cell r="R18">
            <v>7.745266781411364E-2</v>
          </cell>
          <cell r="S18">
            <v>0.12460063897763574</v>
          </cell>
          <cell r="T18">
            <v>4.2613636363636465E-2</v>
          </cell>
          <cell r="U18">
            <v>6.2670299727520362E-2</v>
          </cell>
          <cell r="V18">
            <v>5.1282051282051322E-2</v>
          </cell>
          <cell r="W18">
            <v>4.8780487804878092E-2</v>
          </cell>
          <cell r="X18">
            <v>3.488372093023262E-2</v>
          </cell>
          <cell r="Y18">
            <v>3.9325842696629199E-2</v>
          </cell>
          <cell r="Z18">
            <v>3.7837837837837895E-2</v>
          </cell>
          <cell r="AA18">
            <v>0.10067114093959728</v>
          </cell>
          <cell r="AB18">
            <v>2.4390243902439046E-2</v>
          </cell>
          <cell r="AC18">
            <v>1.1904761904761862E-2</v>
          </cell>
          <cell r="AD18">
            <v>1.1764705882352899E-2</v>
          </cell>
          <cell r="AE18">
            <v>-0.14529914529914534</v>
          </cell>
          <cell r="AF18">
            <v>0.10000000000000009</v>
          </cell>
          <cell r="AG18">
            <v>9.0909090909090828E-2</v>
          </cell>
          <cell r="AH18">
            <v>4.1666666666666741E-2</v>
          </cell>
        </row>
        <row r="20">
          <cell r="B20" t="str">
            <v>Surface Solutions</v>
          </cell>
          <cell r="E20">
            <v>172</v>
          </cell>
          <cell r="F20">
            <v>177</v>
          </cell>
          <cell r="G20">
            <v>178</v>
          </cell>
          <cell r="H20">
            <v>177</v>
          </cell>
          <cell r="I20">
            <v>171</v>
          </cell>
          <cell r="J20">
            <v>182</v>
          </cell>
          <cell r="K20">
            <v>199</v>
          </cell>
          <cell r="L20">
            <v>266</v>
          </cell>
          <cell r="M20">
            <v>206</v>
          </cell>
          <cell r="N20">
            <v>240</v>
          </cell>
          <cell r="O20">
            <v>285</v>
          </cell>
          <cell r="P20">
            <v>299</v>
          </cell>
          <cell r="Q20">
            <v>581</v>
          </cell>
          <cell r="R20">
            <v>626</v>
          </cell>
          <cell r="S20">
            <v>704</v>
          </cell>
          <cell r="T20">
            <v>818</v>
          </cell>
          <cell r="U20">
            <v>1030</v>
          </cell>
          <cell r="V20">
            <v>1080</v>
          </cell>
          <cell r="W20">
            <v>1130</v>
          </cell>
          <cell r="X20">
            <v>1170</v>
          </cell>
          <cell r="Y20">
            <v>1215</v>
          </cell>
          <cell r="Z20">
            <v>1260</v>
          </cell>
          <cell r="AA20">
            <v>1095</v>
          </cell>
          <cell r="AB20">
            <v>1120</v>
          </cell>
          <cell r="AC20">
            <v>1140</v>
          </cell>
          <cell r="AD20">
            <v>1160</v>
          </cell>
          <cell r="AE20">
            <v>750</v>
          </cell>
          <cell r="AF20">
            <v>825</v>
          </cell>
          <cell r="AG20">
            <v>890</v>
          </cell>
          <cell r="AH20">
            <v>925</v>
          </cell>
        </row>
        <row r="21">
          <cell r="C21" t="str">
            <v>Y/Y Growth</v>
          </cell>
          <cell r="I21">
            <v>-5.8139534883721034E-3</v>
          </cell>
          <cell r="J21">
            <v>2.8248587570621542E-2</v>
          </cell>
          <cell r="K21">
            <v>0.1179775280898876</v>
          </cell>
          <cell r="L21">
            <v>0.50282485875706207</v>
          </cell>
          <cell r="M21">
            <v>0.20467836257309946</v>
          </cell>
          <cell r="N21">
            <v>0.31868131868131866</v>
          </cell>
          <cell r="O21">
            <v>0.4321608040201006</v>
          </cell>
          <cell r="P21">
            <v>0.12406015037593976</v>
          </cell>
          <cell r="Q21">
            <v>2.9126213592232997E-2</v>
          </cell>
          <cell r="R21">
            <v>7.745266781411364E-2</v>
          </cell>
          <cell r="S21">
            <v>0.12460063897763574</v>
          </cell>
          <cell r="T21">
            <v>0.16193181818181812</v>
          </cell>
          <cell r="U21">
            <v>0.25916870415647919</v>
          </cell>
          <cell r="V21">
            <v>4.8543689320388328E-2</v>
          </cell>
          <cell r="W21">
            <v>4.629629629629628E-2</v>
          </cell>
          <cell r="X21">
            <v>3.539823008849563E-2</v>
          </cell>
          <cell r="Y21">
            <v>3.8461538461538547E-2</v>
          </cell>
          <cell r="Z21">
            <v>3.7037037037036979E-2</v>
          </cell>
          <cell r="AA21">
            <v>9.4999999999999973E-2</v>
          </cell>
          <cell r="AB21">
            <v>2.2831050228310446E-2</v>
          </cell>
          <cell r="AC21">
            <v>1.7857142857142794E-2</v>
          </cell>
          <cell r="AD21">
            <v>1.7543859649122862E-2</v>
          </cell>
          <cell r="AE21">
            <v>-9.0909090909090939E-2</v>
          </cell>
          <cell r="AF21">
            <v>0.10000000000000009</v>
          </cell>
          <cell r="AG21">
            <v>7.8787878787878851E-2</v>
          </cell>
          <cell r="AH21">
            <v>3.9325842696629199E-2</v>
          </cell>
        </row>
        <row r="23">
          <cell r="B23" t="str">
            <v>Total Revenue</v>
          </cell>
          <cell r="E23">
            <v>547</v>
          </cell>
          <cell r="F23">
            <v>576</v>
          </cell>
          <cell r="G23">
            <v>607</v>
          </cell>
          <cell r="H23">
            <v>636</v>
          </cell>
          <cell r="I23">
            <v>574</v>
          </cell>
          <cell r="J23">
            <v>613</v>
          </cell>
          <cell r="K23">
            <v>651</v>
          </cell>
          <cell r="L23">
            <v>741</v>
          </cell>
          <cell r="M23">
            <v>616</v>
          </cell>
          <cell r="N23">
            <v>700</v>
          </cell>
          <cell r="O23">
            <v>760</v>
          </cell>
          <cell r="P23">
            <v>824</v>
          </cell>
          <cell r="Q23">
            <v>2043</v>
          </cell>
          <cell r="R23">
            <v>2231</v>
          </cell>
          <cell r="S23">
            <v>2366</v>
          </cell>
          <cell r="T23">
            <v>2579</v>
          </cell>
          <cell r="U23">
            <v>2900</v>
          </cell>
          <cell r="V23">
            <v>3050</v>
          </cell>
          <cell r="W23">
            <v>3200</v>
          </cell>
          <cell r="X23">
            <v>3370</v>
          </cell>
          <cell r="Y23">
            <v>3515</v>
          </cell>
          <cell r="Z23">
            <v>3660</v>
          </cell>
          <cell r="AA23">
            <v>3090</v>
          </cell>
          <cell r="AB23">
            <v>3140</v>
          </cell>
          <cell r="AC23">
            <v>3180</v>
          </cell>
          <cell r="AD23">
            <v>3210</v>
          </cell>
          <cell r="AE23">
            <v>2750</v>
          </cell>
          <cell r="AF23" t="str">
            <v xml:space="preserve">Programatic headwinds in 2011 including KC-135 GATM, F-22, Califormia Highway Patrol wrapup and JTRS revenue decline (wait for initial LRIP) </v>
          </cell>
          <cell r="AG23">
            <v>3040</v>
          </cell>
          <cell r="AH23">
            <v>3175</v>
          </cell>
          <cell r="AJ23" t="str">
            <v xml:space="preserve">Programatic headwinds in 2011 including KC-135 GATM, F-22, Califormia Highway Patrol wrapup and JTRS revenue decline (wait for initial LRIP) </v>
          </cell>
        </row>
        <row r="24">
          <cell r="C24" t="str">
            <v>Y/Y Growth</v>
          </cell>
          <cell r="I24">
            <v>4.9360146252285242E-2</v>
          </cell>
          <cell r="J24">
            <v>6.423611111111116E-2</v>
          </cell>
          <cell r="K24">
            <v>7.2487644151565167E-2</v>
          </cell>
          <cell r="L24">
            <v>0.16509433962264142</v>
          </cell>
          <cell r="M24">
            <v>7.3170731707317138E-2</v>
          </cell>
          <cell r="N24">
            <v>0.1419249592169658</v>
          </cell>
          <cell r="O24">
            <v>0.16743471582181257</v>
          </cell>
          <cell r="P24">
            <v>0.11201079622132259</v>
          </cell>
          <cell r="Q24">
            <v>5.5194805194805241E-2</v>
          </cell>
          <cell r="R24">
            <v>9.2021536955457561E-2</v>
          </cell>
          <cell r="S24">
            <v>6.0510981622590831E-2</v>
          </cell>
          <cell r="T24">
            <v>9.0025359256128423E-2</v>
          </cell>
          <cell r="U24">
            <v>0.12446684761535476</v>
          </cell>
          <cell r="V24">
            <v>5.1724137931034475E-2</v>
          </cell>
          <cell r="W24">
            <v>4.9180327868852514E-2</v>
          </cell>
          <cell r="X24">
            <v>5.3125000000000089E-2</v>
          </cell>
          <cell r="Y24">
            <v>4.3026706231453993E-2</v>
          </cell>
          <cell r="Z24">
            <v>4.1251778093883251E-2</v>
          </cell>
          <cell r="AA24">
            <v>4.7457627118643986E-2</v>
          </cell>
          <cell r="AB24">
            <v>1.6181229773462702E-2</v>
          </cell>
          <cell r="AC24">
            <v>1.2738853503184711E-2</v>
          </cell>
          <cell r="AD24">
            <v>9.4339622641510523E-3</v>
          </cell>
          <cell r="AE24">
            <v>-1.610017889087656E-2</v>
          </cell>
          <cell r="AF24">
            <v>6.3636363636363713E-2</v>
          </cell>
          <cell r="AG24">
            <v>3.9316239316239399E-2</v>
          </cell>
          <cell r="AH24">
            <v>4.4407894736842035E-2</v>
          </cell>
        </row>
        <row r="25">
          <cell r="C25" t="str">
            <v>Y/Y Growth ex. DataPath</v>
          </cell>
          <cell r="I25">
            <v>4.9360146252285242E-2</v>
          </cell>
          <cell r="J25">
            <v>6.423611111111116E-2</v>
          </cell>
          <cell r="K25">
            <v>3.4596375617792496E-2</v>
          </cell>
          <cell r="L25">
            <v>6.9182389937106903E-2</v>
          </cell>
          <cell r="M25">
            <v>-3.1358885017421567E-2</v>
          </cell>
          <cell r="N25">
            <v>4.4045676998368588E-2</v>
          </cell>
          <cell r="O25">
            <v>0.1066878980891719</v>
          </cell>
          <cell r="P25">
            <v>0.11617647058823533</v>
          </cell>
          <cell r="Q25">
            <v>6.1151079136690711E-2</v>
          </cell>
          <cell r="R25">
            <v>3.6334913112164191E-2</v>
          </cell>
          <cell r="S25">
            <v>2.582496413199431E-2</v>
          </cell>
          <cell r="T25">
            <v>2.0862308762169768E-2</v>
          </cell>
          <cell r="U25">
            <v>6.2124248496993939E-2</v>
          </cell>
          <cell r="V25">
            <v>5.2830188679245271E-2</v>
          </cell>
          <cell r="W25">
            <v>5.017921146953408E-2</v>
          </cell>
          <cell r="X25">
            <v>5.4607508532423132E-2</v>
          </cell>
          <cell r="Y25">
            <v>4.3689320388349495E-2</v>
          </cell>
          <cell r="Z25">
            <v>4.1860465116279055E-2</v>
          </cell>
          <cell r="AA25">
            <v>4.4526901669758923E-2</v>
          </cell>
          <cell r="AB25">
            <v>1.5985790408525657E-2</v>
          </cell>
          <cell r="AC25">
            <v>1.0489510489510412E-2</v>
          </cell>
          <cell r="AD25">
            <v>6.9204152249136008E-3</v>
          </cell>
          <cell r="AE25">
            <v>-2.1526418786692814E-2</v>
          </cell>
          <cell r="AF25">
            <v>6.0000000000000053E-2</v>
          </cell>
          <cell r="AG25">
            <v>3.7735849056603765E-2</v>
          </cell>
          <cell r="AH25">
            <v>4.5454545454545414E-2</v>
          </cell>
        </row>
        <row r="26">
          <cell r="B26" t="str">
            <v>vs Model</v>
          </cell>
          <cell r="I26">
            <v>574</v>
          </cell>
          <cell r="J26">
            <v>613</v>
          </cell>
          <cell r="K26">
            <v>651</v>
          </cell>
          <cell r="L26">
            <v>741</v>
          </cell>
          <cell r="M26">
            <v>616</v>
          </cell>
          <cell r="N26">
            <v>693</v>
          </cell>
          <cell r="O26">
            <v>754</v>
          </cell>
          <cell r="P26">
            <v>837</v>
          </cell>
          <cell r="Q26">
            <v>2043</v>
          </cell>
          <cell r="R26">
            <v>2231</v>
          </cell>
          <cell r="S26">
            <v>2366</v>
          </cell>
          <cell r="T26">
            <v>2579</v>
          </cell>
          <cell r="U26">
            <v>2900</v>
          </cell>
          <cell r="V26">
            <v>2990</v>
          </cell>
          <cell r="W26">
            <v>3145</v>
          </cell>
          <cell r="X26">
            <v>3270</v>
          </cell>
          <cell r="Y26">
            <v>3355</v>
          </cell>
          <cell r="Z26">
            <v>3440</v>
          </cell>
          <cell r="AA26">
            <v>3090</v>
          </cell>
          <cell r="AB26">
            <v>3140</v>
          </cell>
          <cell r="AC26">
            <v>3180</v>
          </cell>
          <cell r="AD26">
            <v>3210</v>
          </cell>
          <cell r="AE26">
            <v>33.5</v>
          </cell>
          <cell r="AF26">
            <v>-45.854599999999664</v>
          </cell>
          <cell r="AG26">
            <v>-57.987929999999778</v>
          </cell>
          <cell r="AH26">
            <v>-85.585275539999202</v>
          </cell>
        </row>
        <row r="27">
          <cell r="B27" t="str">
            <v>vs Main Model</v>
          </cell>
          <cell r="I27">
            <v>574</v>
          </cell>
          <cell r="J27">
            <v>613</v>
          </cell>
          <cell r="K27">
            <v>651</v>
          </cell>
          <cell r="L27">
            <v>741</v>
          </cell>
          <cell r="M27">
            <v>616</v>
          </cell>
          <cell r="N27">
            <v>700</v>
          </cell>
          <cell r="O27">
            <v>760</v>
          </cell>
          <cell r="P27">
            <v>824</v>
          </cell>
          <cell r="Q27">
            <v>2043</v>
          </cell>
          <cell r="R27">
            <v>2231</v>
          </cell>
          <cell r="S27">
            <v>2366</v>
          </cell>
          <cell r="T27">
            <v>2579</v>
          </cell>
          <cell r="U27">
            <v>2900</v>
          </cell>
          <cell r="V27">
            <v>3050</v>
          </cell>
          <cell r="W27">
            <v>3200</v>
          </cell>
          <cell r="X27">
            <v>3370</v>
          </cell>
          <cell r="Y27">
            <v>3515</v>
          </cell>
          <cell r="Z27">
            <v>3660</v>
          </cell>
        </row>
        <row r="28">
          <cell r="B28" t="str">
            <v>vs Main Model</v>
          </cell>
          <cell r="C28" t="str">
            <v>Difference</v>
          </cell>
          <cell r="I28">
            <v>0</v>
          </cell>
          <cell r="J28">
            <v>0</v>
          </cell>
          <cell r="K28">
            <v>0</v>
          </cell>
          <cell r="L28">
            <v>0</v>
          </cell>
          <cell r="M28">
            <v>0</v>
          </cell>
          <cell r="N28">
            <v>0</v>
          </cell>
          <cell r="O28">
            <v>0</v>
          </cell>
          <cell r="P28">
            <v>0</v>
          </cell>
          <cell r="Q28">
            <v>0</v>
          </cell>
          <cell r="R28">
            <v>0</v>
          </cell>
          <cell r="S28">
            <v>0</v>
          </cell>
          <cell r="T28">
            <v>0</v>
          </cell>
          <cell r="U28">
            <v>0</v>
          </cell>
          <cell r="V28">
            <v>0</v>
          </cell>
          <cell r="W28">
            <v>0</v>
          </cell>
          <cell r="X28">
            <v>0</v>
          </cell>
          <cell r="Y28">
            <v>0</v>
          </cell>
          <cell r="Z28">
            <v>0</v>
          </cell>
          <cell r="AA28">
            <v>3090</v>
          </cell>
          <cell r="AB28">
            <v>3140</v>
          </cell>
          <cell r="AC28">
            <v>3180</v>
          </cell>
          <cell r="AD28">
            <v>3210</v>
          </cell>
        </row>
        <row r="29">
          <cell r="B29" t="str">
            <v>Avionics</v>
          </cell>
          <cell r="C29" t="str">
            <v>Difference</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1505.7</v>
          </cell>
          <cell r="AF29">
            <v>1580.9850000000001</v>
          </cell>
          <cell r="AG29">
            <v>1660.0342500000002</v>
          </cell>
          <cell r="AH29">
            <v>1743.0359625000003</v>
          </cell>
          <cell r="AJ29" t="str">
            <v>Tanker/transports/rotary wing / UAV (small but growing) and simulation..</v>
          </cell>
        </row>
        <row r="30">
          <cell r="B30" t="str">
            <v>Incremental Revenue Analysis</v>
          </cell>
          <cell r="C30" t="str">
            <v>Y/Y Growth</v>
          </cell>
          <cell r="Q30">
            <v>3.9603960396039639E-2</v>
          </cell>
          <cell r="R30">
            <v>6.3444108761329332E-2</v>
          </cell>
          <cell r="S30">
            <v>2.3188405797101463E-2</v>
          </cell>
          <cell r="T30">
            <v>9.7560975609756184E-3</v>
          </cell>
          <cell r="U30">
            <v>2.857142857142847E-2</v>
          </cell>
          <cell r="V30">
            <v>0.03</v>
          </cell>
          <cell r="AC30">
            <v>5.6273764258555126E-2</v>
          </cell>
          <cell r="AD30">
            <v>3.2397408207343492E-2</v>
          </cell>
          <cell r="AE30">
            <v>0.05</v>
          </cell>
          <cell r="AF30">
            <v>0.05</v>
          </cell>
          <cell r="AG30">
            <v>0.05</v>
          </cell>
          <cell r="AH30">
            <v>0.05</v>
          </cell>
          <cell r="AJ30" t="str">
            <v>K390 (ERJ tanker) is a major program.  Firestorm</v>
          </cell>
        </row>
        <row r="31">
          <cell r="B31" t="str">
            <v>Incremental Revenue Analysis</v>
          </cell>
        </row>
        <row r="32">
          <cell r="B32" t="str">
            <v>Annuity Organic Revenue</v>
          </cell>
          <cell r="M32">
            <v>164</v>
          </cell>
          <cell r="N32">
            <v>197</v>
          </cell>
          <cell r="O32">
            <v>186</v>
          </cell>
          <cell r="P32">
            <v>202</v>
          </cell>
          <cell r="Q32">
            <v>156</v>
          </cell>
          <cell r="R32">
            <v>190</v>
          </cell>
          <cell r="S32">
            <v>164</v>
          </cell>
          <cell r="T32">
            <v>2495</v>
          </cell>
          <cell r="U32">
            <v>2569.85</v>
          </cell>
          <cell r="V32">
            <v>2646.9454999999998</v>
          </cell>
          <cell r="W32">
            <v>2726.353865</v>
          </cell>
          <cell r="X32">
            <v>2808.1444809499999</v>
          </cell>
          <cell r="Y32">
            <v>2892.3888153785001</v>
          </cell>
          <cell r="Z32">
            <v>2979.1604798398553</v>
          </cell>
          <cell r="AB32">
            <v>541</v>
          </cell>
          <cell r="AC32">
            <v>749</v>
          </cell>
          <cell r="AD32">
            <v>698</v>
          </cell>
          <cell r="AE32">
            <v>642.16000000000008</v>
          </cell>
          <cell r="AF32">
            <v>655.00320000000011</v>
          </cell>
          <cell r="AG32">
            <v>668.10326400000008</v>
          </cell>
          <cell r="AH32">
            <v>681.46532928000011</v>
          </cell>
          <cell r="AJ32" t="str">
            <v>Legacy Aircraft comm, old Datapath, Datalinks… JRTS, $40..  One of the</v>
          </cell>
        </row>
        <row r="33">
          <cell r="B33" t="str">
            <v>Annuity Organic Revenue</v>
          </cell>
          <cell r="C33" t="str">
            <v>Y/Y Growth</v>
          </cell>
          <cell r="Q33">
            <v>-4.8780487804878092E-2</v>
          </cell>
          <cell r="R33">
            <v>-3.5532994923857864E-2</v>
          </cell>
          <cell r="S33">
            <v>-0.11827956989247312</v>
          </cell>
          <cell r="T33">
            <v>2495</v>
          </cell>
          <cell r="U33">
            <v>0.03</v>
          </cell>
          <cell r="V33">
            <v>0.03</v>
          </cell>
          <cell r="W33">
            <v>0.03</v>
          </cell>
          <cell r="X33">
            <v>0.03</v>
          </cell>
          <cell r="Y33">
            <v>0.03</v>
          </cell>
          <cell r="Z33">
            <v>0.03</v>
          </cell>
          <cell r="AA33">
            <v>2726.353865</v>
          </cell>
          <cell r="AB33">
            <v>2808.1444809499999</v>
          </cell>
          <cell r="AC33">
            <v>2892.3888153785001</v>
          </cell>
          <cell r="AD33">
            <v>2979.1604798398553</v>
          </cell>
          <cell r="AE33">
            <v>-0.08</v>
          </cell>
          <cell r="AF33">
            <v>0.02</v>
          </cell>
          <cell r="AG33">
            <v>0.02</v>
          </cell>
          <cell r="AH33">
            <v>0.02</v>
          </cell>
          <cell r="AJ33" t="str">
            <v>JTRS decomposes into MIDS-J (data link) which is delivering, ground radio (GMR) is most uncertain, amd manpack which is still progressing</v>
          </cell>
        </row>
        <row r="34">
          <cell r="C34" t="str">
            <v>Y/Y Growth</v>
          </cell>
          <cell r="U34">
            <v>0.03</v>
          </cell>
          <cell r="V34">
            <v>0.03</v>
          </cell>
          <cell r="W34">
            <v>0.03</v>
          </cell>
          <cell r="X34">
            <v>0.03</v>
          </cell>
          <cell r="Y34">
            <v>0.03</v>
          </cell>
          <cell r="Z34">
            <v>0.03</v>
          </cell>
          <cell r="AA34">
            <v>0.03</v>
          </cell>
          <cell r="AB34">
            <v>0.03</v>
          </cell>
          <cell r="AC34">
            <v>0.03</v>
          </cell>
          <cell r="AD34">
            <v>0.03</v>
          </cell>
        </row>
        <row r="35">
          <cell r="B35" t="str">
            <v>Growing Programs</v>
          </cell>
          <cell r="M35">
            <v>78</v>
          </cell>
          <cell r="N35">
            <v>94</v>
          </cell>
          <cell r="O35">
            <v>141</v>
          </cell>
          <cell r="P35">
            <v>95</v>
          </cell>
          <cell r="Q35">
            <v>106</v>
          </cell>
          <cell r="R35">
            <v>92</v>
          </cell>
          <cell r="S35">
            <v>82</v>
          </cell>
          <cell r="T35">
            <v>97</v>
          </cell>
          <cell r="U35">
            <v>60</v>
          </cell>
          <cell r="V35">
            <v>59.800000000000004</v>
          </cell>
          <cell r="AB35">
            <v>370</v>
          </cell>
          <cell r="AC35">
            <v>408</v>
          </cell>
          <cell r="AD35">
            <v>377</v>
          </cell>
          <cell r="AE35">
            <v>346.84000000000003</v>
          </cell>
          <cell r="AF35">
            <v>357.24520000000007</v>
          </cell>
          <cell r="AG35">
            <v>367.96255600000006</v>
          </cell>
          <cell r="AH35">
            <v>379.00143268000005</v>
          </cell>
          <cell r="AJ35" t="str">
            <v>Public safety vehicles, Firestorm, JPALs.. Electronic warfare…Lumpy from a growth perpective..</v>
          </cell>
        </row>
        <row r="36">
          <cell r="B36" t="str">
            <v>Growing Programs</v>
          </cell>
          <cell r="C36" t="str">
            <v>DataPath</v>
          </cell>
          <cell r="Q36">
            <v>0.35897435897435903</v>
          </cell>
          <cell r="R36">
            <v>-2.1276595744680882E-2</v>
          </cell>
          <cell r="S36">
            <v>-0.41843971631205679</v>
          </cell>
          <cell r="T36">
            <v>84</v>
          </cell>
          <cell r="U36">
            <v>250</v>
          </cell>
          <cell r="V36">
            <v>260</v>
          </cell>
          <cell r="W36">
            <v>270</v>
          </cell>
          <cell r="X36">
            <v>280</v>
          </cell>
          <cell r="Y36">
            <v>290</v>
          </cell>
          <cell r="Z36">
            <v>300</v>
          </cell>
          <cell r="AC36">
            <v>0.10270270270270276</v>
          </cell>
          <cell r="AD36">
            <v>-7.5980392156862697E-2</v>
          </cell>
          <cell r="AE36">
            <v>-0.08</v>
          </cell>
          <cell r="AF36">
            <v>0.03</v>
          </cell>
          <cell r="AG36">
            <v>0.03</v>
          </cell>
          <cell r="AH36">
            <v>0.03</v>
          </cell>
          <cell r="AJ36" t="str">
            <v>2/12 Expected to be down 20% in '12, revised down from down low double digits</v>
          </cell>
        </row>
        <row r="37">
          <cell r="C37" t="str">
            <v>DataPath</v>
          </cell>
          <cell r="T37">
            <v>84</v>
          </cell>
          <cell r="U37">
            <v>250</v>
          </cell>
          <cell r="V37">
            <v>260</v>
          </cell>
          <cell r="W37">
            <v>270</v>
          </cell>
          <cell r="X37">
            <v>280</v>
          </cell>
          <cell r="Y37">
            <v>290</v>
          </cell>
          <cell r="Z37">
            <v>300</v>
          </cell>
          <cell r="AA37">
            <v>275</v>
          </cell>
          <cell r="AB37">
            <v>280</v>
          </cell>
          <cell r="AC37">
            <v>290</v>
          </cell>
          <cell r="AD37">
            <v>300</v>
          </cell>
        </row>
        <row r="38">
          <cell r="B38" t="str">
            <v>Navigation Products</v>
          </cell>
          <cell r="C38" t="str">
            <v>Black Hawk (USG and International)</v>
          </cell>
          <cell r="M38">
            <v>71</v>
          </cell>
          <cell r="N38">
            <v>71</v>
          </cell>
          <cell r="O38">
            <v>82</v>
          </cell>
          <cell r="P38">
            <v>91</v>
          </cell>
          <cell r="Q38">
            <v>73</v>
          </cell>
          <cell r="R38">
            <v>82</v>
          </cell>
          <cell r="S38">
            <v>69</v>
          </cell>
          <cell r="T38">
            <v>80</v>
          </cell>
          <cell r="U38">
            <v>55</v>
          </cell>
          <cell r="V38">
            <v>57.4</v>
          </cell>
          <cell r="AB38">
            <v>353</v>
          </cell>
          <cell r="AC38">
            <v>315</v>
          </cell>
          <cell r="AD38">
            <v>304</v>
          </cell>
          <cell r="AE38">
            <v>288.8</v>
          </cell>
          <cell r="AF38">
            <v>285.91200000000003</v>
          </cell>
          <cell r="AG38">
            <v>285.91200000000003</v>
          </cell>
          <cell r="AH38">
            <v>285.91200000000003</v>
          </cell>
          <cell r="AJ38" t="str">
            <v>GPS products, Half of 2011.  Dagger, cutting 50%</v>
          </cell>
        </row>
        <row r="39">
          <cell r="C39" t="str">
            <v>JTRS (combined programs: GMR, HMS, MIDS)</v>
          </cell>
          <cell r="Q39">
            <v>2.8169014084507005E-2</v>
          </cell>
          <cell r="R39">
            <v>0.15492957746478875</v>
          </cell>
          <cell r="S39">
            <v>-0.15853658536585369</v>
          </cell>
          <cell r="T39">
            <v>0</v>
          </cell>
          <cell r="U39">
            <v>0</v>
          </cell>
          <cell r="V39">
            <v>0</v>
          </cell>
          <cell r="W39">
            <v>50</v>
          </cell>
          <cell r="X39">
            <v>100</v>
          </cell>
          <cell r="Y39">
            <v>150</v>
          </cell>
          <cell r="Z39">
            <v>200</v>
          </cell>
          <cell r="AB39" t="str">
            <v>$5.5B program over 20 years</v>
          </cell>
          <cell r="AC39">
            <v>-0.1076487252124646</v>
          </cell>
          <cell r="AD39">
            <v>-3.4920634920634908E-2</v>
          </cell>
          <cell r="AE39">
            <v>-0.05</v>
          </cell>
          <cell r="AF39">
            <v>-0.01</v>
          </cell>
          <cell r="AG39">
            <v>0</v>
          </cell>
          <cell r="AH39">
            <v>0</v>
          </cell>
        </row>
        <row r="40">
          <cell r="C40" t="str">
            <v>Boeing Tanker</v>
          </cell>
          <cell r="T40">
            <v>0</v>
          </cell>
          <cell r="U40">
            <v>25</v>
          </cell>
          <cell r="V40">
            <v>50</v>
          </cell>
          <cell r="W40">
            <v>75</v>
          </cell>
          <cell r="X40">
            <v>100</v>
          </cell>
          <cell r="Y40">
            <v>100</v>
          </cell>
          <cell r="Z40">
            <v>100</v>
          </cell>
          <cell r="AA40">
            <v>50</v>
          </cell>
          <cell r="AB40" t="str">
            <v>"Big program per plane"…179 planes, estimated $5MM per plane</v>
          </cell>
          <cell r="AC40">
            <v>150</v>
          </cell>
          <cell r="AD40">
            <v>200</v>
          </cell>
          <cell r="AF40" t="str">
            <v>$5.5B program over 20 years</v>
          </cell>
        </row>
        <row r="41">
          <cell r="B41" t="str">
            <v>Total Revenue</v>
          </cell>
          <cell r="C41" t="str">
            <v>Athena Technologies (UAV Controls)</v>
          </cell>
          <cell r="M41">
            <v>616</v>
          </cell>
          <cell r="N41">
            <v>693</v>
          </cell>
          <cell r="O41">
            <v>754</v>
          </cell>
          <cell r="P41">
            <v>798</v>
          </cell>
          <cell r="Q41">
            <v>650</v>
          </cell>
          <cell r="R41">
            <v>716</v>
          </cell>
          <cell r="S41">
            <v>668</v>
          </cell>
          <cell r="T41">
            <v>0</v>
          </cell>
          <cell r="U41">
            <v>25</v>
          </cell>
          <cell r="V41">
            <v>50</v>
          </cell>
          <cell r="W41">
            <v>75</v>
          </cell>
          <cell r="X41">
            <v>100</v>
          </cell>
          <cell r="Y41">
            <v>100</v>
          </cell>
          <cell r="Z41">
            <v>100</v>
          </cell>
          <cell r="AA41">
            <v>75</v>
          </cell>
          <cell r="AB41" t="str">
            <v>Predator, Reaper, Watchkeeper</v>
          </cell>
          <cell r="AC41">
            <v>100</v>
          </cell>
          <cell r="AD41">
            <v>100</v>
          </cell>
          <cell r="AE41">
            <v>2783.5</v>
          </cell>
          <cell r="AF41" t="str">
            <v>"Big program per plane"…179 planes, estimated $5MM per plane</v>
          </cell>
          <cell r="AG41">
            <v>2982.0120700000002</v>
          </cell>
          <cell r="AH41">
            <v>3089.4147244600008</v>
          </cell>
          <cell r="AJ41" t="str">
            <v>~50% of government business is priced commercially.</v>
          </cell>
        </row>
        <row r="42">
          <cell r="C42" t="str">
            <v>Athena Technologies (UAV Controls)</v>
          </cell>
          <cell r="Q42">
            <v>5.5194805194805241E-2</v>
          </cell>
          <cell r="R42">
            <v>3.3189033189033212E-2</v>
          </cell>
          <cell r="S42">
            <v>-0.11405835543766574</v>
          </cell>
          <cell r="T42">
            <v>-2.3809523809523836E-2</v>
          </cell>
          <cell r="U42">
            <v>-0.1</v>
          </cell>
          <cell r="V42">
            <v>-0.1</v>
          </cell>
          <cell r="W42">
            <v>0.08</v>
          </cell>
          <cell r="X42">
            <v>0.08</v>
          </cell>
          <cell r="AB42" t="str">
            <v>Predator, Reaper, Watchkeeper</v>
          </cell>
          <cell r="AC42">
            <v>0.10934470725087242</v>
          </cell>
          <cell r="AD42">
            <v>-1.6777350576721473E-2</v>
          </cell>
          <cell r="AE42">
            <v>-1.0487024528972655E-2</v>
          </cell>
          <cell r="AF42" t="str">
            <v>Predator, Reaper, Watchkeeper</v>
          </cell>
          <cell r="AG42">
            <v>3.5728195595817969E-2</v>
          </cell>
          <cell r="AH42">
            <v>3.6016840957991292E-2</v>
          </cell>
          <cell r="AJ42" t="str">
            <v>12/7/11 - def biz should grow +1-2pts off a flat def environment"</v>
          </cell>
        </row>
        <row r="43">
          <cell r="B43" t="str">
            <v>Total Growth</v>
          </cell>
          <cell r="T43">
            <v>84</v>
          </cell>
          <cell r="U43">
            <v>275</v>
          </cell>
          <cell r="V43">
            <v>310</v>
          </cell>
          <cell r="W43">
            <v>395</v>
          </cell>
          <cell r="X43">
            <v>480</v>
          </cell>
          <cell r="Y43">
            <v>540</v>
          </cell>
          <cell r="Z43">
            <v>600</v>
          </cell>
        </row>
        <row r="44">
          <cell r="B44" t="str">
            <v>Total Growth</v>
          </cell>
          <cell r="M44">
            <v>0</v>
          </cell>
          <cell r="N44">
            <v>0</v>
          </cell>
          <cell r="O44">
            <v>0</v>
          </cell>
          <cell r="P44">
            <v>0</v>
          </cell>
          <cell r="Q44">
            <v>0</v>
          </cell>
          <cell r="R44">
            <v>0</v>
          </cell>
          <cell r="S44">
            <v>0</v>
          </cell>
          <cell r="T44">
            <v>84</v>
          </cell>
          <cell r="U44">
            <v>275</v>
          </cell>
          <cell r="V44">
            <v>310</v>
          </cell>
          <cell r="W44">
            <v>395</v>
          </cell>
          <cell r="X44">
            <v>480</v>
          </cell>
          <cell r="Y44">
            <v>540</v>
          </cell>
          <cell r="Z44">
            <v>600</v>
          </cell>
          <cell r="AA44">
            <v>400</v>
          </cell>
          <cell r="AB44">
            <v>480</v>
          </cell>
          <cell r="AC44">
            <v>540</v>
          </cell>
          <cell r="AD44">
            <v>600</v>
          </cell>
          <cell r="AE44">
            <v>0</v>
          </cell>
          <cell r="AF44">
            <v>0</v>
          </cell>
          <cell r="AG44">
            <v>0</v>
          </cell>
          <cell r="AH44">
            <v>0</v>
          </cell>
          <cell r="AJ44" t="str">
            <v>-Thre GEMS, secured communication..  20</v>
          </cell>
        </row>
        <row r="45">
          <cell r="B45" t="str">
            <v>Decaying Programs</v>
          </cell>
          <cell r="X45">
            <v>8.6600000000003092</v>
          </cell>
          <cell r="AJ45" t="str">
            <v xml:space="preserve"> Canadian SCAMP..20</v>
          </cell>
        </row>
        <row r="46">
          <cell r="B46" t="str">
            <v>Decaying Programs</v>
          </cell>
          <cell r="C46" t="str">
            <v>DAGR</v>
          </cell>
          <cell r="Q46">
            <v>0.48461538461538461</v>
          </cell>
          <cell r="R46">
            <v>0.49162011173184356</v>
          </cell>
          <cell r="S46">
            <v>0.52844311377245512</v>
          </cell>
          <cell r="T46">
            <v>-50</v>
          </cell>
          <cell r="U46">
            <v>-100</v>
          </cell>
          <cell r="V46">
            <v>-150</v>
          </cell>
          <cell r="W46">
            <v>-150</v>
          </cell>
          <cell r="X46">
            <v>-150</v>
          </cell>
          <cell r="Y46">
            <v>-150</v>
          </cell>
          <cell r="Z46">
            <v>-150</v>
          </cell>
          <cell r="AB46">
            <v>0.5098875533152385</v>
          </cell>
          <cell r="AC46">
            <v>0.48549458231387627</v>
          </cell>
          <cell r="AD46">
            <v>0.50977603981514397</v>
          </cell>
          <cell r="AE46">
            <v>0.54093766840308966</v>
          </cell>
          <cell r="AF46">
            <v>0.54911606756643827</v>
          </cell>
          <cell r="AG46">
            <v>0.55668260591581042</v>
          </cell>
          <cell r="AH46">
            <v>0.5641961724011223</v>
          </cell>
          <cell r="AJ46" t="str">
            <v>Integrated Combat… 20</v>
          </cell>
        </row>
        <row r="47">
          <cell r="B47" t="str">
            <v>Communication Products</v>
          </cell>
          <cell r="C47" t="str">
            <v>DAGR</v>
          </cell>
          <cell r="Q47">
            <v>0.24</v>
          </cell>
          <cell r="R47">
            <v>0.26536312849162014</v>
          </cell>
          <cell r="S47">
            <v>0.24550898203592814</v>
          </cell>
          <cell r="T47">
            <v>0</v>
          </cell>
          <cell r="U47">
            <v>0</v>
          </cell>
          <cell r="V47">
            <v>0</v>
          </cell>
          <cell r="W47">
            <v>0</v>
          </cell>
          <cell r="X47">
            <v>0</v>
          </cell>
          <cell r="Y47">
            <v>0</v>
          </cell>
          <cell r="Z47">
            <v>0</v>
          </cell>
          <cell r="AA47">
            <v>-150</v>
          </cell>
          <cell r="AB47">
            <v>-150</v>
          </cell>
          <cell r="AC47">
            <v>-150</v>
          </cell>
          <cell r="AD47">
            <v>-150</v>
          </cell>
          <cell r="AE47">
            <v>0.23070235315250587</v>
          </cell>
          <cell r="AF47">
            <v>0.22749917388680685</v>
          </cell>
          <cell r="AG47">
            <v>0.22404445331436906</v>
          </cell>
          <cell r="AH47">
            <v>0.22058072161195955</v>
          </cell>
        </row>
        <row r="48">
          <cell r="B48" t="str">
            <v>Surface Solutions</v>
          </cell>
          <cell r="Q48">
            <v>0.16307692307692306</v>
          </cell>
          <cell r="R48">
            <v>0.12849162011173185</v>
          </cell>
          <cell r="S48">
            <v>0.12275449101796407</v>
          </cell>
          <cell r="T48">
            <v>0</v>
          </cell>
          <cell r="U48">
            <v>0</v>
          </cell>
          <cell r="V48">
            <v>0</v>
          </cell>
          <cell r="W48">
            <v>0</v>
          </cell>
          <cell r="X48">
            <v>0</v>
          </cell>
          <cell r="Y48">
            <v>0</v>
          </cell>
          <cell r="Z48">
            <v>0</v>
          </cell>
          <cell r="AA48">
            <v>0</v>
          </cell>
          <cell r="AB48">
            <v>0</v>
          </cell>
          <cell r="AC48">
            <v>0</v>
          </cell>
          <cell r="AD48">
            <v>0</v>
          </cell>
          <cell r="AE48">
            <v>0.12460571223280044</v>
          </cell>
          <cell r="AF48">
            <v>0.12408029132533564</v>
          </cell>
          <cell r="AG48">
            <v>0.12339405319710864</v>
          </cell>
          <cell r="AH48">
            <v>0.12267742160976648</v>
          </cell>
        </row>
        <row r="49">
          <cell r="B49" t="str">
            <v>Total Decay</v>
          </cell>
          <cell r="Q49">
            <v>0.1123076923076923</v>
          </cell>
          <cell r="R49">
            <v>0.11452513966480447</v>
          </cell>
          <cell r="S49">
            <v>0.10329341317365269</v>
          </cell>
          <cell r="T49">
            <v>-50</v>
          </cell>
          <cell r="U49">
            <v>-100</v>
          </cell>
          <cell r="V49">
            <v>-150</v>
          </cell>
          <cell r="W49">
            <v>-150</v>
          </cell>
          <cell r="X49">
            <v>-150</v>
          </cell>
          <cell r="Y49">
            <v>-150</v>
          </cell>
          <cell r="Z49">
            <v>-150</v>
          </cell>
          <cell r="AA49">
            <v>0</v>
          </cell>
          <cell r="AB49">
            <v>0</v>
          </cell>
          <cell r="AC49">
            <v>0</v>
          </cell>
          <cell r="AD49">
            <v>0</v>
          </cell>
          <cell r="AE49">
            <v>0.10375426621160409</v>
          </cell>
          <cell r="AF49">
            <v>9.9304467221419251E-2</v>
          </cell>
          <cell r="AG49">
            <v>9.5878887572711943E-2</v>
          </cell>
          <cell r="AH49">
            <v>9.2545684377151605E-2</v>
          </cell>
        </row>
        <row r="50">
          <cell r="B50" t="str">
            <v>Total Decay</v>
          </cell>
          <cell r="I50">
            <v>574</v>
          </cell>
          <cell r="J50">
            <v>613</v>
          </cell>
          <cell r="K50">
            <v>651</v>
          </cell>
          <cell r="L50">
            <v>741</v>
          </cell>
          <cell r="M50">
            <v>616</v>
          </cell>
          <cell r="N50">
            <v>693</v>
          </cell>
          <cell r="O50">
            <v>754</v>
          </cell>
          <cell r="P50">
            <v>798</v>
          </cell>
          <cell r="Q50">
            <v>1068</v>
          </cell>
          <cell r="R50">
            <v>1115</v>
          </cell>
          <cell r="S50">
            <v>1270</v>
          </cell>
          <cell r="T50">
            <v>-50</v>
          </cell>
          <cell r="U50">
            <v>-100</v>
          </cell>
          <cell r="V50">
            <v>-150</v>
          </cell>
          <cell r="W50">
            <v>-150</v>
          </cell>
          <cell r="X50">
            <v>-150</v>
          </cell>
          <cell r="Y50">
            <v>-150</v>
          </cell>
          <cell r="Z50">
            <v>-150</v>
          </cell>
          <cell r="AA50">
            <v>-150</v>
          </cell>
          <cell r="AB50">
            <v>-150</v>
          </cell>
          <cell r="AC50">
            <v>-150</v>
          </cell>
          <cell r="AD50">
            <v>-150</v>
          </cell>
          <cell r="AE50">
            <v>2783.5</v>
          </cell>
          <cell r="AF50">
            <v>2879.1454000000003</v>
          </cell>
          <cell r="AG50">
            <v>2982.0120700000002</v>
          </cell>
          <cell r="AH50">
            <v>3089.4147244600008</v>
          </cell>
        </row>
        <row r="51">
          <cell r="C51" t="str">
            <v>Assumed M&amp;A</v>
          </cell>
          <cell r="I51">
            <v>0</v>
          </cell>
          <cell r="J51">
            <v>0</v>
          </cell>
          <cell r="K51">
            <v>0</v>
          </cell>
          <cell r="L51">
            <v>0</v>
          </cell>
          <cell r="M51">
            <v>0</v>
          </cell>
          <cell r="N51">
            <v>0</v>
          </cell>
          <cell r="O51">
            <v>0</v>
          </cell>
          <cell r="P51">
            <v>0</v>
          </cell>
          <cell r="Q51">
            <v>-418</v>
          </cell>
          <cell r="R51">
            <v>-399</v>
          </cell>
          <cell r="S51">
            <v>-602</v>
          </cell>
          <cell r="T51">
            <v>0</v>
          </cell>
          <cell r="U51">
            <v>25</v>
          </cell>
          <cell r="V51">
            <v>50</v>
          </cell>
          <cell r="W51">
            <v>75</v>
          </cell>
          <cell r="X51">
            <v>100</v>
          </cell>
          <cell r="Y51">
            <v>125</v>
          </cell>
          <cell r="Z51">
            <v>150</v>
          </cell>
          <cell r="AA51">
            <v>0</v>
          </cell>
          <cell r="AB51" t="str">
            <v>Assumes $25MM of annual bolt-on M&amp;A</v>
          </cell>
          <cell r="AC51">
            <v>0</v>
          </cell>
          <cell r="AD51">
            <v>-18</v>
          </cell>
          <cell r="AE51">
            <v>-33.5</v>
          </cell>
          <cell r="AF51">
            <v>45.854599999999664</v>
          </cell>
          <cell r="AG51">
            <v>57.987929999999778</v>
          </cell>
          <cell r="AH51">
            <v>85.585275539999202</v>
          </cell>
        </row>
        <row r="52">
          <cell r="C52" t="str">
            <v>Assumed Divestitures</v>
          </cell>
          <cell r="T52">
            <v>0</v>
          </cell>
          <cell r="U52">
            <v>0</v>
          </cell>
          <cell r="V52">
            <v>0</v>
          </cell>
          <cell r="W52">
            <v>0</v>
          </cell>
          <cell r="X52">
            <v>0</v>
          </cell>
          <cell r="Y52">
            <v>0</v>
          </cell>
          <cell r="Z52">
            <v>0</v>
          </cell>
          <cell r="AA52">
            <v>75</v>
          </cell>
          <cell r="AB52" t="str">
            <v>Assumes $25MM of annual bolt-on M&amp;A</v>
          </cell>
          <cell r="AC52">
            <v>125</v>
          </cell>
          <cell r="AD52">
            <v>150</v>
          </cell>
          <cell r="AF52" t="str">
            <v>Assumes $25MM of annual bolt-on M&amp;A</v>
          </cell>
        </row>
        <row r="53">
          <cell r="B53" t="str">
            <v>Incremental Revenue Analysis</v>
          </cell>
          <cell r="C53" t="str">
            <v>Assumed Divestitures</v>
          </cell>
          <cell r="T53">
            <v>0</v>
          </cell>
          <cell r="U53">
            <v>0</v>
          </cell>
          <cell r="V53">
            <v>0</v>
          </cell>
          <cell r="W53">
            <v>0</v>
          </cell>
          <cell r="X53">
            <v>0</v>
          </cell>
          <cell r="Y53">
            <v>0</v>
          </cell>
          <cell r="Z53">
            <v>0</v>
          </cell>
          <cell r="AA53">
            <v>0</v>
          </cell>
          <cell r="AB53">
            <v>0</v>
          </cell>
          <cell r="AC53">
            <v>0</v>
          </cell>
          <cell r="AD53">
            <v>0</v>
          </cell>
        </row>
        <row r="54">
          <cell r="B54" t="str">
            <v>Projected Revenue</v>
          </cell>
          <cell r="T54">
            <v>2529</v>
          </cell>
          <cell r="U54">
            <v>2769.85</v>
          </cell>
          <cell r="V54">
            <v>2856.9454999999998</v>
          </cell>
          <cell r="W54">
            <v>3046.353865</v>
          </cell>
          <cell r="X54">
            <v>3238.1444809499999</v>
          </cell>
          <cell r="Y54">
            <v>3407.3888153785001</v>
          </cell>
          <cell r="Z54">
            <v>3579.1604798398553</v>
          </cell>
        </row>
        <row r="55">
          <cell r="B55" t="str">
            <v>Projected Revenue</v>
          </cell>
          <cell r="C55" t="str">
            <v>Y/Y Growth</v>
          </cell>
          <cell r="T55">
            <v>2529</v>
          </cell>
          <cell r="U55">
            <v>9.5235270858046617E-2</v>
          </cell>
          <cell r="V55">
            <v>3.1444121522826052E-2</v>
          </cell>
          <cell r="W55">
            <v>6.6297507250313359E-2</v>
          </cell>
          <cell r="X55">
            <v>6.2957431883902348E-2</v>
          </cell>
          <cell r="Y55">
            <v>5.22658378661498E-2</v>
          </cell>
          <cell r="Z55">
            <v>5.0411524416028364E-2</v>
          </cell>
          <cell r="AA55">
            <v>3051.353865</v>
          </cell>
          <cell r="AB55">
            <v>3238.1444809499999</v>
          </cell>
          <cell r="AC55">
            <v>3407.3888153785001</v>
          </cell>
          <cell r="AD55">
            <v>3579.1604798398553</v>
          </cell>
          <cell r="AE55">
            <v>2726.353865</v>
          </cell>
          <cell r="AF55">
            <v>2808.1444809499999</v>
          </cell>
          <cell r="AG55">
            <v>2892.3888153785001</v>
          </cell>
          <cell r="AH55">
            <v>2979.1604798398553</v>
          </cell>
        </row>
        <row r="56">
          <cell r="C56" t="str">
            <v>Difference vs. Top-Down Segment Forecast</v>
          </cell>
          <cell r="U56">
            <v>-130.15000000000009</v>
          </cell>
          <cell r="V56">
            <v>-193.05450000000019</v>
          </cell>
          <cell r="W56">
            <v>-153.64613499999996</v>
          </cell>
          <cell r="X56">
            <v>-131.85551905000011</v>
          </cell>
          <cell r="Y56">
            <v>-107.61118462149989</v>
          </cell>
          <cell r="Z56">
            <v>-80.83952016014473</v>
          </cell>
          <cell r="AA56">
            <v>6.9920117688083483E-2</v>
          </cell>
          <cell r="AB56">
            <v>6.121565187589284E-2</v>
          </cell>
          <cell r="AC56">
            <v>5.22658378661498E-2</v>
          </cell>
          <cell r="AD56">
            <v>5.0411524416028364E-2</v>
          </cell>
          <cell r="AE56">
            <v>0.03</v>
          </cell>
          <cell r="AF56">
            <v>0.03</v>
          </cell>
          <cell r="AG56">
            <v>0.03</v>
          </cell>
          <cell r="AH56">
            <v>0.03</v>
          </cell>
        </row>
        <row r="57">
          <cell r="C57" t="str">
            <v>Difference vs. Top-Down Segment Forecast</v>
          </cell>
          <cell r="U57">
            <v>-130.15000000000009</v>
          </cell>
          <cell r="V57">
            <v>-133.05450000000019</v>
          </cell>
          <cell r="W57">
            <v>-98.646134999999958</v>
          </cell>
          <cell r="X57">
            <v>-31.855519050000112</v>
          </cell>
          <cell r="Y57">
            <v>52.388815378500112</v>
          </cell>
          <cell r="Z57">
            <v>139.16047983985527</v>
          </cell>
          <cell r="AA57">
            <v>-38.646134999999958</v>
          </cell>
          <cell r="AB57">
            <v>98.144480949999888</v>
          </cell>
          <cell r="AC57">
            <v>227.38881537850011</v>
          </cell>
          <cell r="AD57">
            <v>369.16047983985527</v>
          </cell>
        </row>
        <row r="58">
          <cell r="B58" t="str">
            <v>Change in Revenue</v>
          </cell>
          <cell r="I58">
            <v>27</v>
          </cell>
          <cell r="J58">
            <v>37</v>
          </cell>
          <cell r="K58">
            <v>44</v>
          </cell>
          <cell r="L58">
            <v>105</v>
          </cell>
          <cell r="R58">
            <v>188</v>
          </cell>
          <cell r="S58">
            <v>135</v>
          </cell>
          <cell r="T58">
            <v>213</v>
          </cell>
        </row>
        <row r="59">
          <cell r="B59" t="str">
            <v>M&amp;A Pickup</v>
          </cell>
          <cell r="C59" t="str">
            <v>DataPath</v>
          </cell>
          <cell r="I59">
            <v>8</v>
          </cell>
          <cell r="J59">
            <v>10</v>
          </cell>
          <cell r="K59">
            <v>27</v>
          </cell>
          <cell r="L59">
            <v>66</v>
          </cell>
          <cell r="R59">
            <v>38</v>
          </cell>
          <cell r="S59">
            <v>17</v>
          </cell>
          <cell r="T59">
            <v>111</v>
          </cell>
          <cell r="V59">
            <v>188</v>
          </cell>
          <cell r="W59">
            <v>135</v>
          </cell>
          <cell r="X59">
            <v>213</v>
          </cell>
          <cell r="AB59">
            <v>84</v>
          </cell>
          <cell r="AC59">
            <v>256</v>
          </cell>
          <cell r="AD59">
            <v>240</v>
          </cell>
          <cell r="AE59">
            <v>250</v>
          </cell>
          <cell r="AF59">
            <v>275</v>
          </cell>
          <cell r="AG59">
            <v>290</v>
          </cell>
          <cell r="AH59">
            <v>300</v>
          </cell>
        </row>
        <row r="60">
          <cell r="B60" t="str">
            <v>Organic Change in Revenue</v>
          </cell>
          <cell r="I60">
            <v>19</v>
          </cell>
          <cell r="J60">
            <v>27</v>
          </cell>
          <cell r="K60">
            <v>17</v>
          </cell>
          <cell r="L60">
            <v>39</v>
          </cell>
          <cell r="R60">
            <v>150</v>
          </cell>
          <cell r="S60">
            <v>118</v>
          </cell>
          <cell r="T60">
            <v>102</v>
          </cell>
          <cell r="V60">
            <v>38</v>
          </cell>
          <cell r="W60">
            <v>17</v>
          </cell>
          <cell r="X60">
            <v>111</v>
          </cell>
        </row>
        <row r="61">
          <cell r="B61" t="str">
            <v>Organic Change in Revenue</v>
          </cell>
          <cell r="C61" t="str">
            <v>Black Hawk (USG and International)</v>
          </cell>
          <cell r="I61">
            <v>19</v>
          </cell>
          <cell r="J61">
            <v>27</v>
          </cell>
          <cell r="K61">
            <v>17</v>
          </cell>
          <cell r="L61">
            <v>39</v>
          </cell>
          <cell r="R61">
            <v>150</v>
          </cell>
          <cell r="S61">
            <v>118</v>
          </cell>
          <cell r="T61">
            <v>102</v>
          </cell>
          <cell r="V61">
            <v>150</v>
          </cell>
          <cell r="W61">
            <v>118</v>
          </cell>
          <cell r="X61">
            <v>102</v>
          </cell>
        </row>
        <row r="62">
          <cell r="C62" t="str">
            <v>JTRS (combined programs: GMR, HMS, MIDS)</v>
          </cell>
          <cell r="AB62">
            <v>0</v>
          </cell>
          <cell r="AC62">
            <v>0</v>
          </cell>
          <cell r="AD62">
            <v>0</v>
          </cell>
          <cell r="AE62">
            <v>50</v>
          </cell>
          <cell r="AF62">
            <v>100</v>
          </cell>
          <cell r="AG62">
            <v>150</v>
          </cell>
          <cell r="AH62">
            <v>200</v>
          </cell>
          <cell r="AJ62" t="str">
            <v>$5.5B program over 20 years</v>
          </cell>
        </row>
        <row r="63">
          <cell r="A63" t="str">
            <v>Segment Operating Profit</v>
          </cell>
          <cell r="C63" t="str">
            <v>Boeing Tanker</v>
          </cell>
          <cell r="AB63">
            <v>0</v>
          </cell>
          <cell r="AC63">
            <v>25</v>
          </cell>
          <cell r="AD63">
            <v>50</v>
          </cell>
          <cell r="AE63">
            <v>75</v>
          </cell>
          <cell r="AF63">
            <v>100</v>
          </cell>
          <cell r="AG63">
            <v>100</v>
          </cell>
          <cell r="AH63">
            <v>100</v>
          </cell>
          <cell r="AJ63" t="str">
            <v>"Big program per plane"…179 planes, estimated $5MM per plane</v>
          </cell>
        </row>
        <row r="64">
          <cell r="A64" t="str">
            <v>Segment Operating Profit</v>
          </cell>
          <cell r="C64" t="str">
            <v>Athena Technologies (UAV Controls)</v>
          </cell>
          <cell r="AJ64" t="str">
            <v>Predator, Reaper, Watchkeeper</v>
          </cell>
        </row>
        <row r="65">
          <cell r="B65" t="str">
            <v>Airborne Solutions</v>
          </cell>
          <cell r="K65">
            <v>113</v>
          </cell>
          <cell r="L65">
            <v>109.25</v>
          </cell>
          <cell r="M65">
            <v>94.3</v>
          </cell>
          <cell r="N65">
            <v>105.80000000000001</v>
          </cell>
          <cell r="O65">
            <v>109.25</v>
          </cell>
          <cell r="P65">
            <v>110.25</v>
          </cell>
          <cell r="Q65">
            <v>287.67694566813509</v>
          </cell>
          <cell r="R65">
            <v>317.25907664724338</v>
          </cell>
          <cell r="S65">
            <v>341.39137785291632</v>
          </cell>
          <cell r="T65">
            <v>422.11169999999998</v>
          </cell>
          <cell r="U65">
            <v>419.6</v>
          </cell>
          <cell r="V65">
            <v>433.4</v>
          </cell>
          <cell r="W65">
            <v>434.7</v>
          </cell>
          <cell r="X65">
            <v>462</v>
          </cell>
          <cell r="Y65">
            <v>483</v>
          </cell>
          <cell r="Z65">
            <v>504</v>
          </cell>
        </row>
        <row r="66">
          <cell r="B66" t="str">
            <v>Airborne Solutions</v>
          </cell>
          <cell r="C66" t="str">
            <v>% Margin</v>
          </cell>
          <cell r="K66">
            <v>0.25</v>
          </cell>
          <cell r="L66">
            <v>0.23</v>
          </cell>
          <cell r="M66">
            <v>0.23</v>
          </cell>
          <cell r="N66">
            <v>0.23</v>
          </cell>
          <cell r="O66">
            <v>0.23</v>
          </cell>
          <cell r="P66">
            <v>0.21</v>
          </cell>
          <cell r="Q66">
            <v>0.19676945668135096</v>
          </cell>
          <cell r="R66">
            <v>0.1976692066337965</v>
          </cell>
          <cell r="S66">
            <v>0.20540997464074387</v>
          </cell>
          <cell r="T66">
            <v>0.2397</v>
          </cell>
          <cell r="U66">
            <v>0.22438502673796792</v>
          </cell>
          <cell r="V66">
            <v>0.22</v>
          </cell>
          <cell r="W66">
            <v>0.21</v>
          </cell>
          <cell r="X66">
            <v>0.21</v>
          </cell>
          <cell r="Y66">
            <v>0.21</v>
          </cell>
          <cell r="Z66">
            <v>0.21</v>
          </cell>
          <cell r="AA66">
            <v>434.91</v>
          </cell>
          <cell r="AB66" t="str">
            <v>Airborne/Surface equivalent margins; assumes some erosion from return of bonuses (frozen FY09)</v>
          </cell>
          <cell r="AC66">
            <v>428.4</v>
          </cell>
          <cell r="AD66">
            <v>430.5</v>
          </cell>
          <cell r="AE66">
            <v>375</v>
          </cell>
          <cell r="AF66">
            <v>475</v>
          </cell>
          <cell r="AG66">
            <v>540</v>
          </cell>
          <cell r="AH66">
            <v>600</v>
          </cell>
        </row>
        <row r="67">
          <cell r="C67" t="str">
            <v>% Margin</v>
          </cell>
          <cell r="K67">
            <v>0.25</v>
          </cell>
          <cell r="L67">
            <v>0.23</v>
          </cell>
          <cell r="M67">
            <v>0.23</v>
          </cell>
          <cell r="N67">
            <v>0.22750000000000001</v>
          </cell>
          <cell r="O67">
            <v>0.21199999999999999</v>
          </cell>
          <cell r="P67">
            <v>0.21</v>
          </cell>
          <cell r="Q67">
            <v>0.19676945668135096</v>
          </cell>
          <cell r="R67">
            <v>0.1976692066337965</v>
          </cell>
          <cell r="S67">
            <v>0.20540997464074387</v>
          </cell>
          <cell r="T67">
            <v>0.2397</v>
          </cell>
          <cell r="U67">
            <v>0.21913502673796789</v>
          </cell>
          <cell r="V67">
            <v>0.22</v>
          </cell>
          <cell r="W67">
            <v>0.215</v>
          </cell>
          <cell r="X67">
            <v>0.21299999999999999</v>
          </cell>
          <cell r="Y67">
            <v>0.21</v>
          </cell>
          <cell r="Z67">
            <v>0.21</v>
          </cell>
          <cell r="AA67">
            <v>0.218</v>
          </cell>
          <cell r="AB67" t="str">
            <v>Airborne/Surface equivalent margins; assumes some erosion from return of bonuses (frozen FY09)</v>
          </cell>
          <cell r="AC67">
            <v>0.21</v>
          </cell>
          <cell r="AD67">
            <v>0.21</v>
          </cell>
          <cell r="AF67" t="str">
            <v>Airborne/Surface equivalent margins; assumes some erosion from return of bonuses (frozen FY09)</v>
          </cell>
        </row>
        <row r="68">
          <cell r="B68" t="str">
            <v>DataPath</v>
          </cell>
          <cell r="K68">
            <v>1.1500000000000001</v>
          </cell>
          <cell r="L68">
            <v>3.0500000000000003</v>
          </cell>
          <cell r="M68">
            <v>6.6</v>
          </cell>
          <cell r="N68">
            <v>6</v>
          </cell>
          <cell r="O68">
            <v>6.5</v>
          </cell>
          <cell r="P68">
            <v>6.5</v>
          </cell>
          <cell r="T68">
            <v>4.2</v>
          </cell>
          <cell r="U68">
            <v>25.6</v>
          </cell>
          <cell r="V68">
            <v>32.5</v>
          </cell>
          <cell r="W68">
            <v>40.5</v>
          </cell>
          <cell r="X68">
            <v>49</v>
          </cell>
          <cell r="Y68">
            <v>50.75</v>
          </cell>
          <cell r="Z68">
            <v>52.5</v>
          </cell>
          <cell r="AB68" t="str">
            <v>Low sgl digit with potential for high-teens margin</v>
          </cell>
        </row>
        <row r="69">
          <cell r="B69" t="str">
            <v>DataPath</v>
          </cell>
          <cell r="C69" t="str">
            <v>% Margin</v>
          </cell>
          <cell r="K69">
            <v>0.05</v>
          </cell>
          <cell r="L69">
            <v>0.05</v>
          </cell>
          <cell r="M69">
            <v>0.11</v>
          </cell>
          <cell r="N69">
            <v>0.1</v>
          </cell>
          <cell r="O69">
            <v>0.1</v>
          </cell>
          <cell r="P69">
            <v>0.1</v>
          </cell>
          <cell r="Q69">
            <v>6.6</v>
          </cell>
          <cell r="R69">
            <v>7.5</v>
          </cell>
          <cell r="S69">
            <v>8.7100000000000009</v>
          </cell>
          <cell r="T69">
            <v>0.05</v>
          </cell>
          <cell r="U69">
            <v>0.1024</v>
          </cell>
          <cell r="V69">
            <v>0.125</v>
          </cell>
          <cell r="W69">
            <v>0.15</v>
          </cell>
          <cell r="X69">
            <v>0.17499999999999999</v>
          </cell>
          <cell r="Y69">
            <v>0.17499999999999999</v>
          </cell>
          <cell r="Z69">
            <v>0.17499999999999999</v>
          </cell>
          <cell r="AA69">
            <v>41.25</v>
          </cell>
          <cell r="AB69" t="str">
            <v>Low sgl digit with potential for high-teens margin</v>
          </cell>
          <cell r="AC69">
            <v>50.75</v>
          </cell>
          <cell r="AD69">
            <v>52.5</v>
          </cell>
          <cell r="AE69">
            <v>-150</v>
          </cell>
          <cell r="AF69" t="str">
            <v>Low sgl digit with potential for high-teens margin</v>
          </cell>
          <cell r="AG69">
            <v>-150</v>
          </cell>
          <cell r="AH69">
            <v>-150</v>
          </cell>
        </row>
        <row r="70">
          <cell r="C70" t="str">
            <v>% Margin</v>
          </cell>
          <cell r="K70">
            <v>0.05</v>
          </cell>
          <cell r="L70">
            <v>0.05</v>
          </cell>
          <cell r="M70">
            <v>0.11</v>
          </cell>
          <cell r="N70">
            <v>0.1</v>
          </cell>
          <cell r="O70">
            <v>0.1</v>
          </cell>
          <cell r="P70">
            <v>0.1</v>
          </cell>
          <cell r="Q70">
            <v>0.11</v>
          </cell>
          <cell r="R70">
            <v>0.125</v>
          </cell>
          <cell r="S70">
            <v>0.13400000000000001</v>
          </cell>
          <cell r="T70">
            <v>0.05</v>
          </cell>
          <cell r="U70">
            <v>0.1024</v>
          </cell>
          <cell r="V70">
            <v>0.12</v>
          </cell>
          <cell r="W70">
            <v>0.15</v>
          </cell>
          <cell r="X70">
            <v>0.17</v>
          </cell>
          <cell r="Y70">
            <v>0.17499999999999999</v>
          </cell>
          <cell r="Z70">
            <v>0.17499999999999999</v>
          </cell>
          <cell r="AA70">
            <v>0.15</v>
          </cell>
          <cell r="AB70">
            <v>0.17</v>
          </cell>
          <cell r="AC70">
            <v>0.17499999999999999</v>
          </cell>
          <cell r="AD70">
            <v>0.17499999999999999</v>
          </cell>
          <cell r="AE70">
            <v>0</v>
          </cell>
          <cell r="AF70">
            <v>0</v>
          </cell>
          <cell r="AG70">
            <v>0</v>
          </cell>
          <cell r="AH70">
            <v>0</v>
          </cell>
        </row>
        <row r="71">
          <cell r="B71" t="str">
            <v>Surface Solutions ex. DataPath</v>
          </cell>
          <cell r="K71">
            <v>44</v>
          </cell>
          <cell r="L71">
            <v>47.15</v>
          </cell>
          <cell r="M71">
            <v>33.1</v>
          </cell>
          <cell r="N71">
            <v>41.4</v>
          </cell>
          <cell r="O71">
            <v>50.6</v>
          </cell>
          <cell r="P71">
            <v>49.14</v>
          </cell>
          <cell r="T71">
            <v>175.93979999999999</v>
          </cell>
          <cell r="U71">
            <v>174.24</v>
          </cell>
          <cell r="V71">
            <v>180.4</v>
          </cell>
          <cell r="W71">
            <v>180.6</v>
          </cell>
          <cell r="X71">
            <v>186.9</v>
          </cell>
          <cell r="Y71">
            <v>194.25</v>
          </cell>
          <cell r="Z71">
            <v>201.6</v>
          </cell>
          <cell r="AB71">
            <v>0</v>
          </cell>
          <cell r="AC71">
            <v>0</v>
          </cell>
          <cell r="AD71">
            <v>0</v>
          </cell>
          <cell r="AE71">
            <v>0</v>
          </cell>
          <cell r="AF71">
            <v>0</v>
          </cell>
          <cell r="AG71">
            <v>0</v>
          </cell>
          <cell r="AH71">
            <v>0</v>
          </cell>
        </row>
        <row r="72">
          <cell r="B72" t="str">
            <v>Surface Solutions ex. DataPath</v>
          </cell>
          <cell r="C72" t="str">
            <v>% Margin</v>
          </cell>
          <cell r="K72">
            <v>0.25</v>
          </cell>
          <cell r="L72">
            <v>0.23</v>
          </cell>
          <cell r="M72">
            <v>0.23</v>
          </cell>
          <cell r="N72">
            <v>0.23</v>
          </cell>
          <cell r="O72">
            <v>0.23</v>
          </cell>
          <cell r="P72">
            <v>0.21</v>
          </cell>
          <cell r="Q72">
            <v>33.1</v>
          </cell>
          <cell r="R72">
            <v>34.979999999999997</v>
          </cell>
          <cell r="S72">
            <v>50.76</v>
          </cell>
          <cell r="T72">
            <v>0.2397</v>
          </cell>
          <cell r="U72">
            <v>0.2233846153846154</v>
          </cell>
          <cell r="V72">
            <v>0.22</v>
          </cell>
          <cell r="W72">
            <v>0.21</v>
          </cell>
          <cell r="X72">
            <v>0.21</v>
          </cell>
          <cell r="Y72">
            <v>0.21</v>
          </cell>
          <cell r="Z72">
            <v>0.21</v>
          </cell>
          <cell r="AA72">
            <v>177.94</v>
          </cell>
          <cell r="AB72">
            <v>180.6</v>
          </cell>
          <cell r="AC72">
            <v>178.5</v>
          </cell>
          <cell r="AD72">
            <v>180.6</v>
          </cell>
          <cell r="AE72">
            <v>-150</v>
          </cell>
          <cell r="AF72">
            <v>-150</v>
          </cell>
          <cell r="AG72">
            <v>-150</v>
          </cell>
          <cell r="AH72">
            <v>-150</v>
          </cell>
        </row>
        <row r="73">
          <cell r="C73" t="str">
            <v>% Margin</v>
          </cell>
          <cell r="K73">
            <v>0.25</v>
          </cell>
          <cell r="L73">
            <v>0.23</v>
          </cell>
          <cell r="M73">
            <v>0.23</v>
          </cell>
          <cell r="N73">
            <v>0.22750000000000001</v>
          </cell>
          <cell r="O73">
            <v>0.21199999999999999</v>
          </cell>
          <cell r="P73">
            <v>0.21</v>
          </cell>
          <cell r="Q73">
            <v>0.20799999999999999</v>
          </cell>
          <cell r="R73">
            <v>0.22</v>
          </cell>
          <cell r="S73">
            <v>0.216</v>
          </cell>
          <cell r="T73">
            <v>0.2397</v>
          </cell>
          <cell r="U73">
            <v>0.2177294871794872</v>
          </cell>
          <cell r="V73">
            <v>0.22</v>
          </cell>
          <cell r="W73">
            <v>0.215</v>
          </cell>
          <cell r="X73">
            <v>0.21299999999999999</v>
          </cell>
          <cell r="Y73">
            <v>0.21</v>
          </cell>
          <cell r="Z73">
            <v>0.21</v>
          </cell>
          <cell r="AA73">
            <v>0.217</v>
          </cell>
          <cell r="AB73">
            <v>0.215</v>
          </cell>
          <cell r="AC73">
            <v>0.21</v>
          </cell>
          <cell r="AD73">
            <v>0.21</v>
          </cell>
        </row>
        <row r="74">
          <cell r="B74" t="str">
            <v>Surface Solutions</v>
          </cell>
          <cell r="C74" t="str">
            <v>Assumed M&amp;A</v>
          </cell>
          <cell r="K74">
            <v>45.15</v>
          </cell>
          <cell r="L74">
            <v>50.199999999999996</v>
          </cell>
          <cell r="M74">
            <v>39.700000000000003</v>
          </cell>
          <cell r="N74">
            <v>47.4</v>
          </cell>
          <cell r="O74">
            <v>57.1</v>
          </cell>
          <cell r="P74">
            <v>55.64</v>
          </cell>
          <cell r="Q74">
            <v>114.32305433186491</v>
          </cell>
          <cell r="R74">
            <v>123.74092335275662</v>
          </cell>
          <cell r="S74">
            <v>144.60862214708368</v>
          </cell>
          <cell r="T74">
            <v>180.13979999999998</v>
          </cell>
          <cell r="U74">
            <v>199.84</v>
          </cell>
          <cell r="V74">
            <v>212.9</v>
          </cell>
          <cell r="W74">
            <v>221.1</v>
          </cell>
          <cell r="X74">
            <v>235.9</v>
          </cell>
          <cell r="Y74">
            <v>245</v>
          </cell>
          <cell r="Z74">
            <v>254.1</v>
          </cell>
          <cell r="AB74">
            <v>0</v>
          </cell>
          <cell r="AC74">
            <v>25</v>
          </cell>
          <cell r="AD74">
            <v>50</v>
          </cell>
          <cell r="AE74">
            <v>75</v>
          </cell>
          <cell r="AF74">
            <v>100</v>
          </cell>
          <cell r="AG74">
            <v>125</v>
          </cell>
          <cell r="AH74">
            <v>150</v>
          </cell>
          <cell r="AJ74" t="str">
            <v>Assumes $25MM of annual bolt-on M&amp;A</v>
          </cell>
        </row>
        <row r="75">
          <cell r="B75" t="str">
            <v>Surface Solutions</v>
          </cell>
          <cell r="C75" t="str">
            <v>% Margin</v>
          </cell>
          <cell r="K75">
            <v>0.22688442211055276</v>
          </cell>
          <cell r="L75">
            <v>0.18872180451127818</v>
          </cell>
          <cell r="M75">
            <v>0.19271844660194176</v>
          </cell>
          <cell r="N75">
            <v>0.19749999999999998</v>
          </cell>
          <cell r="O75">
            <v>0.20035087719298247</v>
          </cell>
          <cell r="P75">
            <v>0.18608695652173912</v>
          </cell>
          <cell r="Q75">
            <v>0.19676945668135096</v>
          </cell>
          <cell r="R75">
            <v>0.19766920663379653</v>
          </cell>
          <cell r="S75">
            <v>0.20540997464074387</v>
          </cell>
          <cell r="T75">
            <v>0.22021980440097796</v>
          </cell>
          <cell r="U75">
            <v>0.19401941747572815</v>
          </cell>
          <cell r="V75">
            <v>0.19712962962962963</v>
          </cell>
          <cell r="W75">
            <v>0.19566371681415928</v>
          </cell>
          <cell r="X75">
            <v>0.20162393162393163</v>
          </cell>
          <cell r="Y75">
            <v>0.20164609053497942</v>
          </cell>
          <cell r="Z75">
            <v>0.20166666666666666</v>
          </cell>
          <cell r="AA75">
            <v>219.19</v>
          </cell>
          <cell r="AB75" t="str">
            <v>Airborne/Surface equivalent margins; assumes some erosion from return of bonuses (frozen FY09)</v>
          </cell>
          <cell r="AC75">
            <v>229.25</v>
          </cell>
          <cell r="AD75">
            <v>233.1</v>
          </cell>
          <cell r="AE75">
            <v>0</v>
          </cell>
          <cell r="AF75">
            <v>0</v>
          </cell>
          <cell r="AG75">
            <v>0</v>
          </cell>
          <cell r="AH75">
            <v>0</v>
          </cell>
        </row>
        <row r="76">
          <cell r="C76" t="str">
            <v>% Margin</v>
          </cell>
          <cell r="K76">
            <v>0.22688442211055276</v>
          </cell>
          <cell r="L76">
            <v>0.18872180451127818</v>
          </cell>
          <cell r="M76">
            <v>0.19271844660194176</v>
          </cell>
          <cell r="N76">
            <v>0.19535714285714287</v>
          </cell>
          <cell r="O76">
            <v>0.19028571428571431</v>
          </cell>
          <cell r="P76">
            <v>0.18249999999999997</v>
          </cell>
          <cell r="Q76">
            <v>0.19676945668135096</v>
          </cell>
          <cell r="R76">
            <v>0.19766920663379653</v>
          </cell>
          <cell r="S76">
            <v>0.20540997464074387</v>
          </cell>
          <cell r="T76">
            <v>0.22021980440097796</v>
          </cell>
          <cell r="U76">
            <v>0.18973689320388351</v>
          </cell>
          <cell r="V76">
            <v>0.19558685446009388</v>
          </cell>
          <cell r="W76">
            <v>0.19939999999999999</v>
          </cell>
          <cell r="X76">
            <v>0.20270940170940169</v>
          </cell>
          <cell r="Y76">
            <v>0.20157676348547718</v>
          </cell>
          <cell r="Z76">
            <v>0.20153225806451613</v>
          </cell>
          <cell r="AA76">
            <v>0.20017351598173516</v>
          </cell>
          <cell r="AB76" t="str">
            <v>Airborne/Surface equivalent margins; assumes some erosion from return of bonuses (frozen FY09)</v>
          </cell>
          <cell r="AC76">
            <v>0.20109649122807016</v>
          </cell>
          <cell r="AD76">
            <v>0.20094827586206895</v>
          </cell>
          <cell r="AF76" t="str">
            <v>Airborne/Surface equivalent margins; assumes some erosion from return of bonuses (frozen FY09)</v>
          </cell>
        </row>
        <row r="77">
          <cell r="B77" t="str">
            <v>Total Operating Profit</v>
          </cell>
          <cell r="E77">
            <v>115</v>
          </cell>
          <cell r="F77">
            <v>115</v>
          </cell>
          <cell r="G77">
            <v>131</v>
          </cell>
          <cell r="H77">
            <v>125</v>
          </cell>
          <cell r="I77">
            <v>140</v>
          </cell>
          <cell r="J77">
            <v>145</v>
          </cell>
          <cell r="K77">
            <v>158</v>
          </cell>
          <cell r="L77">
            <v>159</v>
          </cell>
          <cell r="M77">
            <v>134</v>
          </cell>
          <cell r="N77">
            <v>153.20000000000002</v>
          </cell>
          <cell r="O77">
            <v>166.35</v>
          </cell>
          <cell r="P77">
            <v>165.89</v>
          </cell>
          <cell r="Q77">
            <v>402</v>
          </cell>
          <cell r="R77">
            <v>441</v>
          </cell>
          <cell r="S77">
            <v>486</v>
          </cell>
          <cell r="T77">
            <v>602</v>
          </cell>
          <cell r="U77">
            <v>619.44000000000005</v>
          </cell>
          <cell r="V77">
            <v>646.29999999999995</v>
          </cell>
          <cell r="W77">
            <v>655.8</v>
          </cell>
          <cell r="X77">
            <v>697.9</v>
          </cell>
          <cell r="Y77">
            <v>728</v>
          </cell>
          <cell r="Z77">
            <v>758.1</v>
          </cell>
          <cell r="AB77">
            <v>2529</v>
          </cell>
          <cell r="AC77">
            <v>2775.85</v>
          </cell>
          <cell r="AD77">
            <v>2836.9454999999998</v>
          </cell>
          <cell r="AE77">
            <v>3026.353865</v>
          </cell>
          <cell r="AF77">
            <v>3233.1444809499999</v>
          </cell>
          <cell r="AG77">
            <v>3407.3888153785001</v>
          </cell>
          <cell r="AH77">
            <v>3579.1604798398553</v>
          </cell>
        </row>
        <row r="78">
          <cell r="B78" t="str">
            <v>Total Operating Profit</v>
          </cell>
          <cell r="C78" t="str">
            <v>% Margin</v>
          </cell>
          <cell r="E78">
            <v>0.21023765996343693</v>
          </cell>
          <cell r="F78">
            <v>0.19965277777777779</v>
          </cell>
          <cell r="G78">
            <v>0.21581548599670511</v>
          </cell>
          <cell r="H78">
            <v>0.19654088050314467</v>
          </cell>
          <cell r="I78">
            <v>0.24390243902439024</v>
          </cell>
          <cell r="J78">
            <v>0.2365415986949429</v>
          </cell>
          <cell r="K78">
            <v>0.24270353302611367</v>
          </cell>
          <cell r="L78">
            <v>0.2145748987854251</v>
          </cell>
          <cell r="M78">
            <v>0.21753246753246752</v>
          </cell>
          <cell r="N78">
            <v>0.21885714285714289</v>
          </cell>
          <cell r="O78">
            <v>0.21888157894736843</v>
          </cell>
          <cell r="P78">
            <v>0.20132281553398057</v>
          </cell>
          <cell r="Q78">
            <v>0.19676945668135096</v>
          </cell>
          <cell r="R78">
            <v>0.1976692066337965</v>
          </cell>
          <cell r="S78">
            <v>0.20540997464074387</v>
          </cell>
          <cell r="T78">
            <v>0.23342380767739435</v>
          </cell>
          <cell r="U78">
            <v>0.21360000000000001</v>
          </cell>
          <cell r="V78">
            <v>0.21190163934426229</v>
          </cell>
          <cell r="W78">
            <v>0.20493749999999999</v>
          </cell>
          <cell r="X78">
            <v>0.20709198813056379</v>
          </cell>
          <cell r="Y78">
            <v>0.20711237553342818</v>
          </cell>
          <cell r="Z78">
            <v>0.20713114754098361</v>
          </cell>
          <cell r="AA78">
            <v>654.1</v>
          </cell>
          <cell r="AB78">
            <v>662.5</v>
          </cell>
          <cell r="AC78">
            <v>657.65</v>
          </cell>
          <cell r="AD78">
            <v>663.6</v>
          </cell>
          <cell r="AE78">
            <v>6.6764893791579905E-2</v>
          </cell>
          <cell r="AF78">
            <v>6.8329952535144178E-2</v>
          </cell>
          <cell r="AG78">
            <v>5.3893148127207136E-2</v>
          </cell>
          <cell r="AH78">
            <v>5.0411524416028364E-2</v>
          </cell>
        </row>
        <row r="79">
          <cell r="C79" t="str">
            <v>% Margin</v>
          </cell>
          <cell r="E79">
            <v>0.21023765996343693</v>
          </cell>
          <cell r="F79">
            <v>0.19965277777777779</v>
          </cell>
          <cell r="G79">
            <v>0.21581548599670511</v>
          </cell>
          <cell r="H79">
            <v>0.19654088050314467</v>
          </cell>
          <cell r="I79">
            <v>0.24390243902439024</v>
          </cell>
          <cell r="J79">
            <v>0.2365415986949429</v>
          </cell>
          <cell r="K79">
            <v>0.15000000000000568</v>
          </cell>
          <cell r="L79">
            <v>0.44999999999998863</v>
          </cell>
          <cell r="M79">
            <v>0</v>
          </cell>
          <cell r="N79">
            <v>0</v>
          </cell>
          <cell r="O79">
            <v>0</v>
          </cell>
          <cell r="P79">
            <v>0</v>
          </cell>
          <cell r="Q79">
            <v>0.19676945668135096</v>
          </cell>
          <cell r="R79">
            <v>0.1976692066337965</v>
          </cell>
          <cell r="S79">
            <v>0.20540997464074387</v>
          </cell>
          <cell r="T79">
            <v>0.25149999999996453</v>
          </cell>
          <cell r="U79">
            <v>0</v>
          </cell>
          <cell r="V79">
            <v>0</v>
          </cell>
          <cell r="W79">
            <v>0</v>
          </cell>
          <cell r="X79">
            <v>0</v>
          </cell>
          <cell r="Y79">
            <v>0</v>
          </cell>
          <cell r="Z79">
            <v>0</v>
          </cell>
          <cell r="AA79">
            <v>0.21168284789644012</v>
          </cell>
          <cell r="AB79">
            <v>0.21098726114649682</v>
          </cell>
          <cell r="AC79">
            <v>0.20680817610062893</v>
          </cell>
          <cell r="AD79">
            <v>0.20672897196261683</v>
          </cell>
          <cell r="AE79">
            <v>242.85386500000004</v>
          </cell>
          <cell r="AF79">
            <v>353.99908094999955</v>
          </cell>
          <cell r="AG79">
            <v>425.37674537849989</v>
          </cell>
          <cell r="AH79">
            <v>489.74575537985447</v>
          </cell>
        </row>
        <row r="80">
          <cell r="B80" t="str">
            <v>Check</v>
          </cell>
          <cell r="E80">
            <v>115</v>
          </cell>
          <cell r="F80">
            <v>115</v>
          </cell>
          <cell r="G80">
            <v>131</v>
          </cell>
          <cell r="H80">
            <v>125</v>
          </cell>
          <cell r="I80">
            <v>140</v>
          </cell>
          <cell r="J80">
            <v>145</v>
          </cell>
          <cell r="K80">
            <v>158</v>
          </cell>
          <cell r="L80">
            <v>159</v>
          </cell>
          <cell r="M80">
            <v>134</v>
          </cell>
          <cell r="N80">
            <v>150</v>
          </cell>
          <cell r="O80">
            <v>153</v>
          </cell>
          <cell r="P80">
            <v>168.2115</v>
          </cell>
          <cell r="Q80">
            <v>402</v>
          </cell>
          <cell r="R80">
            <v>441</v>
          </cell>
          <cell r="S80">
            <v>486</v>
          </cell>
          <cell r="T80">
            <v>602</v>
          </cell>
          <cell r="U80">
            <v>605.2115</v>
          </cell>
          <cell r="V80">
            <v>631.79999999999995</v>
          </cell>
          <cell r="W80">
            <v>658.625</v>
          </cell>
          <cell r="X80">
            <v>684.47</v>
          </cell>
          <cell r="Y80">
            <v>694.4</v>
          </cell>
          <cell r="Z80">
            <v>711.9</v>
          </cell>
          <cell r="AA80">
            <v>654.1</v>
          </cell>
          <cell r="AB80">
            <v>662.5</v>
          </cell>
          <cell r="AC80">
            <v>657.65</v>
          </cell>
          <cell r="AD80">
            <v>663.6</v>
          </cell>
        </row>
        <row r="81">
          <cell r="B81" t="str">
            <v>Revenue = Model?</v>
          </cell>
          <cell r="E81" t="b">
            <v>1</v>
          </cell>
          <cell r="F81" t="b">
            <v>1</v>
          </cell>
          <cell r="G81" t="b">
            <v>1</v>
          </cell>
          <cell r="H81" t="b">
            <v>1</v>
          </cell>
          <cell r="I81" t="b">
            <v>1</v>
          </cell>
          <cell r="J81" t="b">
            <v>1</v>
          </cell>
          <cell r="K81" t="b">
            <v>1</v>
          </cell>
          <cell r="L81" t="b">
            <v>1</v>
          </cell>
          <cell r="M81" t="b">
            <v>1</v>
          </cell>
          <cell r="N81" t="b">
            <v>1</v>
          </cell>
          <cell r="O81" t="b">
            <v>1</v>
          </cell>
          <cell r="P81" t="b">
            <v>1</v>
          </cell>
          <cell r="Q81" t="b">
            <v>1</v>
          </cell>
          <cell r="R81" t="b">
            <v>1</v>
          </cell>
          <cell r="S81" t="b">
            <v>1</v>
          </cell>
          <cell r="T81" t="b">
            <v>1</v>
          </cell>
          <cell r="U81" t="b">
            <v>1</v>
          </cell>
          <cell r="V81" t="b">
            <v>1</v>
          </cell>
          <cell r="W81" t="b">
            <v>1</v>
          </cell>
          <cell r="X81" t="b">
            <v>1</v>
          </cell>
          <cell r="Y81" t="b">
            <v>1</v>
          </cell>
          <cell r="Z81" t="b">
            <v>1</v>
          </cell>
          <cell r="AA81">
            <v>135</v>
          </cell>
          <cell r="AB81">
            <v>213</v>
          </cell>
        </row>
        <row r="82">
          <cell r="B82" t="str">
            <v>Op Profit = Model?</v>
          </cell>
          <cell r="E82" t="b">
            <v>1</v>
          </cell>
          <cell r="F82" t="b">
            <v>1</v>
          </cell>
          <cell r="G82" t="b">
            <v>1</v>
          </cell>
          <cell r="H82" t="b">
            <v>1</v>
          </cell>
          <cell r="I82" t="b">
            <v>1</v>
          </cell>
          <cell r="J82" t="b">
            <v>1</v>
          </cell>
          <cell r="K82" t="b">
            <v>1</v>
          </cell>
          <cell r="L82" t="b">
            <v>1</v>
          </cell>
          <cell r="M82" t="b">
            <v>1</v>
          </cell>
          <cell r="N82">
            <v>1.2000000000000171</v>
          </cell>
          <cell r="O82">
            <v>1.3499999999999943</v>
          </cell>
          <cell r="P82">
            <v>-2.5500000000000682</v>
          </cell>
          <cell r="Q82" t="b">
            <v>1</v>
          </cell>
          <cell r="R82" t="b">
            <v>1</v>
          </cell>
          <cell r="S82" t="b">
            <v>1</v>
          </cell>
          <cell r="T82" t="b">
            <v>1</v>
          </cell>
          <cell r="U82" t="b">
            <v>1</v>
          </cell>
          <cell r="V82">
            <v>-21.6</v>
          </cell>
          <cell r="W82" t="b">
            <v>1</v>
          </cell>
          <cell r="X82" t="b">
            <v>1</v>
          </cell>
          <cell r="Y82" t="b">
            <v>1</v>
          </cell>
          <cell r="Z82" t="b">
            <v>1</v>
          </cell>
          <cell r="AA82">
            <v>0.22492857142857151</v>
          </cell>
          <cell r="AB82">
            <v>0.16799999999999954</v>
          </cell>
          <cell r="AC82">
            <v>-0.12125000000000057</v>
          </cell>
          <cell r="AD82">
            <v>0.19833333333333486</v>
          </cell>
        </row>
        <row r="83">
          <cell r="B83" t="str">
            <v>Pension</v>
          </cell>
          <cell r="E83" t="b">
            <v>1</v>
          </cell>
          <cell r="F83" t="b">
            <v>1</v>
          </cell>
          <cell r="G83" t="b">
            <v>1</v>
          </cell>
          <cell r="H83" t="b">
            <v>1</v>
          </cell>
          <cell r="I83" t="b">
            <v>1</v>
          </cell>
          <cell r="J83" t="b">
            <v>1</v>
          </cell>
          <cell r="K83" t="b">
            <v>1</v>
          </cell>
          <cell r="L83" t="b">
            <v>1</v>
          </cell>
          <cell r="M83" t="b">
            <v>1</v>
          </cell>
          <cell r="N83" t="b">
            <v>1</v>
          </cell>
          <cell r="O83">
            <v>0</v>
          </cell>
          <cell r="P83">
            <v>-14.600000000000023</v>
          </cell>
          <cell r="Q83" t="b">
            <v>1</v>
          </cell>
          <cell r="R83" t="b">
            <v>1</v>
          </cell>
          <cell r="S83" t="b">
            <v>1</v>
          </cell>
          <cell r="T83" t="b">
            <v>1</v>
          </cell>
          <cell r="U83" t="b">
            <v>1</v>
          </cell>
          <cell r="V83">
            <v>-2</v>
          </cell>
          <cell r="W83" t="b">
            <v>1</v>
          </cell>
          <cell r="X83" t="b">
            <v>1</v>
          </cell>
          <cell r="Y83" t="b">
            <v>1</v>
          </cell>
          <cell r="Z83" t="b">
            <v>1</v>
          </cell>
          <cell r="AA83">
            <v>118</v>
          </cell>
          <cell r="AB83">
            <v>102</v>
          </cell>
        </row>
        <row r="84">
          <cell r="B84" t="str">
            <v>San Jose</v>
          </cell>
          <cell r="E84" t="b">
            <v>1</v>
          </cell>
          <cell r="F84" t="b">
            <v>1</v>
          </cell>
          <cell r="G84" t="b">
            <v>1</v>
          </cell>
          <cell r="H84" t="b">
            <v>1</v>
          </cell>
          <cell r="I84" t="b">
            <v>1</v>
          </cell>
          <cell r="J84" t="b">
            <v>1</v>
          </cell>
          <cell r="K84" t="b">
            <v>1</v>
          </cell>
          <cell r="L84" t="b">
            <v>1</v>
          </cell>
          <cell r="M84" t="b">
            <v>1</v>
          </cell>
          <cell r="N84" t="b">
            <v>1</v>
          </cell>
          <cell r="O84" t="b">
            <v>1</v>
          </cell>
          <cell r="P84" t="b">
            <v>1</v>
          </cell>
          <cell r="Q84" t="b">
            <v>1</v>
          </cell>
          <cell r="R84" t="b">
            <v>1</v>
          </cell>
          <cell r="S84" t="b">
            <v>1</v>
          </cell>
          <cell r="T84" t="b">
            <v>1</v>
          </cell>
          <cell r="U84" t="b">
            <v>1</v>
          </cell>
          <cell r="V84">
            <v>18</v>
          </cell>
          <cell r="W84" t="b">
            <v>1</v>
          </cell>
          <cell r="X84" t="b">
            <v>1</v>
          </cell>
          <cell r="Y84" t="b">
            <v>1</v>
          </cell>
          <cell r="Z84" t="b">
            <v>1</v>
          </cell>
        </row>
        <row r="85">
          <cell r="A85" t="str">
            <v>Airborne Solutions Program Build</v>
          </cell>
          <cell r="B85" t="str">
            <v>Op Profit = Model?</v>
          </cell>
          <cell r="E85" t="b">
            <v>1</v>
          </cell>
          <cell r="F85" t="b">
            <v>1</v>
          </cell>
          <cell r="G85" t="b">
            <v>1</v>
          </cell>
          <cell r="H85" t="b">
            <v>1</v>
          </cell>
          <cell r="I85" t="b">
            <v>1</v>
          </cell>
          <cell r="J85" t="b">
            <v>1</v>
          </cell>
          <cell r="K85" t="b">
            <v>0</v>
          </cell>
          <cell r="L85" t="b">
            <v>0</v>
          </cell>
          <cell r="M85" t="b">
            <v>1</v>
          </cell>
          <cell r="N85" t="b">
            <v>0</v>
          </cell>
          <cell r="O85">
            <v>0.46399999999999864</v>
          </cell>
          <cell r="P85">
            <v>-0.47149999999999181</v>
          </cell>
          <cell r="Q85" t="b">
            <v>1</v>
          </cell>
          <cell r="R85" t="b">
            <v>1</v>
          </cell>
          <cell r="S85" t="b">
            <v>1</v>
          </cell>
          <cell r="T85" t="b">
            <v>0</v>
          </cell>
          <cell r="U85" t="b">
            <v>1</v>
          </cell>
          <cell r="V85" t="b">
            <v>1</v>
          </cell>
          <cell r="W85" t="b">
            <v>1</v>
          </cell>
          <cell r="X85" t="b">
            <v>1</v>
          </cell>
          <cell r="Y85" t="b">
            <v>1</v>
          </cell>
          <cell r="Z85" t="b">
            <v>1</v>
          </cell>
        </row>
        <row r="86">
          <cell r="A86" t="str">
            <v>Airborne Solutions Program Build</v>
          </cell>
          <cell r="B86" t="str">
            <v>Revenue = Model?</v>
          </cell>
          <cell r="E86" t="b">
            <v>1</v>
          </cell>
          <cell r="F86" t="b">
            <v>1</v>
          </cell>
          <cell r="G86" t="b">
            <v>1</v>
          </cell>
          <cell r="H86" t="b">
            <v>1</v>
          </cell>
          <cell r="I86" t="b">
            <v>1</v>
          </cell>
          <cell r="J86" t="b">
            <v>1</v>
          </cell>
          <cell r="K86" t="b">
            <v>1</v>
          </cell>
          <cell r="L86" t="b">
            <v>1</v>
          </cell>
          <cell r="M86" t="b">
            <v>1</v>
          </cell>
          <cell r="N86" t="b">
            <v>1</v>
          </cell>
          <cell r="O86" t="b">
            <v>1</v>
          </cell>
          <cell r="P86" t="b">
            <v>1</v>
          </cell>
          <cell r="Q86" t="b">
            <v>1</v>
          </cell>
          <cell r="R86" t="b">
            <v>1</v>
          </cell>
          <cell r="S86" t="b">
            <v>1</v>
          </cell>
          <cell r="T86" t="b">
            <v>1</v>
          </cell>
          <cell r="U86" t="b">
            <v>1</v>
          </cell>
          <cell r="V86" t="b">
            <v>1</v>
          </cell>
          <cell r="W86" t="b">
            <v>1</v>
          </cell>
          <cell r="X86" t="b">
            <v>1</v>
          </cell>
          <cell r="Y86" t="b">
            <v>1</v>
          </cell>
          <cell r="Z86" t="b">
            <v>1</v>
          </cell>
          <cell r="AA86" t="b">
            <v>1</v>
          </cell>
          <cell r="AB86" t="b">
            <v>1</v>
          </cell>
          <cell r="AC86" t="b">
            <v>1</v>
          </cell>
          <cell r="AD86" t="b">
            <v>1</v>
          </cell>
        </row>
        <row r="87">
          <cell r="B87" t="str">
            <v>Tanker / Transport</v>
          </cell>
          <cell r="E87" t="b">
            <v>1</v>
          </cell>
          <cell r="F87" t="b">
            <v>1</v>
          </cell>
          <cell r="G87" t="b">
            <v>1</v>
          </cell>
          <cell r="H87" t="b">
            <v>1</v>
          </cell>
          <cell r="I87" t="b">
            <v>1</v>
          </cell>
          <cell r="J87" t="b">
            <v>1</v>
          </cell>
          <cell r="K87" t="b">
            <v>0</v>
          </cell>
          <cell r="L87" t="b">
            <v>0</v>
          </cell>
          <cell r="M87" t="b">
            <v>1</v>
          </cell>
          <cell r="N87" t="b">
            <v>0</v>
          </cell>
          <cell r="O87">
            <v>0.46399999999999864</v>
          </cell>
          <cell r="P87">
            <v>-0.47149999999999181</v>
          </cell>
          <cell r="Q87" t="b">
            <v>1</v>
          </cell>
          <cell r="R87" t="b">
            <v>1</v>
          </cell>
          <cell r="S87" t="b">
            <v>1</v>
          </cell>
          <cell r="T87" t="b">
            <v>0</v>
          </cell>
          <cell r="U87" t="b">
            <v>1</v>
          </cell>
          <cell r="V87" t="b">
            <v>1</v>
          </cell>
          <cell r="W87" t="b">
            <v>1</v>
          </cell>
          <cell r="X87" t="b">
            <v>1</v>
          </cell>
          <cell r="Y87" t="b">
            <v>1</v>
          </cell>
          <cell r="Z87" t="b">
            <v>1</v>
          </cell>
          <cell r="AA87" t="b">
            <v>1</v>
          </cell>
          <cell r="AB87" t="b">
            <v>1</v>
          </cell>
          <cell r="AC87" t="b">
            <v>1</v>
          </cell>
          <cell r="AD87" t="b">
            <v>1</v>
          </cell>
        </row>
        <row r="88">
          <cell r="A88" t="str">
            <v>Airborne Solutions Program Build</v>
          </cell>
          <cell r="B88" t="str">
            <v>Tanker / Transport</v>
          </cell>
          <cell r="C88" t="str">
            <v>767 Tanker</v>
          </cell>
          <cell r="E88" t="b">
            <v>1</v>
          </cell>
          <cell r="F88" t="b">
            <v>1</v>
          </cell>
          <cell r="G88" t="b">
            <v>1</v>
          </cell>
          <cell r="H88" t="b">
            <v>1</v>
          </cell>
          <cell r="I88" t="b">
            <v>1</v>
          </cell>
          <cell r="J88" t="b">
            <v>1</v>
          </cell>
          <cell r="K88" t="b">
            <v>1</v>
          </cell>
          <cell r="L88" t="b">
            <v>1</v>
          </cell>
          <cell r="M88" t="b">
            <v>1</v>
          </cell>
          <cell r="N88" t="b">
            <v>1</v>
          </cell>
          <cell r="O88" t="b">
            <v>1</v>
          </cell>
          <cell r="P88" t="b">
            <v>1</v>
          </cell>
          <cell r="Q88" t="b">
            <v>0</v>
          </cell>
          <cell r="R88" t="b">
            <v>0</v>
          </cell>
          <cell r="S88">
            <v>50</v>
          </cell>
          <cell r="T88">
            <v>50</v>
          </cell>
          <cell r="U88">
            <v>50</v>
          </cell>
          <cell r="V88">
            <v>50</v>
          </cell>
          <cell r="W88">
            <v>100</v>
          </cell>
          <cell r="X88">
            <v>150</v>
          </cell>
          <cell r="Y88">
            <v>175</v>
          </cell>
          <cell r="Z88">
            <v>200</v>
          </cell>
          <cell r="AA88" t="b">
            <v>1</v>
          </cell>
          <cell r="AB88" t="str">
            <v>Big program</v>
          </cell>
          <cell r="AC88" t="b">
            <v>1</v>
          </cell>
          <cell r="AD88" t="b">
            <v>1</v>
          </cell>
          <cell r="AE88">
            <v>426</v>
          </cell>
          <cell r="AF88">
            <v>451.5</v>
          </cell>
          <cell r="AG88" t="str">
            <v>http://www.rockwellcollins.com/products/gov/airborne/tanker-transport/boeing767/index.html</v>
          </cell>
          <cell r="AH88">
            <v>472.5</v>
          </cell>
        </row>
        <row r="89">
          <cell r="B89" t="str">
            <v>Op Profit = Model?</v>
          </cell>
          <cell r="C89" t="str">
            <v>KC-10</v>
          </cell>
          <cell r="E89" t="b">
            <v>1</v>
          </cell>
          <cell r="F89" t="b">
            <v>1</v>
          </cell>
          <cell r="G89" t="b">
            <v>1</v>
          </cell>
          <cell r="H89" t="b">
            <v>1</v>
          </cell>
          <cell r="I89" t="b">
            <v>1</v>
          </cell>
          <cell r="J89" t="b">
            <v>1</v>
          </cell>
          <cell r="K89" t="b">
            <v>0</v>
          </cell>
          <cell r="L89" t="b">
            <v>0</v>
          </cell>
          <cell r="M89" t="b">
            <v>1</v>
          </cell>
          <cell r="N89" t="b">
            <v>0</v>
          </cell>
          <cell r="O89">
            <v>0.46399999999999864</v>
          </cell>
          <cell r="P89">
            <v>-0.76300000000000523</v>
          </cell>
          <cell r="Q89" t="b">
            <v>0</v>
          </cell>
          <cell r="R89" t="b">
            <v>0</v>
          </cell>
          <cell r="S89">
            <v>0</v>
          </cell>
          <cell r="T89">
            <v>0</v>
          </cell>
          <cell r="U89">
            <v>0</v>
          </cell>
          <cell r="V89">
            <v>0</v>
          </cell>
          <cell r="W89">
            <v>0</v>
          </cell>
          <cell r="X89">
            <v>0</v>
          </cell>
          <cell r="Y89">
            <v>0</v>
          </cell>
          <cell r="Z89">
            <v>0</v>
          </cell>
          <cell r="AA89" t="b">
            <v>1</v>
          </cell>
          <cell r="AB89" t="str">
            <v>Spring 2010</v>
          </cell>
          <cell r="AC89" t="b">
            <v>1</v>
          </cell>
          <cell r="AD89" t="b">
            <v>1</v>
          </cell>
          <cell r="AE89">
            <v>0.21299999999999999</v>
          </cell>
          <cell r="AF89">
            <v>0.215</v>
          </cell>
          <cell r="AG89" t="str">
            <v>http://www.rockwellcollins.com/products/gov/airborne/tanker-transport/c130/index.html</v>
          </cell>
          <cell r="AH89">
            <v>0.21</v>
          </cell>
          <cell r="AJ89" t="str">
            <v>Airborne/Surface equivalent margins; assumes some erosion from return of bonuses (frozen FY09)</v>
          </cell>
        </row>
        <row r="90">
          <cell r="A90" t="str">
            <v>Airborne Solutions Program Build</v>
          </cell>
          <cell r="B90" t="str">
            <v>Tanker / Transport</v>
          </cell>
          <cell r="C90" t="str">
            <v>C-130 International</v>
          </cell>
          <cell r="S90">
            <v>100</v>
          </cell>
          <cell r="T90">
            <v>100</v>
          </cell>
          <cell r="U90">
            <v>100</v>
          </cell>
          <cell r="V90">
            <v>100</v>
          </cell>
          <cell r="W90">
            <v>100</v>
          </cell>
          <cell r="X90">
            <v>100</v>
          </cell>
          <cell r="Y90">
            <v>100</v>
          </cell>
          <cell r="Z90">
            <v>100</v>
          </cell>
          <cell r="AB90" t="str">
            <v>Look at LMT</v>
          </cell>
          <cell r="AG90" t="str">
            <v>http://www.rockwellcollins.com/products/gov/airborne/tanker-transport/c130/index.html</v>
          </cell>
        </row>
        <row r="91">
          <cell r="B91" t="str">
            <v>DataPath</v>
          </cell>
          <cell r="C91" t="str">
            <v>C-130 AMP (USAF Avionics Modernization Program)</v>
          </cell>
          <cell r="K91">
            <v>1.1500000000000001</v>
          </cell>
          <cell r="L91">
            <v>3.0500000000000003</v>
          </cell>
          <cell r="M91">
            <v>6.6</v>
          </cell>
          <cell r="N91">
            <v>6</v>
          </cell>
          <cell r="O91">
            <v>5.7</v>
          </cell>
          <cell r="P91">
            <v>7.9</v>
          </cell>
          <cell r="Q91">
            <v>6.6</v>
          </cell>
          <cell r="R91">
            <v>7.5</v>
          </cell>
          <cell r="S91">
            <v>0</v>
          </cell>
          <cell r="T91">
            <v>0</v>
          </cell>
          <cell r="U91">
            <v>0</v>
          </cell>
          <cell r="V91">
            <v>0</v>
          </cell>
          <cell r="W91">
            <v>0</v>
          </cell>
          <cell r="X91">
            <v>0</v>
          </cell>
          <cell r="Y91">
            <v>0</v>
          </cell>
          <cell r="Z91">
            <v>0</v>
          </cell>
          <cell r="AB91" t="str">
            <v>Look at LMT</v>
          </cell>
          <cell r="AC91">
            <v>26.200000000000003</v>
          </cell>
          <cell r="AD91">
            <v>30.48</v>
          </cell>
          <cell r="AE91">
            <v>35</v>
          </cell>
          <cell r="AF91">
            <v>41.25</v>
          </cell>
          <cell r="AG91" t="str">
            <v>http://www.rockwellcollins.com/products/gov/airborne/tanker-transport/c130/index.html</v>
          </cell>
          <cell r="AH91">
            <v>49.5</v>
          </cell>
          <cell r="AJ91" t="str">
            <v>Low sgl digit with potential for high-teens margin</v>
          </cell>
        </row>
        <row r="92">
          <cell r="A92" t="str">
            <v>Airborne Solutions Program Build</v>
          </cell>
          <cell r="B92" t="str">
            <v>Tanker / Transport</v>
          </cell>
          <cell r="C92" t="str">
            <v>C/K-135 GATM (Global Air Traffic Management)</v>
          </cell>
          <cell r="K92">
            <v>0.05</v>
          </cell>
          <cell r="L92">
            <v>0.05</v>
          </cell>
          <cell r="M92">
            <v>0.11</v>
          </cell>
          <cell r="N92">
            <v>0.1</v>
          </cell>
          <cell r="O92">
            <v>0.1</v>
          </cell>
          <cell r="P92">
            <v>0.1</v>
          </cell>
          <cell r="Q92">
            <v>0.11</v>
          </cell>
          <cell r="R92">
            <v>0.125</v>
          </cell>
          <cell r="S92">
            <v>125</v>
          </cell>
          <cell r="T92">
            <v>125</v>
          </cell>
          <cell r="U92">
            <v>125</v>
          </cell>
          <cell r="V92">
            <v>125</v>
          </cell>
          <cell r="W92">
            <v>125</v>
          </cell>
          <cell r="X92">
            <v>125</v>
          </cell>
          <cell r="Y92">
            <v>125</v>
          </cell>
          <cell r="Z92">
            <v>125</v>
          </cell>
          <cell r="AB92" t="str">
            <v>Now on block 45</v>
          </cell>
          <cell r="AC92">
            <v>0.10234375000000001</v>
          </cell>
          <cell r="AD92" t="str">
            <v>Comment in old transcript</v>
          </cell>
          <cell r="AE92">
            <v>0.14000000000000001</v>
          </cell>
          <cell r="AF92">
            <v>0.15</v>
          </cell>
          <cell r="AG92" t="str">
            <v>http://www.rockwellcollins.com/products/gov/airborne/tanker-transport/kc135/index.html</v>
          </cell>
          <cell r="AH92">
            <v>0.16500000000000001</v>
          </cell>
        </row>
        <row r="93">
          <cell r="B93" t="str">
            <v>Total</v>
          </cell>
          <cell r="C93" t="str">
            <v>767 Tanker</v>
          </cell>
          <cell r="S93">
            <v>275</v>
          </cell>
          <cell r="T93">
            <v>275</v>
          </cell>
          <cell r="U93">
            <v>275</v>
          </cell>
          <cell r="V93">
            <v>275</v>
          </cell>
          <cell r="W93">
            <v>325</v>
          </cell>
          <cell r="X93">
            <v>375</v>
          </cell>
          <cell r="Y93">
            <v>400</v>
          </cell>
          <cell r="Z93">
            <v>425</v>
          </cell>
          <cell r="AA93">
            <v>100</v>
          </cell>
          <cell r="AB93" t="str">
            <v>Big program</v>
          </cell>
          <cell r="AC93">
            <v>175</v>
          </cell>
          <cell r="AD93" t="str">
            <v>Comment in old transcript</v>
          </cell>
          <cell r="AF93" t="str">
            <v>Big program</v>
          </cell>
          <cell r="AG93" t="str">
            <v>http://www.rockwellcollins.com/products/gov/airborne/tanker-transport/boeing767/index.html</v>
          </cell>
          <cell r="AK93" t="str">
            <v>http://www.rockwellcollins.com/products/gov/airborne/tanker-transport/boeing767/index.html</v>
          </cell>
        </row>
        <row r="94">
          <cell r="B94" t="str">
            <v>Total</v>
          </cell>
          <cell r="C94" t="str">
            <v>KC-10</v>
          </cell>
          <cell r="K94">
            <v>44</v>
          </cell>
          <cell r="L94">
            <v>47.15</v>
          </cell>
          <cell r="M94">
            <v>33.1</v>
          </cell>
          <cell r="N94">
            <v>40.495000000000005</v>
          </cell>
          <cell r="O94">
            <v>50.244</v>
          </cell>
          <cell r="P94">
            <v>42.816000000000003</v>
          </cell>
          <cell r="Q94">
            <v>33.1</v>
          </cell>
          <cell r="R94">
            <v>34.979999999999997</v>
          </cell>
          <cell r="S94">
            <v>0</v>
          </cell>
          <cell r="T94">
            <v>0</v>
          </cell>
          <cell r="U94">
            <v>0</v>
          </cell>
          <cell r="V94">
            <v>0</v>
          </cell>
          <cell r="W94">
            <v>0</v>
          </cell>
          <cell r="X94">
            <v>0</v>
          </cell>
          <cell r="Y94">
            <v>0</v>
          </cell>
          <cell r="Z94">
            <v>0</v>
          </cell>
          <cell r="AA94">
            <v>0</v>
          </cell>
          <cell r="AB94" t="str">
            <v>Spring 2010</v>
          </cell>
          <cell r="AC94">
            <v>0</v>
          </cell>
          <cell r="AD94">
            <v>0</v>
          </cell>
          <cell r="AE94">
            <v>108.5</v>
          </cell>
          <cell r="AF94" t="str">
            <v>Spring 2010</v>
          </cell>
          <cell r="AG94" t="str">
            <v>http://www.rockwellcollins.com/products/gov/airborne/tanker-transport/c130/index.html</v>
          </cell>
          <cell r="AH94">
            <v>131.25</v>
          </cell>
          <cell r="AK94" t="str">
            <v>http://www.rockwellcollins.com/products/gov/airborne/tanker-transport/c130/index.html</v>
          </cell>
        </row>
        <row r="95">
          <cell r="B95" t="str">
            <v>Rotary Wing</v>
          </cell>
          <cell r="C95" t="str">
            <v>C-130 International</v>
          </cell>
          <cell r="I95" t="str">
            <v>Common Avionics Architecture System (CAAS)</v>
          </cell>
          <cell r="K95">
            <v>0.25</v>
          </cell>
          <cell r="L95">
            <v>0.23</v>
          </cell>
          <cell r="M95">
            <v>0.23</v>
          </cell>
          <cell r="N95">
            <v>0.22750000000000001</v>
          </cell>
          <cell r="O95">
            <v>0.21199999999999999</v>
          </cell>
          <cell r="P95">
            <v>0.223</v>
          </cell>
          <cell r="Q95">
            <v>0.20799999999999999</v>
          </cell>
          <cell r="R95">
            <v>0.22</v>
          </cell>
          <cell r="S95">
            <v>100</v>
          </cell>
          <cell r="T95">
            <v>100</v>
          </cell>
          <cell r="U95">
            <v>100</v>
          </cell>
          <cell r="V95">
            <v>100</v>
          </cell>
          <cell r="W95">
            <v>100</v>
          </cell>
          <cell r="X95">
            <v>100</v>
          </cell>
          <cell r="Y95">
            <v>100</v>
          </cell>
          <cell r="Z95">
            <v>100</v>
          </cell>
          <cell r="AA95">
            <v>100</v>
          </cell>
          <cell r="AB95" t="str">
            <v>Look at LMT</v>
          </cell>
          <cell r="AC95">
            <v>175</v>
          </cell>
          <cell r="AD95" t="str">
            <v>Comment in old transcript</v>
          </cell>
          <cell r="AE95">
            <v>0.217</v>
          </cell>
          <cell r="AF95" t="str">
            <v>Big program</v>
          </cell>
          <cell r="AG95" t="str">
            <v>http://www.rockwellcollins.com/products/gov/airborne/tanker-transport/c130/index.html</v>
          </cell>
          <cell r="AH95">
            <v>0.21</v>
          </cell>
          <cell r="AK95" t="str">
            <v>http://www.rockwellcollins.com/products/gov/airborne/tanker-transport/boeing767/index.html</v>
          </cell>
        </row>
        <row r="96">
          <cell r="B96" t="str">
            <v>Rotary Wing</v>
          </cell>
          <cell r="C96" t="str">
            <v>C-130 AMP (USAF Avionics Modernization Program)</v>
          </cell>
          <cell r="I96" t="str">
            <v>Common Avionics Architecture System (CAAS)</v>
          </cell>
          <cell r="S96">
            <v>125</v>
          </cell>
          <cell r="T96">
            <v>125</v>
          </cell>
          <cell r="U96">
            <v>125</v>
          </cell>
          <cell r="V96">
            <v>125</v>
          </cell>
          <cell r="W96">
            <v>125</v>
          </cell>
          <cell r="X96">
            <v>125</v>
          </cell>
          <cell r="Y96">
            <v>125</v>
          </cell>
          <cell r="Z96">
            <v>125</v>
          </cell>
          <cell r="AA96">
            <v>0</v>
          </cell>
          <cell r="AB96" t="str">
            <v>Look at LMT</v>
          </cell>
          <cell r="AC96">
            <v>0</v>
          </cell>
          <cell r="AD96">
            <v>0</v>
          </cell>
          <cell r="AF96" t="str">
            <v>Spring 2010</v>
          </cell>
          <cell r="AG96" t="str">
            <v>http://www.rockwellcollins.com/products/gov/airborne/cargo-utility/chmh53e/index.html</v>
          </cell>
          <cell r="AK96" t="str">
            <v>http://www.rockwellcollins.com/products/gov/airborne/tanker-transport/c130/index.html</v>
          </cell>
        </row>
        <row r="97">
          <cell r="B97" t="str">
            <v>Surface Solutions</v>
          </cell>
          <cell r="C97" t="str">
            <v>UH-60M Black Hawk</v>
          </cell>
          <cell r="K97">
            <v>45.15</v>
          </cell>
          <cell r="L97">
            <v>50.199999999999996</v>
          </cell>
          <cell r="M97">
            <v>39.700000000000003</v>
          </cell>
          <cell r="N97">
            <v>46.495000000000005</v>
          </cell>
          <cell r="O97">
            <v>55.944000000000003</v>
          </cell>
          <cell r="P97">
            <v>50.716000000000001</v>
          </cell>
          <cell r="Q97">
            <v>39.700000000000003</v>
          </cell>
          <cell r="R97">
            <v>42.48</v>
          </cell>
          <cell r="S97">
            <v>125</v>
          </cell>
          <cell r="T97">
            <v>125</v>
          </cell>
          <cell r="U97">
            <v>125</v>
          </cell>
          <cell r="V97">
            <v>125</v>
          </cell>
          <cell r="W97">
            <v>125</v>
          </cell>
          <cell r="X97">
            <v>125</v>
          </cell>
          <cell r="Y97">
            <v>125</v>
          </cell>
          <cell r="Z97">
            <v>125</v>
          </cell>
          <cell r="AA97">
            <v>100</v>
          </cell>
          <cell r="AB97" t="str">
            <v>Now on block 45</v>
          </cell>
          <cell r="AC97">
            <v>100</v>
          </cell>
          <cell r="AD97" t="str">
            <v>Comment in old transcript</v>
          </cell>
          <cell r="AE97">
            <v>143.5</v>
          </cell>
          <cell r="AF97" t="str">
            <v>Look at LMT</v>
          </cell>
          <cell r="AG97" t="str">
            <v>http://www.rockwellcollins.com/products/gov/airborne/cargo-utility/uh60m/index.html</v>
          </cell>
          <cell r="AH97" t="str">
            <v>Comment in old transcript</v>
          </cell>
          <cell r="AK97" t="str">
            <v>http://www.rockwellcollins.com/products/gov/airborne/tanker-transport/c130/index.html</v>
          </cell>
        </row>
        <row r="98">
          <cell r="B98" t="str">
            <v>Total</v>
          </cell>
          <cell r="C98" t="str">
            <v>International Black Hawk</v>
          </cell>
          <cell r="I98" t="str">
            <v>Common Avionics Architecture System (CAAS)</v>
          </cell>
          <cell r="K98">
            <v>0.22688442211055276</v>
          </cell>
          <cell r="L98">
            <v>0.18872180451127818</v>
          </cell>
          <cell r="M98">
            <v>0.19271844660194176</v>
          </cell>
          <cell r="N98">
            <v>0.19535714285714287</v>
          </cell>
          <cell r="O98">
            <v>0.19028571428571431</v>
          </cell>
          <cell r="P98">
            <v>0.18714391143911441</v>
          </cell>
          <cell r="Q98">
            <v>0.18726415094339624</v>
          </cell>
          <cell r="R98">
            <v>0.19397260273972602</v>
          </cell>
          <cell r="S98">
            <v>0</v>
          </cell>
          <cell r="T98">
            <v>0</v>
          </cell>
          <cell r="U98">
            <v>0</v>
          </cell>
          <cell r="V98">
            <v>0</v>
          </cell>
          <cell r="W98">
            <v>0</v>
          </cell>
          <cell r="X98">
            <v>0</v>
          </cell>
          <cell r="Y98">
            <v>0</v>
          </cell>
          <cell r="Z98">
            <v>0</v>
          </cell>
          <cell r="AA98">
            <v>0</v>
          </cell>
          <cell r="AB98" t="str">
            <v>Look at UTX</v>
          </cell>
          <cell r="AC98">
            <v>0</v>
          </cell>
          <cell r="AD98">
            <v>0</v>
          </cell>
          <cell r="AE98">
            <v>0.19133333333333333</v>
          </cell>
          <cell r="AF98" t="str">
            <v>Look at LMT</v>
          </cell>
          <cell r="AG98" t="str">
            <v>http://www.rockwellcollins.com/products/gov/airborne/cargo-utility/uh60m/index.html</v>
          </cell>
          <cell r="AH98">
            <v>0.19540540540540541</v>
          </cell>
          <cell r="AJ98" t="str">
            <v>Airborne/Surface equivalent margins; assumes some erosion from return of bonuses (frozen FY09)</v>
          </cell>
        </row>
        <row r="99">
          <cell r="C99" t="str">
            <v>CH-47 Chinook</v>
          </cell>
          <cell r="S99">
            <v>125</v>
          </cell>
          <cell r="T99">
            <v>125</v>
          </cell>
          <cell r="U99">
            <v>125</v>
          </cell>
          <cell r="V99">
            <v>125</v>
          </cell>
          <cell r="W99">
            <v>125</v>
          </cell>
          <cell r="X99">
            <v>125</v>
          </cell>
          <cell r="Y99">
            <v>125</v>
          </cell>
          <cell r="Z99">
            <v>125</v>
          </cell>
          <cell r="AA99">
            <v>125</v>
          </cell>
          <cell r="AB99" t="str">
            <v>Look at UTX</v>
          </cell>
          <cell r="AC99">
            <v>125</v>
          </cell>
          <cell r="AD99">
            <v>125</v>
          </cell>
          <cell r="AF99" t="str">
            <v>Now on block 45</v>
          </cell>
          <cell r="AG99" t="str">
            <v>http://www.rockwellcollins.com/products/gov/airborne/cargo-utility/ch47/index.html</v>
          </cell>
          <cell r="AH99" t="str">
            <v>Comment in old transcript</v>
          </cell>
          <cell r="AK99" t="str">
            <v>http://www.rockwellcollins.com/products/gov/airborne/tanker-transport/kc135/index.html</v>
          </cell>
        </row>
        <row r="100">
          <cell r="B100" t="str">
            <v>Total</v>
          </cell>
          <cell r="C100" t="str">
            <v>CH-47 Chinook</v>
          </cell>
          <cell r="E100">
            <v>115</v>
          </cell>
          <cell r="F100">
            <v>115</v>
          </cell>
          <cell r="G100">
            <v>131</v>
          </cell>
          <cell r="H100">
            <v>125</v>
          </cell>
          <cell r="I100" t="str">
            <v>Common Avionics Architecture System (CAAS)</v>
          </cell>
          <cell r="J100">
            <v>145</v>
          </cell>
          <cell r="K100">
            <v>158.15</v>
          </cell>
          <cell r="L100">
            <v>159.44999999999999</v>
          </cell>
          <cell r="M100">
            <v>134</v>
          </cell>
          <cell r="N100">
            <v>150.00749999999999</v>
          </cell>
          <cell r="O100">
            <v>153.464</v>
          </cell>
          <cell r="P100">
            <v>168.23699999999999</v>
          </cell>
          <cell r="Q100">
            <v>130.804</v>
          </cell>
          <cell r="R100">
            <v>151.82</v>
          </cell>
          <cell r="S100">
            <v>375</v>
          </cell>
          <cell r="T100">
            <v>375</v>
          </cell>
          <cell r="U100">
            <v>375</v>
          </cell>
          <cell r="V100">
            <v>375</v>
          </cell>
          <cell r="W100">
            <v>375</v>
          </cell>
          <cell r="X100">
            <v>375</v>
          </cell>
          <cell r="Y100">
            <v>375</v>
          </cell>
          <cell r="Z100">
            <v>375</v>
          </cell>
          <cell r="AA100">
            <v>325</v>
          </cell>
          <cell r="AB100">
            <v>375</v>
          </cell>
          <cell r="AC100">
            <v>400</v>
          </cell>
          <cell r="AD100">
            <v>425</v>
          </cell>
          <cell r="AE100">
            <v>569.5</v>
          </cell>
          <cell r="AF100">
            <v>609.625</v>
          </cell>
          <cell r="AG100" t="str">
            <v>http://www.rockwellcollins.com/products/gov/airborne/cargo-utility/ch47/index.html</v>
          </cell>
          <cell r="AH100">
            <v>653.25</v>
          </cell>
        </row>
        <row r="101">
          <cell r="B101" t="str">
            <v>Total</v>
          </cell>
          <cell r="C101" t="str">
            <v>USMC CH/MH-53E</v>
          </cell>
          <cell r="E101">
            <v>0.21023765996343693</v>
          </cell>
          <cell r="F101">
            <v>0.19965277777777779</v>
          </cell>
          <cell r="G101">
            <v>0.21581548599670511</v>
          </cell>
          <cell r="H101">
            <v>0.19654088050314467</v>
          </cell>
          <cell r="I101">
            <v>0.24390243902439024</v>
          </cell>
          <cell r="J101">
            <v>0.2365415986949429</v>
          </cell>
          <cell r="K101">
            <v>0.24293394777265745</v>
          </cell>
          <cell r="L101">
            <v>0.2151821862348178</v>
          </cell>
          <cell r="M101">
            <v>0.21753246753246752</v>
          </cell>
          <cell r="N101">
            <v>0.21646103896103894</v>
          </cell>
          <cell r="O101">
            <v>0.20353315649867373</v>
          </cell>
          <cell r="P101">
            <v>0.21082330827067669</v>
          </cell>
          <cell r="Q101">
            <v>0.20123692307692309</v>
          </cell>
          <cell r="R101">
            <v>0.2120391061452514</v>
          </cell>
          <cell r="S101">
            <v>125</v>
          </cell>
          <cell r="T101">
            <v>125</v>
          </cell>
          <cell r="U101">
            <v>125</v>
          </cell>
          <cell r="V101">
            <v>125</v>
          </cell>
          <cell r="W101">
            <v>125</v>
          </cell>
          <cell r="X101">
            <v>125</v>
          </cell>
          <cell r="Y101">
            <v>125</v>
          </cell>
          <cell r="Z101">
            <v>125</v>
          </cell>
          <cell r="AA101">
            <v>125</v>
          </cell>
          <cell r="AB101" t="str">
            <v>Look at UTX</v>
          </cell>
          <cell r="AC101">
            <v>125</v>
          </cell>
          <cell r="AD101">
            <v>125</v>
          </cell>
          <cell r="AE101">
            <v>0.2070909090909091</v>
          </cell>
          <cell r="AF101">
            <v>0.20841880341880342</v>
          </cell>
          <cell r="AG101" t="str">
            <v>http://www.rockwellcollins.com/products/gov/airborne/cargo-utility/chmh53e/index.html</v>
          </cell>
          <cell r="AH101">
            <v>0.20574803149606299</v>
          </cell>
          <cell r="AK101" t="str">
            <v>http://www.rockwellcollins.com/products/gov/airborne/cargo-utility/chmh53e/index.html</v>
          </cell>
        </row>
        <row r="102">
          <cell r="B102" t="str">
            <v>Special Mission</v>
          </cell>
          <cell r="C102" t="str">
            <v>UH-60M Black Hawk</v>
          </cell>
          <cell r="E102">
            <v>115</v>
          </cell>
          <cell r="F102">
            <v>115</v>
          </cell>
          <cell r="G102">
            <v>131</v>
          </cell>
          <cell r="H102">
            <v>125</v>
          </cell>
          <cell r="I102" t="str">
            <v>Common Avionics Architecture System (CAAS)</v>
          </cell>
          <cell r="J102">
            <v>145</v>
          </cell>
          <cell r="K102">
            <v>158</v>
          </cell>
          <cell r="L102">
            <v>159</v>
          </cell>
          <cell r="M102">
            <v>134</v>
          </cell>
          <cell r="N102">
            <v>150</v>
          </cell>
          <cell r="O102">
            <v>153</v>
          </cell>
          <cell r="P102">
            <v>169</v>
          </cell>
          <cell r="Q102">
            <v>131</v>
          </cell>
          <cell r="R102">
            <v>150</v>
          </cell>
          <cell r="S102">
            <v>125</v>
          </cell>
          <cell r="T102">
            <v>125</v>
          </cell>
          <cell r="U102">
            <v>125</v>
          </cell>
          <cell r="V102">
            <v>125</v>
          </cell>
          <cell r="W102">
            <v>125</v>
          </cell>
          <cell r="X102">
            <v>125</v>
          </cell>
          <cell r="Y102">
            <v>125</v>
          </cell>
          <cell r="Z102">
            <v>125</v>
          </cell>
          <cell r="AA102">
            <v>125</v>
          </cell>
          <cell r="AB102">
            <v>125</v>
          </cell>
          <cell r="AC102">
            <v>125</v>
          </cell>
          <cell r="AD102">
            <v>125</v>
          </cell>
          <cell r="AE102">
            <v>569.5</v>
          </cell>
          <cell r="AF102">
            <v>609.625</v>
          </cell>
          <cell r="AG102" t="str">
            <v>http://www.rockwellcollins.com/products/gov/airborne/cargo-utility/uh60m/index.html</v>
          </cell>
          <cell r="AH102">
            <v>653.25</v>
          </cell>
          <cell r="AK102" t="str">
            <v>http://www.rockwellcollins.com/products/gov/airborne/cargo-utility/uh60m/index.html</v>
          </cell>
        </row>
        <row r="103">
          <cell r="B103" t="str">
            <v>Special Mission</v>
          </cell>
          <cell r="C103" t="str">
            <v>International Black Hawk</v>
          </cell>
          <cell r="S103">
            <v>25</v>
          </cell>
          <cell r="T103">
            <v>25</v>
          </cell>
          <cell r="U103">
            <v>25</v>
          </cell>
          <cell r="V103">
            <v>25</v>
          </cell>
          <cell r="W103">
            <v>25</v>
          </cell>
          <cell r="X103">
            <v>25</v>
          </cell>
          <cell r="Y103">
            <v>25</v>
          </cell>
          <cell r="Z103">
            <v>25</v>
          </cell>
          <cell r="AA103">
            <v>125</v>
          </cell>
          <cell r="AB103" t="str">
            <v>Look at UTX</v>
          </cell>
          <cell r="AC103">
            <v>125</v>
          </cell>
          <cell r="AD103">
            <v>125</v>
          </cell>
          <cell r="AF103" t="str">
            <v>Look at UTX</v>
          </cell>
          <cell r="AG103" t="str">
            <v>http://www.rockwellcollins.com/products/gov/airborne/special-mission/commando-solo/index.html</v>
          </cell>
          <cell r="AK103" t="str">
            <v>http://www.rockwellcollins.com/products/gov/airborne/cargo-utility/chmh53e/index.html</v>
          </cell>
        </row>
        <row r="104">
          <cell r="B104" t="str">
            <v>Incremental Y/Y Margins</v>
          </cell>
          <cell r="C104" t="str">
            <v>E-6B Mercury</v>
          </cell>
          <cell r="I104">
            <v>0.92592592592592593</v>
          </cell>
          <cell r="J104">
            <v>0.81081081081081086</v>
          </cell>
          <cell r="K104">
            <v>0.61704545454545467</v>
          </cell>
          <cell r="L104">
            <v>0.328095238095238</v>
          </cell>
          <cell r="M104">
            <v>-0.14285714285714285</v>
          </cell>
          <cell r="N104">
            <v>6.259374999999992E-2</v>
          </cell>
          <cell r="O104">
            <v>-4.5495145631068032E-2</v>
          </cell>
          <cell r="P104">
            <v>0.15415789473684222</v>
          </cell>
          <cell r="Q104">
            <v>-9.3999999999999945E-2</v>
          </cell>
          <cell r="R104">
            <v>7.880434782608696E-2</v>
          </cell>
          <cell r="S104">
            <v>25</v>
          </cell>
          <cell r="T104">
            <v>25</v>
          </cell>
          <cell r="U104">
            <v>25</v>
          </cell>
          <cell r="V104">
            <v>25</v>
          </cell>
          <cell r="W104">
            <v>25</v>
          </cell>
          <cell r="X104">
            <v>25</v>
          </cell>
          <cell r="Y104">
            <v>25</v>
          </cell>
          <cell r="Z104">
            <v>25</v>
          </cell>
          <cell r="AA104">
            <v>125</v>
          </cell>
          <cell r="AB104">
            <v>125</v>
          </cell>
          <cell r="AC104">
            <v>125</v>
          </cell>
          <cell r="AD104">
            <v>125</v>
          </cell>
          <cell r="AE104">
            <v>0.10244444444444475</v>
          </cell>
          <cell r="AF104">
            <v>0.22928571428571429</v>
          </cell>
          <cell r="AG104" t="str">
            <v>http://www.rockwellcollins.com/products/gov/airborne/special-mission/e6b/index.html</v>
          </cell>
          <cell r="AH104">
            <v>0.21740740740740758</v>
          </cell>
          <cell r="AK104" t="str">
            <v>http://www.rockwellcollins.com/products/gov/airborne/cargo-utility/uh60m/index.html</v>
          </cell>
        </row>
        <row r="105">
          <cell r="B105" t="str">
            <v>Total</v>
          </cell>
          <cell r="C105" t="str">
            <v>U.S. Coast Guard Deepwater</v>
          </cell>
          <cell r="S105">
            <v>25</v>
          </cell>
          <cell r="T105">
            <v>25</v>
          </cell>
          <cell r="U105">
            <v>25</v>
          </cell>
          <cell r="V105">
            <v>25</v>
          </cell>
          <cell r="W105">
            <v>25</v>
          </cell>
          <cell r="X105">
            <v>25</v>
          </cell>
          <cell r="Y105">
            <v>25</v>
          </cell>
          <cell r="Z105">
            <v>25</v>
          </cell>
          <cell r="AA105" t="str">
            <v>- avionics update CN235-300M a/c</v>
          </cell>
          <cell r="AB105">
            <v>0</v>
          </cell>
          <cell r="AC105">
            <v>0</v>
          </cell>
          <cell r="AD105">
            <v>0</v>
          </cell>
          <cell r="AF105" t="str">
            <v>Look at UTX</v>
          </cell>
          <cell r="AG105" t="str">
            <v>http://www.rockwellcollins.com/products/gov/airborne/special-mission/deepwater/index.html</v>
          </cell>
        </row>
        <row r="106">
          <cell r="C106" t="str">
            <v>Joint STARS (Surveillance Target Attack Radar System)</v>
          </cell>
          <cell r="S106">
            <v>25</v>
          </cell>
          <cell r="T106">
            <v>25</v>
          </cell>
          <cell r="U106">
            <v>25</v>
          </cell>
          <cell r="V106">
            <v>25</v>
          </cell>
          <cell r="W106">
            <v>25</v>
          </cell>
          <cell r="X106">
            <v>25</v>
          </cell>
          <cell r="Y106">
            <v>25</v>
          </cell>
          <cell r="Z106">
            <v>25</v>
          </cell>
          <cell r="AA106" t="str">
            <v>- avionics update CN235-300M a/c</v>
          </cell>
          <cell r="AB106">
            <v>125</v>
          </cell>
          <cell r="AC106">
            <v>125</v>
          </cell>
          <cell r="AD106">
            <v>125</v>
          </cell>
          <cell r="AG106" t="str">
            <v>http://www.rockwellcollins.com/products/gov/airborne/special-mission/joint-stars/index.html</v>
          </cell>
          <cell r="AK106" t="str">
            <v>http://www.rockwellcollins.com/products/gov/airborne/cargo-utility/ch47/index.html</v>
          </cell>
        </row>
        <row r="107">
          <cell r="B107" t="str">
            <v>Special Mission</v>
          </cell>
          <cell r="C107" t="str">
            <v>P-3 Orion</v>
          </cell>
          <cell r="S107">
            <v>25</v>
          </cell>
          <cell r="T107">
            <v>25</v>
          </cell>
          <cell r="U107">
            <v>25</v>
          </cell>
          <cell r="V107">
            <v>25</v>
          </cell>
          <cell r="W107">
            <v>25</v>
          </cell>
          <cell r="X107">
            <v>25</v>
          </cell>
          <cell r="Y107">
            <v>25</v>
          </cell>
          <cell r="Z107">
            <v>25</v>
          </cell>
          <cell r="AA107">
            <v>375</v>
          </cell>
          <cell r="AB107">
            <v>375</v>
          </cell>
          <cell r="AC107">
            <v>375</v>
          </cell>
          <cell r="AD107">
            <v>375</v>
          </cell>
          <cell r="AG107" t="str">
            <v>http://www.rockwellcollins.com/products/gov/airborne/special-mission/p3/index.html</v>
          </cell>
        </row>
        <row r="108">
          <cell r="C108" t="str">
            <v>S-92 Multi-Mission</v>
          </cell>
          <cell r="S108">
            <v>50</v>
          </cell>
          <cell r="T108">
            <v>50</v>
          </cell>
          <cell r="U108">
            <v>50</v>
          </cell>
          <cell r="V108">
            <v>50</v>
          </cell>
          <cell r="W108">
            <v>50</v>
          </cell>
          <cell r="X108">
            <v>50</v>
          </cell>
          <cell r="Y108">
            <v>50</v>
          </cell>
          <cell r="Z108">
            <v>50</v>
          </cell>
          <cell r="AA108" t="str">
            <v>- avionics update CN235-300M a/c</v>
          </cell>
          <cell r="AB108" t="str">
            <v>Look at UTX</v>
          </cell>
          <cell r="AC108">
            <v>25</v>
          </cell>
          <cell r="AD108">
            <v>25</v>
          </cell>
          <cell r="AE108" t="str">
            <v>Cuts during F3Q11</v>
          </cell>
          <cell r="AG108" t="str">
            <v>http://www.rockwellcollins.com/products/gov/airborne/special-mission/civil-transport/index.html</v>
          </cell>
          <cell r="AK108" t="str">
            <v>http://www.rockwellcollins.com/products/gov/airborne/special-mission/commando-solo/index.html</v>
          </cell>
        </row>
        <row r="109">
          <cell r="B109" t="str">
            <v>Special Mission</v>
          </cell>
          <cell r="C109" t="str">
            <v>U.S. Coast Guard MH-60T</v>
          </cell>
          <cell r="S109">
            <v>50</v>
          </cell>
          <cell r="T109">
            <v>50</v>
          </cell>
          <cell r="U109">
            <v>50</v>
          </cell>
          <cell r="V109">
            <v>50</v>
          </cell>
          <cell r="W109">
            <v>50</v>
          </cell>
          <cell r="X109">
            <v>50</v>
          </cell>
          <cell r="Y109">
            <v>50</v>
          </cell>
          <cell r="Z109">
            <v>50</v>
          </cell>
          <cell r="AA109">
            <v>25</v>
          </cell>
          <cell r="AB109" t="str">
            <v>Look at UTX</v>
          </cell>
          <cell r="AC109">
            <v>25</v>
          </cell>
          <cell r="AD109">
            <v>25</v>
          </cell>
          <cell r="AE109" t="str">
            <v>-Thre GEMS, secured communication..  20</v>
          </cell>
          <cell r="AG109" t="str">
            <v>http://www.rockwellcollins.com/products/gov/airborne/special-mission/mh-60t/index.html</v>
          </cell>
          <cell r="AI109" t="str">
            <v>Communications</v>
          </cell>
          <cell r="AK109" t="str">
            <v>http://www.rockwellcollins.com/products/gov/airborne/special-mission/e6b/index.html</v>
          </cell>
        </row>
        <row r="110">
          <cell r="C110" t="str">
            <v>S-70B SEAHAWK</v>
          </cell>
          <cell r="S110">
            <v>50</v>
          </cell>
          <cell r="T110">
            <v>50</v>
          </cell>
          <cell r="U110">
            <v>50</v>
          </cell>
          <cell r="V110">
            <v>50</v>
          </cell>
          <cell r="W110">
            <v>50</v>
          </cell>
          <cell r="X110">
            <v>50</v>
          </cell>
          <cell r="Y110">
            <v>50</v>
          </cell>
          <cell r="Z110">
            <v>50</v>
          </cell>
          <cell r="AA110" t="str">
            <v>- avionics update CN235-300M a/c</v>
          </cell>
          <cell r="AB110" t="str">
            <v>Look at UTX</v>
          </cell>
          <cell r="AC110">
            <v>25</v>
          </cell>
          <cell r="AD110">
            <v>25</v>
          </cell>
          <cell r="AE110" t="str">
            <v>- avionics update CN235-300M a/c</v>
          </cell>
          <cell r="AG110" t="str">
            <v>http://www.rockwellcollins.com/products/gov/airborne/special-mission/s-70b/index.html</v>
          </cell>
          <cell r="AI110" t="str">
            <v>Surface</v>
          </cell>
          <cell r="AK110" t="str">
            <v>http://www.rockwellcollins.com/products/gov/airborne/special-mission/commando-solo/index.html</v>
          </cell>
        </row>
        <row r="111">
          <cell r="C111" t="str">
            <v>USMC VH-60N (Presidential Helicopter)</v>
          </cell>
          <cell r="S111">
            <v>25</v>
          </cell>
          <cell r="T111">
            <v>25</v>
          </cell>
          <cell r="U111">
            <v>25</v>
          </cell>
          <cell r="V111">
            <v>25</v>
          </cell>
          <cell r="W111">
            <v>25</v>
          </cell>
          <cell r="X111">
            <v>25</v>
          </cell>
          <cell r="Y111">
            <v>25</v>
          </cell>
          <cell r="Z111">
            <v>25</v>
          </cell>
          <cell r="AA111">
            <v>25</v>
          </cell>
          <cell r="AB111" t="str">
            <v>Look at UTX</v>
          </cell>
          <cell r="AC111">
            <v>25</v>
          </cell>
          <cell r="AD111">
            <v>25</v>
          </cell>
          <cell r="AE111" t="str">
            <v>Integrated Combat… 20</v>
          </cell>
          <cell r="AG111" t="str">
            <v>http://www.rockwellcollins.com/products/gov/airborne/special-mission/vh-60n/index.html</v>
          </cell>
          <cell r="AI111" t="str">
            <v>Surface</v>
          </cell>
          <cell r="AK111" t="str">
            <v>http://www.rockwellcollins.com/products/gov/airborne/special-mission/e6b/index.html</v>
          </cell>
        </row>
        <row r="112">
          <cell r="B112" t="str">
            <v>Total</v>
          </cell>
          <cell r="C112" t="str">
            <v>P-3 Orion</v>
          </cell>
          <cell r="S112">
            <v>300</v>
          </cell>
          <cell r="T112">
            <v>300</v>
          </cell>
          <cell r="U112">
            <v>300</v>
          </cell>
          <cell r="V112">
            <v>300</v>
          </cell>
          <cell r="W112">
            <v>300</v>
          </cell>
          <cell r="X112">
            <v>300</v>
          </cell>
          <cell r="Y112">
            <v>300</v>
          </cell>
          <cell r="Z112">
            <v>300</v>
          </cell>
          <cell r="AA112">
            <v>25</v>
          </cell>
          <cell r="AB112" t="str">
            <v>Look at UTX</v>
          </cell>
          <cell r="AC112">
            <v>25</v>
          </cell>
          <cell r="AD112">
            <v>25</v>
          </cell>
          <cell r="AE112" t="str">
            <v>- avionics update CN235-300M a/c</v>
          </cell>
          <cell r="AG112" t="str">
            <v>http://www.rockwellcollins.com/products/gov/airborne/special-mission/p3/index.html</v>
          </cell>
          <cell r="AK112" t="str">
            <v>http://www.rockwellcollins.com/products/gov/airborne/special-mission/deepwater/index.html</v>
          </cell>
        </row>
        <row r="113">
          <cell r="B113" t="str">
            <v>Total</v>
          </cell>
          <cell r="C113" t="str">
            <v>S-92 Multi-Mission</v>
          </cell>
          <cell r="S113">
            <v>50</v>
          </cell>
          <cell r="T113">
            <v>50</v>
          </cell>
          <cell r="U113">
            <v>50</v>
          </cell>
          <cell r="V113">
            <v>50</v>
          </cell>
          <cell r="W113">
            <v>50</v>
          </cell>
          <cell r="X113">
            <v>50</v>
          </cell>
          <cell r="Y113">
            <v>50</v>
          </cell>
          <cell r="Z113">
            <v>50</v>
          </cell>
          <cell r="AA113">
            <v>25</v>
          </cell>
          <cell r="AB113" t="str">
            <v>Look at UTX</v>
          </cell>
          <cell r="AC113">
            <v>25</v>
          </cell>
          <cell r="AD113">
            <v>25</v>
          </cell>
          <cell r="AE113" t="str">
            <v>Additonal cuts post F3Q11</v>
          </cell>
          <cell r="AF113" t="str">
            <v>Look at UTX</v>
          </cell>
          <cell r="AG113" t="str">
            <v>http://www.rockwellcollins.com/products/gov/airborne/special-mission/civil-transport/index.html</v>
          </cell>
          <cell r="AK113" t="str">
            <v>http://www.rockwellcollins.com/products/gov/airborne/special-mission/joint-stars/index.html</v>
          </cell>
        </row>
        <row r="114">
          <cell r="B114" t="str">
            <v>Fighter / Bomber</v>
          </cell>
          <cell r="C114" t="str">
            <v>U.S. Coast Guard MH-60T</v>
          </cell>
          <cell r="S114">
            <v>50</v>
          </cell>
          <cell r="T114">
            <v>50</v>
          </cell>
          <cell r="U114">
            <v>50</v>
          </cell>
          <cell r="V114">
            <v>50</v>
          </cell>
          <cell r="W114">
            <v>50</v>
          </cell>
          <cell r="X114">
            <v>50</v>
          </cell>
          <cell r="Y114">
            <v>50</v>
          </cell>
          <cell r="Z114">
            <v>50</v>
          </cell>
          <cell r="AA114">
            <v>25</v>
          </cell>
          <cell r="AB114" t="str">
            <v>Look at UTX</v>
          </cell>
          <cell r="AC114">
            <v>25</v>
          </cell>
          <cell r="AD114">
            <v>25</v>
          </cell>
          <cell r="AE114" t="str">
            <v>-- DAGR $75mn drawdown due to lower optempo, mostly first half</v>
          </cell>
          <cell r="AF114" t="str">
            <v>Look at UTX</v>
          </cell>
          <cell r="AG114" t="str">
            <v>http://www.rockwellcollins.com/products/gov/airborne/special-mission/mh-60t/index.html</v>
          </cell>
          <cell r="AK114" t="str">
            <v>http://www.rockwellcollins.com/products/gov/airborne/special-mission/p3/index.html</v>
          </cell>
        </row>
        <row r="115">
          <cell r="B115" t="str">
            <v>Fighter / Bomber</v>
          </cell>
          <cell r="C115" t="str">
            <v>S-70B SEAHAWK</v>
          </cell>
          <cell r="S115">
            <v>20</v>
          </cell>
          <cell r="T115">
            <v>20</v>
          </cell>
          <cell r="U115">
            <v>20</v>
          </cell>
          <cell r="V115">
            <v>20</v>
          </cell>
          <cell r="W115">
            <v>20</v>
          </cell>
          <cell r="X115">
            <v>20</v>
          </cell>
          <cell r="Y115">
            <v>20</v>
          </cell>
          <cell r="Z115">
            <v>20</v>
          </cell>
          <cell r="AA115">
            <v>50</v>
          </cell>
          <cell r="AB115" t="str">
            <v>Look at UTX</v>
          </cell>
          <cell r="AC115">
            <v>50</v>
          </cell>
          <cell r="AD115">
            <v>50</v>
          </cell>
          <cell r="AE115" t="str">
            <v>$100mn total impact from lower OCO (from $150 to $50)</v>
          </cell>
          <cell r="AF115" t="str">
            <v>Look at UTX</v>
          </cell>
          <cell r="AG115" t="str">
            <v>http://www.rockwellcollins.com/products/gov/airborne/fighters/f15/index.html</v>
          </cell>
          <cell r="AK115" t="str">
            <v>http://www.rockwellcollins.com/products/gov/airborne/special-mission/civil-transport/index.html</v>
          </cell>
        </row>
        <row r="116">
          <cell r="C116" t="str">
            <v>F-16 Fighting Falcon</v>
          </cell>
          <cell r="S116">
            <v>20</v>
          </cell>
          <cell r="T116">
            <v>20</v>
          </cell>
          <cell r="U116">
            <v>20</v>
          </cell>
          <cell r="V116">
            <v>20</v>
          </cell>
          <cell r="W116">
            <v>20</v>
          </cell>
          <cell r="X116">
            <v>20</v>
          </cell>
          <cell r="Y116">
            <v>20</v>
          </cell>
          <cell r="Z116">
            <v>20</v>
          </cell>
          <cell r="AA116">
            <v>50</v>
          </cell>
          <cell r="AB116">
            <v>50</v>
          </cell>
          <cell r="AC116">
            <v>50</v>
          </cell>
          <cell r="AD116">
            <v>50</v>
          </cell>
          <cell r="AF116" t="str">
            <v>Look at UTX</v>
          </cell>
          <cell r="AG116" t="str">
            <v>http://www.rockwellcollins.com/products/gov/airborne/fighters/f16/index.html</v>
          </cell>
          <cell r="AK116" t="str">
            <v>http://www.rockwellcollins.com/products/gov/airborne/special-mission/mh-60t/index.html</v>
          </cell>
        </row>
        <row r="117">
          <cell r="B117" t="str">
            <v>Total</v>
          </cell>
          <cell r="C117" t="str">
            <v>F/A-18 Super Hornet</v>
          </cell>
          <cell r="S117">
            <v>20</v>
          </cell>
          <cell r="T117">
            <v>20</v>
          </cell>
          <cell r="U117">
            <v>20</v>
          </cell>
          <cell r="V117">
            <v>20</v>
          </cell>
          <cell r="W117">
            <v>20</v>
          </cell>
          <cell r="X117">
            <v>20</v>
          </cell>
          <cell r="Y117">
            <v>20</v>
          </cell>
          <cell r="Z117">
            <v>20</v>
          </cell>
          <cell r="AA117">
            <v>50</v>
          </cell>
          <cell r="AB117">
            <v>50</v>
          </cell>
          <cell r="AC117">
            <v>50</v>
          </cell>
          <cell r="AD117">
            <v>50</v>
          </cell>
          <cell r="AE117" t="str">
            <v>At Risk</v>
          </cell>
          <cell r="AF117" t="str">
            <v>Look at UTX</v>
          </cell>
          <cell r="AG117" t="str">
            <v>http://www.rockwellcollins.com/products/gov/airborne/fighters/f18/index.html</v>
          </cell>
          <cell r="AK117" t="str">
            <v>http://www.rockwellcollins.com/products/gov/airborne/special-mission/s-70b/index.html</v>
          </cell>
        </row>
        <row r="118">
          <cell r="C118" t="str">
            <v>F-22A Raptor</v>
          </cell>
          <cell r="S118">
            <v>20</v>
          </cell>
          <cell r="T118">
            <v>20</v>
          </cell>
          <cell r="U118">
            <v>20</v>
          </cell>
          <cell r="V118">
            <v>20</v>
          </cell>
          <cell r="W118">
            <v>20</v>
          </cell>
          <cell r="X118">
            <v>20</v>
          </cell>
          <cell r="Y118">
            <v>20</v>
          </cell>
          <cell r="Z118">
            <v>20</v>
          </cell>
          <cell r="AA118">
            <v>25</v>
          </cell>
          <cell r="AB118">
            <v>25</v>
          </cell>
          <cell r="AC118">
            <v>25</v>
          </cell>
          <cell r="AD118">
            <v>25</v>
          </cell>
          <cell r="AE118" t="str">
            <v>JTRS</v>
          </cell>
          <cell r="AG118" t="str">
            <v>http://www.rockwellcollins.com/products/gov/airborne/fighters/f22/index.html</v>
          </cell>
          <cell r="AK118" t="str">
            <v>http://www.rockwellcollins.com/products/gov/airborne/special-mission/vh-60n/index.html</v>
          </cell>
        </row>
        <row r="119">
          <cell r="B119" t="str">
            <v>Fighter / Bomber</v>
          </cell>
          <cell r="C119" t="str">
            <v>F-35 Joint Strike Fighter</v>
          </cell>
          <cell r="S119">
            <v>20</v>
          </cell>
          <cell r="T119">
            <v>20</v>
          </cell>
          <cell r="U119">
            <v>20</v>
          </cell>
          <cell r="V119">
            <v>20</v>
          </cell>
          <cell r="W119">
            <v>20</v>
          </cell>
          <cell r="X119">
            <v>20</v>
          </cell>
          <cell r="Y119">
            <v>20</v>
          </cell>
          <cell r="Z119">
            <v>20</v>
          </cell>
          <cell r="AA119">
            <v>300</v>
          </cell>
          <cell r="AB119">
            <v>300</v>
          </cell>
          <cell r="AC119">
            <v>300</v>
          </cell>
          <cell r="AD119">
            <v>300</v>
          </cell>
          <cell r="AE119" t="str">
            <v>-- GMR at risk - current a stop work order.. Already anticipated in guidance</v>
          </cell>
          <cell r="AG119" t="str">
            <v>http://www.rockwellcollins.com/products/gov/airborne/fighters/f35/index.html</v>
          </cell>
        </row>
        <row r="120">
          <cell r="C120" t="str">
            <v>B-1B Lancer</v>
          </cell>
          <cell r="S120">
            <v>20</v>
          </cell>
          <cell r="T120">
            <v>20</v>
          </cell>
          <cell r="U120">
            <v>20</v>
          </cell>
          <cell r="V120">
            <v>20</v>
          </cell>
          <cell r="W120">
            <v>20</v>
          </cell>
          <cell r="X120">
            <v>20</v>
          </cell>
          <cell r="Y120">
            <v>20</v>
          </cell>
          <cell r="Z120">
            <v>20</v>
          </cell>
          <cell r="AA120">
            <v>20</v>
          </cell>
          <cell r="AB120">
            <v>20</v>
          </cell>
          <cell r="AC120">
            <v>20</v>
          </cell>
          <cell r="AD120">
            <v>20</v>
          </cell>
          <cell r="AE120" t="str">
            <v>-- HMS (Manpack) - continuing to go forward</v>
          </cell>
          <cell r="AG120" t="str">
            <v>http://www.rockwellcollins.com/products/gov/airborne/fighters/B-1B/index.html</v>
          </cell>
          <cell r="AK120" t="str">
            <v>http://www.rockwellcollins.com/products/gov/airborne/fighters/f15/index.html</v>
          </cell>
        </row>
        <row r="121">
          <cell r="B121" t="str">
            <v>Fighter / Bomber</v>
          </cell>
          <cell r="C121" t="str">
            <v>B-52H</v>
          </cell>
          <cell r="S121">
            <v>20</v>
          </cell>
          <cell r="T121">
            <v>20</v>
          </cell>
          <cell r="U121">
            <v>20</v>
          </cell>
          <cell r="V121">
            <v>20</v>
          </cell>
          <cell r="W121">
            <v>20</v>
          </cell>
          <cell r="X121">
            <v>20</v>
          </cell>
          <cell r="Y121">
            <v>20</v>
          </cell>
          <cell r="Z121">
            <v>20</v>
          </cell>
          <cell r="AA121">
            <v>20</v>
          </cell>
          <cell r="AB121">
            <v>20</v>
          </cell>
          <cell r="AC121">
            <v>20</v>
          </cell>
          <cell r="AD121">
            <v>20</v>
          </cell>
          <cell r="AE121" t="str">
            <v>-- MIDS-J - currently delivering</v>
          </cell>
          <cell r="AG121" t="str">
            <v>http://www.rockwellcollins.com/products/gov/airborne/fighters/B-52/index.html</v>
          </cell>
          <cell r="AK121" t="str">
            <v>http://www.rockwellcollins.com/products/gov/airborne/fighters/f16/index.html</v>
          </cell>
        </row>
        <row r="122">
          <cell r="B122" t="str">
            <v>Pension</v>
          </cell>
          <cell r="C122" t="str">
            <v>Mirage 2000 (Dassault)</v>
          </cell>
          <cell r="S122">
            <v>20</v>
          </cell>
          <cell r="T122">
            <v>20</v>
          </cell>
          <cell r="U122">
            <v>20</v>
          </cell>
          <cell r="V122">
            <v>20</v>
          </cell>
          <cell r="W122">
            <v>20</v>
          </cell>
          <cell r="X122">
            <v>20</v>
          </cell>
          <cell r="Y122">
            <v>20</v>
          </cell>
          <cell r="Z122">
            <v>20</v>
          </cell>
          <cell r="AA122">
            <v>20</v>
          </cell>
          <cell r="AB122">
            <v>20</v>
          </cell>
          <cell r="AC122">
            <v>20</v>
          </cell>
          <cell r="AD122">
            <v>20</v>
          </cell>
          <cell r="AG122" t="str">
            <v>http://www.rockwellcollins.com/products/gov/airborne/fighters/mirage/index.html</v>
          </cell>
          <cell r="AK122" t="str">
            <v>http://www.rockwellcollins.com/products/gov/airborne/fighters/f15/index.html</v>
          </cell>
        </row>
        <row r="123">
          <cell r="B123" t="str">
            <v>San Jose</v>
          </cell>
          <cell r="C123" t="str">
            <v>Gripen (SAAB)</v>
          </cell>
          <cell r="S123">
            <v>20</v>
          </cell>
          <cell r="T123">
            <v>20</v>
          </cell>
          <cell r="U123">
            <v>20</v>
          </cell>
          <cell r="V123">
            <v>20</v>
          </cell>
          <cell r="W123">
            <v>20</v>
          </cell>
          <cell r="X123">
            <v>20</v>
          </cell>
          <cell r="Y123">
            <v>20</v>
          </cell>
          <cell r="Z123">
            <v>20</v>
          </cell>
          <cell r="AA123">
            <v>20</v>
          </cell>
          <cell r="AB123">
            <v>20</v>
          </cell>
          <cell r="AC123">
            <v>20</v>
          </cell>
          <cell r="AD123">
            <v>20</v>
          </cell>
          <cell r="AE123" t="str">
            <v>Opportunities</v>
          </cell>
          <cell r="AG123" t="str">
            <v>http://www.rockwellcollins.com/products/gov/airborne/fighters/gripen/index.html</v>
          </cell>
          <cell r="AK123" t="str">
            <v>http://www.rockwellcollins.com/products/gov/airborne/fighters/f16/index.html</v>
          </cell>
        </row>
        <row r="124">
          <cell r="B124" t="str">
            <v>Total</v>
          </cell>
          <cell r="C124" t="str">
            <v>F-35 Joint Strike Fighter</v>
          </cell>
          <cell r="S124">
            <v>180</v>
          </cell>
          <cell r="T124">
            <v>180</v>
          </cell>
          <cell r="U124">
            <v>180</v>
          </cell>
          <cell r="V124">
            <v>180</v>
          </cell>
          <cell r="W124">
            <v>180</v>
          </cell>
          <cell r="X124">
            <v>180</v>
          </cell>
          <cell r="Y124">
            <v>180</v>
          </cell>
          <cell r="Z124">
            <v>180</v>
          </cell>
          <cell r="AA124">
            <v>20</v>
          </cell>
          <cell r="AB124">
            <v>20</v>
          </cell>
          <cell r="AC124">
            <v>20</v>
          </cell>
          <cell r="AD124">
            <v>20</v>
          </cell>
          <cell r="AE124" t="str">
            <v>90% Fixed price, 50% on commercial terms</v>
          </cell>
          <cell r="AG124" t="str">
            <v>http://www.rockwellcollins.com/products/gov/airborne/fighters/f35/index.html</v>
          </cell>
          <cell r="AK124" t="str">
            <v>http://www.rockwellcollins.com/products/gov/airborne/fighters/f18/index.html</v>
          </cell>
        </row>
        <row r="125">
          <cell r="B125" t="str">
            <v>Total</v>
          </cell>
          <cell r="C125" t="str">
            <v>B-1B Lancer</v>
          </cell>
          <cell r="E125" t="b">
            <v>1</v>
          </cell>
          <cell r="F125" t="b">
            <v>1</v>
          </cell>
          <cell r="G125" t="b">
            <v>1</v>
          </cell>
          <cell r="H125" t="b">
            <v>1</v>
          </cell>
          <cell r="I125" t="b">
            <v>1</v>
          </cell>
          <cell r="J125" t="b">
            <v>1</v>
          </cell>
          <cell r="K125" t="b">
            <v>1</v>
          </cell>
          <cell r="L125" t="b">
            <v>1</v>
          </cell>
          <cell r="M125" t="b">
            <v>1</v>
          </cell>
          <cell r="N125" t="b">
            <v>1</v>
          </cell>
          <cell r="O125" t="b">
            <v>1</v>
          </cell>
          <cell r="P125" t="b">
            <v>1</v>
          </cell>
          <cell r="Q125" t="b">
            <v>0</v>
          </cell>
          <cell r="R125" t="b">
            <v>0</v>
          </cell>
          <cell r="S125">
            <v>20</v>
          </cell>
          <cell r="T125">
            <v>20</v>
          </cell>
          <cell r="U125">
            <v>20</v>
          </cell>
          <cell r="V125">
            <v>20</v>
          </cell>
          <cell r="W125">
            <v>20</v>
          </cell>
          <cell r="X125">
            <v>20</v>
          </cell>
          <cell r="Y125">
            <v>20</v>
          </cell>
          <cell r="Z125">
            <v>20</v>
          </cell>
          <cell r="AA125">
            <v>20</v>
          </cell>
          <cell r="AB125">
            <v>20</v>
          </cell>
          <cell r="AC125">
            <v>20</v>
          </cell>
          <cell r="AD125">
            <v>20</v>
          </cell>
          <cell r="AE125" t="b">
            <v>0</v>
          </cell>
          <cell r="AF125" t="b">
            <v>0</v>
          </cell>
          <cell r="AG125" t="str">
            <v>http://www.rockwellcollins.com/products/gov/airborne/fighters/B-1B/index.html</v>
          </cell>
          <cell r="AH125" t="b">
            <v>0</v>
          </cell>
          <cell r="AK125" t="str">
            <v>http://www.rockwellcollins.com/products/gov/airborne/fighters/f22/index.html</v>
          </cell>
        </row>
        <row r="126">
          <cell r="B126" t="str">
            <v>Unmanned Systems</v>
          </cell>
          <cell r="C126" t="str">
            <v>B-52H</v>
          </cell>
          <cell r="E126" t="b">
            <v>1</v>
          </cell>
          <cell r="F126" t="b">
            <v>1</v>
          </cell>
          <cell r="G126" t="b">
            <v>1</v>
          </cell>
          <cell r="H126" t="b">
            <v>1</v>
          </cell>
          <cell r="I126" t="b">
            <v>1</v>
          </cell>
          <cell r="J126" t="b">
            <v>1</v>
          </cell>
          <cell r="K126" t="b">
            <v>0</v>
          </cell>
          <cell r="L126" t="b">
            <v>0</v>
          </cell>
          <cell r="M126" t="b">
            <v>1</v>
          </cell>
          <cell r="N126" t="b">
            <v>0</v>
          </cell>
          <cell r="O126">
            <v>0.46399999999999864</v>
          </cell>
          <cell r="P126">
            <v>-0.76300000000000523</v>
          </cell>
          <cell r="Q126" t="b">
            <v>0</v>
          </cell>
          <cell r="R126" t="b">
            <v>0</v>
          </cell>
          <cell r="S126">
            <v>20</v>
          </cell>
          <cell r="T126">
            <v>20</v>
          </cell>
          <cell r="U126">
            <v>20</v>
          </cell>
          <cell r="V126">
            <v>20</v>
          </cell>
          <cell r="W126">
            <v>20</v>
          </cell>
          <cell r="X126">
            <v>20</v>
          </cell>
          <cell r="Y126">
            <v>20</v>
          </cell>
          <cell r="Z126">
            <v>20</v>
          </cell>
          <cell r="AA126">
            <v>20</v>
          </cell>
          <cell r="AB126">
            <v>20</v>
          </cell>
          <cell r="AC126">
            <v>20</v>
          </cell>
          <cell r="AD126">
            <v>20</v>
          </cell>
          <cell r="AE126" t="b">
            <v>1</v>
          </cell>
          <cell r="AF126" t="b">
            <v>1</v>
          </cell>
          <cell r="AG126" t="str">
            <v>http://www.rockwellcollins.com/products/gov/airborne/fighters/B-52/index.html</v>
          </cell>
          <cell r="AH126" t="b">
            <v>1</v>
          </cell>
          <cell r="AK126" t="str">
            <v>http://www.rockwellcollins.com/products/gov/airborne/fighters/f35/index.html</v>
          </cell>
        </row>
        <row r="127">
          <cell r="B127" t="str">
            <v>Unmanned Systems</v>
          </cell>
          <cell r="C127" t="str">
            <v>Mirage 2000 (Dassault)</v>
          </cell>
          <cell r="S127">
            <v>22</v>
          </cell>
          <cell r="T127">
            <v>50</v>
          </cell>
          <cell r="U127">
            <v>100</v>
          </cell>
          <cell r="V127">
            <v>120</v>
          </cell>
          <cell r="W127">
            <v>140</v>
          </cell>
          <cell r="X127">
            <v>160</v>
          </cell>
          <cell r="Y127">
            <v>180</v>
          </cell>
          <cell r="Z127">
            <v>200</v>
          </cell>
          <cell r="AA127">
            <v>20</v>
          </cell>
          <cell r="AB127">
            <v>20</v>
          </cell>
          <cell r="AC127">
            <v>20</v>
          </cell>
          <cell r="AD127">
            <v>20</v>
          </cell>
          <cell r="AE127" t="str">
            <v>Firestorm</v>
          </cell>
          <cell r="AG127" t="str">
            <v>http://www.rockwellcollins.com/products/gov/airborne/uas-solutions/flight-controls/index.html</v>
          </cell>
          <cell r="AK127" t="str">
            <v>http://www.rockwellcollins.com/products/gov/airborne/fighters/B-1B/index.html</v>
          </cell>
        </row>
        <row r="128">
          <cell r="C128" t="str">
            <v>Other</v>
          </cell>
          <cell r="S128">
            <v>10</v>
          </cell>
          <cell r="T128">
            <v>20</v>
          </cell>
          <cell r="U128">
            <v>30</v>
          </cell>
          <cell r="V128">
            <v>40</v>
          </cell>
          <cell r="W128">
            <v>50</v>
          </cell>
          <cell r="X128">
            <v>60</v>
          </cell>
          <cell r="Y128">
            <v>70</v>
          </cell>
          <cell r="Z128">
            <v>80</v>
          </cell>
          <cell r="AA128">
            <v>20</v>
          </cell>
          <cell r="AB128">
            <v>20</v>
          </cell>
          <cell r="AC128">
            <v>20</v>
          </cell>
          <cell r="AD128">
            <v>20</v>
          </cell>
          <cell r="AE128" t="str">
            <v>75% of revs on legacy platforms</v>
          </cell>
          <cell r="AG128" t="str">
            <v>http://www.rockwellcollins.com/products/gov/airborne/fighters/gripen/index.html</v>
          </cell>
          <cell r="AK128" t="str">
            <v>http://www.rockwellcollins.com/products/gov/airborne/fighters/B-52/index.html</v>
          </cell>
        </row>
        <row r="129">
          <cell r="A129" t="str">
            <v>Airborne Solutions Program Build</v>
          </cell>
          <cell r="B129" t="str">
            <v>Total</v>
          </cell>
          <cell r="C129" t="str">
            <v>Other</v>
          </cell>
          <cell r="S129">
            <v>32</v>
          </cell>
          <cell r="T129">
            <v>70</v>
          </cell>
          <cell r="U129">
            <v>130</v>
          </cell>
          <cell r="V129">
            <v>160</v>
          </cell>
          <cell r="W129">
            <v>190</v>
          </cell>
          <cell r="X129">
            <v>220</v>
          </cell>
          <cell r="Y129">
            <v>250</v>
          </cell>
          <cell r="Z129">
            <v>280</v>
          </cell>
          <cell r="AA129">
            <v>20</v>
          </cell>
          <cell r="AB129">
            <v>20</v>
          </cell>
          <cell r="AC129">
            <v>20</v>
          </cell>
          <cell r="AD129">
            <v>20</v>
          </cell>
          <cell r="AK129" t="str">
            <v>http://www.rockwellcollins.com/products/gov/airborne/fighters/mirage/index.html</v>
          </cell>
        </row>
        <row r="130">
          <cell r="B130" t="str">
            <v>Total</v>
          </cell>
          <cell r="C130" t="str">
            <v>Athena Technologies</v>
          </cell>
          <cell r="S130">
            <v>32</v>
          </cell>
          <cell r="T130">
            <v>70</v>
          </cell>
          <cell r="U130">
            <v>130</v>
          </cell>
          <cell r="V130">
            <v>160</v>
          </cell>
          <cell r="W130">
            <v>190</v>
          </cell>
          <cell r="X130">
            <v>220</v>
          </cell>
          <cell r="Y130">
            <v>250</v>
          </cell>
          <cell r="Z130">
            <v>280</v>
          </cell>
          <cell r="AA130">
            <v>20</v>
          </cell>
          <cell r="AB130">
            <v>20</v>
          </cell>
          <cell r="AC130">
            <v>20</v>
          </cell>
          <cell r="AD130">
            <v>20</v>
          </cell>
          <cell r="AG130" t="str">
            <v>http://www.rockwellcollins.com/products/gov/airborne/uas-solutions/flight-controls/index.html</v>
          </cell>
          <cell r="AK130" t="str">
            <v>http://www.rockwellcollins.com/products/gov/airborne/fighters/gripen/index.html</v>
          </cell>
        </row>
        <row r="131">
          <cell r="B131" t="str">
            <v>Other / Unaccounted for</v>
          </cell>
          <cell r="C131" t="str">
            <v>Other</v>
          </cell>
          <cell r="S131">
            <v>500</v>
          </cell>
          <cell r="T131">
            <v>561</v>
          </cell>
          <cell r="U131">
            <v>610</v>
          </cell>
          <cell r="V131">
            <v>680</v>
          </cell>
          <cell r="W131">
            <v>700</v>
          </cell>
          <cell r="X131">
            <v>750</v>
          </cell>
          <cell r="Y131">
            <v>795</v>
          </cell>
          <cell r="Z131">
            <v>840</v>
          </cell>
          <cell r="AA131">
            <v>180</v>
          </cell>
          <cell r="AB131">
            <v>180</v>
          </cell>
          <cell r="AC131">
            <v>180</v>
          </cell>
          <cell r="AD131">
            <v>180</v>
          </cell>
        </row>
        <row r="132">
          <cell r="B132" t="str">
            <v>Other / Unaccounted for</v>
          </cell>
          <cell r="C132" t="str">
            <v>Athena Technologies</v>
          </cell>
          <cell r="S132">
            <v>22</v>
          </cell>
          <cell r="T132">
            <v>50</v>
          </cell>
          <cell r="U132">
            <v>100</v>
          </cell>
          <cell r="V132">
            <v>120</v>
          </cell>
          <cell r="W132">
            <v>140</v>
          </cell>
          <cell r="X132">
            <v>160</v>
          </cell>
          <cell r="Y132">
            <v>180</v>
          </cell>
          <cell r="Z132">
            <v>200</v>
          </cell>
          <cell r="AA132">
            <v>140</v>
          </cell>
          <cell r="AB132">
            <v>160</v>
          </cell>
          <cell r="AC132">
            <v>180</v>
          </cell>
          <cell r="AD132">
            <v>200</v>
          </cell>
          <cell r="AE132">
            <v>100</v>
          </cell>
          <cell r="AF132">
            <v>150</v>
          </cell>
          <cell r="AG132" t="str">
            <v>http://www.rockwellcollins.com/products/gov/airborne/uas-solutions/flight-controls/index.html</v>
          </cell>
          <cell r="AH132">
            <v>200</v>
          </cell>
          <cell r="AJ132" t="str">
            <v>Big program</v>
          </cell>
          <cell r="AK132" t="str">
            <v>http://www.rockwellcollins.com/products/gov/airborne/uas-solutions/flight-controls/index.html</v>
          </cell>
          <cell r="AO132" t="str">
            <v>http://www.rockwellcollins.com/products/gov/airborne/tanker-transport/boeing767/index.html</v>
          </cell>
        </row>
        <row r="133">
          <cell r="B133" t="str">
            <v>Airborne Solutions Program Build</v>
          </cell>
          <cell r="C133" t="str">
            <v>Other</v>
          </cell>
          <cell r="S133">
            <v>1662</v>
          </cell>
          <cell r="T133">
            <v>1761</v>
          </cell>
          <cell r="U133">
            <v>1870</v>
          </cell>
          <cell r="V133">
            <v>1970</v>
          </cell>
          <cell r="W133">
            <v>2070</v>
          </cell>
          <cell r="X133">
            <v>2200</v>
          </cell>
          <cell r="Y133">
            <v>2300</v>
          </cell>
          <cell r="Z133">
            <v>2400</v>
          </cell>
          <cell r="AA133">
            <v>50</v>
          </cell>
          <cell r="AB133">
            <v>60</v>
          </cell>
          <cell r="AC133">
            <v>70</v>
          </cell>
          <cell r="AD133">
            <v>80</v>
          </cell>
          <cell r="AE133">
            <v>0</v>
          </cell>
          <cell r="AF133">
            <v>0</v>
          </cell>
          <cell r="AG133">
            <v>0</v>
          </cell>
          <cell r="AH133">
            <v>0</v>
          </cell>
          <cell r="AJ133" t="str">
            <v>Spring 2010</v>
          </cell>
          <cell r="AO133" t="str">
            <v>http://www.rockwellcollins.com/products/gov/airborne/tanker-transport/c130/index.html</v>
          </cell>
        </row>
        <row r="134">
          <cell r="B134" t="str">
            <v>Total</v>
          </cell>
          <cell r="C134" t="str">
            <v>Difference vs. Top-Down Segment Forecast</v>
          </cell>
          <cell r="S134">
            <v>0</v>
          </cell>
          <cell r="T134">
            <v>0</v>
          </cell>
          <cell r="U134">
            <v>0</v>
          </cell>
          <cell r="V134">
            <v>0</v>
          </cell>
          <cell r="W134">
            <v>0</v>
          </cell>
          <cell r="X134">
            <v>0</v>
          </cell>
          <cell r="Y134">
            <v>0</v>
          </cell>
          <cell r="Z134">
            <v>0</v>
          </cell>
          <cell r="AA134">
            <v>140</v>
          </cell>
          <cell r="AB134">
            <v>160</v>
          </cell>
          <cell r="AC134">
            <v>180</v>
          </cell>
          <cell r="AD134">
            <v>200</v>
          </cell>
          <cell r="AE134">
            <v>100</v>
          </cell>
          <cell r="AF134">
            <v>100</v>
          </cell>
          <cell r="AG134">
            <v>100</v>
          </cell>
          <cell r="AH134">
            <v>100</v>
          </cell>
          <cell r="AJ134" t="str">
            <v>Look at LMT</v>
          </cell>
          <cell r="AK134" t="str">
            <v>http://www.rockwellcollins.com/products/gov/airborne/uas-solutions/flight-controls/index.html</v>
          </cell>
          <cell r="AO134" t="str">
            <v>http://www.rockwellcollins.com/products/gov/airborne/tanker-transport/c130/index.html</v>
          </cell>
        </row>
        <row r="135">
          <cell r="B135" t="str">
            <v>San Jose</v>
          </cell>
          <cell r="C135" t="str">
            <v>Difference vs. Top-Down Segment Forecast</v>
          </cell>
          <cell r="S135">
            <v>0</v>
          </cell>
          <cell r="T135">
            <v>0</v>
          </cell>
          <cell r="U135">
            <v>0</v>
          </cell>
          <cell r="V135">
            <v>0</v>
          </cell>
          <cell r="W135">
            <v>0</v>
          </cell>
          <cell r="X135">
            <v>0</v>
          </cell>
          <cell r="Y135">
            <v>0</v>
          </cell>
          <cell r="Z135">
            <v>0</v>
          </cell>
          <cell r="AA135">
            <v>50</v>
          </cell>
          <cell r="AB135">
            <v>60</v>
          </cell>
          <cell r="AC135">
            <v>70</v>
          </cell>
          <cell r="AD135">
            <v>80</v>
          </cell>
          <cell r="AE135">
            <v>0</v>
          </cell>
          <cell r="AF135">
            <v>0</v>
          </cell>
          <cell r="AG135">
            <v>0</v>
          </cell>
          <cell r="AH135">
            <v>0</v>
          </cell>
          <cell r="AJ135" t="str">
            <v>Look at LMT</v>
          </cell>
        </row>
        <row r="136">
          <cell r="A136" t="str">
            <v>Surface Solutions Program Build</v>
          </cell>
          <cell r="B136" t="str">
            <v>Other / Unaccounted for</v>
          </cell>
          <cell r="C136" t="str">
            <v>C/K-135 GATM (Global Air Traffic Management)</v>
          </cell>
          <cell r="L136" t="str">
            <v>Program Value</v>
          </cell>
          <cell r="S136">
            <v>500</v>
          </cell>
          <cell r="T136">
            <v>561</v>
          </cell>
          <cell r="U136">
            <v>610</v>
          </cell>
          <cell r="V136">
            <v>635</v>
          </cell>
          <cell r="W136">
            <v>650</v>
          </cell>
          <cell r="X136">
            <v>650</v>
          </cell>
          <cell r="Y136">
            <v>645</v>
          </cell>
          <cell r="Z136">
            <v>640</v>
          </cell>
          <cell r="AA136">
            <v>190</v>
          </cell>
          <cell r="AB136">
            <v>220</v>
          </cell>
          <cell r="AC136">
            <v>250</v>
          </cell>
          <cell r="AD136">
            <v>280</v>
          </cell>
          <cell r="AE136">
            <v>125</v>
          </cell>
          <cell r="AF136">
            <v>125</v>
          </cell>
          <cell r="AG136">
            <v>125</v>
          </cell>
          <cell r="AH136">
            <v>125</v>
          </cell>
          <cell r="AJ136" t="str">
            <v>Now on block 45</v>
          </cell>
          <cell r="AL136" t="str">
            <v>Comment in old transcript</v>
          </cell>
          <cell r="AO136" t="str">
            <v>http://www.rockwellcollins.com/products/gov/airborne/tanker-transport/kc135/index.html</v>
          </cell>
        </row>
        <row r="137">
          <cell r="A137" t="str">
            <v>Surface Solutions Program Build</v>
          </cell>
          <cell r="B137" t="str">
            <v>Total</v>
          </cell>
          <cell r="C137" t="str">
            <v>Difference vs. Top-Down Segment Forecast</v>
          </cell>
          <cell r="E137" t="b">
            <v>1</v>
          </cell>
          <cell r="F137" t="b">
            <v>1</v>
          </cell>
          <cell r="G137" t="b">
            <v>1</v>
          </cell>
          <cell r="H137" t="b">
            <v>1</v>
          </cell>
          <cell r="I137" t="b">
            <v>1</v>
          </cell>
          <cell r="J137" t="b">
            <v>1</v>
          </cell>
          <cell r="K137" t="b">
            <v>1</v>
          </cell>
          <cell r="L137" t="str">
            <v>Program Value</v>
          </cell>
          <cell r="M137" t="b">
            <v>1</v>
          </cell>
          <cell r="N137" t="b">
            <v>1</v>
          </cell>
          <cell r="O137" t="b">
            <v>1</v>
          </cell>
          <cell r="P137" t="b">
            <v>1</v>
          </cell>
          <cell r="Q137" t="b">
            <v>0</v>
          </cell>
          <cell r="R137" t="b">
            <v>0</v>
          </cell>
          <cell r="S137">
            <v>0</v>
          </cell>
          <cell r="T137">
            <v>0</v>
          </cell>
          <cell r="U137">
            <v>0</v>
          </cell>
          <cell r="V137">
            <v>0</v>
          </cell>
          <cell r="W137">
            <v>0</v>
          </cell>
          <cell r="X137">
            <v>0</v>
          </cell>
          <cell r="Y137">
            <v>0</v>
          </cell>
          <cell r="Z137">
            <v>0</v>
          </cell>
          <cell r="AA137">
            <v>275</v>
          </cell>
          <cell r="AB137">
            <v>275</v>
          </cell>
          <cell r="AC137">
            <v>275</v>
          </cell>
          <cell r="AD137">
            <v>275</v>
          </cell>
          <cell r="AE137">
            <v>325</v>
          </cell>
          <cell r="AF137">
            <v>375</v>
          </cell>
          <cell r="AG137">
            <v>400</v>
          </cell>
          <cell r="AH137">
            <v>425</v>
          </cell>
        </row>
        <row r="138">
          <cell r="B138" t="str">
            <v>DataPath</v>
          </cell>
          <cell r="E138" t="b">
            <v>1</v>
          </cell>
          <cell r="F138" t="b">
            <v>1</v>
          </cell>
          <cell r="G138" t="b">
            <v>1</v>
          </cell>
          <cell r="H138" t="b">
            <v>1</v>
          </cell>
          <cell r="I138" t="b">
            <v>1</v>
          </cell>
          <cell r="J138" t="b">
            <v>1</v>
          </cell>
          <cell r="K138" t="b">
            <v>0</v>
          </cell>
          <cell r="L138" t="b">
            <v>0</v>
          </cell>
          <cell r="M138" t="b">
            <v>1</v>
          </cell>
          <cell r="N138" t="b">
            <v>0</v>
          </cell>
          <cell r="O138">
            <v>0.46399999999999864</v>
          </cell>
          <cell r="P138">
            <v>-0.76300000000000523</v>
          </cell>
          <cell r="Q138" t="b">
            <v>0</v>
          </cell>
          <cell r="R138" t="b">
            <v>0</v>
          </cell>
          <cell r="S138">
            <v>0</v>
          </cell>
          <cell r="T138">
            <v>84</v>
          </cell>
          <cell r="U138">
            <v>250</v>
          </cell>
          <cell r="V138">
            <v>260</v>
          </cell>
          <cell r="W138">
            <v>270</v>
          </cell>
          <cell r="X138">
            <v>280</v>
          </cell>
          <cell r="Y138">
            <v>290</v>
          </cell>
          <cell r="Z138">
            <v>300</v>
          </cell>
          <cell r="AA138">
            <v>625</v>
          </cell>
          <cell r="AB138">
            <v>570</v>
          </cell>
          <cell r="AC138">
            <v>535</v>
          </cell>
          <cell r="AD138">
            <v>490</v>
          </cell>
          <cell r="AE138" t="b">
            <v>1</v>
          </cell>
          <cell r="AF138" t="b">
            <v>1</v>
          </cell>
          <cell r="AG138" t="b">
            <v>1</v>
          </cell>
          <cell r="AH138" t="b">
            <v>1</v>
          </cell>
        </row>
        <row r="139">
          <cell r="A139" t="str">
            <v>Surface Solutions Program Build</v>
          </cell>
          <cell r="B139" t="str">
            <v>DAGR (Defense Advanced GPS Receiver)</v>
          </cell>
          <cell r="C139" t="str">
            <v>Difference vs. Top-Down Segment Forecast</v>
          </cell>
          <cell r="I139" t="str">
            <v>Common Avionics Architecture System (CAAS)</v>
          </cell>
          <cell r="L139" t="str">
            <v>Program Value</v>
          </cell>
          <cell r="P139" t="str">
            <v>Total $5.5B program potential</v>
          </cell>
          <cell r="S139">
            <v>200</v>
          </cell>
          <cell r="T139">
            <v>150</v>
          </cell>
          <cell r="U139">
            <v>100</v>
          </cell>
          <cell r="V139">
            <v>50</v>
          </cell>
          <cell r="W139">
            <v>50</v>
          </cell>
          <cell r="X139">
            <v>50</v>
          </cell>
          <cell r="Y139">
            <v>50</v>
          </cell>
          <cell r="Z139">
            <v>50</v>
          </cell>
          <cell r="AA139" t="str">
            <v>- IDIQ thru 2014, stock replenishment levels</v>
          </cell>
          <cell r="AB139">
            <v>0</v>
          </cell>
          <cell r="AC139">
            <v>0</v>
          </cell>
          <cell r="AD139">
            <v>0</v>
          </cell>
        </row>
        <row r="140">
          <cell r="B140" t="str">
            <v>JTRS GMR (Ground Mobile Radio)</v>
          </cell>
          <cell r="C140" t="str">
            <v>USMC CH/MH-53E</v>
          </cell>
          <cell r="P140" t="str">
            <v>Total $5.5B program potential</v>
          </cell>
          <cell r="S140">
            <v>200</v>
          </cell>
          <cell r="T140">
            <v>150</v>
          </cell>
          <cell r="U140">
            <v>100</v>
          </cell>
          <cell r="V140">
            <v>100</v>
          </cell>
          <cell r="W140">
            <v>100</v>
          </cell>
          <cell r="X140">
            <v>100</v>
          </cell>
          <cell r="Y140">
            <v>100</v>
          </cell>
          <cell r="Z140">
            <v>100</v>
          </cell>
          <cell r="AA140" t="str">
            <v>- IDIQ thru 2014, stock replenishment levels</v>
          </cell>
          <cell r="AB140">
            <v>2020</v>
          </cell>
          <cell r="AC140">
            <v>2040</v>
          </cell>
          <cell r="AD140">
            <v>2050</v>
          </cell>
          <cell r="AE140">
            <v>125</v>
          </cell>
          <cell r="AF140">
            <v>125</v>
          </cell>
          <cell r="AG140" t="str">
            <v>http://www.rockwellcollins.com/products/gov/surface/soldier/jtrs-hms/index.html</v>
          </cell>
          <cell r="AH140">
            <v>125</v>
          </cell>
          <cell r="AO140" t="str">
            <v>http://www.rockwellcollins.com/products/gov/airborne/cargo-utility/chmh53e/index.html</v>
          </cell>
        </row>
        <row r="141">
          <cell r="A141" t="str">
            <v>Surface Solutions Program Build</v>
          </cell>
          <cell r="B141" t="str">
            <v>JTRS HMS (Handheld / Manpack / Small Form Fit)</v>
          </cell>
          <cell r="C141" t="str">
            <v>Difference vs. Top-Down Segment Forecast</v>
          </cell>
          <cell r="L141" t="str">
            <v>Program Value</v>
          </cell>
          <cell r="S141">
            <v>0</v>
          </cell>
          <cell r="T141">
            <v>84</v>
          </cell>
          <cell r="U141">
            <v>100</v>
          </cell>
          <cell r="V141">
            <v>100</v>
          </cell>
          <cell r="W141">
            <v>100</v>
          </cell>
          <cell r="X141">
            <v>100</v>
          </cell>
          <cell r="Y141">
            <v>100</v>
          </cell>
          <cell r="Z141">
            <v>100</v>
          </cell>
          <cell r="AA141">
            <v>0</v>
          </cell>
          <cell r="AB141">
            <v>0</v>
          </cell>
          <cell r="AC141">
            <v>0</v>
          </cell>
          <cell r="AD141">
            <v>0</v>
          </cell>
          <cell r="AE141">
            <v>125</v>
          </cell>
          <cell r="AF141">
            <v>125</v>
          </cell>
          <cell r="AG141" t="str">
            <v>http://www.rockwellcollins.com/products/gov/surface/soldier/jtrs-hms/index.html</v>
          </cell>
          <cell r="AH141">
            <v>125</v>
          </cell>
          <cell r="AO141" t="str">
            <v>http://www.rockwellcollins.com/products/gov/airborne/cargo-utility/uh60m/index.html</v>
          </cell>
        </row>
        <row r="142">
          <cell r="B142" t="str">
            <v>MIDS-JTRS (DataLink Solutions JV with BAE Systems)</v>
          </cell>
          <cell r="C142" t="str">
            <v>International Black Hawk</v>
          </cell>
          <cell r="P142" t="str">
            <v>Total $5.5B program potential</v>
          </cell>
          <cell r="S142">
            <v>200</v>
          </cell>
          <cell r="T142">
            <v>150</v>
          </cell>
          <cell r="U142">
            <v>100</v>
          </cell>
          <cell r="V142">
            <v>100</v>
          </cell>
          <cell r="W142">
            <v>100</v>
          </cell>
          <cell r="X142">
            <v>100</v>
          </cell>
          <cell r="Y142">
            <v>100</v>
          </cell>
          <cell r="Z142">
            <v>100</v>
          </cell>
          <cell r="AA142" t="str">
            <v>- IDIQ thru 2014, stock replenishment levels</v>
          </cell>
          <cell r="AB142">
            <v>0</v>
          </cell>
          <cell r="AC142">
            <v>0</v>
          </cell>
          <cell r="AD142">
            <v>0</v>
          </cell>
          <cell r="AE142">
            <v>0</v>
          </cell>
          <cell r="AF142">
            <v>0</v>
          </cell>
          <cell r="AG142" t="str">
            <v>http://www.rockwellcollins.com/products/gov/surface/soldier/jtrs-hms/index.html</v>
          </cell>
          <cell r="AH142">
            <v>0</v>
          </cell>
          <cell r="AJ142" t="str">
            <v>Look at UTX</v>
          </cell>
        </row>
        <row r="143">
          <cell r="A143" t="str">
            <v>Surface Solutions Program Build</v>
          </cell>
          <cell r="B143" t="str">
            <v>JPALS (Jt. Precision Approach and Landing System)</v>
          </cell>
          <cell r="C143" t="str">
            <v>CH-47 Chinook</v>
          </cell>
          <cell r="L143">
            <v>94</v>
          </cell>
          <cell r="M143" t="str">
            <v>http://www.rockwellcollins.com/news/page11137.html</v>
          </cell>
          <cell r="S143">
            <v>0</v>
          </cell>
          <cell r="T143">
            <v>84</v>
          </cell>
          <cell r="U143">
            <v>100</v>
          </cell>
          <cell r="V143">
            <v>100</v>
          </cell>
          <cell r="W143">
            <v>100</v>
          </cell>
          <cell r="X143">
            <v>100</v>
          </cell>
          <cell r="Y143">
            <v>100</v>
          </cell>
          <cell r="Z143">
            <v>100</v>
          </cell>
          <cell r="AA143">
            <v>275</v>
          </cell>
          <cell r="AB143">
            <v>280</v>
          </cell>
          <cell r="AC143">
            <v>290</v>
          </cell>
          <cell r="AD143">
            <v>300</v>
          </cell>
          <cell r="AE143">
            <v>125</v>
          </cell>
          <cell r="AF143">
            <v>125</v>
          </cell>
          <cell r="AG143" t="str">
            <v>http://www.rockwellcollins.com/products/gov/surface/soldier/jtrs-hms/index.html</v>
          </cell>
          <cell r="AH143">
            <v>125</v>
          </cell>
          <cell r="AO143" t="str">
            <v>http://www.rockwellcollins.com/products/gov/airborne/cargo-utility/ch47/index.html</v>
          </cell>
        </row>
        <row r="144">
          <cell r="B144" t="str">
            <v>Soldier Displays</v>
          </cell>
          <cell r="C144" t="str">
            <v>767 Tanker</v>
          </cell>
          <cell r="L144">
            <v>94</v>
          </cell>
          <cell r="M144" t="str">
            <v>http://www.rockwellcollins.com/news/page11137.html</v>
          </cell>
          <cell r="P144" t="str">
            <v>Total $5.5B program potential</v>
          </cell>
          <cell r="S144">
            <v>200</v>
          </cell>
          <cell r="T144">
            <v>150</v>
          </cell>
          <cell r="U144">
            <v>100</v>
          </cell>
          <cell r="V144">
            <v>100</v>
          </cell>
          <cell r="W144">
            <v>100</v>
          </cell>
          <cell r="X144">
            <v>100</v>
          </cell>
          <cell r="Y144">
            <v>100</v>
          </cell>
          <cell r="Z144">
            <v>100</v>
          </cell>
          <cell r="AA144" t="str">
            <v>- IDIQ thru 2014, stock replenishment levels</v>
          </cell>
          <cell r="AB144">
            <v>50</v>
          </cell>
          <cell r="AC144">
            <v>50</v>
          </cell>
          <cell r="AD144">
            <v>50</v>
          </cell>
          <cell r="AE144" t="str">
            <v>- IDIQ thru 2014, stock replenishment levels</v>
          </cell>
          <cell r="AF144">
            <v>375</v>
          </cell>
          <cell r="AG144" t="str">
            <v>http://www.rockwellcollins.com/products/gov/surface/soldier/soldier-systems/index.html</v>
          </cell>
          <cell r="AH144">
            <v>375</v>
          </cell>
          <cell r="AJ144" t="str">
            <v>Big program</v>
          </cell>
          <cell r="AO144" t="str">
            <v>http://www.rockwellcollins.com/products/gov/airborne/tanker-transport/boeing767/index.html</v>
          </cell>
        </row>
        <row r="145">
          <cell r="B145" t="str">
            <v>Precision Targeting</v>
          </cell>
          <cell r="C145" t="str">
            <v>KC-10</v>
          </cell>
          <cell r="U145">
            <v>100</v>
          </cell>
          <cell r="V145">
            <v>100</v>
          </cell>
          <cell r="W145">
            <v>100</v>
          </cell>
          <cell r="X145">
            <v>100</v>
          </cell>
          <cell r="Y145">
            <v>100</v>
          </cell>
          <cell r="Z145">
            <v>100</v>
          </cell>
          <cell r="AA145">
            <v>275</v>
          </cell>
          <cell r="AB145">
            <v>280</v>
          </cell>
          <cell r="AC145">
            <v>290</v>
          </cell>
          <cell r="AD145">
            <v>300</v>
          </cell>
          <cell r="AE145">
            <v>0</v>
          </cell>
          <cell r="AF145">
            <v>0</v>
          </cell>
          <cell r="AG145" t="str">
            <v>http://www.rockwellcollins.com/products/gov/surface/precision-targeting/index.html</v>
          </cell>
          <cell r="AH145">
            <v>0</v>
          </cell>
          <cell r="AJ145" t="str">
            <v>Spring 2010</v>
          </cell>
          <cell r="AK145" t="str">
            <v>http://www.rockwellcollins.com/products/gov/surface/soldier/jtrs-hms/index.html</v>
          </cell>
          <cell r="AO145" t="str">
            <v>http://www.rockwellcollins.com/products/gov/airborne/tanker-transport/c130/index.html</v>
          </cell>
        </row>
        <row r="146">
          <cell r="B146" t="str">
            <v>Maritime Solutions</v>
          </cell>
          <cell r="C146" t="str">
            <v>C-130 International</v>
          </cell>
          <cell r="L146">
            <v>94</v>
          </cell>
          <cell r="M146" t="str">
            <v>http://www.rockwellcollins.com/news/page11137.html</v>
          </cell>
          <cell r="P146" t="str">
            <v>Total $5.5B program potential</v>
          </cell>
          <cell r="T146" t="str">
            <v>Total $5.5B program potential</v>
          </cell>
          <cell r="U146">
            <v>100</v>
          </cell>
          <cell r="V146">
            <v>100</v>
          </cell>
          <cell r="W146">
            <v>100</v>
          </cell>
          <cell r="X146">
            <v>100</v>
          </cell>
          <cell r="Y146">
            <v>100</v>
          </cell>
          <cell r="Z146">
            <v>100</v>
          </cell>
          <cell r="AA146">
            <v>100</v>
          </cell>
          <cell r="AB146">
            <v>100</v>
          </cell>
          <cell r="AC146">
            <v>100</v>
          </cell>
          <cell r="AD146">
            <v>100</v>
          </cell>
          <cell r="AE146" t="str">
            <v>- IDIQ thru 2014, stock replenishment levels</v>
          </cell>
          <cell r="AF146">
            <v>100</v>
          </cell>
          <cell r="AG146" t="str">
            <v>http://www.rockwellcollins.com/products/gov/surface/maritime-solutions/index.html</v>
          </cell>
          <cell r="AH146">
            <v>100</v>
          </cell>
          <cell r="AJ146" t="str">
            <v>Look at LMT</v>
          </cell>
          <cell r="AK146" t="str">
            <v>http://www.rockwellcollins.com/products/gov/surface/soldier/jtrs-hms/index.html</v>
          </cell>
          <cell r="AO146" t="str">
            <v>http://www.rockwellcollins.com/products/gov/airborne/tanker-transport/c130/index.html</v>
          </cell>
        </row>
        <row r="147">
          <cell r="B147" t="str">
            <v>Displays - California Highway Patrol</v>
          </cell>
          <cell r="C147" t="str">
            <v>Commando Solo (EC-130E/J)</v>
          </cell>
          <cell r="U147">
            <v>100</v>
          </cell>
          <cell r="V147">
            <v>100</v>
          </cell>
          <cell r="W147">
            <v>100</v>
          </cell>
          <cell r="X147">
            <v>100</v>
          </cell>
          <cell r="Y147">
            <v>100</v>
          </cell>
          <cell r="Z147">
            <v>100</v>
          </cell>
          <cell r="AA147">
            <v>100</v>
          </cell>
          <cell r="AB147">
            <v>100</v>
          </cell>
          <cell r="AC147">
            <v>100</v>
          </cell>
          <cell r="AD147">
            <v>100</v>
          </cell>
          <cell r="AE147">
            <v>25</v>
          </cell>
          <cell r="AF147">
            <v>25</v>
          </cell>
          <cell r="AG147" t="str">
            <v>http://www.rockwellcollins.com/products/gov/surface/soldier/jtrs-hms/index.html</v>
          </cell>
          <cell r="AH147">
            <v>25</v>
          </cell>
          <cell r="AJ147" t="str">
            <v>Look at LMT</v>
          </cell>
          <cell r="AK147" t="str">
            <v>http://www.rockwellcollins.com/products/gov/surface/soldier/jtrs-hms/index.html</v>
          </cell>
          <cell r="AO147" t="str">
            <v>http://www.rockwellcollins.com/products/gov/airborne/special-mission/commando-solo/index.html</v>
          </cell>
        </row>
        <row r="148">
          <cell r="B148" t="str">
            <v>Displays - Royal Canadian Mountain Police</v>
          </cell>
          <cell r="C148" t="str">
            <v>E-6B Mercury</v>
          </cell>
          <cell r="L148">
            <v>94</v>
          </cell>
          <cell r="M148" t="str">
            <v>http://www.rockwellcollins.com/news/page11137.html</v>
          </cell>
          <cell r="Q148" t="str">
            <v>http://www.rockwellcollins.com/news/page11137.html</v>
          </cell>
          <cell r="U148">
            <v>100</v>
          </cell>
          <cell r="V148">
            <v>100</v>
          </cell>
          <cell r="W148">
            <v>100</v>
          </cell>
          <cell r="X148">
            <v>100</v>
          </cell>
          <cell r="Y148">
            <v>100</v>
          </cell>
          <cell r="Z148">
            <v>100</v>
          </cell>
          <cell r="AA148">
            <v>100</v>
          </cell>
          <cell r="AB148">
            <v>100</v>
          </cell>
          <cell r="AC148">
            <v>100</v>
          </cell>
          <cell r="AD148">
            <v>100</v>
          </cell>
          <cell r="AE148">
            <v>25</v>
          </cell>
          <cell r="AF148">
            <v>25</v>
          </cell>
          <cell r="AG148" t="str">
            <v>http://www.rockwellcollins.com/products/gov/surface/precision-targeting/index.html</v>
          </cell>
          <cell r="AH148">
            <v>25</v>
          </cell>
          <cell r="AJ148" t="str">
            <v>Now on block 45</v>
          </cell>
          <cell r="AK148" t="str">
            <v>http://www.rockwellcollins.com/products/gov/surface/soldier/jtrs-hms/index.html</v>
          </cell>
          <cell r="AL148" t="str">
            <v>Comment in old transcript</v>
          </cell>
          <cell r="AO148" t="str">
            <v>http://www.rockwellcollins.com/products/gov/airborne/special-mission/e6b/index.html</v>
          </cell>
        </row>
        <row r="149">
          <cell r="B149" t="str">
            <v>Other</v>
          </cell>
          <cell r="C149" t="str">
            <v>U.S. Coast Guard Deepwater</v>
          </cell>
          <cell r="U149">
            <v>-20</v>
          </cell>
          <cell r="V149">
            <v>70</v>
          </cell>
          <cell r="W149">
            <v>110</v>
          </cell>
          <cell r="X149">
            <v>140</v>
          </cell>
          <cell r="Y149">
            <v>175</v>
          </cell>
          <cell r="Z149">
            <v>210</v>
          </cell>
          <cell r="AA149">
            <v>100</v>
          </cell>
          <cell r="AB149">
            <v>100</v>
          </cell>
          <cell r="AC149">
            <v>100</v>
          </cell>
          <cell r="AD149">
            <v>100</v>
          </cell>
          <cell r="AE149">
            <v>25</v>
          </cell>
          <cell r="AF149">
            <v>25</v>
          </cell>
          <cell r="AG149" t="str">
            <v>http://www.rockwellcollins.com/products/gov/surface/soldier/soldier-systems/index.html</v>
          </cell>
          <cell r="AH149">
            <v>25</v>
          </cell>
          <cell r="AI149" t="str">
            <v>- avionics update CN235-300M a/c</v>
          </cell>
          <cell r="AK149" t="str">
            <v>http://www.rockwellcollins.com/products/gov/surface/soldier/jtrs-hms/index.html</v>
          </cell>
          <cell r="AO149" t="str">
            <v>http://www.rockwellcollins.com/products/gov/airborne/special-mission/deepwater/index.html</v>
          </cell>
        </row>
        <row r="150">
          <cell r="B150" t="str">
            <v>Precision Targeting</v>
          </cell>
          <cell r="C150" t="str">
            <v>Joint STARS (Surveillance Target Attack Radar System)</v>
          </cell>
          <cell r="L150">
            <v>94</v>
          </cell>
          <cell r="M150" t="str">
            <v>http://www.rockwellcollins.com/news/page11137.html</v>
          </cell>
          <cell r="Q150" t="str">
            <v>http://www.rockwellcollins.com/news/page11137.html</v>
          </cell>
          <cell r="U150">
            <v>1030</v>
          </cell>
          <cell r="V150">
            <v>1080</v>
          </cell>
          <cell r="W150">
            <v>1130</v>
          </cell>
          <cell r="X150">
            <v>1170</v>
          </cell>
          <cell r="Y150">
            <v>1215</v>
          </cell>
          <cell r="Z150">
            <v>1260</v>
          </cell>
          <cell r="AA150">
            <v>100</v>
          </cell>
          <cell r="AB150">
            <v>100</v>
          </cell>
          <cell r="AC150">
            <v>100</v>
          </cell>
          <cell r="AD150">
            <v>100</v>
          </cell>
          <cell r="AE150">
            <v>25</v>
          </cell>
          <cell r="AF150">
            <v>25</v>
          </cell>
          <cell r="AG150" t="str">
            <v>http://www.rockwellcollins.com/products/gov/surface/precision-targeting/index.html</v>
          </cell>
          <cell r="AH150">
            <v>25</v>
          </cell>
          <cell r="AK150" t="str">
            <v>http://www.rockwellcollins.com/products/gov/surface/precision-targeting/index.html</v>
          </cell>
          <cell r="AO150" t="str">
            <v>http://www.rockwellcollins.com/products/gov/airborne/special-mission/joint-stars/index.html</v>
          </cell>
        </row>
        <row r="151">
          <cell r="B151" t="str">
            <v>Maritime Solutions</v>
          </cell>
          <cell r="C151" t="str">
            <v>P-3 Orion</v>
          </cell>
          <cell r="I151" t="str">
            <v>Common Avionics Architecture System (CAAS)</v>
          </cell>
          <cell r="U151">
            <v>1030</v>
          </cell>
          <cell r="V151">
            <v>1080</v>
          </cell>
          <cell r="W151">
            <v>1130</v>
          </cell>
          <cell r="X151">
            <v>1170</v>
          </cell>
          <cell r="Y151">
            <v>1215</v>
          </cell>
          <cell r="Z151">
            <v>1260</v>
          </cell>
          <cell r="AA151">
            <v>100</v>
          </cell>
          <cell r="AB151">
            <v>100</v>
          </cell>
          <cell r="AC151">
            <v>100</v>
          </cell>
          <cell r="AD151">
            <v>100</v>
          </cell>
          <cell r="AE151">
            <v>25</v>
          </cell>
          <cell r="AF151">
            <v>25</v>
          </cell>
          <cell r="AG151" t="str">
            <v>http://www.rockwellcollins.com/products/gov/surface/maritime-solutions/index.html</v>
          </cell>
          <cell r="AH151">
            <v>25</v>
          </cell>
          <cell r="AK151" t="str">
            <v>http://www.rockwellcollins.com/products/gov/surface/soldier/soldier-systems/index.html</v>
          </cell>
          <cell r="AO151" t="str">
            <v>http://www.rockwellcollins.com/products/gov/airborne/special-mission/p3/index.html</v>
          </cell>
        </row>
        <row r="152">
          <cell r="B152" t="str">
            <v>Displays - California Highway Patrol</v>
          </cell>
          <cell r="C152" t="str">
            <v>S-92 Multi-Mission</v>
          </cell>
          <cell r="U152">
            <v>0</v>
          </cell>
          <cell r="V152">
            <v>0</v>
          </cell>
          <cell r="W152">
            <v>0</v>
          </cell>
          <cell r="X152">
            <v>0</v>
          </cell>
          <cell r="Y152">
            <v>0</v>
          </cell>
          <cell r="Z152">
            <v>0</v>
          </cell>
          <cell r="AA152">
            <v>100</v>
          </cell>
          <cell r="AB152">
            <v>100</v>
          </cell>
          <cell r="AC152">
            <v>100</v>
          </cell>
          <cell r="AD152">
            <v>100</v>
          </cell>
          <cell r="AE152">
            <v>50</v>
          </cell>
          <cell r="AF152">
            <v>50</v>
          </cell>
          <cell r="AG152">
            <v>50</v>
          </cell>
          <cell r="AH152">
            <v>50</v>
          </cell>
          <cell r="AJ152" t="str">
            <v>Look at UTX</v>
          </cell>
          <cell r="AK152" t="str">
            <v>http://www.rockwellcollins.com/products/gov/surface/precision-targeting/index.html</v>
          </cell>
          <cell r="AO152" t="str">
            <v>http://www.rockwellcollins.com/products/gov/airborne/special-mission/civil-transport/index.html</v>
          </cell>
        </row>
        <row r="153">
          <cell r="B153" t="str">
            <v>Displays - Royal Canadian Mountain Police</v>
          </cell>
          <cell r="C153" t="str">
            <v>U.S. Coast Guard MH-60T</v>
          </cell>
          <cell r="U153">
            <v>0</v>
          </cell>
          <cell r="V153">
            <v>0</v>
          </cell>
          <cell r="W153">
            <v>0</v>
          </cell>
          <cell r="X153">
            <v>0</v>
          </cell>
          <cell r="Y153">
            <v>0</v>
          </cell>
          <cell r="Z153">
            <v>0</v>
          </cell>
          <cell r="AA153">
            <v>100</v>
          </cell>
          <cell r="AB153">
            <v>100</v>
          </cell>
          <cell r="AC153">
            <v>100</v>
          </cell>
          <cell r="AD153">
            <v>100</v>
          </cell>
          <cell r="AE153">
            <v>50</v>
          </cell>
          <cell r="AF153">
            <v>50</v>
          </cell>
          <cell r="AG153">
            <v>50</v>
          </cell>
          <cell r="AH153">
            <v>50</v>
          </cell>
          <cell r="AJ153" t="str">
            <v>Look at UTX</v>
          </cell>
          <cell r="AK153" t="str">
            <v>http://www.rockwellcollins.com/products/gov/surface/maritime-solutions/index.html</v>
          </cell>
          <cell r="AO153" t="str">
            <v>http://www.rockwellcollins.com/products/gov/airborne/special-mission/mh-60t/index.html</v>
          </cell>
        </row>
        <row r="154">
          <cell r="B154" t="str">
            <v>Other</v>
          </cell>
          <cell r="C154" t="str">
            <v>S-70B SEAHAWK</v>
          </cell>
          <cell r="U154">
            <v>-20</v>
          </cell>
          <cell r="V154">
            <v>55</v>
          </cell>
          <cell r="W154">
            <v>105</v>
          </cell>
          <cell r="X154">
            <v>140</v>
          </cell>
          <cell r="Y154">
            <v>165</v>
          </cell>
          <cell r="Z154">
            <v>190</v>
          </cell>
          <cell r="AA154">
            <v>70</v>
          </cell>
          <cell r="AB154">
            <v>90</v>
          </cell>
          <cell r="AC154">
            <v>100</v>
          </cell>
          <cell r="AD154">
            <v>110</v>
          </cell>
          <cell r="AE154">
            <v>50</v>
          </cell>
          <cell r="AF154">
            <v>50</v>
          </cell>
          <cell r="AG154">
            <v>50</v>
          </cell>
          <cell r="AH154">
            <v>50</v>
          </cell>
          <cell r="AJ154" t="str">
            <v>Look at UTX</v>
          </cell>
          <cell r="AO154" t="str">
            <v>http://www.rockwellcollins.com/products/gov/airborne/special-mission/s-70b/index.html</v>
          </cell>
        </row>
        <row r="155">
          <cell r="A155" t="str">
            <v>Quarterly Marginal Sales Disclosure</v>
          </cell>
          <cell r="B155" t="str">
            <v>Displays - Royal Canadian Mountain Police</v>
          </cell>
          <cell r="C155" t="str">
            <v>USMC VH-60N (Presidential Helicopter)</v>
          </cell>
          <cell r="L155" t="str">
            <v>Program Value</v>
          </cell>
          <cell r="U155">
            <v>1030</v>
          </cell>
          <cell r="V155">
            <v>1065</v>
          </cell>
          <cell r="W155">
            <v>1125</v>
          </cell>
          <cell r="X155">
            <v>1170</v>
          </cell>
          <cell r="Y155">
            <v>1205</v>
          </cell>
          <cell r="Z155">
            <v>1240</v>
          </cell>
          <cell r="AA155">
            <v>1095</v>
          </cell>
          <cell r="AB155">
            <v>1120</v>
          </cell>
          <cell r="AC155">
            <v>1140</v>
          </cell>
          <cell r="AD155">
            <v>1160</v>
          </cell>
          <cell r="AE155">
            <v>25</v>
          </cell>
          <cell r="AF155">
            <v>25</v>
          </cell>
          <cell r="AG155">
            <v>25</v>
          </cell>
          <cell r="AH155">
            <v>25</v>
          </cell>
          <cell r="AO155" t="str">
            <v>http://www.rockwellcollins.com/products/gov/airborne/special-mission/vh-60n/index.html</v>
          </cell>
        </row>
        <row r="156">
          <cell r="A156" t="str">
            <v>Quarterly Marginal Sales Disclosure</v>
          </cell>
          <cell r="B156" t="str">
            <v>Other</v>
          </cell>
          <cell r="L156" t="str">
            <v>Program Value</v>
          </cell>
          <cell r="U156">
            <v>1030</v>
          </cell>
          <cell r="V156">
            <v>1065</v>
          </cell>
          <cell r="W156">
            <v>1125</v>
          </cell>
          <cell r="X156">
            <v>1170</v>
          </cell>
          <cell r="Y156">
            <v>1205</v>
          </cell>
          <cell r="Z156">
            <v>1240</v>
          </cell>
          <cell r="AA156">
            <v>70</v>
          </cell>
          <cell r="AB156">
            <v>90</v>
          </cell>
          <cell r="AC156">
            <v>100</v>
          </cell>
          <cell r="AD156">
            <v>110</v>
          </cell>
          <cell r="AE156">
            <v>300</v>
          </cell>
          <cell r="AF156">
            <v>300</v>
          </cell>
          <cell r="AG156">
            <v>300</v>
          </cell>
          <cell r="AH156">
            <v>300</v>
          </cell>
        </row>
        <row r="157">
          <cell r="B157" t="str">
            <v>4Q 08 Airborne Solutions</v>
          </cell>
          <cell r="T157">
            <v>459</v>
          </cell>
          <cell r="U157">
            <v>0</v>
          </cell>
          <cell r="V157">
            <v>0</v>
          </cell>
          <cell r="W157">
            <v>0</v>
          </cell>
          <cell r="X157">
            <v>0</v>
          </cell>
          <cell r="Y157">
            <v>0</v>
          </cell>
          <cell r="Z157">
            <v>0</v>
          </cell>
          <cell r="AA157">
            <v>1095</v>
          </cell>
          <cell r="AB157">
            <v>1120</v>
          </cell>
          <cell r="AC157">
            <v>1140</v>
          </cell>
          <cell r="AD157">
            <v>1160</v>
          </cell>
        </row>
        <row r="158">
          <cell r="A158" t="str">
            <v>Quarterly Marginal Sales Disclosure</v>
          </cell>
          <cell r="B158" t="str">
            <v>SEOS Group</v>
          </cell>
          <cell r="L158" t="str">
            <v>Program Value</v>
          </cell>
          <cell r="T158">
            <v>5</v>
          </cell>
          <cell r="W158">
            <v>704</v>
          </cell>
          <cell r="X158">
            <v>818</v>
          </cell>
          <cell r="Y158">
            <v>1009</v>
          </cell>
          <cell r="Z158">
            <v>1000</v>
          </cell>
          <cell r="AA158">
            <v>1095</v>
          </cell>
          <cell r="AB158">
            <v>1120</v>
          </cell>
          <cell r="AC158">
            <v>1140</v>
          </cell>
          <cell r="AD158">
            <v>1160</v>
          </cell>
        </row>
        <row r="159">
          <cell r="B159" t="str">
            <v>Organic:</v>
          </cell>
          <cell r="C159" t="str">
            <v>F-15 Eagle</v>
          </cell>
          <cell r="T159">
            <v>11</v>
          </cell>
          <cell r="W159">
            <v>0</v>
          </cell>
          <cell r="X159">
            <v>0</v>
          </cell>
          <cell r="Y159">
            <v>0</v>
          </cell>
          <cell r="Z159">
            <v>0</v>
          </cell>
          <cell r="AA159">
            <v>0</v>
          </cell>
          <cell r="AB159">
            <v>0</v>
          </cell>
          <cell r="AC159">
            <v>0</v>
          </cell>
          <cell r="AD159">
            <v>0</v>
          </cell>
          <cell r="AE159">
            <v>20</v>
          </cell>
          <cell r="AF159">
            <v>20</v>
          </cell>
          <cell r="AG159">
            <v>20</v>
          </cell>
          <cell r="AH159">
            <v>20</v>
          </cell>
          <cell r="AO159" t="str">
            <v>http://www.rockwellcollins.com/products/gov/airborne/fighters/f15/index.html</v>
          </cell>
        </row>
        <row r="160">
          <cell r="A160" t="str">
            <v>Quarterly Marginal Sales Disclosure</v>
          </cell>
          <cell r="B160" t="str">
            <v>+ F-15 Head-Down Displays</v>
          </cell>
          <cell r="C160" t="str">
            <v>F-16 Fighting Falcon</v>
          </cell>
          <cell r="L160" t="str">
            <v>Program Value</v>
          </cell>
          <cell r="T160">
            <v>11</v>
          </cell>
          <cell r="AA160">
            <v>20</v>
          </cell>
          <cell r="AB160">
            <v>20</v>
          </cell>
          <cell r="AC160">
            <v>20</v>
          </cell>
          <cell r="AD160">
            <v>20</v>
          </cell>
          <cell r="AE160">
            <v>20</v>
          </cell>
          <cell r="AF160">
            <v>20</v>
          </cell>
          <cell r="AG160">
            <v>20</v>
          </cell>
          <cell r="AH160">
            <v>20</v>
          </cell>
          <cell r="AO160" t="str">
            <v>http://www.rockwellcollins.com/products/gov/airborne/fighters/f16/index.html</v>
          </cell>
        </row>
        <row r="161">
          <cell r="B161" t="str">
            <v>+ UAV Controls</v>
          </cell>
          <cell r="C161" t="str">
            <v>F/A-18 Super Hornet</v>
          </cell>
          <cell r="T161">
            <v>5</v>
          </cell>
          <cell r="AA161">
            <v>20</v>
          </cell>
          <cell r="AB161">
            <v>20</v>
          </cell>
          <cell r="AC161">
            <v>20</v>
          </cell>
          <cell r="AD161">
            <v>20</v>
          </cell>
          <cell r="AE161">
            <v>20</v>
          </cell>
          <cell r="AF161">
            <v>20</v>
          </cell>
          <cell r="AG161">
            <v>20</v>
          </cell>
          <cell r="AH161">
            <v>20</v>
          </cell>
          <cell r="AI161" t="str">
            <v>- avionics update CN235-300M a/c</v>
          </cell>
          <cell r="AO161" t="str">
            <v>http://www.rockwellcollins.com/products/gov/airborne/fighters/f18/index.html</v>
          </cell>
        </row>
        <row r="162">
          <cell r="A162" t="str">
            <v>Quarterly Marginal Sales Disclosure</v>
          </cell>
          <cell r="B162" t="str">
            <v>4Q09 Airborne Solutions</v>
          </cell>
          <cell r="C162" t="str">
            <v>F-22A Raptor</v>
          </cell>
          <cell r="L162" t="str">
            <v>Program Value</v>
          </cell>
          <cell r="T162">
            <v>475</v>
          </cell>
          <cell r="X162">
            <v>459</v>
          </cell>
          <cell r="AA162">
            <v>20</v>
          </cell>
          <cell r="AB162">
            <v>20</v>
          </cell>
          <cell r="AC162">
            <v>20</v>
          </cell>
          <cell r="AD162">
            <v>20</v>
          </cell>
          <cell r="AE162">
            <v>20</v>
          </cell>
          <cell r="AF162">
            <v>20</v>
          </cell>
          <cell r="AG162">
            <v>20</v>
          </cell>
          <cell r="AH162">
            <v>20</v>
          </cell>
          <cell r="AO162" t="str">
            <v>http://www.rockwellcollins.com/products/gov/airborne/fighters/f22/index.html</v>
          </cell>
        </row>
        <row r="163">
          <cell r="B163" t="str">
            <v>SEOS Group</v>
          </cell>
          <cell r="C163" t="str">
            <v>F-35 Joint Strike Fighter</v>
          </cell>
          <cell r="T163">
            <v>5</v>
          </cell>
          <cell r="X163">
            <v>5</v>
          </cell>
          <cell r="AA163">
            <v>20</v>
          </cell>
          <cell r="AB163">
            <v>20</v>
          </cell>
          <cell r="AC163">
            <v>20</v>
          </cell>
          <cell r="AD163">
            <v>20</v>
          </cell>
          <cell r="AE163">
            <v>20</v>
          </cell>
          <cell r="AF163">
            <v>20</v>
          </cell>
          <cell r="AG163">
            <v>20</v>
          </cell>
          <cell r="AH163">
            <v>20</v>
          </cell>
          <cell r="AO163" t="str">
            <v>http://www.rockwellcollins.com/products/gov/airborne/fighters/f35/index.html</v>
          </cell>
        </row>
        <row r="164">
          <cell r="B164" t="str">
            <v>4Q 08 Surface Solutions</v>
          </cell>
          <cell r="C164" t="str">
            <v>B-1B Lancer</v>
          </cell>
          <cell r="T164">
            <v>177</v>
          </cell>
          <cell r="X164">
            <v>459</v>
          </cell>
          <cell r="AA164">
            <v>20</v>
          </cell>
          <cell r="AB164">
            <v>20</v>
          </cell>
          <cell r="AC164">
            <v>20</v>
          </cell>
          <cell r="AD164">
            <v>20</v>
          </cell>
          <cell r="AE164">
            <v>20</v>
          </cell>
          <cell r="AF164">
            <v>20</v>
          </cell>
          <cell r="AG164">
            <v>20</v>
          </cell>
          <cell r="AH164">
            <v>20</v>
          </cell>
          <cell r="AJ164" t="str">
            <v>Look at UTX</v>
          </cell>
          <cell r="AO164" t="str">
            <v>http://www.rockwellcollins.com/products/gov/airborne/fighters/B-1B/index.html</v>
          </cell>
        </row>
        <row r="165">
          <cell r="B165" t="str">
            <v>DataPath</v>
          </cell>
          <cell r="C165" t="str">
            <v>B-52H</v>
          </cell>
          <cell r="T165">
            <v>61</v>
          </cell>
          <cell r="X165">
            <v>5</v>
          </cell>
          <cell r="AA165">
            <v>20</v>
          </cell>
          <cell r="AB165">
            <v>20</v>
          </cell>
          <cell r="AC165">
            <v>20</v>
          </cell>
          <cell r="AD165">
            <v>20</v>
          </cell>
          <cell r="AE165">
            <v>20</v>
          </cell>
          <cell r="AF165">
            <v>20</v>
          </cell>
          <cell r="AG165">
            <v>20</v>
          </cell>
          <cell r="AH165">
            <v>20</v>
          </cell>
          <cell r="AJ165" t="str">
            <v>Look at UTX</v>
          </cell>
          <cell r="AO165" t="str">
            <v>http://www.rockwellcollins.com/products/gov/airborne/fighters/B-52/index.html</v>
          </cell>
        </row>
        <row r="166">
          <cell r="B166" t="str">
            <v>Organic:</v>
          </cell>
          <cell r="C166" t="str">
            <v>Mirage 2000 (Dassault)</v>
          </cell>
          <cell r="T166">
            <v>28</v>
          </cell>
          <cell r="X166">
            <v>11</v>
          </cell>
          <cell r="AA166">
            <v>20</v>
          </cell>
          <cell r="AB166">
            <v>20</v>
          </cell>
          <cell r="AC166">
            <v>20</v>
          </cell>
          <cell r="AD166">
            <v>20</v>
          </cell>
          <cell r="AE166">
            <v>20</v>
          </cell>
          <cell r="AF166">
            <v>20</v>
          </cell>
          <cell r="AG166">
            <v>20</v>
          </cell>
          <cell r="AH166">
            <v>20</v>
          </cell>
          <cell r="AJ166" t="str">
            <v>Look at UTX</v>
          </cell>
          <cell r="AO166" t="str">
            <v>http://www.rockwellcollins.com/products/gov/airborne/fighters/mirage/index.html</v>
          </cell>
        </row>
        <row r="167">
          <cell r="B167" t="str">
            <v>+ UK Precision Targeting</v>
          </cell>
          <cell r="C167" t="str">
            <v>Gripen (SAAB)</v>
          </cell>
          <cell r="T167">
            <v>475</v>
          </cell>
          <cell r="X167">
            <v>475</v>
          </cell>
          <cell r="AA167">
            <v>20</v>
          </cell>
          <cell r="AB167">
            <v>20</v>
          </cell>
          <cell r="AC167">
            <v>20</v>
          </cell>
          <cell r="AD167">
            <v>20</v>
          </cell>
          <cell r="AE167">
            <v>20</v>
          </cell>
          <cell r="AF167">
            <v>20</v>
          </cell>
          <cell r="AG167">
            <v>20</v>
          </cell>
          <cell r="AH167">
            <v>20</v>
          </cell>
          <cell r="AO167" t="str">
            <v>http://www.rockwellcollins.com/products/gov/airborne/fighters/gripen/index.html</v>
          </cell>
        </row>
        <row r="168">
          <cell r="B168" t="str">
            <v>+ JTRS</v>
          </cell>
          <cell r="T168">
            <v>61</v>
          </cell>
          <cell r="AA168">
            <v>180</v>
          </cell>
          <cell r="AB168">
            <v>180</v>
          </cell>
          <cell r="AC168">
            <v>180</v>
          </cell>
          <cell r="AD168">
            <v>180</v>
          </cell>
          <cell r="AE168">
            <v>180</v>
          </cell>
          <cell r="AF168">
            <v>180</v>
          </cell>
          <cell r="AG168">
            <v>180</v>
          </cell>
          <cell r="AH168">
            <v>180</v>
          </cell>
        </row>
        <row r="169">
          <cell r="B169" t="str">
            <v>+ JPALS</v>
          </cell>
          <cell r="T169">
            <v>177</v>
          </cell>
          <cell r="X169">
            <v>475</v>
          </cell>
        </row>
        <row r="170">
          <cell r="B170" t="str">
            <v>- DAGR</v>
          </cell>
          <cell r="T170">
            <v>61</v>
          </cell>
          <cell r="X170">
            <v>61</v>
          </cell>
        </row>
        <row r="171">
          <cell r="B171" t="str">
            <v>- GB-GRAM</v>
          </cell>
          <cell r="C171" t="str">
            <v>Athena Technologies</v>
          </cell>
          <cell r="T171">
            <v>28</v>
          </cell>
          <cell r="X171">
            <v>177</v>
          </cell>
          <cell r="AA171">
            <v>22</v>
          </cell>
          <cell r="AB171">
            <v>50</v>
          </cell>
          <cell r="AC171">
            <v>100</v>
          </cell>
          <cell r="AD171">
            <v>120</v>
          </cell>
          <cell r="AE171">
            <v>140</v>
          </cell>
          <cell r="AF171">
            <v>160</v>
          </cell>
          <cell r="AG171">
            <v>180</v>
          </cell>
          <cell r="AH171">
            <v>200</v>
          </cell>
          <cell r="AO171" t="str">
            <v>http://www.rockwellcollins.com/products/gov/airborne/uas-solutions/flight-controls/index.html</v>
          </cell>
        </row>
        <row r="172">
          <cell r="B172" t="str">
            <v>4Q09 Surface Solutions</v>
          </cell>
          <cell r="C172" t="str">
            <v>Other</v>
          </cell>
          <cell r="T172">
            <v>266</v>
          </cell>
          <cell r="X172">
            <v>61</v>
          </cell>
          <cell r="AA172">
            <v>10</v>
          </cell>
          <cell r="AB172">
            <v>20</v>
          </cell>
          <cell r="AC172">
            <v>30</v>
          </cell>
          <cell r="AD172">
            <v>40</v>
          </cell>
          <cell r="AE172">
            <v>50</v>
          </cell>
          <cell r="AF172">
            <v>60</v>
          </cell>
          <cell r="AG172">
            <v>70</v>
          </cell>
          <cell r="AH172">
            <v>80</v>
          </cell>
          <cell r="AO172" t="str">
            <v>http://www.rockwellcollins.com/products/gov/airborne/fighters/f16/index.html</v>
          </cell>
        </row>
        <row r="173">
          <cell r="B173" t="str">
            <v>+ JTRS</v>
          </cell>
          <cell r="C173" t="str">
            <v>F/A-18 Super Hornet</v>
          </cell>
          <cell r="T173">
            <v>266</v>
          </cell>
          <cell r="X173">
            <v>28</v>
          </cell>
          <cell r="AA173">
            <v>32</v>
          </cell>
          <cell r="AB173">
            <v>70</v>
          </cell>
          <cell r="AC173">
            <v>130</v>
          </cell>
          <cell r="AD173">
            <v>160</v>
          </cell>
          <cell r="AE173">
            <v>190</v>
          </cell>
          <cell r="AF173">
            <v>220</v>
          </cell>
          <cell r="AG173">
            <v>250</v>
          </cell>
          <cell r="AH173">
            <v>280</v>
          </cell>
          <cell r="AO173" t="str">
            <v>http://www.rockwellcollins.com/products/gov/airborne/fighters/f18/index.html</v>
          </cell>
        </row>
        <row r="174">
          <cell r="B174" t="str">
            <v>1Q 09 Airborne Solutions</v>
          </cell>
          <cell r="C174" t="str">
            <v>F-22A Raptor</v>
          </cell>
          <cell r="T174">
            <v>403</v>
          </cell>
          <cell r="AA174">
            <v>20</v>
          </cell>
          <cell r="AB174">
            <v>20</v>
          </cell>
          <cell r="AC174">
            <v>20</v>
          </cell>
          <cell r="AD174">
            <v>20</v>
          </cell>
          <cell r="AE174">
            <v>20</v>
          </cell>
          <cell r="AF174">
            <v>20</v>
          </cell>
          <cell r="AG174">
            <v>20</v>
          </cell>
          <cell r="AH174">
            <v>20</v>
          </cell>
          <cell r="AO174" t="str">
            <v>http://www.rockwellcollins.com/products/gov/airborne/fighters/f22/index.html</v>
          </cell>
        </row>
        <row r="175">
          <cell r="B175" t="str">
            <v>SEOS Group</v>
          </cell>
          <cell r="C175" t="str">
            <v>F-35 Joint Strike Fighter</v>
          </cell>
          <cell r="T175">
            <v>5</v>
          </cell>
          <cell r="AA175">
            <v>500</v>
          </cell>
          <cell r="AB175">
            <v>561</v>
          </cell>
          <cell r="AC175">
            <v>592</v>
          </cell>
          <cell r="AD175">
            <v>680</v>
          </cell>
          <cell r="AE175">
            <v>630</v>
          </cell>
          <cell r="AF175">
            <v>650</v>
          </cell>
          <cell r="AG175">
            <v>645</v>
          </cell>
          <cell r="AH175">
            <v>690</v>
          </cell>
          <cell r="AO175" t="str">
            <v>http://www.rockwellcollins.com/products/gov/airborne/fighters/f35/index.html</v>
          </cell>
        </row>
        <row r="176">
          <cell r="B176" t="str">
            <v>Organic:</v>
          </cell>
          <cell r="C176" t="str">
            <v>B-1B Lancer</v>
          </cell>
          <cell r="T176">
            <v>2</v>
          </cell>
          <cell r="AA176">
            <v>20</v>
          </cell>
          <cell r="AB176">
            <v>20</v>
          </cell>
          <cell r="AC176">
            <v>20</v>
          </cell>
          <cell r="AD176">
            <v>20</v>
          </cell>
          <cell r="AE176">
            <v>20</v>
          </cell>
          <cell r="AF176">
            <v>20</v>
          </cell>
          <cell r="AG176">
            <v>20</v>
          </cell>
          <cell r="AH176">
            <v>20</v>
          </cell>
          <cell r="AO176" t="str">
            <v>http://www.rockwellcollins.com/products/gov/airborne/fighters/B-1B/index.html</v>
          </cell>
        </row>
        <row r="177">
          <cell r="B177" t="str">
            <v>+ Transport / Tanker</v>
          </cell>
          <cell r="C177" t="str">
            <v>B-52H</v>
          </cell>
          <cell r="T177">
            <v>266</v>
          </cell>
          <cell r="X177">
            <v>266</v>
          </cell>
          <cell r="AA177">
            <v>1662</v>
          </cell>
          <cell r="AB177">
            <v>1761</v>
          </cell>
          <cell r="AC177">
            <v>1852</v>
          </cell>
          <cell r="AD177">
            <v>1970</v>
          </cell>
          <cell r="AE177">
            <v>2000</v>
          </cell>
          <cell r="AF177">
            <v>2100</v>
          </cell>
          <cell r="AG177">
            <v>2150</v>
          </cell>
          <cell r="AH177">
            <v>2250</v>
          </cell>
          <cell r="AO177" t="str">
            <v>http://www.rockwellcollins.com/products/gov/airborne/fighters/B-52/index.html</v>
          </cell>
        </row>
        <row r="178">
          <cell r="B178" t="str">
            <v>- F-22</v>
          </cell>
          <cell r="C178" t="str">
            <v>Difference vs. Top-Down Segment Forecast</v>
          </cell>
          <cell r="T178">
            <v>5</v>
          </cell>
          <cell r="AA178">
            <v>0</v>
          </cell>
          <cell r="AB178">
            <v>0</v>
          </cell>
          <cell r="AC178">
            <v>0</v>
          </cell>
          <cell r="AD178">
            <v>0</v>
          </cell>
          <cell r="AE178">
            <v>0</v>
          </cell>
          <cell r="AF178">
            <v>0</v>
          </cell>
          <cell r="AG178">
            <v>0</v>
          </cell>
          <cell r="AH178">
            <v>0</v>
          </cell>
          <cell r="AO178" t="str">
            <v>http://www.rockwellcollins.com/products/gov/airborne/fighters/mirage/index.html</v>
          </cell>
        </row>
        <row r="179">
          <cell r="B179" t="str">
            <v>1Q10 Airborne Solutions</v>
          </cell>
          <cell r="C179" t="str">
            <v>Gripen (SAAB)</v>
          </cell>
          <cell r="T179">
            <v>410</v>
          </cell>
          <cell r="X179">
            <v>266</v>
          </cell>
          <cell r="AA179">
            <v>20</v>
          </cell>
          <cell r="AB179">
            <v>20</v>
          </cell>
          <cell r="AC179">
            <v>20</v>
          </cell>
          <cell r="AD179">
            <v>20</v>
          </cell>
          <cell r="AE179">
            <v>20</v>
          </cell>
          <cell r="AF179">
            <v>20</v>
          </cell>
          <cell r="AG179">
            <v>20</v>
          </cell>
          <cell r="AH179">
            <v>20</v>
          </cell>
          <cell r="AO179" t="str">
            <v>http://www.rockwellcollins.com/products/gov/airborne/fighters/gripen/index.html</v>
          </cell>
        </row>
        <row r="180">
          <cell r="A180" t="str">
            <v>Surface Solutions Program Build</v>
          </cell>
          <cell r="B180" t="str">
            <v>SEOS Group</v>
          </cell>
          <cell r="L180" t="str">
            <v>Program Value</v>
          </cell>
          <cell r="T180">
            <v>5</v>
          </cell>
          <cell r="X180">
            <v>5</v>
          </cell>
          <cell r="AA180">
            <v>180</v>
          </cell>
          <cell r="AB180">
            <v>180</v>
          </cell>
          <cell r="AC180">
            <v>180</v>
          </cell>
          <cell r="AD180">
            <v>180</v>
          </cell>
          <cell r="AE180">
            <v>180</v>
          </cell>
          <cell r="AF180">
            <v>180</v>
          </cell>
          <cell r="AG180">
            <v>180</v>
          </cell>
          <cell r="AH180">
            <v>180</v>
          </cell>
        </row>
        <row r="181">
          <cell r="B181" t="str">
            <v>1Q 09 Surface Solutions</v>
          </cell>
          <cell r="T181">
            <v>171</v>
          </cell>
          <cell r="X181">
            <v>403</v>
          </cell>
        </row>
        <row r="182">
          <cell r="B182" t="str">
            <v>DataPath</v>
          </cell>
          <cell r="T182">
            <v>60</v>
          </cell>
          <cell r="X182">
            <v>5</v>
          </cell>
          <cell r="AA182">
            <v>0</v>
          </cell>
          <cell r="AB182">
            <v>84</v>
          </cell>
          <cell r="AC182">
            <v>256</v>
          </cell>
          <cell r="AD182">
            <v>240</v>
          </cell>
          <cell r="AE182">
            <v>250</v>
          </cell>
          <cell r="AF182">
            <v>275</v>
          </cell>
          <cell r="AG182">
            <v>290</v>
          </cell>
          <cell r="AH182">
            <v>300</v>
          </cell>
        </row>
        <row r="183">
          <cell r="B183" t="str">
            <v>Organic:</v>
          </cell>
          <cell r="C183" t="str">
            <v>Athena Technologies</v>
          </cell>
          <cell r="P183" t="str">
            <v>Total $5.5B program potential</v>
          </cell>
          <cell r="T183">
            <v>-25</v>
          </cell>
          <cell r="X183">
            <v>2</v>
          </cell>
          <cell r="AA183">
            <v>200</v>
          </cell>
          <cell r="AB183">
            <v>150</v>
          </cell>
          <cell r="AC183">
            <v>100</v>
          </cell>
          <cell r="AD183">
            <v>50</v>
          </cell>
          <cell r="AE183">
            <v>50</v>
          </cell>
          <cell r="AF183">
            <v>50</v>
          </cell>
          <cell r="AG183">
            <v>50</v>
          </cell>
          <cell r="AH183">
            <v>50</v>
          </cell>
          <cell r="AI183" t="str">
            <v>- IDIQ thru 2014, stock replenishment levels</v>
          </cell>
          <cell r="AO183" t="str">
            <v>http://www.rockwellcollins.com/products/gov/airborne/uas-solutions/flight-controls/index.html</v>
          </cell>
        </row>
        <row r="184">
          <cell r="B184" t="str">
            <v>- DAGR</v>
          </cell>
          <cell r="C184" t="str">
            <v>Other</v>
          </cell>
          <cell r="T184">
            <v>410</v>
          </cell>
          <cell r="X184">
            <v>410</v>
          </cell>
          <cell r="AA184">
            <v>10</v>
          </cell>
          <cell r="AB184">
            <v>20</v>
          </cell>
          <cell r="AC184">
            <v>100</v>
          </cell>
          <cell r="AD184">
            <v>100</v>
          </cell>
          <cell r="AE184">
            <v>100</v>
          </cell>
          <cell r="AF184">
            <v>100</v>
          </cell>
          <cell r="AG184">
            <v>100</v>
          </cell>
          <cell r="AH184">
            <v>100</v>
          </cell>
          <cell r="AO184" t="str">
            <v>http://www.rockwellcollins.com/products/gov/surface/soldier/jtrs-hms/index.html</v>
          </cell>
        </row>
        <row r="185">
          <cell r="B185" t="str">
            <v>1Q10 Surface Solutions</v>
          </cell>
          <cell r="T185">
            <v>206</v>
          </cell>
          <cell r="AA185">
            <v>32</v>
          </cell>
          <cell r="AB185">
            <v>70</v>
          </cell>
          <cell r="AC185">
            <v>100</v>
          </cell>
          <cell r="AD185">
            <v>100</v>
          </cell>
          <cell r="AE185">
            <v>100</v>
          </cell>
          <cell r="AF185">
            <v>100</v>
          </cell>
          <cell r="AG185">
            <v>100</v>
          </cell>
          <cell r="AH185">
            <v>100</v>
          </cell>
          <cell r="AO185" t="str">
            <v>http://www.rockwellcollins.com/products/gov/surface/soldier/jtrs-hms/index.html</v>
          </cell>
        </row>
        <row r="186">
          <cell r="B186" t="str">
            <v>1Q 09 Surface Solutions</v>
          </cell>
          <cell r="T186">
            <v>171</v>
          </cell>
          <cell r="X186">
            <v>410</v>
          </cell>
          <cell r="AC186">
            <v>100</v>
          </cell>
          <cell r="AD186">
            <v>100</v>
          </cell>
          <cell r="AE186">
            <v>100</v>
          </cell>
          <cell r="AF186">
            <v>100</v>
          </cell>
          <cell r="AG186">
            <v>100</v>
          </cell>
          <cell r="AH186">
            <v>100</v>
          </cell>
          <cell r="AO186" t="str">
            <v>http://www.rockwellcollins.com/products/gov/surface/soldier/jtrs-hms/index.html</v>
          </cell>
        </row>
        <row r="187">
          <cell r="B187" t="str">
            <v>DataPath</v>
          </cell>
          <cell r="L187">
            <v>94</v>
          </cell>
          <cell r="M187" t="str">
            <v>http://www.rockwellcollins.com/news/page11137.html</v>
          </cell>
          <cell r="Q187" t="str">
            <v>http://www.rockwellcollins.com/news/page11137.html</v>
          </cell>
          <cell r="T187">
            <v>60</v>
          </cell>
          <cell r="X187">
            <v>60</v>
          </cell>
          <cell r="AA187">
            <v>500</v>
          </cell>
          <cell r="AB187">
            <v>561</v>
          </cell>
          <cell r="AC187">
            <v>100</v>
          </cell>
          <cell r="AD187">
            <v>100</v>
          </cell>
          <cell r="AE187">
            <v>100</v>
          </cell>
          <cell r="AF187">
            <v>100</v>
          </cell>
          <cell r="AG187">
            <v>100</v>
          </cell>
          <cell r="AH187">
            <v>100</v>
          </cell>
        </row>
        <row r="188">
          <cell r="B188" t="str">
            <v>Organic:</v>
          </cell>
          <cell r="T188">
            <v>-25</v>
          </cell>
          <cell r="X188">
            <v>171</v>
          </cell>
          <cell r="AC188">
            <v>100</v>
          </cell>
          <cell r="AD188">
            <v>100</v>
          </cell>
          <cell r="AE188">
            <v>100</v>
          </cell>
          <cell r="AF188">
            <v>100</v>
          </cell>
          <cell r="AG188">
            <v>100</v>
          </cell>
          <cell r="AH188">
            <v>100</v>
          </cell>
          <cell r="AO188" t="str">
            <v>http://www.rockwellcollins.com/products/gov/surface/soldier/soldier-systems/index.html</v>
          </cell>
        </row>
        <row r="189">
          <cell r="B189" t="str">
            <v>- DAGR</v>
          </cell>
          <cell r="X189">
            <v>60</v>
          </cell>
          <cell r="AA189">
            <v>1662</v>
          </cell>
          <cell r="AB189">
            <v>1761</v>
          </cell>
          <cell r="AC189">
            <v>100</v>
          </cell>
          <cell r="AD189">
            <v>100</v>
          </cell>
          <cell r="AE189">
            <v>100</v>
          </cell>
          <cell r="AF189">
            <v>100</v>
          </cell>
          <cell r="AG189">
            <v>100</v>
          </cell>
          <cell r="AH189">
            <v>100</v>
          </cell>
          <cell r="AO189" t="str">
            <v>http://www.rockwellcollins.com/products/gov/surface/precision-targeting/index.html</v>
          </cell>
        </row>
        <row r="190">
          <cell r="B190" t="str">
            <v>1Q10 Surface Solutions</v>
          </cell>
          <cell r="C190" t="str">
            <v>Difference vs. Top-Down Segment Forecast</v>
          </cell>
          <cell r="T190">
            <v>206</v>
          </cell>
          <cell r="X190">
            <v>-25</v>
          </cell>
          <cell r="AA190">
            <v>0</v>
          </cell>
          <cell r="AB190">
            <v>0</v>
          </cell>
          <cell r="AC190">
            <v>100</v>
          </cell>
          <cell r="AD190">
            <v>100</v>
          </cell>
          <cell r="AE190">
            <v>100</v>
          </cell>
          <cell r="AF190">
            <v>100</v>
          </cell>
          <cell r="AG190">
            <v>100</v>
          </cell>
          <cell r="AH190">
            <v>100</v>
          </cell>
          <cell r="AO190" t="str">
            <v>http://www.rockwellcollins.com/products/gov/surface/maritime-solutions/index.html</v>
          </cell>
        </row>
        <row r="191">
          <cell r="B191" t="str">
            <v>- DAGR</v>
          </cell>
        </row>
        <row r="192">
          <cell r="A192" t="str">
            <v>Surface Solutions Program Build</v>
          </cell>
          <cell r="B192" t="str">
            <v>1Q10 Surface Solutions</v>
          </cell>
          <cell r="L192" t="str">
            <v>Program Value</v>
          </cell>
          <cell r="X192">
            <v>206</v>
          </cell>
        </row>
        <row r="193">
          <cell r="B193" t="str">
            <v>Other</v>
          </cell>
          <cell r="AA193">
            <v>504</v>
          </cell>
          <cell r="AB193">
            <v>584</v>
          </cell>
          <cell r="AC193">
            <v>-47</v>
          </cell>
          <cell r="AD193">
            <v>-165</v>
          </cell>
          <cell r="AE193">
            <v>-250</v>
          </cell>
          <cell r="AF193">
            <v>-200</v>
          </cell>
          <cell r="AG193">
            <v>-150</v>
          </cell>
          <cell r="AH193">
            <v>-125</v>
          </cell>
        </row>
        <row r="194">
          <cell r="B194" t="str">
            <v>DataPath</v>
          </cell>
          <cell r="AA194">
            <v>704</v>
          </cell>
          <cell r="AB194">
            <v>818</v>
          </cell>
          <cell r="AC194">
            <v>1009</v>
          </cell>
          <cell r="AD194">
            <v>825</v>
          </cell>
          <cell r="AE194">
            <v>750</v>
          </cell>
          <cell r="AF194">
            <v>825</v>
          </cell>
          <cell r="AG194">
            <v>890</v>
          </cell>
          <cell r="AH194">
            <v>925</v>
          </cell>
        </row>
        <row r="195">
          <cell r="B195" t="str">
            <v>DAGR (Defense Advanced GPS Receiver)</v>
          </cell>
          <cell r="P195" t="str">
            <v>Total $5.5B program potential</v>
          </cell>
          <cell r="T195" t="str">
            <v>Total $5.5B program potential</v>
          </cell>
          <cell r="AA195">
            <v>704</v>
          </cell>
          <cell r="AB195">
            <v>818</v>
          </cell>
          <cell r="AC195">
            <v>1009</v>
          </cell>
          <cell r="AD195">
            <v>825</v>
          </cell>
          <cell r="AE195">
            <v>750</v>
          </cell>
          <cell r="AF195">
            <v>825</v>
          </cell>
          <cell r="AG195">
            <v>890</v>
          </cell>
          <cell r="AH195">
            <v>925</v>
          </cell>
          <cell r="AI195" t="str">
            <v>- IDIQ thru 2014, stock replenishment levels</v>
          </cell>
        </row>
        <row r="196">
          <cell r="B196" t="str">
            <v>JTRS GMR (Ground Mobile Radio)</v>
          </cell>
          <cell r="AA196">
            <v>0</v>
          </cell>
          <cell r="AB196">
            <v>0</v>
          </cell>
          <cell r="AC196">
            <v>0</v>
          </cell>
          <cell r="AD196">
            <v>0</v>
          </cell>
          <cell r="AE196">
            <v>0</v>
          </cell>
          <cell r="AF196">
            <v>0</v>
          </cell>
          <cell r="AG196">
            <v>0</v>
          </cell>
          <cell r="AH196">
            <v>0</v>
          </cell>
          <cell r="AO196" t="str">
            <v>http://www.rockwellcollins.com/products/gov/surface/soldier/jtrs-hms/index.html</v>
          </cell>
        </row>
        <row r="197">
          <cell r="B197" t="str">
            <v>JTRS HMS (Handheld / Manpack / Small Form Fit)</v>
          </cell>
          <cell r="AC197">
            <v>100</v>
          </cell>
          <cell r="AD197">
            <v>100</v>
          </cell>
          <cell r="AE197">
            <v>100</v>
          </cell>
          <cell r="AF197">
            <v>100</v>
          </cell>
          <cell r="AG197">
            <v>100</v>
          </cell>
          <cell r="AH197">
            <v>100</v>
          </cell>
          <cell r="AO197" t="str">
            <v>http://www.rockwellcollins.com/products/gov/surface/soldier/jtrs-hms/index.html</v>
          </cell>
        </row>
        <row r="198">
          <cell r="B198" t="str">
            <v>MIDS-JTRS (DataLink Solutions JV with BAE Systems)</v>
          </cell>
          <cell r="AC198">
            <v>100</v>
          </cell>
          <cell r="AD198">
            <v>100</v>
          </cell>
          <cell r="AE198">
            <v>100</v>
          </cell>
          <cell r="AF198">
            <v>100</v>
          </cell>
          <cell r="AG198">
            <v>100</v>
          </cell>
          <cell r="AH198">
            <v>100</v>
          </cell>
          <cell r="AO198" t="str">
            <v>http://www.rockwellcollins.com/products/gov/surface/soldier/jtrs-hms/index.html</v>
          </cell>
        </row>
        <row r="199">
          <cell r="A199" t="str">
            <v>Quarterly Marginal Sales Disclosure</v>
          </cell>
          <cell r="B199" t="str">
            <v>JPALS (Jt. Precision Approach and Landing System)</v>
          </cell>
          <cell r="L199" t="str">
            <v>Program Value</v>
          </cell>
          <cell r="M199" t="str">
            <v>http://www.rockwellcollins.com/news/page11137.html</v>
          </cell>
          <cell r="Q199" t="str">
            <v>http://www.rockwellcollins.com/news/page11137.html</v>
          </cell>
          <cell r="AC199">
            <v>100</v>
          </cell>
          <cell r="AD199">
            <v>100</v>
          </cell>
          <cell r="AE199">
            <v>100</v>
          </cell>
          <cell r="AF199">
            <v>100</v>
          </cell>
          <cell r="AG199">
            <v>100</v>
          </cell>
          <cell r="AH199">
            <v>100</v>
          </cell>
        </row>
        <row r="200">
          <cell r="B200" t="str">
            <v>Soldier Displays</v>
          </cell>
          <cell r="AC200">
            <v>100</v>
          </cell>
          <cell r="AD200">
            <v>100</v>
          </cell>
          <cell r="AE200">
            <v>100</v>
          </cell>
          <cell r="AF200">
            <v>100</v>
          </cell>
          <cell r="AG200">
            <v>100</v>
          </cell>
          <cell r="AH200">
            <v>100</v>
          </cell>
          <cell r="AO200" t="str">
            <v>http://www.rockwellcollins.com/products/gov/surface/soldier/soldier-systems/index.html</v>
          </cell>
        </row>
        <row r="201">
          <cell r="B201" t="str">
            <v>4Q 08 Airborne Solutions</v>
          </cell>
          <cell r="AB201">
            <v>459</v>
          </cell>
          <cell r="AC201">
            <v>100</v>
          </cell>
          <cell r="AD201">
            <v>100</v>
          </cell>
          <cell r="AE201">
            <v>100</v>
          </cell>
          <cell r="AF201">
            <v>100</v>
          </cell>
          <cell r="AG201">
            <v>100</v>
          </cell>
          <cell r="AH201">
            <v>100</v>
          </cell>
          <cell r="AO201" t="str">
            <v>http://www.rockwellcollins.com/products/gov/surface/precision-targeting/index.html</v>
          </cell>
        </row>
        <row r="202">
          <cell r="B202" t="str">
            <v>SEOS Group</v>
          </cell>
          <cell r="AB202">
            <v>5</v>
          </cell>
          <cell r="AC202">
            <v>100</v>
          </cell>
          <cell r="AD202">
            <v>100</v>
          </cell>
          <cell r="AE202">
            <v>100</v>
          </cell>
          <cell r="AF202">
            <v>100</v>
          </cell>
          <cell r="AG202">
            <v>100</v>
          </cell>
          <cell r="AH202">
            <v>100</v>
          </cell>
          <cell r="AO202" t="str">
            <v>http://www.rockwellcollins.com/products/gov/surface/maritime-solutions/index.html</v>
          </cell>
        </row>
        <row r="203">
          <cell r="B203" t="str">
            <v>Organic:</v>
          </cell>
          <cell r="AB203">
            <v>11</v>
          </cell>
        </row>
        <row r="204">
          <cell r="B204" t="str">
            <v>+ F-15 Head-Down Displays</v>
          </cell>
        </row>
        <row r="205">
          <cell r="B205" t="str">
            <v>+ UAV Controls</v>
          </cell>
          <cell r="AA205">
            <v>504</v>
          </cell>
          <cell r="AB205">
            <v>584</v>
          </cell>
          <cell r="AC205">
            <v>-47</v>
          </cell>
          <cell r="AD205">
            <v>-165</v>
          </cell>
          <cell r="AE205">
            <v>-250</v>
          </cell>
          <cell r="AF205">
            <v>-200</v>
          </cell>
          <cell r="AG205">
            <v>-150</v>
          </cell>
          <cell r="AH205">
            <v>-125</v>
          </cell>
        </row>
        <row r="206">
          <cell r="B206" t="str">
            <v>4Q09 Airborne Solutions</v>
          </cell>
          <cell r="AA206">
            <v>704</v>
          </cell>
          <cell r="AB206">
            <v>475</v>
          </cell>
          <cell r="AC206">
            <v>1009</v>
          </cell>
          <cell r="AD206">
            <v>825</v>
          </cell>
          <cell r="AE206">
            <v>750</v>
          </cell>
          <cell r="AF206">
            <v>825</v>
          </cell>
          <cell r="AG206">
            <v>890</v>
          </cell>
          <cell r="AH206">
            <v>925</v>
          </cell>
        </row>
        <row r="207">
          <cell r="AA207">
            <v>704</v>
          </cell>
          <cell r="AB207">
            <v>818</v>
          </cell>
          <cell r="AC207">
            <v>1009</v>
          </cell>
          <cell r="AD207">
            <v>825</v>
          </cell>
          <cell r="AE207">
            <v>750</v>
          </cell>
          <cell r="AF207">
            <v>825</v>
          </cell>
          <cell r="AG207">
            <v>890</v>
          </cell>
          <cell r="AH207">
            <v>925</v>
          </cell>
        </row>
        <row r="208">
          <cell r="B208" t="str">
            <v>4Q 08 Surface Solutions</v>
          </cell>
          <cell r="AA208">
            <v>0</v>
          </cell>
          <cell r="AB208">
            <v>177</v>
          </cell>
          <cell r="AC208">
            <v>0</v>
          </cell>
          <cell r="AD208">
            <v>0</v>
          </cell>
          <cell r="AE208">
            <v>0</v>
          </cell>
          <cell r="AF208">
            <v>0</v>
          </cell>
          <cell r="AG208">
            <v>0</v>
          </cell>
          <cell r="AH208">
            <v>0</v>
          </cell>
        </row>
        <row r="209">
          <cell r="B209" t="str">
            <v>DataPath</v>
          </cell>
          <cell r="AB209">
            <v>61</v>
          </cell>
        </row>
        <row r="210">
          <cell r="B210" t="str">
            <v>Organic:</v>
          </cell>
          <cell r="AB210">
            <v>28</v>
          </cell>
        </row>
        <row r="211">
          <cell r="A211" t="str">
            <v>Quarterly Marginal Sales Disclosure</v>
          </cell>
          <cell r="B211" t="str">
            <v>+ UK Precision Targeting</v>
          </cell>
          <cell r="L211" t="str">
            <v>Program Value</v>
          </cell>
        </row>
        <row r="212">
          <cell r="B212" t="str">
            <v>+ JTRS</v>
          </cell>
        </row>
        <row r="213">
          <cell r="B213" t="str">
            <v>+ JPALS</v>
          </cell>
          <cell r="AB213">
            <v>459</v>
          </cell>
        </row>
        <row r="214">
          <cell r="B214" t="str">
            <v>- DAGR</v>
          </cell>
          <cell r="AB214">
            <v>5</v>
          </cell>
        </row>
        <row r="215">
          <cell r="B215" t="str">
            <v>- GB-GRAM</v>
          </cell>
          <cell r="AB215">
            <v>11</v>
          </cell>
        </row>
        <row r="216">
          <cell r="B216" t="str">
            <v>4Q09 Surface Solutions</v>
          </cell>
          <cell r="AB216">
            <v>266</v>
          </cell>
        </row>
        <row r="217">
          <cell r="B217" t="str">
            <v>+ UAV Controls</v>
          </cell>
        </row>
        <row r="218">
          <cell r="B218" t="str">
            <v>1Q 09 Airborne Solutions</v>
          </cell>
          <cell r="AB218">
            <v>403</v>
          </cell>
        </row>
        <row r="219">
          <cell r="B219" t="str">
            <v>SEOS Group</v>
          </cell>
          <cell r="AB219">
            <v>5</v>
          </cell>
        </row>
        <row r="220">
          <cell r="B220" t="str">
            <v>Organic:</v>
          </cell>
          <cell r="AB220">
            <v>2</v>
          </cell>
        </row>
        <row r="221">
          <cell r="B221" t="str">
            <v>+ Transport / Tanker</v>
          </cell>
          <cell r="AB221">
            <v>61</v>
          </cell>
        </row>
        <row r="222">
          <cell r="B222" t="str">
            <v>- F-22</v>
          </cell>
          <cell r="AB222">
            <v>28</v>
          </cell>
        </row>
        <row r="223">
          <cell r="B223" t="str">
            <v>1Q10 Airborne Solutions</v>
          </cell>
          <cell r="AB223">
            <v>410</v>
          </cell>
        </row>
        <row r="224">
          <cell r="B224" t="str">
            <v>+ JTRS</v>
          </cell>
        </row>
        <row r="225">
          <cell r="B225" t="str">
            <v>1Q 09 Surface Solutions</v>
          </cell>
          <cell r="AB225">
            <v>171</v>
          </cell>
        </row>
        <row r="226">
          <cell r="B226" t="str">
            <v>DataPath</v>
          </cell>
          <cell r="AB226">
            <v>60</v>
          </cell>
        </row>
        <row r="227">
          <cell r="B227" t="str">
            <v>Organic:</v>
          </cell>
          <cell r="AB227">
            <v>-25</v>
          </cell>
        </row>
        <row r="228">
          <cell r="B228" t="str">
            <v>- DAGR</v>
          </cell>
          <cell r="AB228">
            <v>266</v>
          </cell>
        </row>
        <row r="229">
          <cell r="B229" t="str">
            <v>1Q10 Surface Solutions</v>
          </cell>
          <cell r="AB229">
            <v>206</v>
          </cell>
        </row>
        <row r="230">
          <cell r="B230" t="str">
            <v>1Q 09 Airborne Solutions</v>
          </cell>
          <cell r="AB230">
            <v>403</v>
          </cell>
        </row>
        <row r="231">
          <cell r="B231" t="str">
            <v>SEOS Group</v>
          </cell>
          <cell r="AB231">
            <v>5</v>
          </cell>
        </row>
        <row r="232">
          <cell r="B232" t="str">
            <v>Organic:</v>
          </cell>
          <cell r="AB232">
            <v>2</v>
          </cell>
        </row>
        <row r="233">
          <cell r="B233" t="str">
            <v>+ Transport / Tanker</v>
          </cell>
        </row>
        <row r="234">
          <cell r="B234" t="str">
            <v>- F-22</v>
          </cell>
        </row>
        <row r="235">
          <cell r="B235" t="str">
            <v>1Q10 Airborne Solutions</v>
          </cell>
          <cell r="AB235">
            <v>410</v>
          </cell>
        </row>
        <row r="237">
          <cell r="B237" t="str">
            <v>1Q 09 Surface Solutions</v>
          </cell>
          <cell r="AB237">
            <v>171</v>
          </cell>
        </row>
        <row r="238">
          <cell r="B238" t="str">
            <v>DataPath</v>
          </cell>
          <cell r="AB238">
            <v>60</v>
          </cell>
        </row>
        <row r="239">
          <cell r="B239" t="str">
            <v>Organic:</v>
          </cell>
          <cell r="AB239">
            <v>-25</v>
          </cell>
        </row>
        <row r="240">
          <cell r="B240" t="str">
            <v>- DAGR</v>
          </cell>
        </row>
        <row r="241">
          <cell r="B241" t="str">
            <v>1Q10 Surface Solutions</v>
          </cell>
          <cell r="AB241">
            <v>206</v>
          </cell>
        </row>
      </sheetData>
      <sheetData sheetId="9" refreshError="1">
        <row r="1">
          <cell r="A1" t="str">
            <v>Rockwell Collins, Inc.</v>
          </cell>
          <cell r="AB1" t="str">
            <v>6mn adjustment in gov</v>
          </cell>
        </row>
        <row r="2">
          <cell r="A2" t="str">
            <v>Commercial Systems Segment Detail</v>
          </cell>
          <cell r="AB2" t="str">
            <v>9mn in commercial</v>
          </cell>
        </row>
        <row r="3">
          <cell r="A3" t="str">
            <v>Morgan Stanley Research</v>
          </cell>
          <cell r="O3" t="str">
            <v>IAM Strike</v>
          </cell>
        </row>
        <row r="4">
          <cell r="A4" t="str">
            <v>($ in Millions Except EPS)</v>
          </cell>
        </row>
        <row r="5">
          <cell r="A5" t="str">
            <v>Model Updated: 4/10</v>
          </cell>
        </row>
        <row r="6">
          <cell r="A6" t="str">
            <v>Fiscal Year Ended Sept. 30</v>
          </cell>
          <cell r="H6">
            <v>2007</v>
          </cell>
          <cell r="L6">
            <v>2008</v>
          </cell>
          <cell r="P6" t="str">
            <v>2009A</v>
          </cell>
          <cell r="T6" t="str">
            <v>2010E</v>
          </cell>
        </row>
        <row r="7">
          <cell r="I7" t="str">
            <v>Dec. 31</v>
          </cell>
          <cell r="J7" t="str">
            <v>March 31</v>
          </cell>
          <cell r="K7" t="str">
            <v>June 30</v>
          </cell>
          <cell r="L7" t="str">
            <v>Sept. 30</v>
          </cell>
          <cell r="M7" t="str">
            <v>Dec. 31</v>
          </cell>
          <cell r="N7" t="str">
            <v>March 31</v>
          </cell>
          <cell r="O7" t="str">
            <v>June 30</v>
          </cell>
          <cell r="P7" t="str">
            <v>Sept. 30</v>
          </cell>
          <cell r="Q7" t="str">
            <v>Dec</v>
          </cell>
          <cell r="R7" t="str">
            <v>March</v>
          </cell>
          <cell r="S7" t="str">
            <v>June</v>
          </cell>
          <cell r="T7" t="str">
            <v>Sept</v>
          </cell>
          <cell r="U7" t="str">
            <v>Dec</v>
          </cell>
          <cell r="V7" t="str">
            <v>March</v>
          </cell>
          <cell r="W7" t="str">
            <v>June</v>
          </cell>
          <cell r="X7" t="str">
            <v>Sept</v>
          </cell>
          <cell r="Y7" t="str">
            <v>Dec</v>
          </cell>
          <cell r="Z7" t="str">
            <v>March</v>
          </cell>
          <cell r="AA7" t="str">
            <v>June</v>
          </cell>
          <cell r="AB7" t="str">
            <v>Sept</v>
          </cell>
          <cell r="AC7" t="str">
            <v>Dec</v>
          </cell>
          <cell r="AD7" t="str">
            <v>March</v>
          </cell>
          <cell r="AE7" t="str">
            <v>June</v>
          </cell>
          <cell r="AF7" t="str">
            <v>Sept</v>
          </cell>
          <cell r="AJ7" t="str">
            <v>Y/Y Growth Rates</v>
          </cell>
          <cell r="AN7" t="str">
            <v>Y/Y Growth Rates</v>
          </cell>
          <cell r="AR7" t="str">
            <v>Y/Y Growth Rates</v>
          </cell>
        </row>
        <row r="8">
          <cell r="H8" t="str">
            <v>Q1</v>
          </cell>
          <cell r="I8" t="str">
            <v>1Q07</v>
          </cell>
          <cell r="J8" t="str">
            <v>2Q07</v>
          </cell>
          <cell r="K8" t="str">
            <v>3Q07</v>
          </cell>
          <cell r="L8" t="str">
            <v>4Q07</v>
          </cell>
          <cell r="M8" t="str">
            <v>1Q08</v>
          </cell>
          <cell r="N8" t="str">
            <v>2Q08</v>
          </cell>
          <cell r="O8" t="str">
            <v>3Q08</v>
          </cell>
          <cell r="P8" t="str">
            <v>4Q08</v>
          </cell>
          <cell r="Q8" t="str">
            <v>1Q09</v>
          </cell>
          <cell r="R8" t="str">
            <v>2Q09</v>
          </cell>
          <cell r="S8" t="str">
            <v>3Q09</v>
          </cell>
          <cell r="T8" t="str">
            <v>4Q09</v>
          </cell>
          <cell r="U8" t="str">
            <v>1Q10A</v>
          </cell>
          <cell r="V8" t="str">
            <v>2Q10A</v>
          </cell>
          <cell r="W8" t="str">
            <v>3Q10A</v>
          </cell>
          <cell r="X8" t="str">
            <v>4Q10E</v>
          </cell>
          <cell r="Y8">
            <v>2006</v>
          </cell>
          <cell r="Z8">
            <v>2007</v>
          </cell>
          <cell r="AA8">
            <v>2008</v>
          </cell>
          <cell r="AB8">
            <v>2009</v>
          </cell>
          <cell r="AC8">
            <v>2010</v>
          </cell>
          <cell r="AD8">
            <v>2011</v>
          </cell>
          <cell r="AE8">
            <v>2012</v>
          </cell>
          <cell r="AF8">
            <v>2013</v>
          </cell>
          <cell r="AG8">
            <v>2014</v>
          </cell>
          <cell r="AH8">
            <v>2015</v>
          </cell>
          <cell r="AI8" t="str">
            <v>2012E</v>
          </cell>
          <cell r="AJ8">
            <v>2010</v>
          </cell>
          <cell r="AK8">
            <v>2011</v>
          </cell>
          <cell r="AL8">
            <v>2012</v>
          </cell>
          <cell r="AM8">
            <v>2013</v>
          </cell>
          <cell r="AN8">
            <v>2014</v>
          </cell>
          <cell r="AO8">
            <v>2015</v>
          </cell>
          <cell r="AP8" t="str">
            <v>1Q10A</v>
          </cell>
          <cell r="AQ8" t="str">
            <v>2Q10A</v>
          </cell>
          <cell r="AR8" t="str">
            <v>3Q10A</v>
          </cell>
          <cell r="AS8" t="str">
            <v>4Q10E</v>
          </cell>
          <cell r="AT8" t="str">
            <v>1Q10</v>
          </cell>
          <cell r="AU8" t="str">
            <v>Notes</v>
          </cell>
          <cell r="AV8" t="str">
            <v>3Q10</v>
          </cell>
          <cell r="AW8" t="str">
            <v>4Q10</v>
          </cell>
          <cell r="AX8" t="str">
            <v>1Q10</v>
          </cell>
          <cell r="AY8" t="str">
            <v>Notes</v>
          </cell>
          <cell r="AZ8" t="str">
            <v>3Q10</v>
          </cell>
          <cell r="BA8" t="str">
            <v>4Q10</v>
          </cell>
          <cell r="BC8" t="str">
            <v>Notes</v>
          </cell>
        </row>
        <row r="9">
          <cell r="A9" t="str">
            <v>Macro Indicators</v>
          </cell>
        </row>
        <row r="10">
          <cell r="B10" t="str">
            <v>Commercial Systems Sales</v>
          </cell>
        </row>
        <row r="11">
          <cell r="B11" t="str">
            <v>Aircraft Deliveries</v>
          </cell>
          <cell r="C11" t="str">
            <v>Air Transport Aviation Electronics:</v>
          </cell>
        </row>
        <row r="12">
          <cell r="B12" t="str">
            <v>Boeing</v>
          </cell>
          <cell r="D12" t="str">
            <v>Original Equipment</v>
          </cell>
          <cell r="Q12">
            <v>67</v>
          </cell>
          <cell r="R12">
            <v>102</v>
          </cell>
          <cell r="S12">
            <v>91</v>
          </cell>
          <cell r="T12">
            <v>105</v>
          </cell>
          <cell r="U12">
            <v>98</v>
          </cell>
          <cell r="V12">
            <v>113</v>
          </cell>
          <cell r="W12">
            <v>114</v>
          </cell>
          <cell r="X12">
            <v>525</v>
          </cell>
          <cell r="Y12">
            <v>381</v>
          </cell>
          <cell r="Z12">
            <v>281</v>
          </cell>
          <cell r="AA12">
            <v>285</v>
          </cell>
          <cell r="AB12">
            <v>365</v>
          </cell>
          <cell r="AC12">
            <v>440</v>
          </cell>
          <cell r="AD12">
            <v>497.19999999999993</v>
          </cell>
          <cell r="AE12">
            <v>546.91999999999996</v>
          </cell>
          <cell r="AF12">
            <v>601.61199999999997</v>
          </cell>
          <cell r="AG12">
            <v>632.72986206896553</v>
          </cell>
          <cell r="AH12">
            <v>663.8477241379311</v>
          </cell>
          <cell r="AI12">
            <v>509</v>
          </cell>
          <cell r="AJ12">
            <v>0.20547945205479445</v>
          </cell>
          <cell r="AK12">
            <v>0.12999999999999989</v>
          </cell>
          <cell r="AL12">
            <v>0.10000000000000009</v>
          </cell>
          <cell r="AM12">
            <v>0.10000000000000009</v>
          </cell>
          <cell r="AN12">
            <v>5.1724137931034475E-2</v>
          </cell>
          <cell r="AO12">
            <v>4.9180327868852514E-2</v>
          </cell>
          <cell r="AP12">
            <v>0.46268656716417911</v>
          </cell>
          <cell r="AQ12">
            <v>0.10784313725490202</v>
          </cell>
          <cell r="AR12">
            <v>0.25274725274725274</v>
          </cell>
          <cell r="AS12">
            <v>9.5238095238095344E-2</v>
          </cell>
          <cell r="AT12">
            <v>0.46268656716417911</v>
          </cell>
          <cell r="AU12">
            <v>0.10784313725490202</v>
          </cell>
          <cell r="AV12">
            <v>0.25274725274725274</v>
          </cell>
          <cell r="AW12">
            <v>8.5714285714285632E-2</v>
          </cell>
          <cell r="AX12">
            <v>0.46268656716417911</v>
          </cell>
          <cell r="AY12">
            <v>0.10784313725490202</v>
          </cell>
          <cell r="AZ12">
            <v>0.25274725274725274</v>
          </cell>
          <cell r="BA12">
            <v>8.5714285714285632E-2</v>
          </cell>
        </row>
        <row r="13">
          <cell r="C13" t="str">
            <v>Y/Y Change</v>
          </cell>
          <cell r="D13" t="str">
            <v>Aftermarket</v>
          </cell>
          <cell r="Q13">
            <v>132</v>
          </cell>
          <cell r="R13">
            <v>140</v>
          </cell>
          <cell r="S13">
            <v>130</v>
          </cell>
          <cell r="T13">
            <v>134</v>
          </cell>
          <cell r="U13">
            <v>125</v>
          </cell>
          <cell r="V13">
            <v>127</v>
          </cell>
          <cell r="W13">
            <v>115</v>
          </cell>
          <cell r="X13">
            <v>147.4</v>
          </cell>
          <cell r="Y13">
            <v>-0.27428571428571424</v>
          </cell>
          <cell r="Z13">
            <v>-0.26246719160104992</v>
          </cell>
          <cell r="AA13">
            <v>1.4234875444839812E-2</v>
          </cell>
          <cell r="AB13">
            <v>536</v>
          </cell>
          <cell r="AC13">
            <v>514.4</v>
          </cell>
          <cell r="AD13">
            <v>565.84</v>
          </cell>
          <cell r="AE13">
            <v>622.42400000000009</v>
          </cell>
          <cell r="AF13">
            <v>672.21792000000016</v>
          </cell>
          <cell r="AG13">
            <v>703.24336246153871</v>
          </cell>
          <cell r="AH13">
            <v>734.26880492307725</v>
          </cell>
          <cell r="AI13">
            <v>0.1782407407407407</v>
          </cell>
          <cell r="AJ13">
            <v>-4.0298507462686595E-2</v>
          </cell>
          <cell r="AK13">
            <v>0.10000000000000009</v>
          </cell>
          <cell r="AL13">
            <v>0.10000000000000009</v>
          </cell>
          <cell r="AM13">
            <v>8.0000000000000071E-2</v>
          </cell>
          <cell r="AN13">
            <v>4.6153846153846212E-2</v>
          </cell>
          <cell r="AO13">
            <v>4.4117647058823595E-2</v>
          </cell>
          <cell r="AP13">
            <v>-5.3030303030302983E-2</v>
          </cell>
          <cell r="AQ13">
            <v>-9.285714285714286E-2</v>
          </cell>
          <cell r="AR13">
            <v>-0.11538461538461542</v>
          </cell>
          <cell r="AS13">
            <v>0.10000000000000009</v>
          </cell>
          <cell r="AT13">
            <v>-0.24242424242424243</v>
          </cell>
          <cell r="AU13" t="str">
            <v>7/10 - half non discretionary; 50% of discretionary is IFE (Inflight Entertainment)</v>
          </cell>
          <cell r="AV13">
            <v>-0.29230769230769227</v>
          </cell>
          <cell r="AW13">
            <v>-0.11194029850746268</v>
          </cell>
          <cell r="AX13">
            <v>-0.24242424242424243</v>
          </cell>
          <cell r="AY13" t="str">
            <v>7/10 - half non discretionary; 50% of discretionary is IFE (Inflight Entertainment)</v>
          </cell>
          <cell r="AZ13">
            <v>-0.33846153846153848</v>
          </cell>
          <cell r="BA13">
            <v>-0.19402985074626866</v>
          </cell>
          <cell r="BC13" t="str">
            <v>7/10 - half non discretionary; 50% of discretionary is IFE (Inflight Entertainment)</v>
          </cell>
        </row>
        <row r="14">
          <cell r="D14" t="str">
            <v xml:space="preserve">Wide-Body In-Flight Entertainment </v>
          </cell>
          <cell r="Q14">
            <v>21</v>
          </cell>
          <cell r="R14">
            <v>17</v>
          </cell>
          <cell r="S14">
            <v>23</v>
          </cell>
          <cell r="T14">
            <v>24</v>
          </cell>
          <cell r="U14">
            <v>18</v>
          </cell>
          <cell r="V14">
            <v>11</v>
          </cell>
          <cell r="W14">
            <v>10</v>
          </cell>
          <cell r="X14">
            <v>6</v>
          </cell>
          <cell r="Y14">
            <v>27</v>
          </cell>
          <cell r="Z14">
            <v>29</v>
          </cell>
          <cell r="AA14">
            <v>24</v>
          </cell>
          <cell r="AB14">
            <v>85</v>
          </cell>
          <cell r="AC14">
            <v>45</v>
          </cell>
          <cell r="AD14">
            <v>27</v>
          </cell>
          <cell r="AE14">
            <v>18.899999999999999</v>
          </cell>
          <cell r="AF14">
            <v>13.229999999999999</v>
          </cell>
          <cell r="AG14">
            <v>9.2609999999999992</v>
          </cell>
          <cell r="AH14">
            <v>6.4826999999999995</v>
          </cell>
          <cell r="AI14">
            <v>69.02</v>
          </cell>
          <cell r="AJ14">
            <v>-0.47058823529411764</v>
          </cell>
          <cell r="AK14">
            <v>-0.4</v>
          </cell>
          <cell r="AL14">
            <v>23.673859999999994</v>
          </cell>
          <cell r="AM14">
            <v>83.3</v>
          </cell>
          <cell r="AN14">
            <v>0.70588235294117641</v>
          </cell>
          <cell r="AO14">
            <v>-0.32000000000000006</v>
          </cell>
          <cell r="AP14">
            <v>-0.1428571428571429</v>
          </cell>
          <cell r="AQ14">
            <v>-0.3529411764705882</v>
          </cell>
          <cell r="AR14">
            <v>-0.56521739130434789</v>
          </cell>
          <cell r="AS14">
            <v>-0.75</v>
          </cell>
          <cell r="AT14">
            <v>1.0476190476190474</v>
          </cell>
          <cell r="AU14">
            <v>1.0588235294117645</v>
          </cell>
          <cell r="AV14">
            <v>0.43478260869565211</v>
          </cell>
          <cell r="AW14">
            <v>0.41666666666666674</v>
          </cell>
          <cell r="AX14">
            <v>1.0476190476190474</v>
          </cell>
          <cell r="AY14">
            <v>1.0588235294117645</v>
          </cell>
          <cell r="AZ14">
            <v>0.43478260869565211</v>
          </cell>
          <cell r="BA14">
            <v>0.41666666666666674</v>
          </cell>
        </row>
        <row r="15">
          <cell r="B15" t="str">
            <v>Airbus</v>
          </cell>
          <cell r="D15" t="str">
            <v>Total Air Transport Electronics</v>
          </cell>
          <cell r="Q15">
            <v>220</v>
          </cell>
          <cell r="R15">
            <v>259</v>
          </cell>
          <cell r="S15">
            <v>244</v>
          </cell>
          <cell r="T15">
            <v>263</v>
          </cell>
          <cell r="U15">
            <v>241</v>
          </cell>
          <cell r="V15">
            <v>251</v>
          </cell>
          <cell r="W15">
            <v>239</v>
          </cell>
          <cell r="X15">
            <v>325</v>
          </cell>
          <cell r="Y15">
            <v>303</v>
          </cell>
          <cell r="Z15">
            <v>305</v>
          </cell>
          <cell r="AA15">
            <v>320</v>
          </cell>
          <cell r="AB15">
            <v>986</v>
          </cell>
          <cell r="AC15">
            <v>999.4</v>
          </cell>
          <cell r="AD15">
            <v>1090.04</v>
          </cell>
          <cell r="AE15">
            <v>1188.2440000000001</v>
          </cell>
          <cell r="AF15">
            <v>1287.0599200000001</v>
          </cell>
          <cell r="AG15">
            <v>1345.2342245305042</v>
          </cell>
          <cell r="AH15">
            <v>1404.5992290610084</v>
          </cell>
          <cell r="AI15">
            <v>453</v>
          </cell>
          <cell r="AJ15">
            <v>1.3590263691683591E-2</v>
          </cell>
          <cell r="AK15">
            <v>9.0694416649989895E-2</v>
          </cell>
          <cell r="AL15">
            <v>9.0092106711680442E-2</v>
          </cell>
          <cell r="AM15">
            <v>8.3161303570647105E-2</v>
          </cell>
          <cell r="AN15">
            <v>4.5199375434287425E-2</v>
          </cell>
          <cell r="AO15">
            <v>4.4129864857715084E-2</v>
          </cell>
          <cell r="AP15">
            <v>9.5454545454545459E-2</v>
          </cell>
          <cell r="AQ15">
            <v>-3.0888030888030937E-2</v>
          </cell>
          <cell r="AR15">
            <v>-2.0491803278688492E-2</v>
          </cell>
          <cell r="AS15">
            <v>2.0532319391634912E-2</v>
          </cell>
          <cell r="AT15">
            <v>9.5454545454545459E-2</v>
          </cell>
          <cell r="AU15">
            <v>-3.0888030888030937E-2</v>
          </cell>
          <cell r="AV15">
            <v>-2.0491803278688492E-2</v>
          </cell>
          <cell r="AW15">
            <v>1.5209125475285079E-2</v>
          </cell>
          <cell r="AX15">
            <v>9.5454545454545459E-2</v>
          </cell>
          <cell r="AY15">
            <v>-3.0888030888030937E-2</v>
          </cell>
          <cell r="AZ15">
            <v>-4.5081967213114749E-2</v>
          </cell>
          <cell r="BA15">
            <v>-2.6615969581749055E-2</v>
          </cell>
        </row>
        <row r="16">
          <cell r="C16" t="str">
            <v>Y/Y Change</v>
          </cell>
          <cell r="Y16">
            <v>-6.7692307692307718E-2</v>
          </cell>
          <cell r="Z16">
            <v>6.6006600660066805E-3</v>
          </cell>
          <cell r="AA16">
            <v>4.9180327868852514E-2</v>
          </cell>
          <cell r="AB16">
            <v>0.18124999999999991</v>
          </cell>
          <cell r="AC16">
            <v>0.14814814814814814</v>
          </cell>
          <cell r="AD16">
            <v>4.377880184331806E-2</v>
          </cell>
          <cell r="AE16">
            <v>6.6225165562913801E-2</v>
          </cell>
          <cell r="AF16">
            <v>0</v>
          </cell>
          <cell r="AG16">
            <v>-0.10144927536231885</v>
          </cell>
          <cell r="AH16">
            <v>1.6129032258064502E-2</v>
          </cell>
          <cell r="AI16">
            <v>2.7210884353741527E-2</v>
          </cell>
          <cell r="AJ16">
            <v>1.7660044150110465E-2</v>
          </cell>
          <cell r="AK16">
            <v>3.0368763557483636E-2</v>
          </cell>
          <cell r="AL16">
            <v>5.2631578947368363E-2</v>
          </cell>
        </row>
        <row r="17">
          <cell r="C17" t="str">
            <v>Business and Regional Aviation Electronics:</v>
          </cell>
          <cell r="AM17">
            <v>0.15770127118644051</v>
          </cell>
        </row>
        <row r="18">
          <cell r="B18" t="str">
            <v>Large Commercial Deliveries</v>
          </cell>
          <cell r="D18" t="str">
            <v>Orginal Equipment</v>
          </cell>
          <cell r="Q18">
            <v>177</v>
          </cell>
          <cell r="R18">
            <v>193</v>
          </cell>
          <cell r="S18">
            <v>120</v>
          </cell>
          <cell r="T18">
            <v>115</v>
          </cell>
          <cell r="U18">
            <v>103</v>
          </cell>
          <cell r="V18">
            <v>120</v>
          </cell>
          <cell r="W18">
            <v>126</v>
          </cell>
          <cell r="X18">
            <v>850</v>
          </cell>
          <cell r="Y18">
            <v>683.72571428571428</v>
          </cell>
          <cell r="Z18">
            <v>585.73753280839901</v>
          </cell>
          <cell r="AA18">
            <v>605.0142348754448</v>
          </cell>
          <cell r="AB18">
            <v>605</v>
          </cell>
          <cell r="AC18">
            <v>479</v>
          </cell>
          <cell r="AD18">
            <v>526.90000000000009</v>
          </cell>
          <cell r="AE18">
            <v>632.28000000000009</v>
          </cell>
          <cell r="AF18">
            <v>720.79920000000016</v>
          </cell>
          <cell r="AG18">
            <v>821.71108800000025</v>
          </cell>
          <cell r="AH18">
            <v>887.4479750400003</v>
          </cell>
          <cell r="AI18">
            <v>962.17824074074076</v>
          </cell>
          <cell r="AJ18">
            <v>-0.20826446280991739</v>
          </cell>
          <cell r="AK18">
            <v>0.10000000000000009</v>
          </cell>
          <cell r="AL18">
            <v>0.19999999999999996</v>
          </cell>
          <cell r="AM18">
            <v>0.14000000000000012</v>
          </cell>
          <cell r="AN18">
            <v>0.14000000000000012</v>
          </cell>
          <cell r="AO18">
            <v>8.0000000000000071E-2</v>
          </cell>
          <cell r="AP18">
            <v>-0.41807909604519777</v>
          </cell>
          <cell r="AQ18">
            <v>-0.37823834196891193</v>
          </cell>
          <cell r="AR18">
            <v>5.0000000000000044E-2</v>
          </cell>
          <cell r="AS18">
            <v>0.13043478260869557</v>
          </cell>
          <cell r="AT18">
            <v>-0.41807909604519777</v>
          </cell>
          <cell r="AU18" t="str">
            <v>7/10 - 7% biz jet OEM growth would translate into 14% growth for COL</v>
          </cell>
          <cell r="AV18">
            <v>5.0000000000000044E-2</v>
          </cell>
          <cell r="AW18">
            <v>1.7391304347825987E-2</v>
          </cell>
          <cell r="AX18">
            <v>-0.41807909604519777</v>
          </cell>
          <cell r="AY18" t="str">
            <v>7/10 - 7% biz jet OEM growth would translate into 14% growth for COL</v>
          </cell>
          <cell r="AZ18">
            <v>5.0000000000000044E-2</v>
          </cell>
          <cell r="BA18">
            <v>1.7391304347825987E-2</v>
          </cell>
          <cell r="BC18" t="str">
            <v>7/10 - 7% biz jet OEM growth would translate into 14% growth for COL</v>
          </cell>
        </row>
        <row r="19">
          <cell r="C19" t="str">
            <v>Y/Y Change</v>
          </cell>
          <cell r="D19" t="str">
            <v>Aftermarket</v>
          </cell>
          <cell r="Q19">
            <v>87</v>
          </cell>
          <cell r="R19">
            <v>73</v>
          </cell>
          <cell r="S19">
            <v>69</v>
          </cell>
          <cell r="T19">
            <v>71</v>
          </cell>
          <cell r="U19">
            <v>67</v>
          </cell>
          <cell r="V19">
            <v>78</v>
          </cell>
          <cell r="W19">
            <v>95</v>
          </cell>
          <cell r="X19">
            <v>88</v>
          </cell>
          <cell r="Y19">
            <v>-0.19561680672268911</v>
          </cell>
          <cell r="Z19">
            <v>-0.14331504495144398</v>
          </cell>
          <cell r="AA19">
            <v>3.2910136344893148E-2</v>
          </cell>
          <cell r="AB19">
            <v>300</v>
          </cell>
          <cell r="AC19">
            <v>328</v>
          </cell>
          <cell r="AD19">
            <v>354.24</v>
          </cell>
          <cell r="AE19">
            <v>382.57920000000001</v>
          </cell>
          <cell r="AF19">
            <v>409.35974400000003</v>
          </cell>
          <cell r="AG19">
            <v>433.92132864000007</v>
          </cell>
          <cell r="AH19">
            <v>459.9566083584001</v>
          </cell>
          <cell r="AI19">
            <v>0.10218836139961085</v>
          </cell>
          <cell r="AJ19">
            <v>9.3333333333333268E-2</v>
          </cell>
          <cell r="AK19">
            <v>8.0000000000000071E-2</v>
          </cell>
          <cell r="AL19">
            <v>8.0000000000000071E-2</v>
          </cell>
          <cell r="AM19">
            <v>7.0000000000000062E-2</v>
          </cell>
          <cell r="AN19">
            <v>6.0000000000000053E-2</v>
          </cell>
          <cell r="AO19">
            <v>6.0000000000000053E-2</v>
          </cell>
          <cell r="AP19">
            <v>-0.22988505747126442</v>
          </cell>
          <cell r="AQ19">
            <v>6.8493150684931559E-2</v>
          </cell>
          <cell r="AR19">
            <v>0.37681159420289845</v>
          </cell>
          <cell r="AS19">
            <v>0.23943661971830976</v>
          </cell>
          <cell r="AT19">
            <v>-0.22988505747126442</v>
          </cell>
          <cell r="AU19">
            <v>6.8493150684931559E-2</v>
          </cell>
          <cell r="AV19">
            <v>0.37681159420289845</v>
          </cell>
          <cell r="AW19">
            <v>0.40845070422535201</v>
          </cell>
          <cell r="AX19">
            <v>-0.22988505747126442</v>
          </cell>
          <cell r="AY19">
            <v>6.8493150684931559E-2</v>
          </cell>
          <cell r="AZ19">
            <v>0.37681159420289845</v>
          </cell>
          <cell r="BA19">
            <v>0.40845070422535201</v>
          </cell>
        </row>
        <row r="20">
          <cell r="D20" t="str">
            <v>Total Business and Regional Aviation</v>
          </cell>
          <cell r="Q20">
            <v>264</v>
          </cell>
          <cell r="R20">
            <v>266</v>
          </cell>
          <cell r="S20">
            <v>189</v>
          </cell>
          <cell r="T20">
            <v>186</v>
          </cell>
          <cell r="U20">
            <v>170</v>
          </cell>
          <cell r="V20">
            <v>198</v>
          </cell>
          <cell r="W20">
            <v>221</v>
          </cell>
          <cell r="X20">
            <v>218</v>
          </cell>
          <cell r="Y20">
            <v>210</v>
          </cell>
          <cell r="Z20">
            <v>231</v>
          </cell>
          <cell r="AA20">
            <v>242</v>
          </cell>
          <cell r="AB20">
            <v>905</v>
          </cell>
          <cell r="AC20">
            <v>807</v>
          </cell>
          <cell r="AD20">
            <v>881.1400000000001</v>
          </cell>
          <cell r="AE20">
            <v>1014.8592000000001</v>
          </cell>
          <cell r="AF20">
            <v>1130.1589440000002</v>
          </cell>
          <cell r="AG20">
            <v>1255.6324166400004</v>
          </cell>
          <cell r="AH20">
            <v>1347.4045833984005</v>
          </cell>
          <cell r="AI20">
            <v>1069.5906</v>
          </cell>
          <cell r="AJ20">
            <v>-0.10828729281767957</v>
          </cell>
          <cell r="AK20">
            <v>9.1871127633209593E-2</v>
          </cell>
          <cell r="AL20">
            <v>0.15175704201375484</v>
          </cell>
          <cell r="AM20">
            <v>0.11361156700358044</v>
          </cell>
          <cell r="AN20">
            <v>0.11102285506488907</v>
          </cell>
          <cell r="AO20">
            <v>7.3088401941690195E-2</v>
          </cell>
          <cell r="AP20">
            <v>-0.35606060606060608</v>
          </cell>
          <cell r="AQ20">
            <v>-0.25563909774436089</v>
          </cell>
          <cell r="AR20">
            <v>0.1693121693121693</v>
          </cell>
          <cell r="AS20">
            <v>0.17204301075268824</v>
          </cell>
          <cell r="AT20">
            <v>-0.35606060606060608</v>
          </cell>
          <cell r="AU20">
            <v>-0.25563909774436089</v>
          </cell>
          <cell r="AV20">
            <v>0.1693121693121693</v>
          </cell>
          <cell r="AW20">
            <v>0.16666666666666674</v>
          </cell>
          <cell r="AX20">
            <v>-0.35606060606060608</v>
          </cell>
          <cell r="AY20">
            <v>-0.25563909774436089</v>
          </cell>
          <cell r="AZ20">
            <v>0.1693121693121693</v>
          </cell>
          <cell r="BA20">
            <v>0.16666666666666674</v>
          </cell>
        </row>
        <row r="21">
          <cell r="B21" t="str">
            <v>Regional Jet Deliveries</v>
          </cell>
          <cell r="X21">
            <v>330</v>
          </cell>
          <cell r="Y21">
            <v>315</v>
          </cell>
          <cell r="Z21">
            <v>316</v>
          </cell>
          <cell r="AA21">
            <v>331</v>
          </cell>
          <cell r="AB21">
            <v>258</v>
          </cell>
          <cell r="AC21">
            <v>210</v>
          </cell>
          <cell r="AD21">
            <v>258</v>
          </cell>
          <cell r="AE21">
            <v>272</v>
          </cell>
          <cell r="AF21">
            <v>200</v>
          </cell>
          <cell r="AG21">
            <v>160</v>
          </cell>
          <cell r="AH21">
            <v>110</v>
          </cell>
          <cell r="AI21">
            <v>105</v>
          </cell>
          <cell r="AJ21">
            <v>135</v>
          </cell>
          <cell r="AK21">
            <v>150</v>
          </cell>
          <cell r="AL21">
            <v>150</v>
          </cell>
          <cell r="AN21" t="str">
            <v>Source: Airline Monitor, Bombardier/Embraer</v>
          </cell>
        </row>
        <row r="22">
          <cell r="C22" t="str">
            <v>Y/Y Change</v>
          </cell>
          <cell r="Q22">
            <v>484</v>
          </cell>
          <cell r="R22">
            <v>525</v>
          </cell>
          <cell r="S22">
            <v>433</v>
          </cell>
          <cell r="T22">
            <v>449</v>
          </cell>
          <cell r="U22">
            <v>411</v>
          </cell>
          <cell r="V22">
            <v>449</v>
          </cell>
          <cell r="W22">
            <v>460</v>
          </cell>
          <cell r="X22">
            <v>486.4</v>
          </cell>
          <cell r="Y22">
            <v>-4.5454545454545414E-2</v>
          </cell>
          <cell r="Z22">
            <v>3.1746031746031633E-3</v>
          </cell>
          <cell r="AA22">
            <v>4.7468354430379778E-2</v>
          </cell>
          <cell r="AB22">
            <v>-0.22054380664652573</v>
          </cell>
          <cell r="AC22">
            <v>-0.18604651162790697</v>
          </cell>
          <cell r="AD22">
            <v>0.22857142857142865</v>
          </cell>
          <cell r="AE22">
            <v>5.4263565891472965E-2</v>
          </cell>
          <cell r="AF22">
            <v>-0.26470588235294112</v>
          </cell>
          <cell r="AG22">
            <v>-0.19999999999999996</v>
          </cell>
          <cell r="AH22">
            <v>-0.3125</v>
          </cell>
          <cell r="AI22">
            <v>-4.5454545454545414E-2</v>
          </cell>
          <cell r="AJ22">
            <v>-4.4738233738762512E-2</v>
          </cell>
          <cell r="AK22">
            <v>9.1220106288750991E-2</v>
          </cell>
          <cell r="AL22">
            <v>0.11765703791637527</v>
          </cell>
          <cell r="AM22">
            <v>9.7188213425499104E-2</v>
          </cell>
          <cell r="AN22">
            <v>7.5974823755348586E-2</v>
          </cell>
          <cell r="AO22">
            <v>5.8110311730895203E-2</v>
          </cell>
          <cell r="AP22">
            <v>-0.15082644628099173</v>
          </cell>
          <cell r="AQ22">
            <v>-0.14476190476190476</v>
          </cell>
          <cell r="AR22">
            <v>6.2355658198614217E-2</v>
          </cell>
          <cell r="AS22">
            <v>8.3296213808463193E-2</v>
          </cell>
          <cell r="AT22">
            <v>-0.15082644628099173</v>
          </cell>
          <cell r="AU22">
            <v>-0.14476190476190476</v>
          </cell>
          <cell r="AV22">
            <v>6.2355658198614217E-2</v>
          </cell>
          <cell r="AW22">
            <v>7.795100222717144E-2</v>
          </cell>
          <cell r="AX22">
            <v>-0.15082644628099173</v>
          </cell>
          <cell r="AY22">
            <v>-0.14476190476190476</v>
          </cell>
          <cell r="AZ22">
            <v>4.8498845265589008E-2</v>
          </cell>
          <cell r="BA22">
            <v>5.3452115812917533E-2</v>
          </cell>
        </row>
        <row r="23">
          <cell r="D23" t="str">
            <v>Check</v>
          </cell>
          <cell r="I23">
            <v>492</v>
          </cell>
          <cell r="J23">
            <v>542</v>
          </cell>
          <cell r="K23">
            <v>545</v>
          </cell>
          <cell r="L23">
            <v>605</v>
          </cell>
          <cell r="M23">
            <v>565</v>
          </cell>
          <cell r="N23">
            <v>610</v>
          </cell>
          <cell r="O23">
            <v>587</v>
          </cell>
          <cell r="P23">
            <v>641</v>
          </cell>
          <cell r="Q23">
            <v>484</v>
          </cell>
          <cell r="R23">
            <v>525</v>
          </cell>
          <cell r="S23">
            <v>433</v>
          </cell>
          <cell r="T23">
            <v>449</v>
          </cell>
          <cell r="U23">
            <v>411</v>
          </cell>
          <cell r="V23">
            <v>449</v>
          </cell>
          <cell r="W23">
            <v>460</v>
          </cell>
          <cell r="X23">
            <v>486.40000000000009</v>
          </cell>
          <cell r="Y23">
            <v>1820</v>
          </cell>
          <cell r="Z23">
            <v>2184</v>
          </cell>
          <cell r="AA23">
            <v>2403</v>
          </cell>
          <cell r="AB23">
            <v>1891</v>
          </cell>
          <cell r="AC23">
            <v>1806.4</v>
          </cell>
          <cell r="AD23">
            <v>1971.18</v>
          </cell>
          <cell r="AE23">
            <v>2203.1032000000005</v>
          </cell>
          <cell r="AF23">
            <v>2417.2188640000004</v>
          </cell>
          <cell r="AG23">
            <v>2600.8666411705044</v>
          </cell>
          <cell r="AH23">
            <v>2752.0038124594089</v>
          </cell>
          <cell r="AI23">
            <v>2252.3762000000002</v>
          </cell>
          <cell r="AJ23">
            <v>2493.8092040000001</v>
          </cell>
          <cell r="AK23">
            <v>2698.2184133600003</v>
          </cell>
          <cell r="AL23">
            <v>2856.3530421728001</v>
          </cell>
          <cell r="AM23">
            <v>2255.63</v>
          </cell>
          <cell r="AN23">
            <v>2492.8658</v>
          </cell>
          <cell r="AO23">
            <v>2696.2151020689657</v>
          </cell>
          <cell r="AP23">
            <v>2852.7883950179312</v>
          </cell>
        </row>
        <row r="24">
          <cell r="B24" t="str">
            <v>Total Large and Regional</v>
          </cell>
          <cell r="D24" t="str">
            <v>Difference</v>
          </cell>
          <cell r="Q24">
            <v>0</v>
          </cell>
          <cell r="R24">
            <v>0</v>
          </cell>
          <cell r="S24">
            <v>0</v>
          </cell>
          <cell r="T24">
            <v>0</v>
          </cell>
          <cell r="U24">
            <v>0</v>
          </cell>
          <cell r="V24">
            <v>0</v>
          </cell>
          <cell r="W24">
            <v>0</v>
          </cell>
          <cell r="X24">
            <v>1180</v>
          </cell>
          <cell r="Y24">
            <v>998.72571428571428</v>
          </cell>
          <cell r="Z24">
            <v>901.73753280839901</v>
          </cell>
          <cell r="AA24">
            <v>936.0142348754448</v>
          </cell>
          <cell r="AB24">
            <v>926.01754385964909</v>
          </cell>
          <cell r="AC24">
            <v>1042.3724137931035</v>
          </cell>
          <cell r="AD24">
            <v>1152.108040201005</v>
          </cell>
          <cell r="AE24">
            <v>1129.8503401360545</v>
          </cell>
          <cell r="AF24">
            <v>1158.2666666666667</v>
          </cell>
          <cell r="AG24">
            <v>1038.9368421052632</v>
          </cell>
          <cell r="AH24">
            <v>982.97078651685388</v>
          </cell>
          <cell r="AI24">
            <v>1067.1782407407409</v>
          </cell>
          <cell r="AJ24">
            <v>1131.0510805500983</v>
          </cell>
          <cell r="AK24">
            <v>1166.0112149532711</v>
          </cell>
          <cell r="AL24">
            <v>1192.0018484288355</v>
          </cell>
          <cell r="AM24">
            <v>0</v>
          </cell>
          <cell r="AN24">
            <v>0</v>
          </cell>
          <cell r="AO24">
            <v>0</v>
          </cell>
          <cell r="AP24">
            <v>0</v>
          </cell>
        </row>
        <row r="25">
          <cell r="C25" t="str">
            <v>Y/Y Change</v>
          </cell>
          <cell r="Q25">
            <v>219</v>
          </cell>
          <cell r="R25">
            <v>213</v>
          </cell>
          <cell r="S25">
            <v>199</v>
          </cell>
          <cell r="T25">
            <v>205</v>
          </cell>
          <cell r="U25">
            <v>167</v>
          </cell>
          <cell r="V25">
            <v>181</v>
          </cell>
          <cell r="W25">
            <v>187</v>
          </cell>
          <cell r="X25">
            <v>219</v>
          </cell>
          <cell r="Y25">
            <v>-0.15362227602905565</v>
          </cell>
          <cell r="Z25">
            <v>-9.7111929822174425E-2</v>
          </cell>
          <cell r="AA25">
            <v>3.8011839165985828E-2</v>
          </cell>
          <cell r="AB25">
            <v>-1.0680063019688935E-2</v>
          </cell>
          <cell r="AC25">
            <v>0.12565082670948802</v>
          </cell>
          <cell r="AD25">
            <v>0.10527487580814121</v>
          </cell>
          <cell r="AE25">
            <v>-1.9319108354688086E-2</v>
          </cell>
          <cell r="AF25">
            <v>2.5150522614517667E-2</v>
          </cell>
          <cell r="AG25">
            <v>-0.10302448304484013</v>
          </cell>
          <cell r="AH25">
            <v>-5.386858307479192E-2</v>
          </cell>
          <cell r="AI25">
            <v>8.5666283656582687E-2</v>
          </cell>
          <cell r="AJ25">
            <v>5.9852082221075298E-2</v>
          </cell>
          <cell r="AK25">
            <v>3.0909421337690146E-2</v>
          </cell>
          <cell r="AL25">
            <v>2.2290208826684532E-2</v>
          </cell>
        </row>
        <row r="26">
          <cell r="C26" t="str">
            <v>Y/Y Growth Rates</v>
          </cell>
          <cell r="Q26">
            <v>265</v>
          </cell>
          <cell r="R26">
            <v>312</v>
          </cell>
          <cell r="S26">
            <v>234</v>
          </cell>
          <cell r="T26">
            <v>244</v>
          </cell>
          <cell r="U26">
            <v>244</v>
          </cell>
          <cell r="V26">
            <v>268</v>
          </cell>
          <cell r="W26">
            <v>273</v>
          </cell>
          <cell r="X26">
            <v>265</v>
          </cell>
          <cell r="Y26">
            <v>260</v>
          </cell>
          <cell r="Z26">
            <v>299</v>
          </cell>
          <cell r="AA26">
            <v>313</v>
          </cell>
          <cell r="AB26">
            <v>309.84999999999997</v>
          </cell>
          <cell r="AC26">
            <v>0</v>
          </cell>
          <cell r="AD26">
            <v>0</v>
          </cell>
          <cell r="AE26">
            <v>0</v>
          </cell>
          <cell r="AF26">
            <v>1055</v>
          </cell>
          <cell r="AG26">
            <v>1050</v>
          </cell>
          <cell r="AH26">
            <v>1181.8499999999999</v>
          </cell>
          <cell r="AI26">
            <v>1316.3748000000001</v>
          </cell>
          <cell r="AJ26">
            <v>1472.9776080000001</v>
          </cell>
          <cell r="AK26">
            <v>1596.81380352</v>
          </cell>
          <cell r="AL26">
            <v>1688.7445424016</v>
          </cell>
          <cell r="AM26">
            <v>1303.8499999999999</v>
          </cell>
          <cell r="AN26">
            <v>1455.4256</v>
          </cell>
          <cell r="AO26">
            <v>1575.7796860689655</v>
          </cell>
          <cell r="AP26">
            <v>1665.1268540579313</v>
          </cell>
        </row>
        <row r="27">
          <cell r="B27" t="str">
            <v>Biz Jets</v>
          </cell>
          <cell r="C27" t="str">
            <v>Air Transport Aviation Electronics:</v>
          </cell>
          <cell r="Q27">
            <v>219</v>
          </cell>
          <cell r="R27">
            <v>213</v>
          </cell>
          <cell r="S27">
            <v>199</v>
          </cell>
          <cell r="T27">
            <v>205</v>
          </cell>
          <cell r="U27">
            <v>167</v>
          </cell>
          <cell r="V27">
            <v>181</v>
          </cell>
          <cell r="W27">
            <v>181</v>
          </cell>
          <cell r="X27">
            <v>784</v>
          </cell>
          <cell r="Y27">
            <v>676</v>
          </cell>
          <cell r="Z27">
            <v>515</v>
          </cell>
          <cell r="AA27">
            <v>591</v>
          </cell>
          <cell r="AB27">
            <v>750</v>
          </cell>
          <cell r="AC27">
            <v>886</v>
          </cell>
          <cell r="AD27">
            <v>1138</v>
          </cell>
          <cell r="AE27">
            <v>1315</v>
          </cell>
          <cell r="AF27">
            <v>800</v>
          </cell>
          <cell r="AG27">
            <v>625</v>
          </cell>
          <cell r="AH27">
            <v>800</v>
          </cell>
          <cell r="AI27">
            <v>900</v>
          </cell>
          <cell r="AJ27">
            <v>1000</v>
          </cell>
          <cell r="AK27">
            <v>1100</v>
          </cell>
          <cell r="AL27">
            <v>1200</v>
          </cell>
          <cell r="AM27">
            <v>951.78</v>
          </cell>
          <cell r="AN27" t="str">
            <v>Source: GAMA, Honeywell</v>
          </cell>
          <cell r="AO27">
            <v>1120.4354160000003</v>
          </cell>
          <cell r="AP27">
            <v>1187.6615409600004</v>
          </cell>
        </row>
        <row r="28">
          <cell r="C28" t="str">
            <v>Y/Y Change</v>
          </cell>
          <cell r="D28" t="str">
            <v>Original Equipment</v>
          </cell>
          <cell r="U28">
            <v>0.46268656716417911</v>
          </cell>
          <cell r="V28">
            <v>0.10784313725490202</v>
          </cell>
          <cell r="W28">
            <v>0.25274725274725274</v>
          </cell>
          <cell r="X28">
            <v>9.5238095238095344E-2</v>
          </cell>
          <cell r="Y28">
            <v>-0.13775510204081631</v>
          </cell>
          <cell r="Z28">
            <v>-0.23816568047337283</v>
          </cell>
          <cell r="AA28">
            <v>0.14757281553398061</v>
          </cell>
          <cell r="AB28">
            <v>0.26903553299492389</v>
          </cell>
          <cell r="AC28">
            <v>0.20547945205479445</v>
          </cell>
          <cell r="AD28">
            <v>0.13</v>
          </cell>
          <cell r="AE28">
            <v>0.1</v>
          </cell>
          <cell r="AF28">
            <v>0.1</v>
          </cell>
          <cell r="AG28">
            <v>5.1724137931034475E-2</v>
          </cell>
          <cell r="AH28">
            <v>4.9180327868852514E-2</v>
          </cell>
          <cell r="AI28">
            <v>0.125</v>
          </cell>
          <cell r="AJ28">
            <v>0.11111111111111116</v>
          </cell>
          <cell r="AK28">
            <v>0.10000000000000009</v>
          </cell>
          <cell r="AL28">
            <v>9.0909090909090828E-2</v>
          </cell>
        </row>
        <row r="29">
          <cell r="C29" t="str">
            <v>Y/Y Growth Rates</v>
          </cell>
          <cell r="D29" t="str">
            <v>Aftermarket</v>
          </cell>
          <cell r="U29">
            <v>-5.3030303030302983E-2</v>
          </cell>
          <cell r="V29">
            <v>-9.285714285714286E-2</v>
          </cell>
          <cell r="W29">
            <v>-0.11538461538461542</v>
          </cell>
          <cell r="X29">
            <v>0.10000000000000009</v>
          </cell>
          <cell r="Y29">
            <v>0.17346938775510212</v>
          </cell>
          <cell r="Z29">
            <v>0.16814159292035402</v>
          </cell>
          <cell r="AA29">
            <v>0.13157894736842102</v>
          </cell>
          <cell r="AB29">
            <v>0.16877192982456091</v>
          </cell>
          <cell r="AC29">
            <v>-4.0298507462686595E-2</v>
          </cell>
          <cell r="AD29">
            <v>0.1</v>
          </cell>
          <cell r="AE29">
            <v>0.1</v>
          </cell>
          <cell r="AF29">
            <v>0.08</v>
          </cell>
          <cell r="AG29">
            <v>4.6153846153846212E-2</v>
          </cell>
          <cell r="AH29">
            <v>4.4117647058823595E-2</v>
          </cell>
          <cell r="AI29">
            <v>0.14000000000000001</v>
          </cell>
          <cell r="AJ29">
            <v>0.15</v>
          </cell>
          <cell r="AK29">
            <v>5.1724137931034475E-2</v>
          </cell>
          <cell r="AL29">
            <v>4.9180327868852514E-2</v>
          </cell>
        </row>
        <row r="30">
          <cell r="A30" t="str">
            <v>Segment Revenue</v>
          </cell>
          <cell r="C30" t="str">
            <v>Air Transport Aviation Electronics:</v>
          </cell>
          <cell r="D30" t="str">
            <v xml:space="preserve">Wide-Body In-Flight Entertainment </v>
          </cell>
          <cell r="U30">
            <v>-0.1428571428571429</v>
          </cell>
          <cell r="V30">
            <v>-0.3529411764705882</v>
          </cell>
          <cell r="W30">
            <v>-0.56521739130434789</v>
          </cell>
          <cell r="X30">
            <v>-0.75</v>
          </cell>
          <cell r="Y30">
            <v>8.0000000000000071E-2</v>
          </cell>
          <cell r="Z30">
            <v>0.11650485436893199</v>
          </cell>
          <cell r="AA30">
            <v>0.25</v>
          </cell>
          <cell r="AB30">
            <v>5.6134453781513161E-2</v>
          </cell>
          <cell r="AC30">
            <v>-0.47058823529411764</v>
          </cell>
          <cell r="AD30">
            <v>-0.4</v>
          </cell>
          <cell r="AE30">
            <v>-0.3</v>
          </cell>
          <cell r="AF30">
            <v>-0.3</v>
          </cell>
          <cell r="AG30">
            <v>-0.3</v>
          </cell>
          <cell r="AH30">
            <v>-0.3</v>
          </cell>
          <cell r="AI30">
            <v>0.15</v>
          </cell>
          <cell r="AJ30">
            <v>0.09</v>
          </cell>
          <cell r="AK30">
            <v>0.08</v>
          </cell>
          <cell r="AL30">
            <v>0.06</v>
          </cell>
        </row>
        <row r="31">
          <cell r="D31" t="str">
            <v>Total Air Transport Electronics</v>
          </cell>
          <cell r="U31">
            <v>9.5454545454545459E-2</v>
          </cell>
          <cell r="V31">
            <v>-3.0888030888030937E-2</v>
          </cell>
          <cell r="W31">
            <v>-2.0491803278688492E-2</v>
          </cell>
          <cell r="X31">
            <v>2.0532319391634912E-2</v>
          </cell>
          <cell r="Y31">
            <v>-0.37209302325581395</v>
          </cell>
          <cell r="Z31">
            <v>-0.17142857142857137</v>
          </cell>
          <cell r="AA31">
            <v>-0.27272727272727271</v>
          </cell>
          <cell r="AB31">
            <v>-0.4529411764705884</v>
          </cell>
          <cell r="AC31">
            <v>1.3590263691683591E-2</v>
          </cell>
          <cell r="AD31">
            <v>9.0694416649989895E-2</v>
          </cell>
          <cell r="AE31">
            <v>9.0092106711680442E-2</v>
          </cell>
          <cell r="AF31">
            <v>8.3161303570647105E-2</v>
          </cell>
          <cell r="AG31">
            <v>4.5199375434287425E-2</v>
          </cell>
          <cell r="AH31">
            <v>4.4129864857715084E-2</v>
          </cell>
          <cell r="AI31">
            <v>-0.3</v>
          </cell>
          <cell r="AJ31">
            <v>-0.3</v>
          </cell>
          <cell r="AK31">
            <v>-0.3</v>
          </cell>
          <cell r="AL31">
            <v>-0.3</v>
          </cell>
          <cell r="AM31">
            <v>0.14000000000000001</v>
          </cell>
          <cell r="AN31">
            <v>0.15</v>
          </cell>
          <cell r="AO31">
            <v>5.1724137931034475E-2</v>
          </cell>
          <cell r="AP31">
            <v>4.9180327868852514E-2</v>
          </cell>
        </row>
        <row r="32">
          <cell r="B32" t="str">
            <v>OEM Revenue</v>
          </cell>
          <cell r="D32" t="str">
            <v>Total Air Transport Electronics</v>
          </cell>
          <cell r="U32">
            <v>9.5454545454545459E-2</v>
          </cell>
          <cell r="V32">
            <v>-3.0888030888030937E-2</v>
          </cell>
          <cell r="W32">
            <v>-2.0491803278688492E-2</v>
          </cell>
          <cell r="X32">
            <v>1.5209125475285079E-2</v>
          </cell>
          <cell r="Y32">
            <v>3.7344398340249052E-2</v>
          </cell>
          <cell r="Z32">
            <v>9.960159362549792E-2</v>
          </cell>
          <cell r="AA32">
            <v>0.12133891213389125</v>
          </cell>
          <cell r="AB32">
            <v>3.9400749063670304E-2</v>
          </cell>
          <cell r="AC32">
            <v>0.11111111111111116</v>
          </cell>
          <cell r="AG32">
            <v>1.2170385395537497E-2</v>
          </cell>
          <cell r="AH32">
            <v>7.3667334669338613E-2</v>
          </cell>
          <cell r="AI32">
            <v>0.10383903240256842</v>
          </cell>
          <cell r="AJ32">
            <v>9.6691167021309754E-2</v>
          </cell>
          <cell r="AK32">
            <v>5.1293484737607642E-2</v>
          </cell>
          <cell r="AL32">
            <v>4.5500978679041459E-2</v>
          </cell>
          <cell r="AM32">
            <v>0.15</v>
          </cell>
          <cell r="AN32">
            <v>0.09</v>
          </cell>
          <cell r="AO32">
            <v>0.08</v>
          </cell>
          <cell r="AP32">
            <v>0.06</v>
          </cell>
        </row>
        <row r="33">
          <cell r="C33" t="str">
            <v>Business and Regional Aviation Electronics:</v>
          </cell>
          <cell r="D33" t="str">
            <v xml:space="preserve">Wide-Body In-Flight Entertainment </v>
          </cell>
          <cell r="U33">
            <v>1.0476190476190474</v>
          </cell>
          <cell r="V33">
            <v>1.0588235294117645</v>
          </cell>
          <cell r="W33">
            <v>0.43478260869565211</v>
          </cell>
          <cell r="X33">
            <v>0.41666666666666674</v>
          </cell>
          <cell r="Y33">
            <v>-0.37209302325581395</v>
          </cell>
          <cell r="Z33">
            <v>-0.17142857142857137</v>
          </cell>
          <cell r="AA33">
            <v>-0.15151515151515149</v>
          </cell>
          <cell r="AB33">
            <v>-0.2720588235294118</v>
          </cell>
          <cell r="AC33">
            <v>-7.407407407407407E-2</v>
          </cell>
          <cell r="AG33">
            <v>0.70588235294117641</v>
          </cell>
          <cell r="AH33">
            <v>-0.25</v>
          </cell>
          <cell r="AI33">
            <v>-0.3</v>
          </cell>
          <cell r="AJ33">
            <v>-0.3</v>
          </cell>
          <cell r="AK33">
            <v>-0.3</v>
          </cell>
          <cell r="AL33">
            <v>-0.3</v>
          </cell>
          <cell r="AM33">
            <v>-0.3</v>
          </cell>
          <cell r="AN33">
            <v>-0.3</v>
          </cell>
          <cell r="AO33">
            <v>-0.3</v>
          </cell>
          <cell r="AP33">
            <v>-0.3</v>
          </cell>
        </row>
        <row r="34">
          <cell r="C34" t="str">
            <v>Large Commercial OEM</v>
          </cell>
          <cell r="D34" t="str">
            <v>Orginal Equipment</v>
          </cell>
          <cell r="U34">
            <v>-0.41807909604519777</v>
          </cell>
          <cell r="V34">
            <v>-0.37823834196891193</v>
          </cell>
          <cell r="W34">
            <v>5.0000000000000044E-2</v>
          </cell>
          <cell r="X34">
            <v>0.13043478260869557</v>
          </cell>
          <cell r="Y34">
            <v>0.14563106796116498</v>
          </cell>
          <cell r="Z34">
            <v>4.1666666666666741E-2</v>
          </cell>
          <cell r="AA34">
            <v>7.1428571428571397E-2</v>
          </cell>
          <cell r="AB34">
            <v>0.23008547008547064</v>
          </cell>
          <cell r="AC34">
            <v>-0.20826446280991739</v>
          </cell>
          <cell r="AD34">
            <v>0.1</v>
          </cell>
          <cell r="AE34">
            <v>0.2</v>
          </cell>
          <cell r="AF34">
            <v>365</v>
          </cell>
          <cell r="AG34">
            <v>405</v>
          </cell>
          <cell r="AH34">
            <v>470</v>
          </cell>
          <cell r="AI34">
            <v>525</v>
          </cell>
          <cell r="AJ34">
            <v>600</v>
          </cell>
          <cell r="AK34">
            <v>650</v>
          </cell>
          <cell r="AL34">
            <v>700</v>
          </cell>
          <cell r="AM34">
            <v>9.4877589453860711E-2</v>
          </cell>
          <cell r="AN34" t="str">
            <v>~10% increase</v>
          </cell>
          <cell r="AO34">
            <v>4.7963861295757804E-2</v>
          </cell>
          <cell r="AP34">
            <v>4.3353651606964139E-2</v>
          </cell>
        </row>
        <row r="35">
          <cell r="D35" t="str">
            <v>Y/Y Change</v>
          </cell>
          <cell r="U35">
            <v>-0.22988505747126442</v>
          </cell>
          <cell r="V35">
            <v>6.8493150684931559E-2</v>
          </cell>
          <cell r="W35">
            <v>0.37681159420289845</v>
          </cell>
          <cell r="X35">
            <v>0.23943661971830976</v>
          </cell>
          <cell r="Y35">
            <v>0.14563106796116498</v>
          </cell>
          <cell r="Z35">
            <v>0.14999999999999991</v>
          </cell>
          <cell r="AA35">
            <v>0.11111111111111116</v>
          </cell>
          <cell r="AB35">
            <v>0.11606837606837539</v>
          </cell>
          <cell r="AC35">
            <v>9.3333333333333268E-2</v>
          </cell>
          <cell r="AD35">
            <v>0.08</v>
          </cell>
          <cell r="AE35">
            <v>0.08</v>
          </cell>
          <cell r="AF35">
            <v>7.0000000000000007E-2</v>
          </cell>
          <cell r="AG35">
            <v>0.1095890410958904</v>
          </cell>
          <cell r="AH35">
            <v>0.16049382716049387</v>
          </cell>
          <cell r="AI35">
            <v>0.11702127659574457</v>
          </cell>
          <cell r="AJ35">
            <v>0.14285714285714279</v>
          </cell>
          <cell r="AK35">
            <v>8.3333333333333259E-2</v>
          </cell>
          <cell r="AL35">
            <v>7.6923076923076872E-2</v>
          </cell>
        </row>
        <row r="36">
          <cell r="C36" t="str">
            <v>Business and Regional Aviation Electronics:</v>
          </cell>
          <cell r="D36" t="str">
            <v>Total Business and Regional Aviation</v>
          </cell>
          <cell r="U36">
            <v>-0.35606060606060608</v>
          </cell>
          <cell r="V36">
            <v>-0.25563909774436089</v>
          </cell>
          <cell r="W36">
            <v>0.1693121693121693</v>
          </cell>
          <cell r="X36">
            <v>0.17204301075268824</v>
          </cell>
          <cell r="Y36">
            <v>0.37313432835820892</v>
          </cell>
          <cell r="Z36">
            <v>0.19230769230769229</v>
          </cell>
          <cell r="AA36">
            <v>7.3684210526315796E-2</v>
          </cell>
          <cell r="AB36">
            <v>0.10799999999999965</v>
          </cell>
          <cell r="AC36">
            <v>-0.10828729281767957</v>
          </cell>
          <cell r="AD36">
            <v>9.1871127633209593E-2</v>
          </cell>
          <cell r="AE36">
            <v>0.15175704201375484</v>
          </cell>
          <cell r="AF36">
            <v>0.11361156700358044</v>
          </cell>
          <cell r="AG36">
            <v>0.11102285506488907</v>
          </cell>
          <cell r="AH36">
            <v>7.3088401941690195E-2</v>
          </cell>
          <cell r="AI36">
            <v>0.14000000000000001</v>
          </cell>
          <cell r="AJ36">
            <v>0.09</v>
          </cell>
          <cell r="AK36">
            <v>0.08</v>
          </cell>
          <cell r="AL36">
            <v>0.06</v>
          </cell>
        </row>
        <row r="37">
          <cell r="C37" t="str">
            <v>Regional Jet OEM</v>
          </cell>
          <cell r="D37" t="str">
            <v>Total Business and Regional Aviation</v>
          </cell>
          <cell r="U37">
            <v>-0.35606060606060608</v>
          </cell>
          <cell r="V37">
            <v>-0.25563909774436089</v>
          </cell>
          <cell r="W37">
            <v>0.1693121693121693</v>
          </cell>
          <cell r="X37">
            <v>0.16666666666666674</v>
          </cell>
          <cell r="Y37">
            <v>0.23529411764705888</v>
          </cell>
          <cell r="Z37">
            <v>0.16666666666666674</v>
          </cell>
          <cell r="AA37">
            <v>9.5022624434389247E-2</v>
          </cell>
          <cell r="AB37">
            <v>0.1123502304147459</v>
          </cell>
          <cell r="AC37">
            <v>0.19491525423728806</v>
          </cell>
          <cell r="AF37">
            <v>160</v>
          </cell>
          <cell r="AG37">
            <v>175</v>
          </cell>
          <cell r="AH37">
            <v>190</v>
          </cell>
          <cell r="AI37">
            <v>210</v>
          </cell>
          <cell r="AJ37">
            <v>230</v>
          </cell>
          <cell r="AK37">
            <v>250</v>
          </cell>
          <cell r="AL37">
            <v>275</v>
          </cell>
          <cell r="AM37">
            <v>0.17</v>
          </cell>
          <cell r="AN37" t="str">
            <v>~10% increase</v>
          </cell>
          <cell r="AO37">
            <v>0.14000000000000001</v>
          </cell>
          <cell r="AP37">
            <v>0.08</v>
          </cell>
        </row>
        <row r="38">
          <cell r="C38" t="str">
            <v>Total Commercial</v>
          </cell>
          <cell r="D38" t="str">
            <v>Y/Y Change</v>
          </cell>
          <cell r="U38">
            <v>-0.15082644628099173</v>
          </cell>
          <cell r="V38">
            <v>-0.14476190476190476</v>
          </cell>
          <cell r="W38">
            <v>6.2355658198614217E-2</v>
          </cell>
          <cell r="X38">
            <v>8.3296213808463193E-2</v>
          </cell>
          <cell r="Y38">
            <v>0.11922141119221408</v>
          </cell>
          <cell r="Z38">
            <v>0.19999999999999996</v>
          </cell>
          <cell r="AA38">
            <v>0.10027472527472536</v>
          </cell>
          <cell r="AB38">
            <v>-0.21306699958385356</v>
          </cell>
          <cell r="AC38">
            <v>-4.4738233738762512E-2</v>
          </cell>
          <cell r="AD38">
            <v>9.1220106288750991E-2</v>
          </cell>
          <cell r="AE38">
            <v>0.11765703791637527</v>
          </cell>
          <cell r="AF38">
            <v>9.7188213425499104E-2</v>
          </cell>
          <cell r="AG38">
            <v>9.375E-2</v>
          </cell>
          <cell r="AH38">
            <v>8.5714285714285632E-2</v>
          </cell>
          <cell r="AI38">
            <v>0.10526315789473695</v>
          </cell>
          <cell r="AJ38">
            <v>9.5238095238095344E-2</v>
          </cell>
          <cell r="AK38">
            <v>8.6956521739130377E-2</v>
          </cell>
          <cell r="AL38">
            <v>0.10000000000000009</v>
          </cell>
          <cell r="AM38">
            <v>0.14000000000000001</v>
          </cell>
          <cell r="AN38">
            <v>0.09</v>
          </cell>
          <cell r="AO38">
            <v>0.08</v>
          </cell>
          <cell r="AP38">
            <v>0.06</v>
          </cell>
        </row>
        <row r="39">
          <cell r="C39" t="str">
            <v>Total Commercial</v>
          </cell>
          <cell r="D39" t="str">
            <v>Total Business and Regional Aviation</v>
          </cell>
          <cell r="U39">
            <v>-0.15082644628099173</v>
          </cell>
          <cell r="V39">
            <v>-0.14476190476190476</v>
          </cell>
          <cell r="W39">
            <v>6.2355658198614217E-2</v>
          </cell>
          <cell r="X39">
            <v>7.795100222717144E-2</v>
          </cell>
          <cell r="Y39">
            <v>0.11922141119221408</v>
          </cell>
          <cell r="Z39">
            <v>0.12917594654788411</v>
          </cell>
          <cell r="AA39">
            <v>0.10869565217391308</v>
          </cell>
          <cell r="AB39">
            <v>7.2107438016528747E-2</v>
          </cell>
          <cell r="AC39">
            <v>0.15238095238095228</v>
          </cell>
          <cell r="AD39">
            <v>0.19999999999999996</v>
          </cell>
          <cell r="AE39">
            <v>0.10027472527472536</v>
          </cell>
          <cell r="AF39">
            <v>-0.21306699958385356</v>
          </cell>
          <cell r="AG39">
            <v>-4.6007403490216814E-2</v>
          </cell>
          <cell r="AH39">
            <v>0.10637472283813731</v>
          </cell>
          <cell r="AI39">
            <v>0.12850152813267224</v>
          </cell>
          <cell r="AJ39">
            <v>0.10719035479064276</v>
          </cell>
          <cell r="AK39">
            <v>8.1966659290587884E-2</v>
          </cell>
          <cell r="AL39">
            <v>5.8607052724052755E-2</v>
          </cell>
          <cell r="AM39">
            <v>0.15770127118644051</v>
          </cell>
          <cell r="AN39">
            <v>0.11981553158198155</v>
          </cell>
          <cell r="AO39">
            <v>0.11642354124748522</v>
          </cell>
          <cell r="AP39">
            <v>7.2397575976030026E-2</v>
          </cell>
        </row>
        <row r="40">
          <cell r="C40" t="str">
            <v>Business Jet OEM</v>
          </cell>
          <cell r="U40">
            <v>-0.23744292237442921</v>
          </cell>
          <cell r="V40">
            <v>-0.15023474178403751</v>
          </cell>
          <cell r="W40">
            <v>-6.0301507537688481E-2</v>
          </cell>
          <cell r="X40">
            <v>6.8292682926829329E-2</v>
          </cell>
          <cell r="Y40">
            <v>0.19760479041916157</v>
          </cell>
          <cell r="Z40">
            <v>0.149171270718232</v>
          </cell>
          <cell r="AA40">
            <v>0.16042780748663099</v>
          </cell>
          <cell r="AB40">
            <v>7.9817351598173492E-2</v>
          </cell>
          <cell r="AC40">
            <v>471.63498098859316</v>
          </cell>
          <cell r="AD40">
            <v>605.77946768060838</v>
          </cell>
          <cell r="AE40">
            <v>700</v>
          </cell>
          <cell r="AF40">
            <v>445</v>
          </cell>
          <cell r="AG40">
            <v>300</v>
          </cell>
          <cell r="AH40">
            <v>340</v>
          </cell>
          <cell r="AI40">
            <v>370</v>
          </cell>
          <cell r="AJ40">
            <v>405</v>
          </cell>
          <cell r="AK40">
            <v>440</v>
          </cell>
          <cell r="AL40">
            <v>475</v>
          </cell>
          <cell r="AN40" t="str">
            <v>~30% decline</v>
          </cell>
        </row>
        <row r="41">
          <cell r="C41" t="str">
            <v>Air Transport Aviation Electronics:</v>
          </cell>
          <cell r="D41" t="str">
            <v>Y/Y Change</v>
          </cell>
          <cell r="U41">
            <v>-0.15082644628099173</v>
          </cell>
          <cell r="V41">
            <v>-0.14476190476190476</v>
          </cell>
          <cell r="W41">
            <v>4.8498845265589008E-2</v>
          </cell>
          <cell r="X41">
            <v>7.795100222717144E-2</v>
          </cell>
          <cell r="Y41">
            <v>0.11922141119221408</v>
          </cell>
          <cell r="Z41">
            <v>0.12917594654788411</v>
          </cell>
          <cell r="AA41">
            <v>0.14977973568281944</v>
          </cell>
          <cell r="AB41">
            <v>0.14969008264462791</v>
          </cell>
          <cell r="AC41">
            <v>0.11086956521739122</v>
          </cell>
          <cell r="AD41">
            <v>0.28442437923250563</v>
          </cell>
          <cell r="AE41">
            <v>0.15553602811950795</v>
          </cell>
          <cell r="AF41">
            <v>-0.21306699958385356</v>
          </cell>
          <cell r="AG41">
            <v>-0.3258426966292135</v>
          </cell>
          <cell r="AH41">
            <v>0.1333333333333333</v>
          </cell>
          <cell r="AI41">
            <v>8.8235294117646967E-2</v>
          </cell>
          <cell r="AJ41">
            <v>9.4594594594594517E-2</v>
          </cell>
          <cell r="AK41">
            <v>8.6419753086419693E-2</v>
          </cell>
          <cell r="AL41">
            <v>7.9545454545454586E-2</v>
          </cell>
          <cell r="AM41">
            <v>0.12444167497507475</v>
          </cell>
          <cell r="AN41">
            <v>0.10517496220568079</v>
          </cell>
          <cell r="AO41">
            <v>8.1572502646939826E-2</v>
          </cell>
          <cell r="AP41">
            <v>5.8071513963710686E-2</v>
          </cell>
        </row>
        <row r="42">
          <cell r="C42" t="str">
            <v>Qtrly Sequential Growth Rates</v>
          </cell>
          <cell r="D42" t="str">
            <v>Original Equipment</v>
          </cell>
          <cell r="R42">
            <v>0.52238805970149249</v>
          </cell>
          <cell r="S42">
            <v>-0.10784313725490191</v>
          </cell>
          <cell r="T42">
            <v>0.15384615384615374</v>
          </cell>
          <cell r="U42">
            <v>-6.6666666666666652E-2</v>
          </cell>
          <cell r="V42">
            <v>0.15306122448979598</v>
          </cell>
          <cell r="W42">
            <v>8.8495575221239076E-3</v>
          </cell>
          <cell r="X42">
            <v>8.7719298245614308E-3</v>
          </cell>
          <cell r="Y42">
            <v>8.7719298245614308E-3</v>
          </cell>
          <cell r="Z42">
            <v>4.3478260869565188E-2</v>
          </cell>
          <cell r="AA42">
            <v>4.1666666666666741E-2</v>
          </cell>
          <cell r="AB42">
            <v>5.3440000000000598E-2</v>
          </cell>
        </row>
        <row r="43">
          <cell r="C43" t="str">
            <v>Regional and Business Jet OEM</v>
          </cell>
          <cell r="D43" t="str">
            <v>Aftermarket</v>
          </cell>
          <cell r="R43">
            <v>6.0606060606060552E-2</v>
          </cell>
          <cell r="S43">
            <v>-7.1428571428571397E-2</v>
          </cell>
          <cell r="T43">
            <v>3.076923076923066E-2</v>
          </cell>
          <cell r="U43">
            <v>-6.7164179104477584E-2</v>
          </cell>
          <cell r="V43">
            <v>1.6000000000000014E-2</v>
          </cell>
          <cell r="W43">
            <v>-9.4488188976378007E-2</v>
          </cell>
          <cell r="X43">
            <v>0.28173913043478271</v>
          </cell>
          <cell r="Y43">
            <v>-9.2436974789915971E-2</v>
          </cell>
          <cell r="Z43">
            <v>9.259259259259256E-2</v>
          </cell>
          <cell r="AA43">
            <v>-6.7796610169491567E-2</v>
          </cell>
          <cell r="AB43">
            <v>0.16072727272727327</v>
          </cell>
          <cell r="AC43">
            <v>0.11538461538461542</v>
          </cell>
          <cell r="AF43">
            <v>605</v>
          </cell>
          <cell r="AG43">
            <v>475</v>
          </cell>
          <cell r="AH43">
            <v>530</v>
          </cell>
          <cell r="AI43">
            <v>580</v>
          </cell>
          <cell r="AJ43">
            <v>635</v>
          </cell>
          <cell r="AK43">
            <v>690</v>
          </cell>
          <cell r="AL43">
            <v>750</v>
          </cell>
          <cell r="AN43" t="str">
            <v>~22% decline</v>
          </cell>
        </row>
        <row r="44">
          <cell r="C44" t="str">
            <v>Total Aftermarket</v>
          </cell>
          <cell r="D44" t="str">
            <v>% Total OEM Revenue</v>
          </cell>
          <cell r="R44">
            <v>-0.19047619047619047</v>
          </cell>
          <cell r="S44">
            <v>0.35294117647058831</v>
          </cell>
          <cell r="T44">
            <v>4.3478260869565188E-2</v>
          </cell>
          <cell r="U44">
            <v>-0.25</v>
          </cell>
          <cell r="V44">
            <v>-0.38888888888888884</v>
          </cell>
          <cell r="W44">
            <v>-9.0909090909090939E-2</v>
          </cell>
          <cell r="X44">
            <v>-0.4</v>
          </cell>
          <cell r="Y44">
            <v>8.7719298245614308E-3</v>
          </cell>
          <cell r="Z44">
            <v>0.14782608695652177</v>
          </cell>
          <cell r="AA44">
            <v>-2.2727272727272707E-2</v>
          </cell>
          <cell r="AB44">
            <v>3.2868217054263127E-2</v>
          </cell>
          <cell r="AC44">
            <v>0.10499999999999998</v>
          </cell>
          <cell r="AF44">
            <v>0.62371134020618557</v>
          </cell>
          <cell r="AG44">
            <v>0.53977272727272729</v>
          </cell>
          <cell r="AH44">
            <v>0.53</v>
          </cell>
          <cell r="AI44">
            <v>0.52488687782805432</v>
          </cell>
          <cell r="AJ44">
            <v>0.51417004048582993</v>
          </cell>
          <cell r="AK44">
            <v>0.5149253731343284</v>
          </cell>
          <cell r="AL44">
            <v>0.51724137931034486</v>
          </cell>
          <cell r="AM44">
            <v>0.14534296028880855</v>
          </cell>
          <cell r="AN44">
            <v>9.000000000000008E-2</v>
          </cell>
          <cell r="AO44">
            <v>8.0000000000000293E-2</v>
          </cell>
          <cell r="AP44">
            <v>6.0000000000000053E-2</v>
          </cell>
        </row>
        <row r="45">
          <cell r="D45" t="str">
            <v>Y/Y Change</v>
          </cell>
          <cell r="R45">
            <v>0.17727272727272725</v>
          </cell>
          <cell r="S45">
            <v>-5.791505791505791E-2</v>
          </cell>
          <cell r="T45">
            <v>7.7868852459016313E-2</v>
          </cell>
          <cell r="U45">
            <v>-8.365019011406849E-2</v>
          </cell>
          <cell r="V45">
            <v>4.1493775933610033E-2</v>
          </cell>
          <cell r="W45">
            <v>-4.7808764940239001E-2</v>
          </cell>
          <cell r="X45">
            <v>0.12301255230125507</v>
          </cell>
          <cell r="Y45">
            <v>-9.2436974789915971E-2</v>
          </cell>
          <cell r="Z45">
            <v>6.4814814814814881E-2</v>
          </cell>
          <cell r="AA45">
            <v>0</v>
          </cell>
          <cell r="AB45">
            <v>9.286956521739187E-2</v>
          </cell>
          <cell r="AG45">
            <v>-0.21487603305785119</v>
          </cell>
          <cell r="AH45">
            <v>0.11578947368421044</v>
          </cell>
          <cell r="AI45">
            <v>9.4339622641509413E-2</v>
          </cell>
          <cell r="AJ45">
            <v>9.4827586206896575E-2</v>
          </cell>
          <cell r="AK45">
            <v>8.6614173228346525E-2</v>
          </cell>
          <cell r="AL45">
            <v>8.6956521739130377E-2</v>
          </cell>
        </row>
        <row r="46">
          <cell r="C46" t="str">
            <v>Qtrly Sequential Growth Rates</v>
          </cell>
          <cell r="D46" t="str">
            <v xml:space="preserve">Wide-Body In-Flight Entertainment </v>
          </cell>
          <cell r="R46">
            <v>-0.19047619047619047</v>
          </cell>
          <cell r="S46">
            <v>0.35294117647058831</v>
          </cell>
          <cell r="T46">
            <v>4.3478260869565188E-2</v>
          </cell>
          <cell r="U46">
            <v>0.79166666666666674</v>
          </cell>
          <cell r="V46">
            <v>-0.18604651162790697</v>
          </cell>
          <cell r="W46">
            <v>-5.7142857142857162E-2</v>
          </cell>
          <cell r="X46">
            <v>3.0303030303030276E-2</v>
          </cell>
          <cell r="Y46">
            <v>-0.20588235294117652</v>
          </cell>
          <cell r="Z46">
            <v>7.4074074074074181E-2</v>
          </cell>
          <cell r="AA46">
            <v>-0.17241379310344829</v>
          </cell>
          <cell r="AB46">
            <v>-0.2250000000000002</v>
          </cell>
        </row>
        <row r="47">
          <cell r="C47" t="str">
            <v>Large Commercial + Regional Aircraft</v>
          </cell>
          <cell r="D47" t="str">
            <v>Total Air Transport Electronics</v>
          </cell>
          <cell r="R47">
            <v>0.17727272727272725</v>
          </cell>
          <cell r="S47">
            <v>-5.791505791505791E-2</v>
          </cell>
          <cell r="T47">
            <v>7.7868852459016313E-2</v>
          </cell>
          <cell r="U47">
            <v>-8.365019011406849E-2</v>
          </cell>
          <cell r="V47">
            <v>4.1493775933610033E-2</v>
          </cell>
          <cell r="W47">
            <v>-4.7808764940239001E-2</v>
          </cell>
          <cell r="X47">
            <v>0.11715481171548126</v>
          </cell>
          <cell r="Y47">
            <v>-6.3670411985018771E-2</v>
          </cell>
          <cell r="Z47">
            <v>0.10400000000000009</v>
          </cell>
          <cell r="AA47">
            <v>-2.8985507246376829E-2</v>
          </cell>
          <cell r="AB47">
            <v>3.5522388059701315E-2</v>
          </cell>
          <cell r="AC47">
            <v>412.36501901140684</v>
          </cell>
          <cell r="AD47">
            <v>457.22053231939162</v>
          </cell>
          <cell r="AE47">
            <v>569</v>
          </cell>
          <cell r="AF47">
            <v>525</v>
          </cell>
          <cell r="AG47">
            <v>575</v>
          </cell>
          <cell r="AN47" t="str">
            <v>low dbl digit growth</v>
          </cell>
        </row>
        <row r="48">
          <cell r="D48" t="str">
            <v>Y/Y Change</v>
          </cell>
          <cell r="R48">
            <v>9.0395480225988756E-2</v>
          </cell>
          <cell r="S48">
            <v>-0.37823834196891193</v>
          </cell>
          <cell r="T48">
            <v>-4.166666666666663E-2</v>
          </cell>
          <cell r="U48">
            <v>-0.10434782608695647</v>
          </cell>
          <cell r="V48">
            <v>0.16504854368932032</v>
          </cell>
          <cell r="W48">
            <v>5.0000000000000044E-2</v>
          </cell>
          <cell r="X48">
            <v>3.1746031746031855E-2</v>
          </cell>
          <cell r="Y48">
            <v>8.5470085470085166E-3</v>
          </cell>
          <cell r="Z48">
            <v>5.9322033898305149E-2</v>
          </cell>
          <cell r="AA48">
            <v>8.0000000000000071E-2</v>
          </cell>
          <cell r="AB48">
            <v>6.6074074074074618E-2</v>
          </cell>
          <cell r="AC48">
            <v>-1.5873015873015928E-2</v>
          </cell>
          <cell r="AD48">
            <v>0.10877623280345228</v>
          </cell>
          <cell r="AE48">
            <v>0.24447604553884017</v>
          </cell>
          <cell r="AF48">
            <v>-7.7328646748681895E-2</v>
          </cell>
          <cell r="AG48">
            <v>9.5238095238095344E-2</v>
          </cell>
        </row>
        <row r="49">
          <cell r="C49" t="str">
            <v>Business and Regional Aviation Electronics:</v>
          </cell>
          <cell r="D49" t="str">
            <v>Aftermarket</v>
          </cell>
          <cell r="R49">
            <v>-0.16091954022988508</v>
          </cell>
          <cell r="S49">
            <v>-5.4794520547945202E-2</v>
          </cell>
          <cell r="T49">
            <v>2.8985507246376718E-2</v>
          </cell>
          <cell r="U49">
            <v>-5.633802816901412E-2</v>
          </cell>
          <cell r="V49">
            <v>0.16417910447761197</v>
          </cell>
          <cell r="W49">
            <v>0.21794871794871784</v>
          </cell>
          <cell r="X49">
            <v>-7.3684210526315796E-2</v>
          </cell>
          <cell r="Y49">
            <v>-7.999999999999996E-2</v>
          </cell>
          <cell r="Z49">
            <v>3.2608695652173836E-2</v>
          </cell>
          <cell r="AA49">
            <v>7.3684210526315796E-2</v>
          </cell>
          <cell r="AB49">
            <v>6.6666666666666208E-2</v>
          </cell>
          <cell r="AC49">
            <v>7.1428571428571397E-2</v>
          </cell>
        </row>
        <row r="50">
          <cell r="B50" t="str">
            <v>Total OEM Revenue</v>
          </cell>
          <cell r="D50" t="str">
            <v>Total Business and Regional Aviation</v>
          </cell>
          <cell r="L50">
            <v>283</v>
          </cell>
          <cell r="M50">
            <v>328</v>
          </cell>
          <cell r="N50">
            <v>325</v>
          </cell>
          <cell r="O50">
            <v>333</v>
          </cell>
          <cell r="P50">
            <v>244</v>
          </cell>
          <cell r="Q50">
            <v>295</v>
          </cell>
          <cell r="R50">
            <v>7.575757575757569E-3</v>
          </cell>
          <cell r="S50">
            <v>-0.28947368421052633</v>
          </cell>
          <cell r="T50">
            <v>-1.5873015873015928E-2</v>
          </cell>
          <cell r="U50">
            <v>-8.6021505376344121E-2</v>
          </cell>
          <cell r="V50">
            <v>0.16470588235294126</v>
          </cell>
          <cell r="W50">
            <v>0.11616161616161613</v>
          </cell>
          <cell r="X50">
            <v>-1.3574660633484115E-2</v>
          </cell>
          <cell r="Y50">
            <v>8.5470085470085166E-3</v>
          </cell>
          <cell r="Z50">
            <v>0.16949152542372881</v>
          </cell>
          <cell r="AA50">
            <v>1.449275362318847E-2</v>
          </cell>
          <cell r="AB50">
            <v>-6.7285714285714837E-2</v>
          </cell>
          <cell r="AC50">
            <v>884</v>
          </cell>
          <cell r="AD50">
            <v>1063</v>
          </cell>
          <cell r="AE50">
            <v>1269</v>
          </cell>
          <cell r="AF50">
            <v>970</v>
          </cell>
          <cell r="AG50">
            <v>880</v>
          </cell>
          <cell r="AH50">
            <v>1000</v>
          </cell>
          <cell r="AI50">
            <v>1105</v>
          </cell>
          <cell r="AJ50">
            <v>1235</v>
          </cell>
          <cell r="AK50">
            <v>1340</v>
          </cell>
          <cell r="AL50">
            <v>1450</v>
          </cell>
          <cell r="AN50" t="str">
            <v>down ~10%</v>
          </cell>
        </row>
        <row r="51">
          <cell r="C51" t="str">
            <v>Y/Y Change</v>
          </cell>
          <cell r="D51" t="str">
            <v>Aftermarket</v>
          </cell>
          <cell r="L51">
            <v>0</v>
          </cell>
          <cell r="M51">
            <v>0</v>
          </cell>
          <cell r="N51">
            <v>0</v>
          </cell>
          <cell r="O51">
            <v>0</v>
          </cell>
          <cell r="P51">
            <v>-0.13780918727915192</v>
          </cell>
          <cell r="Q51">
            <v>-0.10060975609756095</v>
          </cell>
          <cell r="R51">
            <v>-0.35076923076923072</v>
          </cell>
          <cell r="S51">
            <v>-0.33933933933933935</v>
          </cell>
          <cell r="T51">
            <v>-0.17622950819672134</v>
          </cell>
          <cell r="U51">
            <v>-5.633802816901412E-2</v>
          </cell>
          <cell r="V51">
            <v>0.16417910447761197</v>
          </cell>
          <cell r="W51">
            <v>0.21794871794871784</v>
          </cell>
          <cell r="X51">
            <v>5.2631578947368363E-2</v>
          </cell>
          <cell r="Y51">
            <v>-7.999999999999996E-2</v>
          </cell>
          <cell r="Z51">
            <v>1.0869565217391353E-2</v>
          </cell>
          <cell r="AA51">
            <v>9.6774193548387011E-2</v>
          </cell>
          <cell r="AB51">
            <v>8.627450980392104E-2</v>
          </cell>
          <cell r="AC51">
            <v>-1.46520146520146E-2</v>
          </cell>
          <cell r="AD51">
            <v>0.20248868778280538</v>
          </cell>
          <cell r="AE51">
            <v>0.19379115710253991</v>
          </cell>
          <cell r="AF51">
            <v>-0.23561859732072499</v>
          </cell>
          <cell r="AG51">
            <v>-9.2783505154639179E-2</v>
          </cell>
          <cell r="AH51">
            <v>0.13636363636363646</v>
          </cell>
          <cell r="AI51">
            <v>0.10499999999999998</v>
          </cell>
          <cell r="AJ51">
            <v>0.11764705882352944</v>
          </cell>
          <cell r="AK51">
            <v>8.5020242914979782E-2</v>
          </cell>
          <cell r="AL51">
            <v>8.2089552238805874E-2</v>
          </cell>
        </row>
        <row r="52">
          <cell r="B52" t="str">
            <v>Key Statistics</v>
          </cell>
          <cell r="D52" t="str">
            <v>Total Business and Regional Aviation</v>
          </cell>
          <cell r="R52">
            <v>7.575757575757569E-3</v>
          </cell>
          <cell r="S52">
            <v>-0.28947368421052633</v>
          </cell>
          <cell r="T52">
            <v>-1.5873015873015928E-2</v>
          </cell>
          <cell r="U52">
            <v>-8.6021505376344121E-2</v>
          </cell>
          <cell r="V52">
            <v>0.16470588235294126</v>
          </cell>
          <cell r="W52">
            <v>0.11616161616161613</v>
          </cell>
          <cell r="X52">
            <v>-1.8099547511312264E-2</v>
          </cell>
          <cell r="Y52">
            <v>-3.2258064516129004E-2</v>
          </cell>
          <cell r="Z52">
            <v>0.10000000000000009</v>
          </cell>
          <cell r="AA52">
            <v>4.7619047619047672E-2</v>
          </cell>
          <cell r="AB52">
            <v>-2.5619834710748357E-3</v>
          </cell>
        </row>
        <row r="53">
          <cell r="B53" t="str">
            <v>Aftermarket Revenue</v>
          </cell>
          <cell r="C53" t="str">
            <v>Revenue Breakdown</v>
          </cell>
        </row>
        <row r="54">
          <cell r="B54" t="str">
            <v>Key Statistics</v>
          </cell>
          <cell r="D54" t="str">
            <v>OEM</v>
          </cell>
          <cell r="M54">
            <v>283</v>
          </cell>
          <cell r="N54">
            <v>328</v>
          </cell>
          <cell r="O54">
            <v>325</v>
          </cell>
          <cell r="P54">
            <v>333</v>
          </cell>
          <cell r="Q54">
            <v>244</v>
          </cell>
          <cell r="R54">
            <v>295</v>
          </cell>
          <cell r="S54">
            <v>211</v>
          </cell>
          <cell r="T54">
            <v>220</v>
          </cell>
          <cell r="U54">
            <v>201</v>
          </cell>
          <cell r="V54">
            <v>233</v>
          </cell>
          <cell r="W54">
            <v>240</v>
          </cell>
          <cell r="X54">
            <v>245</v>
          </cell>
          <cell r="Y54">
            <v>884</v>
          </cell>
          <cell r="Z54">
            <v>1063</v>
          </cell>
          <cell r="AA54">
            <v>1269</v>
          </cell>
          <cell r="AB54">
            <v>970</v>
          </cell>
          <cell r="AC54">
            <v>919</v>
          </cell>
          <cell r="AD54">
            <v>1024.0999999999999</v>
          </cell>
          <cell r="AE54">
            <v>1179.2</v>
          </cell>
          <cell r="AF54">
            <v>1322.4112</v>
          </cell>
          <cell r="AG54">
            <v>1454.4409500689658</v>
          </cell>
          <cell r="AH54">
            <v>1551.2956991779315</v>
          </cell>
          <cell r="AI54">
            <v>1171.1616000000004</v>
          </cell>
          <cell r="AJ54">
            <v>1340.7293760000002</v>
          </cell>
          <cell r="AK54">
            <v>1471.5295317848281</v>
          </cell>
          <cell r="AL54">
            <v>1568.3582070448558</v>
          </cell>
        </row>
        <row r="55">
          <cell r="C55" t="str">
            <v>Non-Discretionary (Maintenance and Repair)</v>
          </cell>
          <cell r="D55" t="str">
            <v>Aftermarket</v>
          </cell>
          <cell r="M55">
            <v>241</v>
          </cell>
          <cell r="N55">
            <v>247</v>
          </cell>
          <cell r="O55">
            <v>239</v>
          </cell>
          <cell r="P55">
            <v>265</v>
          </cell>
          <cell r="Q55">
            <v>219</v>
          </cell>
          <cell r="R55">
            <v>213</v>
          </cell>
          <cell r="S55">
            <v>199</v>
          </cell>
          <cell r="T55">
            <v>205</v>
          </cell>
          <cell r="U55">
            <v>192</v>
          </cell>
          <cell r="V55">
            <v>205</v>
          </cell>
          <cell r="W55">
            <v>210</v>
          </cell>
          <cell r="X55">
            <v>235.4</v>
          </cell>
          <cell r="Y55">
            <v>804</v>
          </cell>
          <cell r="Z55">
            <v>953</v>
          </cell>
          <cell r="AA55">
            <v>992</v>
          </cell>
          <cell r="AB55">
            <v>836</v>
          </cell>
          <cell r="AC55">
            <v>842.4</v>
          </cell>
          <cell r="AD55">
            <v>920.08</v>
          </cell>
          <cell r="AE55">
            <v>420</v>
          </cell>
          <cell r="AF55">
            <v>370</v>
          </cell>
          <cell r="AG55">
            <v>385</v>
          </cell>
          <cell r="AH55">
            <v>445</v>
          </cell>
          <cell r="AI55">
            <v>500</v>
          </cell>
          <cell r="AJ55">
            <v>550</v>
          </cell>
          <cell r="AK55">
            <v>575</v>
          </cell>
          <cell r="AL55">
            <v>600</v>
          </cell>
        </row>
        <row r="56">
          <cell r="D56" t="str">
            <v>Y/Y Change</v>
          </cell>
          <cell r="M56">
            <v>41</v>
          </cell>
          <cell r="N56">
            <v>35</v>
          </cell>
          <cell r="O56">
            <v>23</v>
          </cell>
          <cell r="P56">
            <v>43</v>
          </cell>
          <cell r="Q56">
            <v>21</v>
          </cell>
          <cell r="R56">
            <v>17</v>
          </cell>
          <cell r="S56">
            <v>23</v>
          </cell>
          <cell r="T56">
            <v>24</v>
          </cell>
          <cell r="U56">
            <v>18</v>
          </cell>
          <cell r="V56">
            <v>11</v>
          </cell>
          <cell r="W56">
            <v>10</v>
          </cell>
          <cell r="X56">
            <v>6</v>
          </cell>
          <cell r="Y56">
            <v>132</v>
          </cell>
          <cell r="Z56">
            <v>168</v>
          </cell>
          <cell r="AA56">
            <v>142</v>
          </cell>
          <cell r="AB56">
            <v>85</v>
          </cell>
          <cell r="AC56">
            <v>45</v>
          </cell>
          <cell r="AD56">
            <v>27</v>
          </cell>
          <cell r="AE56">
            <v>18.899999999999999</v>
          </cell>
          <cell r="AF56">
            <v>13.229999999999999</v>
          </cell>
          <cell r="AG56">
            <v>4.0540540540540571E-2</v>
          </cell>
          <cell r="AH56">
            <v>0.1558441558441559</v>
          </cell>
          <cell r="AI56">
            <v>0.12359550561797761</v>
          </cell>
          <cell r="AJ56">
            <v>0.10000000000000009</v>
          </cell>
          <cell r="AK56">
            <v>4.5454545454545414E-2</v>
          </cell>
          <cell r="AL56">
            <v>4.3478260869565188E-2</v>
          </cell>
        </row>
        <row r="57">
          <cell r="C57" t="str">
            <v>% of Sales</v>
          </cell>
          <cell r="D57" t="str">
            <v>% Large Commercial Aftermarket</v>
          </cell>
          <cell r="M57">
            <v>241</v>
          </cell>
          <cell r="N57">
            <v>247</v>
          </cell>
          <cell r="O57">
            <v>239</v>
          </cell>
          <cell r="P57">
            <v>265</v>
          </cell>
          <cell r="Q57">
            <v>219</v>
          </cell>
          <cell r="R57">
            <v>213</v>
          </cell>
          <cell r="S57">
            <v>199</v>
          </cell>
          <cell r="T57">
            <v>205</v>
          </cell>
          <cell r="U57">
            <v>167</v>
          </cell>
          <cell r="V57">
            <v>181</v>
          </cell>
          <cell r="W57">
            <v>187</v>
          </cell>
          <cell r="X57">
            <v>219</v>
          </cell>
          <cell r="Y57">
            <v>200</v>
          </cell>
          <cell r="Z57">
            <v>208</v>
          </cell>
          <cell r="AA57">
            <v>217</v>
          </cell>
          <cell r="AB57">
            <v>236.48000000000002</v>
          </cell>
          <cell r="AC57">
            <v>804</v>
          </cell>
          <cell r="AD57">
            <v>953</v>
          </cell>
          <cell r="AE57">
            <v>0.7</v>
          </cell>
          <cell r="AF57">
            <v>0.71153846153846156</v>
          </cell>
          <cell r="AG57">
            <v>0.71962616822429903</v>
          </cell>
          <cell r="AH57">
            <v>0.73553719008264462</v>
          </cell>
          <cell r="AI57">
            <v>0.72992700729927007</v>
          </cell>
          <cell r="AJ57">
            <v>0.73333333333333328</v>
          </cell>
          <cell r="AK57">
            <v>0.72784810126582278</v>
          </cell>
          <cell r="AL57">
            <v>0.72289156626506024</v>
          </cell>
        </row>
        <row r="58">
          <cell r="B58" t="str">
            <v>Key Statistics</v>
          </cell>
          <cell r="D58" t="str">
            <v>OEM</v>
          </cell>
          <cell r="M58">
            <v>0.50088495575221237</v>
          </cell>
          <cell r="N58">
            <v>0.53770491803278686</v>
          </cell>
          <cell r="O58">
            <v>0.55366269165247017</v>
          </cell>
          <cell r="P58">
            <v>0.51950078003120126</v>
          </cell>
          <cell r="Q58">
            <v>0.50413223140495866</v>
          </cell>
          <cell r="R58">
            <v>0.56190476190476191</v>
          </cell>
          <cell r="S58">
            <v>0.48729792147806006</v>
          </cell>
          <cell r="T58">
            <v>0.48997772828507796</v>
          </cell>
          <cell r="U58">
            <v>0.48905109489051096</v>
          </cell>
          <cell r="V58">
            <v>0.51893095768374164</v>
          </cell>
          <cell r="W58">
            <v>0.52173913043478259</v>
          </cell>
          <cell r="X58">
            <v>0.50370065789473684</v>
          </cell>
          <cell r="Y58">
            <v>0.48571428571428571</v>
          </cell>
          <cell r="Z58">
            <v>0.48672161172161171</v>
          </cell>
          <cell r="AA58">
            <v>0.5280898876404494</v>
          </cell>
          <cell r="AB58">
            <v>0.51295610787942891</v>
          </cell>
          <cell r="AC58">
            <v>0.50874667847652788</v>
          </cell>
          <cell r="AD58">
            <v>0.51953652127152261</v>
          </cell>
          <cell r="AE58">
            <v>0.53524501258043644</v>
          </cell>
          <cell r="AF58">
            <v>0.5470796292776241</v>
          </cell>
          <cell r="AG58">
            <v>0.55921396623950059</v>
          </cell>
          <cell r="AH58">
            <v>0.56369678419579317</v>
          </cell>
          <cell r="AI58">
            <v>69.02</v>
          </cell>
          <cell r="AJ58">
            <v>48.313999999999993</v>
          </cell>
          <cell r="AK58">
            <v>33.819799999999994</v>
          </cell>
          <cell r="AL58">
            <v>23.673859999999994</v>
          </cell>
        </row>
        <row r="59">
          <cell r="C59" t="str">
            <v>Discretionary (Upgrades and Retrofits)</v>
          </cell>
          <cell r="D59" t="str">
            <v>Aftermarket</v>
          </cell>
          <cell r="M59">
            <v>0.42654867256637169</v>
          </cell>
          <cell r="N59">
            <v>0.40491803278688526</v>
          </cell>
          <cell r="O59">
            <v>0.40715502555366268</v>
          </cell>
          <cell r="P59">
            <v>0.41341653666146644</v>
          </cell>
          <cell r="Q59">
            <v>0.4524793388429752</v>
          </cell>
          <cell r="R59">
            <v>0.40571428571428569</v>
          </cell>
          <cell r="S59">
            <v>0.45958429561200925</v>
          </cell>
          <cell r="T59">
            <v>0.45657015590200445</v>
          </cell>
          <cell r="U59">
            <v>0.46715328467153283</v>
          </cell>
          <cell r="V59">
            <v>0.45657015590200445</v>
          </cell>
          <cell r="W59">
            <v>0.45652173913043476</v>
          </cell>
          <cell r="X59">
            <v>0.48396381578947373</v>
          </cell>
          <cell r="Y59">
            <v>0.44175824175824174</v>
          </cell>
          <cell r="Z59">
            <v>0.43635531135531136</v>
          </cell>
          <cell r="AA59">
            <v>0.41281731169371622</v>
          </cell>
          <cell r="AB59">
            <v>0.44209413008989951</v>
          </cell>
          <cell r="AC59">
            <v>0.46634189548272803</v>
          </cell>
          <cell r="AD59">
            <v>0.46676609949370429</v>
          </cell>
          <cell r="AE59">
            <v>180</v>
          </cell>
          <cell r="AF59">
            <v>150</v>
          </cell>
          <cell r="AG59">
            <v>150</v>
          </cell>
          <cell r="AH59">
            <v>160</v>
          </cell>
          <cell r="AI59">
            <v>185</v>
          </cell>
          <cell r="AJ59">
            <v>200</v>
          </cell>
          <cell r="AK59">
            <v>215</v>
          </cell>
          <cell r="AL59">
            <v>230</v>
          </cell>
        </row>
        <row r="60">
          <cell r="D60" t="str">
            <v>Y/Y Change</v>
          </cell>
          <cell r="M60">
            <v>7.2566371681415928E-2</v>
          </cell>
          <cell r="N60">
            <v>5.737704918032787E-2</v>
          </cell>
          <cell r="O60">
            <v>3.9182282793867124E-2</v>
          </cell>
          <cell r="P60">
            <v>6.7082683307332289E-2</v>
          </cell>
          <cell r="Q60">
            <v>4.3388429752066117E-2</v>
          </cell>
          <cell r="R60">
            <v>3.2380952380952378E-2</v>
          </cell>
          <cell r="S60">
            <v>5.3117782909930716E-2</v>
          </cell>
          <cell r="T60">
            <v>5.3452115812917596E-2</v>
          </cell>
          <cell r="U60">
            <v>4.3795620437956206E-2</v>
          </cell>
          <cell r="V60">
            <v>2.4498886414253896E-2</v>
          </cell>
          <cell r="W60">
            <v>2.1739130434782608E-2</v>
          </cell>
          <cell r="X60">
            <v>1.2335526315789474E-2</v>
          </cell>
          <cell r="Y60">
            <v>7.2527472527472533E-2</v>
          </cell>
          <cell r="Z60">
            <v>7.6923076923076927E-2</v>
          </cell>
          <cell r="AA60">
            <v>5.9092800665834375E-2</v>
          </cell>
          <cell r="AB60">
            <v>4.4949762030671601E-2</v>
          </cell>
          <cell r="AC60">
            <v>2.491142604074402E-2</v>
          </cell>
          <cell r="AD60">
            <v>1.369737923477308E-2</v>
          </cell>
          <cell r="AE60">
            <v>8.5788082918675772E-3</v>
          </cell>
          <cell r="AF60">
            <v>5.473232149987059E-3</v>
          </cell>
          <cell r="AG60">
            <v>0</v>
          </cell>
          <cell r="AH60">
            <v>6.6666666666666652E-2</v>
          </cell>
          <cell r="AI60">
            <v>0.15625</v>
          </cell>
          <cell r="AJ60">
            <v>8.1081081081081141E-2</v>
          </cell>
          <cell r="AK60">
            <v>7.4999999999999956E-2</v>
          </cell>
          <cell r="AL60">
            <v>6.9767441860465018E-2</v>
          </cell>
          <cell r="AM60">
            <v>1220.55</v>
          </cell>
          <cell r="AN60">
            <v>1397.1156000000001</v>
          </cell>
          <cell r="AO60">
            <v>1534.9626860689655</v>
          </cell>
          <cell r="AP60">
            <v>1636.5549540579314</v>
          </cell>
        </row>
        <row r="61">
          <cell r="C61" t="str">
            <v>Y/Y Growth Rates</v>
          </cell>
          <cell r="D61" t="str">
            <v>% Large Commercial Aftermarket</v>
          </cell>
          <cell r="M61">
            <v>0.42654867256637169</v>
          </cell>
          <cell r="N61">
            <v>0.40491803278688526</v>
          </cell>
          <cell r="O61">
            <v>0.40715502555366268</v>
          </cell>
          <cell r="P61">
            <v>0.41341653666146644</v>
          </cell>
          <cell r="Q61">
            <v>0.4524793388429752</v>
          </cell>
          <cell r="R61">
            <v>0.40571428571428569</v>
          </cell>
          <cell r="S61">
            <v>0.45958429561200925</v>
          </cell>
          <cell r="T61">
            <v>0.45657015590200445</v>
          </cell>
          <cell r="U61">
            <v>0.40632603406326034</v>
          </cell>
          <cell r="V61">
            <v>0.40311804008908686</v>
          </cell>
          <cell r="W61">
            <v>0.40652173913043477</v>
          </cell>
          <cell r="X61">
            <v>0.4524793388429752</v>
          </cell>
          <cell r="Y61">
            <v>0.43478260869565216</v>
          </cell>
          <cell r="Z61">
            <v>0.41025641025641024</v>
          </cell>
          <cell r="AA61">
            <v>0.42549019607843136</v>
          </cell>
          <cell r="AB61">
            <v>0.45573328194257096</v>
          </cell>
          <cell r="AC61">
            <v>0.44175824175824174</v>
          </cell>
          <cell r="AD61">
            <v>0.43635531135531136</v>
          </cell>
          <cell r="AE61">
            <v>0.3</v>
          </cell>
          <cell r="AF61">
            <v>0.28846153846153844</v>
          </cell>
          <cell r="AG61">
            <v>0.28037383177570091</v>
          </cell>
          <cell r="AH61">
            <v>0.43162483090335191</v>
          </cell>
          <cell r="AI61">
            <v>0.43808134715683822</v>
          </cell>
          <cell r="AJ61">
            <v>0.43127964973217742</v>
          </cell>
          <cell r="AK61">
            <v>0.43049572527137803</v>
          </cell>
          <cell r="AL61">
            <v>0.43106218460704998</v>
          </cell>
          <cell r="AM61">
            <v>951.78</v>
          </cell>
          <cell r="AN61">
            <v>1037.4402</v>
          </cell>
          <cell r="AO61">
            <v>1120.4354160000003</v>
          </cell>
          <cell r="AP61">
            <v>1187.6615409600004</v>
          </cell>
        </row>
        <row r="62">
          <cell r="D62" t="str">
            <v>OEM</v>
          </cell>
          <cell r="M62">
            <v>7.2566371681415928E-2</v>
          </cell>
          <cell r="N62">
            <v>5.737704918032787E-2</v>
          </cell>
          <cell r="O62">
            <v>3.9182282793867124E-2</v>
          </cell>
          <cell r="P62">
            <v>6.7082683307332289E-2</v>
          </cell>
          <cell r="Q62">
            <v>-0.13780918727915192</v>
          </cell>
          <cell r="R62">
            <v>-0.10060975609756095</v>
          </cell>
          <cell r="S62">
            <v>-0.35076923076923072</v>
          </cell>
          <cell r="T62">
            <v>-0.33933933933933935</v>
          </cell>
          <cell r="U62">
            <v>-0.17622950819672134</v>
          </cell>
          <cell r="V62">
            <v>-0.21016949152542375</v>
          </cell>
          <cell r="W62">
            <v>0.13744075829383884</v>
          </cell>
          <cell r="X62">
            <v>0.11363636363636354</v>
          </cell>
          <cell r="Y62">
            <v>0.15920398009950243</v>
          </cell>
          <cell r="Z62">
            <v>0.20248868778280538</v>
          </cell>
          <cell r="AA62">
            <v>0.19379115710253991</v>
          </cell>
          <cell r="AB62">
            <v>-0.23561859732072499</v>
          </cell>
          <cell r="AC62">
            <v>-5.2577319587628901E-2</v>
          </cell>
          <cell r="AD62">
            <v>0.11436343852013042</v>
          </cell>
          <cell r="AE62">
            <v>0.15145005370569287</v>
          </cell>
          <cell r="AF62">
            <v>0.12144776119402989</v>
          </cell>
          <cell r="AG62">
            <v>9.9840163232862711E-2</v>
          </cell>
          <cell r="AH62">
            <v>6.6592424466853206E-2</v>
          </cell>
          <cell r="AI62">
            <v>0.15544751381215494</v>
          </cell>
          <cell r="AJ62">
            <v>0.14478597658939618</v>
          </cell>
          <cell r="AK62">
            <v>9.7558954197799252E-2</v>
          </cell>
          <cell r="AL62">
            <v>6.5801380922735131E-2</v>
          </cell>
          <cell r="AM62">
            <v>83.3</v>
          </cell>
          <cell r="AN62">
            <v>58.309999999999995</v>
          </cell>
          <cell r="AO62">
            <v>40.816999999999993</v>
          </cell>
          <cell r="AP62">
            <v>28.571899999999992</v>
          </cell>
        </row>
        <row r="63">
          <cell r="C63" t="str">
            <v>Large Commercial Aftermarket</v>
          </cell>
          <cell r="D63" t="str">
            <v>Aftermarket</v>
          </cell>
          <cell r="Q63">
            <v>-9.1286307053941917E-2</v>
          </cell>
          <cell r="R63">
            <v>-0.13765182186234814</v>
          </cell>
          <cell r="S63">
            <v>-0.16736401673640167</v>
          </cell>
          <cell r="T63">
            <v>-0.22641509433962259</v>
          </cell>
          <cell r="U63">
            <v>-0.12328767123287676</v>
          </cell>
          <cell r="V63">
            <v>-3.7558685446009377E-2</v>
          </cell>
          <cell r="W63">
            <v>5.5276381909547645E-2</v>
          </cell>
          <cell r="X63">
            <v>0.1482926829268294</v>
          </cell>
          <cell r="Y63">
            <v>0.19760479041916157</v>
          </cell>
          <cell r="Z63">
            <v>0.18532338308457708</v>
          </cell>
          <cell r="AA63">
            <v>4.0923399790136372E-2</v>
          </cell>
          <cell r="AB63">
            <v>-0.157258064516129</v>
          </cell>
          <cell r="AC63">
            <v>7.6555023923443599E-3</v>
          </cell>
          <cell r="AD63">
            <v>9.2212725546058971E-2</v>
          </cell>
          <cell r="AE63">
            <v>600</v>
          </cell>
          <cell r="AF63">
            <v>520</v>
          </cell>
          <cell r="AG63">
            <v>535</v>
          </cell>
          <cell r="AH63">
            <v>605</v>
          </cell>
          <cell r="AI63">
            <v>685</v>
          </cell>
          <cell r="AJ63">
            <v>750</v>
          </cell>
          <cell r="AK63">
            <v>790</v>
          </cell>
          <cell r="AL63">
            <v>830</v>
          </cell>
          <cell r="AN63" t="str">
            <v>flat</v>
          </cell>
        </row>
        <row r="64">
          <cell r="D64" t="str">
            <v>Y/Y Change</v>
          </cell>
          <cell r="I64">
            <v>0</v>
          </cell>
          <cell r="J64">
            <v>0</v>
          </cell>
          <cell r="K64">
            <v>0</v>
          </cell>
          <cell r="L64">
            <v>0</v>
          </cell>
          <cell r="M64">
            <v>0.50088495575221237</v>
          </cell>
          <cell r="N64">
            <v>0.53770491803278686</v>
          </cell>
          <cell r="O64">
            <v>0.55366269165247017</v>
          </cell>
          <cell r="P64">
            <v>0.51950078003120126</v>
          </cell>
          <cell r="Q64">
            <v>-0.48780487804878048</v>
          </cell>
          <cell r="R64">
            <v>-0.51428571428571423</v>
          </cell>
          <cell r="S64">
            <v>0</v>
          </cell>
          <cell r="T64">
            <v>-0.44186046511627908</v>
          </cell>
          <cell r="U64">
            <v>-0.1428571428571429</v>
          </cell>
          <cell r="V64">
            <v>-0.3529411764705882</v>
          </cell>
          <cell r="W64">
            <v>-0.56521739130434789</v>
          </cell>
          <cell r="X64">
            <v>-0.75</v>
          </cell>
          <cell r="Y64">
            <v>0.15920398009950243</v>
          </cell>
          <cell r="Z64">
            <v>0.27272727272727271</v>
          </cell>
          <cell r="AA64">
            <v>-0.15476190476190477</v>
          </cell>
          <cell r="AB64">
            <v>-0.40140845070422537</v>
          </cell>
          <cell r="AC64">
            <v>-0.47058823529411764</v>
          </cell>
          <cell r="AD64">
            <v>-0.4</v>
          </cell>
          <cell r="AE64">
            <v>0.19379115710253991</v>
          </cell>
          <cell r="AF64">
            <v>-0.23561859732072499</v>
          </cell>
          <cell r="AG64">
            <v>2.8846153846153744E-2</v>
          </cell>
          <cell r="AH64">
            <v>0.13084112149532712</v>
          </cell>
          <cell r="AI64">
            <v>0.13223140495867769</v>
          </cell>
          <cell r="AJ64">
            <v>9.4890510948905105E-2</v>
          </cell>
          <cell r="AK64">
            <v>5.3333333333333233E-2</v>
          </cell>
          <cell r="AL64">
            <v>5.0632911392405111E-2</v>
          </cell>
          <cell r="AM64">
            <v>0.5411126824878193</v>
          </cell>
          <cell r="AN64">
            <v>0.56044557232082048</v>
          </cell>
          <cell r="AO64">
            <v>0.56930275514408979</v>
          </cell>
          <cell r="AP64">
            <v>0.57366854019596669</v>
          </cell>
        </row>
        <row r="65">
          <cell r="D65" t="str">
            <v>Aftermarket</v>
          </cell>
          <cell r="I65">
            <v>0</v>
          </cell>
          <cell r="J65">
            <v>0</v>
          </cell>
          <cell r="K65">
            <v>0</v>
          </cell>
          <cell r="L65">
            <v>0</v>
          </cell>
          <cell r="M65">
            <v>0.42654867256637169</v>
          </cell>
          <cell r="N65">
            <v>0.40491803278688526</v>
          </cell>
          <cell r="O65">
            <v>0.40715502555366268</v>
          </cell>
          <cell r="P65">
            <v>0.41341653666146644</v>
          </cell>
          <cell r="Q65">
            <v>-9.1286307053941917E-2</v>
          </cell>
          <cell r="R65">
            <v>-0.13765182186234814</v>
          </cell>
          <cell r="S65">
            <v>-0.16736401673640167</v>
          </cell>
          <cell r="T65">
            <v>-0.22641509433962259</v>
          </cell>
          <cell r="U65">
            <v>-0.23744292237442921</v>
          </cell>
          <cell r="V65">
            <v>-0.15023474178403751</v>
          </cell>
          <cell r="W65">
            <v>-6.0301507537688481E-2</v>
          </cell>
          <cell r="X65">
            <v>6.8292682926829329E-2</v>
          </cell>
          <cell r="Y65">
            <v>0.19760479041916157</v>
          </cell>
          <cell r="Z65">
            <v>0.149171270718232</v>
          </cell>
          <cell r="AA65">
            <v>0.16042780748663099</v>
          </cell>
          <cell r="AB65">
            <v>7.9817351598173492E-2</v>
          </cell>
          <cell r="AC65">
            <v>0.44175824175824174</v>
          </cell>
          <cell r="AD65">
            <v>0.18532338308457708</v>
          </cell>
          <cell r="AE65">
            <v>4.0923399790136372E-2</v>
          </cell>
          <cell r="AF65">
            <v>-0.157258064516129</v>
          </cell>
          <cell r="AG65">
            <v>-9.8086124401913888E-2</v>
          </cell>
          <cell r="AH65">
            <v>0.14254641909814336</v>
          </cell>
          <cell r="AI65">
            <v>0.1453823652319266</v>
          </cell>
          <cell r="AJ65">
            <v>9.000000000000008E-2</v>
          </cell>
          <cell r="AK65">
            <v>7.9999999999999849E-2</v>
          </cell>
          <cell r="AL65">
            <v>6.0000000000000053E-2</v>
          </cell>
          <cell r="AM65">
            <v>0.4219575018952576</v>
          </cell>
          <cell r="AN65">
            <v>0.41616367796453385</v>
          </cell>
          <cell r="AO65">
            <v>0.41555861590576498</v>
          </cell>
          <cell r="AP65">
            <v>0.41631603067164585</v>
          </cell>
        </row>
        <row r="66">
          <cell r="C66" t="str">
            <v>Regional and Business Jet Aftermarket</v>
          </cell>
          <cell r="D66" t="str">
            <v>Other</v>
          </cell>
          <cell r="I66">
            <v>0</v>
          </cell>
          <cell r="J66">
            <v>0</v>
          </cell>
          <cell r="K66">
            <v>0</v>
          </cell>
          <cell r="L66">
            <v>0</v>
          </cell>
          <cell r="M66">
            <v>7.2566371681415928E-2</v>
          </cell>
          <cell r="N66">
            <v>5.737704918032787E-2</v>
          </cell>
          <cell r="O66">
            <v>3.9182282793867124E-2</v>
          </cell>
          <cell r="P66">
            <v>6.7082683307332289E-2</v>
          </cell>
          <cell r="Q66">
            <v>-0.48780487804878048</v>
          </cell>
          <cell r="R66">
            <v>-0.51428571428571423</v>
          </cell>
          <cell r="S66">
            <v>0</v>
          </cell>
          <cell r="T66">
            <v>-0.44186046511627908</v>
          </cell>
          <cell r="U66">
            <v>1.0476190476190474</v>
          </cell>
          <cell r="V66">
            <v>1.0588235294117645</v>
          </cell>
          <cell r="W66">
            <v>0.43478260869565211</v>
          </cell>
          <cell r="X66">
            <v>0.41666666666666674</v>
          </cell>
          <cell r="Y66">
            <v>-0.37209302325581395</v>
          </cell>
          <cell r="Z66">
            <v>-0.17142857142857137</v>
          </cell>
          <cell r="AA66">
            <v>-0.27272727272727271</v>
          </cell>
          <cell r="AB66">
            <v>-0.4529411764705884</v>
          </cell>
          <cell r="AC66">
            <v>7.2527472527472533E-2</v>
          </cell>
          <cell r="AD66">
            <v>0.27272727272727271</v>
          </cell>
          <cell r="AE66">
            <v>392</v>
          </cell>
          <cell r="AF66">
            <v>316</v>
          </cell>
          <cell r="AG66">
            <v>330</v>
          </cell>
          <cell r="AH66">
            <v>380</v>
          </cell>
          <cell r="AI66">
            <v>430</v>
          </cell>
          <cell r="AJ66">
            <v>450</v>
          </cell>
          <cell r="AK66">
            <v>475</v>
          </cell>
          <cell r="AL66">
            <v>500</v>
          </cell>
          <cell r="AM66">
            <v>3.6929815616922983E-2</v>
          </cell>
          <cell r="AN66" t="str">
            <v>low single digit w/ air routing</v>
          </cell>
          <cell r="AO66">
            <v>1.5138628950145219E-2</v>
          </cell>
          <cell r="AP66">
            <v>1.0015429132387649E-2</v>
          </cell>
        </row>
        <row r="67">
          <cell r="C67" t="str">
            <v>Y/Y Growth Rates</v>
          </cell>
          <cell r="D67" t="str">
            <v>Y/Y Change</v>
          </cell>
          <cell r="AG67">
            <v>4.4303797468354444E-2</v>
          </cell>
          <cell r="AH67">
            <v>0.1515151515151516</v>
          </cell>
          <cell r="AI67">
            <v>0.13157894736842102</v>
          </cell>
          <cell r="AJ67">
            <v>4.6511627906976827E-2</v>
          </cell>
          <cell r="AK67">
            <v>5.555555555555558E-2</v>
          </cell>
          <cell r="AL67">
            <v>5.2631578947368363E-2</v>
          </cell>
        </row>
        <row r="68">
          <cell r="A68" t="str">
            <v>Segment Operating Income</v>
          </cell>
          <cell r="D68" t="str">
            <v>OEM</v>
          </cell>
          <cell r="Q68">
            <v>-0.13780918727915192</v>
          </cell>
          <cell r="R68">
            <v>-0.10060975609756095</v>
          </cell>
          <cell r="S68">
            <v>-0.35076923076923072</v>
          </cell>
          <cell r="T68">
            <v>-0.33933933933933935</v>
          </cell>
          <cell r="U68">
            <v>-0.17622950819672134</v>
          </cell>
          <cell r="V68">
            <v>-0.21016949152542375</v>
          </cell>
          <cell r="W68">
            <v>0.13744075829383884</v>
          </cell>
          <cell r="X68">
            <v>5.0000000000000044E-2</v>
          </cell>
          <cell r="Y68">
            <v>0.15920398009950243</v>
          </cell>
          <cell r="Z68">
            <v>0.15879828326180268</v>
          </cell>
          <cell r="AA68">
            <v>0.1875</v>
          </cell>
          <cell r="AB68">
            <v>0.23419913419913407</v>
          </cell>
          <cell r="AC68">
            <v>0.13733905579399153</v>
          </cell>
          <cell r="AD68">
            <v>0.20248868778280538</v>
          </cell>
          <cell r="AE68">
            <v>0.19379115710253991</v>
          </cell>
          <cell r="AF68">
            <v>-0.23561859732072499</v>
          </cell>
          <cell r="AG68">
            <v>-6.7010309278350499E-2</v>
          </cell>
          <cell r="AH68">
            <v>0.18574585635359098</v>
          </cell>
          <cell r="AI68">
            <v>0.1557634889572268</v>
          </cell>
          <cell r="AJ68">
            <v>0.14468077963003911</v>
          </cell>
          <cell r="AK68">
            <v>9.8488004341296786E-2</v>
          </cell>
          <cell r="AL68">
            <v>6.6123939591793635E-2</v>
          </cell>
          <cell r="AM68">
            <v>0.15582386363636358</v>
          </cell>
          <cell r="AN68">
            <v>0.14466068575642144</v>
          </cell>
          <cell r="AO68">
            <v>9.8665483420960598E-2</v>
          </cell>
          <cell r="AP68">
            <v>6.6185496827381174E-2</v>
          </cell>
        </row>
        <row r="69">
          <cell r="C69" t="str">
            <v>Air Routing</v>
          </cell>
          <cell r="D69" t="str">
            <v>Aftermarket</v>
          </cell>
          <cell r="Q69">
            <v>-9.1286307053941917E-2</v>
          </cell>
          <cell r="R69">
            <v>-0.13765182186234814</v>
          </cell>
          <cell r="S69">
            <v>-0.16736401673640167</v>
          </cell>
          <cell r="T69">
            <v>-0.22641509433962259</v>
          </cell>
          <cell r="U69">
            <v>-0.23744292237442921</v>
          </cell>
          <cell r="V69">
            <v>-0.15023474178403751</v>
          </cell>
          <cell r="W69">
            <v>-9.0452261306532611E-2</v>
          </cell>
          <cell r="X69">
            <v>6.8292682926829329E-2</v>
          </cell>
          <cell r="Y69">
            <v>0.19760479041916157</v>
          </cell>
          <cell r="Z69">
            <v>0.149171270718232</v>
          </cell>
          <cell r="AA69">
            <v>0.15469613259668513</v>
          </cell>
          <cell r="AB69">
            <v>0.1260273972602739</v>
          </cell>
          <cell r="AC69">
            <v>0.10499999999999998</v>
          </cell>
          <cell r="AD69">
            <v>0.18532338308457708</v>
          </cell>
          <cell r="AE69">
            <v>4.0923399790136372E-2</v>
          </cell>
          <cell r="AF69">
            <v>-0.157258064516129</v>
          </cell>
          <cell r="AG69">
            <v>30</v>
          </cell>
          <cell r="AH69">
            <v>35</v>
          </cell>
          <cell r="AI69">
            <v>40</v>
          </cell>
          <cell r="AJ69">
            <v>45</v>
          </cell>
          <cell r="AK69">
            <v>50</v>
          </cell>
          <cell r="AL69">
            <v>55</v>
          </cell>
          <cell r="AM69">
            <v>0.14534296028880855</v>
          </cell>
          <cell r="AN69">
            <v>9.000000000000008E-2</v>
          </cell>
          <cell r="AO69">
            <v>8.0000000000000293E-2</v>
          </cell>
          <cell r="AP69">
            <v>6.0000000000000053E-2</v>
          </cell>
        </row>
        <row r="70">
          <cell r="A70" t="str">
            <v>Segment Operating Income</v>
          </cell>
          <cell r="C70" t="str">
            <v>Segment Operating Profit</v>
          </cell>
          <cell r="D70" t="str">
            <v>Y/Y Change</v>
          </cell>
          <cell r="I70">
            <v>114</v>
          </cell>
          <cell r="J70">
            <v>122</v>
          </cell>
          <cell r="K70">
            <v>119</v>
          </cell>
          <cell r="L70">
            <v>130</v>
          </cell>
          <cell r="M70">
            <v>137</v>
          </cell>
          <cell r="N70">
            <v>140</v>
          </cell>
          <cell r="O70">
            <v>139</v>
          </cell>
          <cell r="P70">
            <v>144</v>
          </cell>
          <cell r="Q70">
            <v>97</v>
          </cell>
          <cell r="R70">
            <v>110</v>
          </cell>
          <cell r="S70">
            <v>75</v>
          </cell>
          <cell r="T70">
            <v>71</v>
          </cell>
          <cell r="U70">
            <v>68</v>
          </cell>
          <cell r="V70">
            <v>69</v>
          </cell>
          <cell r="W70">
            <v>75</v>
          </cell>
          <cell r="X70">
            <v>80.636800000000051</v>
          </cell>
          <cell r="Y70">
            <v>370</v>
          </cell>
          <cell r="Z70">
            <v>485</v>
          </cell>
          <cell r="AA70">
            <v>560</v>
          </cell>
          <cell r="AB70">
            <v>353</v>
          </cell>
          <cell r="AC70">
            <v>292.63680000000005</v>
          </cell>
          <cell r="AD70">
            <v>358.75475999999998</v>
          </cell>
          <cell r="AE70">
            <v>451.63615600000008</v>
          </cell>
          <cell r="AF70">
            <v>531.78815008000004</v>
          </cell>
          <cell r="AG70">
            <v>598.19932746921609</v>
          </cell>
          <cell r="AH70">
            <v>0.16666666666666674</v>
          </cell>
          <cell r="AI70">
            <v>0.14285714285714279</v>
          </cell>
          <cell r="AJ70">
            <v>0.125</v>
          </cell>
          <cell r="AK70">
            <v>0.11111111111111116</v>
          </cell>
          <cell r="AL70">
            <v>0.10000000000000009</v>
          </cell>
        </row>
        <row r="71">
          <cell r="C71" t="str">
            <v>Operating Profit Margin (%)</v>
          </cell>
          <cell r="I71">
            <v>0.23170731707317074</v>
          </cell>
          <cell r="J71">
            <v>0.22509225092250923</v>
          </cell>
          <cell r="K71">
            <v>0.21834862385321102</v>
          </cell>
          <cell r="L71">
            <v>0.21487603305785125</v>
          </cell>
          <cell r="M71">
            <v>0.2424778761061947</v>
          </cell>
          <cell r="N71">
            <v>0.22950819672131148</v>
          </cell>
          <cell r="O71">
            <v>0.23679727427597955</v>
          </cell>
          <cell r="P71">
            <v>0.22464898595943839</v>
          </cell>
          <cell r="Q71">
            <v>0.20041322314049587</v>
          </cell>
          <cell r="R71">
            <v>0.20952380952380953</v>
          </cell>
          <cell r="S71">
            <v>0.17321016166281755</v>
          </cell>
          <cell r="T71">
            <v>0.15812917594654788</v>
          </cell>
          <cell r="U71">
            <v>0.16545012165450121</v>
          </cell>
          <cell r="V71">
            <v>0.15367483296213807</v>
          </cell>
          <cell r="W71">
            <v>0.16304347826086957</v>
          </cell>
          <cell r="X71">
            <v>0.16578289473684218</v>
          </cell>
          <cell r="Y71">
            <v>0.2032967032967033</v>
          </cell>
          <cell r="Z71">
            <v>0.22206959706959706</v>
          </cell>
          <cell r="AA71">
            <v>0.23304203079483979</v>
          </cell>
          <cell r="AB71">
            <v>0.18667371760973031</v>
          </cell>
          <cell r="AC71">
            <v>0.16200000000000001</v>
          </cell>
          <cell r="AD71">
            <v>0.182</v>
          </cell>
          <cell r="AE71">
            <v>0.20499999999999999</v>
          </cell>
          <cell r="AF71">
            <v>0.22</v>
          </cell>
          <cell r="AG71">
            <v>0.23</v>
          </cell>
          <cell r="AH71">
            <v>0.23499999999999999</v>
          </cell>
          <cell r="AI71">
            <v>0.214</v>
          </cell>
          <cell r="AJ71">
            <v>0.22</v>
          </cell>
          <cell r="AK71">
            <v>0.23</v>
          </cell>
          <cell r="AL71">
            <v>0.23499999999999999</v>
          </cell>
        </row>
        <row r="72">
          <cell r="B72" t="str">
            <v>Total Aftermarket Revenue</v>
          </cell>
          <cell r="C72" t="str">
            <v>Change in Margin (bps)</v>
          </cell>
          <cell r="I72">
            <v>114</v>
          </cell>
          <cell r="J72">
            <v>-66.150661506615137</v>
          </cell>
          <cell r="K72">
            <v>-67.436270692982077</v>
          </cell>
          <cell r="L72">
            <v>241</v>
          </cell>
          <cell r="M72">
            <v>247</v>
          </cell>
          <cell r="N72">
            <v>239</v>
          </cell>
          <cell r="O72">
            <v>265</v>
          </cell>
          <cell r="P72">
            <v>219</v>
          </cell>
          <cell r="Q72">
            <v>213</v>
          </cell>
          <cell r="R72">
            <v>199</v>
          </cell>
          <cell r="S72">
            <v>205</v>
          </cell>
          <cell r="T72">
            <v>-150.80985716269674</v>
          </cell>
          <cell r="U72">
            <v>73.209457079533308</v>
          </cell>
          <cell r="V72">
            <v>-117.75288692363134</v>
          </cell>
          <cell r="W72">
            <v>93.686452987314922</v>
          </cell>
          <cell r="X72">
            <v>27.39416475972617</v>
          </cell>
          <cell r="Y72">
            <v>375.1380855986111</v>
          </cell>
          <cell r="Z72">
            <v>187.72893772893761</v>
          </cell>
          <cell r="AA72">
            <v>109.7243372524273</v>
          </cell>
          <cell r="AB72">
            <v>-463.6831318510948</v>
          </cell>
          <cell r="AC72">
            <v>804</v>
          </cell>
          <cell r="AD72">
            <v>953</v>
          </cell>
          <cell r="AE72">
            <v>992</v>
          </cell>
          <cell r="AF72">
            <v>836</v>
          </cell>
          <cell r="AG72">
            <v>895</v>
          </cell>
          <cell r="AH72">
            <v>1020</v>
          </cell>
          <cell r="AI72">
            <v>1155</v>
          </cell>
          <cell r="AJ72">
            <v>1245</v>
          </cell>
          <cell r="AK72">
            <v>1315</v>
          </cell>
          <cell r="AL72">
            <v>1385</v>
          </cell>
          <cell r="AN72" t="str">
            <v>low sgl digit growth across all</v>
          </cell>
        </row>
        <row r="73">
          <cell r="C73" t="str">
            <v>Y/Y Change</v>
          </cell>
          <cell r="I73">
            <v>0.23170731707317074</v>
          </cell>
          <cell r="J73">
            <v>0.22509225092250923</v>
          </cell>
          <cell r="K73">
            <v>0.21834862385321102</v>
          </cell>
          <cell r="L73">
            <v>0</v>
          </cell>
          <cell r="M73">
            <v>0</v>
          </cell>
          <cell r="N73">
            <v>0</v>
          </cell>
          <cell r="O73">
            <v>0</v>
          </cell>
          <cell r="P73">
            <v>-9.1286307053941917E-2</v>
          </cell>
          <cell r="Q73">
            <v>-0.13765182186234814</v>
          </cell>
          <cell r="R73">
            <v>-0.16736401673640167</v>
          </cell>
          <cell r="S73">
            <v>-0.22641509433962259</v>
          </cell>
          <cell r="T73">
            <v>0.15812917594654788</v>
          </cell>
          <cell r="U73">
            <v>0.16545012165450121</v>
          </cell>
          <cell r="V73">
            <v>0.15367483296213807</v>
          </cell>
          <cell r="W73">
            <v>0.16304347826086957</v>
          </cell>
          <cell r="X73">
            <v>0.16735537190082644</v>
          </cell>
          <cell r="Y73">
            <v>0.18260869565217391</v>
          </cell>
          <cell r="Z73">
            <v>0.1814595660749507</v>
          </cell>
          <cell r="AA73">
            <v>0.18823529411764706</v>
          </cell>
          <cell r="AB73">
            <v>0.19124571208325306</v>
          </cell>
          <cell r="AC73">
            <v>0.2032967032967033</v>
          </cell>
          <cell r="AD73">
            <v>0.18532338308457708</v>
          </cell>
          <cell r="AE73">
            <v>4.0923399790136372E-2</v>
          </cell>
          <cell r="AF73">
            <v>-0.157258064516129</v>
          </cell>
          <cell r="AG73">
            <v>7.0574162679425845E-2</v>
          </cell>
          <cell r="AH73">
            <v>0.13966480446927365</v>
          </cell>
          <cell r="AI73">
            <v>0.13235294117647056</v>
          </cell>
          <cell r="AJ73">
            <v>7.7922077922077948E-2</v>
          </cell>
          <cell r="AK73">
            <v>5.6224899598393607E-2</v>
          </cell>
          <cell r="AL73">
            <v>5.323193916349811E-2</v>
          </cell>
        </row>
        <row r="74">
          <cell r="A74" t="str">
            <v>Segment Operating Income</v>
          </cell>
          <cell r="C74" t="str">
            <v>Incremental Sales (Y/Y)</v>
          </cell>
          <cell r="J74">
            <v>-66.150661506615137</v>
          </cell>
          <cell r="K74">
            <v>-67.436270692982077</v>
          </cell>
          <cell r="L74">
            <v>-34.725907953597755</v>
          </cell>
          <cell r="M74">
            <v>73</v>
          </cell>
          <cell r="N74">
            <v>68</v>
          </cell>
          <cell r="O74">
            <v>42</v>
          </cell>
          <cell r="P74">
            <v>36</v>
          </cell>
          <cell r="Q74">
            <v>-81</v>
          </cell>
          <cell r="R74">
            <v>-85</v>
          </cell>
          <cell r="S74">
            <v>-154</v>
          </cell>
          <cell r="T74">
            <v>-192</v>
          </cell>
          <cell r="U74">
            <v>-73</v>
          </cell>
          <cell r="V74">
            <v>-76</v>
          </cell>
          <cell r="W74">
            <v>27</v>
          </cell>
          <cell r="X74">
            <v>37.400000000000091</v>
          </cell>
          <cell r="Y74">
            <v>185</v>
          </cell>
          <cell r="Z74">
            <v>364</v>
          </cell>
          <cell r="AA74">
            <v>219</v>
          </cell>
          <cell r="AB74">
            <v>-512</v>
          </cell>
          <cell r="AC74">
            <v>-84.599999999999909</v>
          </cell>
          <cell r="AD74">
            <v>164.77999999999997</v>
          </cell>
          <cell r="AE74">
            <v>231.92320000000041</v>
          </cell>
          <cell r="AF74">
            <v>214.11566399999992</v>
          </cell>
          <cell r="AG74">
            <v>183.64777717050401</v>
          </cell>
          <cell r="AH74">
            <v>151.13717128890448</v>
          </cell>
          <cell r="AI74">
            <v>253.22559999999999</v>
          </cell>
          <cell r="AJ74">
            <v>237.66693600000053</v>
          </cell>
          <cell r="AK74">
            <v>202.34828858482797</v>
          </cell>
          <cell r="AL74">
            <v>156.37702482802797</v>
          </cell>
        </row>
        <row r="75">
          <cell r="B75" t="str">
            <v>Wide-body IFE Revenue</v>
          </cell>
          <cell r="C75" t="str">
            <v>Incremental Operating Profit (Y/Y)</v>
          </cell>
          <cell r="L75">
            <v>41</v>
          </cell>
          <cell r="M75">
            <v>23</v>
          </cell>
          <cell r="N75">
            <v>18</v>
          </cell>
          <cell r="O75">
            <v>20</v>
          </cell>
          <cell r="P75">
            <v>14</v>
          </cell>
          <cell r="Q75">
            <v>-40</v>
          </cell>
          <cell r="R75">
            <v>-30</v>
          </cell>
          <cell r="S75">
            <v>-64</v>
          </cell>
          <cell r="T75">
            <v>-73</v>
          </cell>
          <cell r="U75">
            <v>-29</v>
          </cell>
          <cell r="V75">
            <v>-41</v>
          </cell>
          <cell r="W75">
            <v>0</v>
          </cell>
          <cell r="X75">
            <v>9.6368000000000507</v>
          </cell>
          <cell r="Y75">
            <v>74</v>
          </cell>
          <cell r="Z75">
            <v>115</v>
          </cell>
          <cell r="AA75">
            <v>75</v>
          </cell>
          <cell r="AB75">
            <v>-207</v>
          </cell>
          <cell r="AC75">
            <v>-60.363199999999949</v>
          </cell>
          <cell r="AD75">
            <v>66.117959999999925</v>
          </cell>
          <cell r="AE75">
            <v>92.881396000000109</v>
          </cell>
          <cell r="AF75">
            <v>80.151994079999952</v>
          </cell>
          <cell r="AG75">
            <v>66.41117738921605</v>
          </cell>
          <cell r="AH75">
            <v>48.521568458744923</v>
          </cell>
          <cell r="AI75">
            <v>-646.72089592796101</v>
          </cell>
          <cell r="AJ75">
            <v>0</v>
          </cell>
          <cell r="AK75">
            <v>0</v>
          </cell>
          <cell r="AL75">
            <v>0</v>
          </cell>
          <cell r="AM75">
            <v>-663.47499461202119</v>
          </cell>
          <cell r="AN75" t="str">
            <v>down 40%</v>
          </cell>
        </row>
        <row r="76">
          <cell r="C76" t="str">
            <v>Y/Y Change</v>
          </cell>
          <cell r="I76">
            <v>114</v>
          </cell>
          <cell r="J76">
            <v>122</v>
          </cell>
          <cell r="K76">
            <v>119</v>
          </cell>
          <cell r="L76">
            <v>0</v>
          </cell>
          <cell r="M76">
            <v>0.31506849315068491</v>
          </cell>
          <cell r="N76">
            <v>0.26470588235294118</v>
          </cell>
          <cell r="O76">
            <v>0.47619047619047616</v>
          </cell>
          <cell r="P76">
            <v>0.3888888888888889</v>
          </cell>
          <cell r="Q76">
            <v>0.49382716049382713</v>
          </cell>
          <cell r="R76">
            <v>0.35294117647058826</v>
          </cell>
          <cell r="S76">
            <v>0.41558441558441561</v>
          </cell>
          <cell r="T76">
            <v>0.38020833333333331</v>
          </cell>
          <cell r="U76">
            <v>0.39726027397260272</v>
          </cell>
          <cell r="V76">
            <v>0.53947368421052633</v>
          </cell>
          <cell r="W76">
            <v>0</v>
          </cell>
          <cell r="X76">
            <v>0.25766844919786169</v>
          </cell>
          <cell r="Y76">
            <v>0.4</v>
          </cell>
          <cell r="Z76">
            <v>0.31593406593406592</v>
          </cell>
          <cell r="AA76">
            <v>0.34246575342465752</v>
          </cell>
          <cell r="AB76">
            <v>0.404296875</v>
          </cell>
          <cell r="AC76">
            <v>0.71351300236406634</v>
          </cell>
          <cell r="AD76">
            <v>0.51291394586721661</v>
          </cell>
          <cell r="AE76">
            <v>0.40910696299464627</v>
          </cell>
          <cell r="AF76">
            <v>0.37433970304946945</v>
          </cell>
          <cell r="AG76">
            <v>0.3616225494935229</v>
          </cell>
          <cell r="AH76">
            <v>0.32104324862607153</v>
          </cell>
          <cell r="AI76">
            <v>0</v>
          </cell>
          <cell r="AJ76">
            <v>0</v>
          </cell>
          <cell r="AK76">
            <v>0</v>
          </cell>
          <cell r="AL76">
            <v>0</v>
          </cell>
          <cell r="AM76">
            <v>478.19355999999999</v>
          </cell>
          <cell r="AN76">
            <v>548.430476</v>
          </cell>
          <cell r="AO76">
            <v>620.12947347586214</v>
          </cell>
          <cell r="AP76">
            <v>670.4052728292138</v>
          </cell>
        </row>
        <row r="77">
          <cell r="C77" t="str">
            <v>Incremental Operating Profit (Y/Y)</v>
          </cell>
          <cell r="I77">
            <v>0.23170731707317074</v>
          </cell>
          <cell r="J77">
            <v>0.22509225092250923</v>
          </cell>
          <cell r="K77">
            <v>0.21834862385321102</v>
          </cell>
          <cell r="L77">
            <v>0.21487603305785125</v>
          </cell>
          <cell r="M77">
            <v>23</v>
          </cell>
          <cell r="N77">
            <v>18</v>
          </cell>
          <cell r="O77">
            <v>20</v>
          </cell>
          <cell r="P77">
            <v>14</v>
          </cell>
          <cell r="Q77">
            <v>-40</v>
          </cell>
          <cell r="R77">
            <v>-30</v>
          </cell>
          <cell r="S77">
            <v>-64</v>
          </cell>
          <cell r="T77">
            <v>-73</v>
          </cell>
          <cell r="U77">
            <v>-29</v>
          </cell>
          <cell r="V77">
            <v>-41</v>
          </cell>
          <cell r="W77">
            <v>0</v>
          </cell>
          <cell r="X77">
            <v>10</v>
          </cell>
          <cell r="Y77">
            <v>16</v>
          </cell>
          <cell r="Z77">
            <v>23</v>
          </cell>
          <cell r="AA77">
            <v>21</v>
          </cell>
          <cell r="AB77">
            <v>18.23739999999998</v>
          </cell>
          <cell r="AC77">
            <v>74</v>
          </cell>
          <cell r="AD77">
            <v>115</v>
          </cell>
          <cell r="AE77">
            <v>75</v>
          </cell>
          <cell r="AF77">
            <v>-207</v>
          </cell>
          <cell r="AG77">
            <v>-60</v>
          </cell>
          <cell r="AH77">
            <v>78.23739999999998</v>
          </cell>
          <cell r="AI77">
            <v>110.77110680000004</v>
          </cell>
          <cell r="AJ77">
            <v>66.629518079999968</v>
          </cell>
          <cell r="AK77">
            <v>71.952210192800067</v>
          </cell>
          <cell r="AL77">
            <v>50.652729837807897</v>
          </cell>
          <cell r="AM77">
            <v>-671.24296491060795</v>
          </cell>
          <cell r="AN77">
            <v>0.22</v>
          </cell>
          <cell r="AO77">
            <v>0.23</v>
          </cell>
          <cell r="AP77">
            <v>0.23499999999999999</v>
          </cell>
        </row>
        <row r="78">
          <cell r="B78" t="str">
            <v>Total Commercial Systems Revenue</v>
          </cell>
          <cell r="C78" t="str">
            <v>Compensation Headwinds Y/Y</v>
          </cell>
          <cell r="H78">
            <v>492</v>
          </cell>
          <cell r="I78">
            <v>542</v>
          </cell>
          <cell r="J78">
            <v>545</v>
          </cell>
          <cell r="K78">
            <v>605</v>
          </cell>
          <cell r="L78">
            <v>565</v>
          </cell>
          <cell r="M78">
            <v>610</v>
          </cell>
          <cell r="N78">
            <v>587</v>
          </cell>
          <cell r="O78">
            <v>641</v>
          </cell>
          <cell r="P78">
            <v>484</v>
          </cell>
          <cell r="Q78">
            <v>525</v>
          </cell>
          <cell r="R78">
            <v>433</v>
          </cell>
          <cell r="S78">
            <v>449</v>
          </cell>
          <cell r="T78">
            <v>411</v>
          </cell>
          <cell r="U78">
            <v>450</v>
          </cell>
          <cell r="V78">
            <v>465</v>
          </cell>
          <cell r="W78">
            <v>499</v>
          </cell>
          <cell r="X78">
            <v>1752</v>
          </cell>
          <cell r="Y78">
            <v>1377</v>
          </cell>
          <cell r="Z78">
            <v>1272</v>
          </cell>
          <cell r="AA78">
            <v>1395</v>
          </cell>
          <cell r="AB78">
            <v>1635</v>
          </cell>
          <cell r="AC78">
            <v>1820</v>
          </cell>
          <cell r="AD78">
            <v>-14.399999999999999</v>
          </cell>
          <cell r="AE78">
            <v>-2</v>
          </cell>
          <cell r="AF78">
            <v>1891</v>
          </cell>
          <cell r="AG78">
            <v>1825</v>
          </cell>
          <cell r="AH78">
            <v>2050</v>
          </cell>
          <cell r="AI78">
            <v>2260</v>
          </cell>
          <cell r="AJ78">
            <v>2480</v>
          </cell>
          <cell r="AK78">
            <v>2655</v>
          </cell>
          <cell r="AL78">
            <v>2835</v>
          </cell>
          <cell r="AM78">
            <v>194.99999999999989</v>
          </cell>
          <cell r="AN78" t="str">
            <v>down 7% (y/y gr in 2H)</v>
          </cell>
          <cell r="AO78">
            <v>100.00000000000009</v>
          </cell>
          <cell r="AP78">
            <v>49.999999999999766</v>
          </cell>
        </row>
        <row r="79">
          <cell r="C79" t="str">
            <v>Y/Y Change</v>
          </cell>
          <cell r="L79">
            <v>0.14837398373983746</v>
          </cell>
          <cell r="M79">
            <v>0.1254612546125462</v>
          </cell>
          <cell r="N79">
            <v>7.7064220183486132E-2</v>
          </cell>
          <cell r="O79">
            <v>5.9504132231404938E-2</v>
          </cell>
          <cell r="P79">
            <v>-0.14336283185840704</v>
          </cell>
          <cell r="Q79">
            <v>-0.13934426229508201</v>
          </cell>
          <cell r="R79">
            <v>-0.26235093696763201</v>
          </cell>
          <cell r="S79">
            <v>-0.29953198127925118</v>
          </cell>
          <cell r="T79">
            <v>-0.15082644628099173</v>
          </cell>
          <cell r="U79">
            <v>-0.1428571428571429</v>
          </cell>
          <cell r="V79">
            <v>7.390300230946889E-2</v>
          </cell>
          <cell r="W79">
            <v>0.11135857461024501</v>
          </cell>
          <cell r="Y79">
            <v>-0.21404109589041098</v>
          </cell>
          <cell r="Z79">
            <v>-7.6252723311546866E-2</v>
          </cell>
          <cell r="AA79">
            <v>9.6698113207547065E-2</v>
          </cell>
          <cell r="AB79">
            <v>0.17204301075268824</v>
          </cell>
          <cell r="AC79">
            <v>0.11314984709480114</v>
          </cell>
          <cell r="AD79">
            <v>-4</v>
          </cell>
          <cell r="AE79">
            <v>0.10027472527472536</v>
          </cell>
          <cell r="AF79">
            <v>-0.21306699958385356</v>
          </cell>
          <cell r="AG79">
            <v>-3.4902168164992031E-2</v>
          </cell>
          <cell r="AH79">
            <v>0.12328767123287676</v>
          </cell>
          <cell r="AI79">
            <v>0.10243902439024399</v>
          </cell>
          <cell r="AJ79">
            <v>9.7345132743362761E-2</v>
          </cell>
          <cell r="AK79">
            <v>7.0564516129032251E-2</v>
          </cell>
          <cell r="AL79">
            <v>6.7796610169491567E-2</v>
          </cell>
        </row>
        <row r="80">
          <cell r="C80" t="str">
            <v>San Jose</v>
          </cell>
          <cell r="M80">
            <v>73</v>
          </cell>
          <cell r="N80">
            <v>68</v>
          </cell>
          <cell r="O80">
            <v>42</v>
          </cell>
          <cell r="P80">
            <v>36</v>
          </cell>
          <cell r="Q80">
            <v>-81</v>
          </cell>
          <cell r="R80">
            <v>-85</v>
          </cell>
          <cell r="S80">
            <v>-154</v>
          </cell>
          <cell r="T80">
            <v>-192</v>
          </cell>
          <cell r="U80">
            <v>-73</v>
          </cell>
          <cell r="V80">
            <v>-76</v>
          </cell>
          <cell r="W80">
            <v>21</v>
          </cell>
          <cell r="X80">
            <v>35</v>
          </cell>
          <cell r="Y80">
            <v>49</v>
          </cell>
          <cell r="Z80">
            <v>58</v>
          </cell>
          <cell r="AA80">
            <v>68</v>
          </cell>
          <cell r="AB80">
            <v>72.450000000000045</v>
          </cell>
          <cell r="AC80">
            <v>185</v>
          </cell>
          <cell r="AD80">
            <v>2</v>
          </cell>
          <cell r="AE80">
            <v>219</v>
          </cell>
          <cell r="AF80">
            <v>-512</v>
          </cell>
          <cell r="AG80">
            <v>-87</v>
          </cell>
          <cell r="AH80">
            <v>-14.399999999999999</v>
          </cell>
          <cell r="AI80">
            <v>-2</v>
          </cell>
          <cell r="AJ80">
            <v>245.63044799999989</v>
          </cell>
          <cell r="AK80">
            <v>210.09408672000063</v>
          </cell>
          <cell r="AL80">
            <v>161.79963075360001</v>
          </cell>
          <cell r="AM80">
            <v>262.63000000000011</v>
          </cell>
          <cell r="AN80">
            <v>237.23579999999993</v>
          </cell>
          <cell r="AO80">
            <v>203.3493020689657</v>
          </cell>
          <cell r="AP80">
            <v>156.57329294896545</v>
          </cell>
        </row>
        <row r="81">
          <cell r="B81" t="str">
            <v>vs Main Model</v>
          </cell>
          <cell r="C81" t="str">
            <v>Total</v>
          </cell>
          <cell r="H81">
            <v>0</v>
          </cell>
          <cell r="I81">
            <v>0</v>
          </cell>
          <cell r="J81">
            <v>0</v>
          </cell>
          <cell r="K81">
            <v>0</v>
          </cell>
          <cell r="L81">
            <v>0</v>
          </cell>
          <cell r="M81">
            <v>0</v>
          </cell>
          <cell r="N81">
            <v>0</v>
          </cell>
          <cell r="O81">
            <v>0</v>
          </cell>
          <cell r="P81">
            <v>484</v>
          </cell>
          <cell r="Q81">
            <v>525</v>
          </cell>
          <cell r="R81">
            <v>433</v>
          </cell>
          <cell r="S81">
            <v>449</v>
          </cell>
          <cell r="T81">
            <v>411</v>
          </cell>
          <cell r="U81">
            <v>450</v>
          </cell>
          <cell r="V81">
            <v>465</v>
          </cell>
          <cell r="W81">
            <v>499</v>
          </cell>
          <cell r="X81">
            <v>10</v>
          </cell>
          <cell r="Y81">
            <v>16</v>
          </cell>
          <cell r="Z81">
            <v>23</v>
          </cell>
          <cell r="AA81">
            <v>33</v>
          </cell>
          <cell r="AB81">
            <v>1635</v>
          </cell>
          <cell r="AC81">
            <v>1820</v>
          </cell>
          <cell r="AD81">
            <v>-16.399999999999999</v>
          </cell>
          <cell r="AE81">
            <v>2403</v>
          </cell>
          <cell r="AF81">
            <v>1891</v>
          </cell>
          <cell r="AG81">
            <v>1825</v>
          </cell>
          <cell r="AH81">
            <v>2050</v>
          </cell>
          <cell r="AI81">
            <v>2260</v>
          </cell>
          <cell r="AJ81">
            <v>2480</v>
          </cell>
          <cell r="AK81">
            <v>2655</v>
          </cell>
          <cell r="AL81">
            <v>2835</v>
          </cell>
          <cell r="AM81">
            <v>-686.92731688629613</v>
          </cell>
          <cell r="AN81">
            <v>70.236916000000008</v>
          </cell>
          <cell r="AO81">
            <v>71.698997475862143</v>
          </cell>
          <cell r="AP81">
            <v>50.275799353351658</v>
          </cell>
          <cell r="AQ81">
            <v>-670.4052728292138</v>
          </cell>
        </row>
        <row r="82">
          <cell r="A82" t="str">
            <v>OEM Build-Up</v>
          </cell>
          <cell r="C82" t="str">
            <v>Difference</v>
          </cell>
          <cell r="M82">
            <v>0.31506849315068491</v>
          </cell>
          <cell r="N82">
            <v>0.26470588235294118</v>
          </cell>
          <cell r="O82">
            <v>0.47619047619047616</v>
          </cell>
          <cell r="P82">
            <v>0</v>
          </cell>
          <cell r="Q82">
            <v>0</v>
          </cell>
          <cell r="R82">
            <v>0</v>
          </cell>
          <cell r="S82">
            <v>0</v>
          </cell>
          <cell r="T82">
            <v>0</v>
          </cell>
          <cell r="U82">
            <v>0</v>
          </cell>
          <cell r="V82">
            <v>0</v>
          </cell>
          <cell r="W82">
            <v>0</v>
          </cell>
          <cell r="X82">
            <v>0.2857142857142857</v>
          </cell>
          <cell r="Y82">
            <v>0.32653061224489793</v>
          </cell>
          <cell r="Z82">
            <v>0.39655172413793105</v>
          </cell>
          <cell r="AA82">
            <v>0.48529411764705882</v>
          </cell>
          <cell r="AB82">
            <v>0</v>
          </cell>
          <cell r="AC82">
            <v>0</v>
          </cell>
          <cell r="AD82">
            <v>0</v>
          </cell>
          <cell r="AE82">
            <v>0</v>
          </cell>
          <cell r="AF82">
            <v>0</v>
          </cell>
          <cell r="AG82">
            <v>0</v>
          </cell>
          <cell r="AH82">
            <v>0</v>
          </cell>
          <cell r="AI82">
            <v>0</v>
          </cell>
          <cell r="AJ82">
            <v>0</v>
          </cell>
          <cell r="AK82">
            <v>0</v>
          </cell>
          <cell r="AL82">
            <v>0</v>
          </cell>
          <cell r="AM82">
            <v>0.3580648060008374</v>
          </cell>
          <cell r="AN82">
            <v>0.29606373068482933</v>
          </cell>
          <cell r="AO82">
            <v>0.35259032977425958</v>
          </cell>
          <cell r="AP82">
            <v>0.32110073440007991</v>
          </cell>
        </row>
        <row r="83">
          <cell r="A83" t="str">
            <v>OEM Build-Up</v>
          </cell>
          <cell r="C83" t="str">
            <v>Total</v>
          </cell>
          <cell r="AH83">
            <v>1.6000000000000014</v>
          </cell>
        </row>
        <row r="84">
          <cell r="A84" t="str">
            <v>Segment Operating Profit</v>
          </cell>
          <cell r="C84" t="str">
            <v>Boeing Deliveries (Calendar)</v>
          </cell>
          <cell r="AH84">
            <v>-14.399999999999999</v>
          </cell>
          <cell r="AI84">
            <v>-2</v>
          </cell>
          <cell r="AL84">
            <v>-14.399999999999999</v>
          </cell>
          <cell r="AM84">
            <v>-2</v>
          </cell>
        </row>
        <row r="85">
          <cell r="A85" t="str">
            <v>OEM Build-Up</v>
          </cell>
          <cell r="C85" t="str">
            <v>Boeing Deliveries (Calendar)</v>
          </cell>
          <cell r="D85" t="str">
            <v>737NG</v>
          </cell>
          <cell r="Z85">
            <v>330</v>
          </cell>
          <cell r="AA85">
            <v>290</v>
          </cell>
          <cell r="AB85">
            <v>372</v>
          </cell>
          <cell r="AC85">
            <v>376</v>
          </cell>
          <cell r="AD85">
            <v>380</v>
          </cell>
          <cell r="AE85">
            <v>410</v>
          </cell>
          <cell r="AF85">
            <v>410</v>
          </cell>
          <cell r="AG85">
            <v>372</v>
          </cell>
          <cell r="AH85">
            <v>372</v>
          </cell>
          <cell r="AL85">
            <v>14</v>
          </cell>
        </row>
        <row r="86">
          <cell r="B86" t="str">
            <v>Segment Operating Profit</v>
          </cell>
          <cell r="C86" t="str">
            <v>San Jose</v>
          </cell>
          <cell r="D86" t="str">
            <v>737NG</v>
          </cell>
          <cell r="H86">
            <v>114</v>
          </cell>
          <cell r="I86">
            <v>122</v>
          </cell>
          <cell r="J86">
            <v>119</v>
          </cell>
          <cell r="K86">
            <v>130</v>
          </cell>
          <cell r="L86">
            <v>137</v>
          </cell>
          <cell r="M86">
            <v>140</v>
          </cell>
          <cell r="N86">
            <v>139</v>
          </cell>
          <cell r="O86">
            <v>144</v>
          </cell>
          <cell r="P86">
            <v>97</v>
          </cell>
          <cell r="Q86">
            <v>110</v>
          </cell>
          <cell r="R86">
            <v>75</v>
          </cell>
          <cell r="S86">
            <v>71</v>
          </cell>
          <cell r="T86">
            <v>68</v>
          </cell>
          <cell r="U86">
            <v>75</v>
          </cell>
          <cell r="V86">
            <v>83</v>
          </cell>
          <cell r="W86">
            <v>94</v>
          </cell>
          <cell r="X86">
            <v>275</v>
          </cell>
          <cell r="Y86">
            <v>174</v>
          </cell>
          <cell r="Z86">
            <v>330</v>
          </cell>
          <cell r="AA86">
            <v>290</v>
          </cell>
          <cell r="AB86">
            <v>372</v>
          </cell>
          <cell r="AC86">
            <v>376</v>
          </cell>
          <cell r="AD86">
            <v>380</v>
          </cell>
          <cell r="AE86">
            <v>410</v>
          </cell>
          <cell r="AF86">
            <v>410</v>
          </cell>
          <cell r="AG86">
            <v>372</v>
          </cell>
          <cell r="AH86">
            <v>372</v>
          </cell>
          <cell r="AI86">
            <v>494.75</v>
          </cell>
          <cell r="AJ86">
            <v>560.75</v>
          </cell>
          <cell r="AK86">
            <v>604.5</v>
          </cell>
          <cell r="AL86">
            <v>649.5</v>
          </cell>
        </row>
        <row r="87">
          <cell r="B87" t="str">
            <v>Operating Profit Margin (%)</v>
          </cell>
          <cell r="C87" t="str">
            <v>Boeing Deliveries (Calendar)</v>
          </cell>
          <cell r="D87">
            <v>747</v>
          </cell>
          <cell r="H87">
            <v>0.23170731707317074</v>
          </cell>
          <cell r="I87">
            <v>0.22509225092250923</v>
          </cell>
          <cell r="J87">
            <v>0.21834862385321102</v>
          </cell>
          <cell r="K87">
            <v>0.21487603305785125</v>
          </cell>
          <cell r="L87">
            <v>0.2424778761061947</v>
          </cell>
          <cell r="M87">
            <v>0.22950819672131148</v>
          </cell>
          <cell r="N87">
            <v>0.23679727427597955</v>
          </cell>
          <cell r="O87">
            <v>0.22464898595943839</v>
          </cell>
          <cell r="P87">
            <v>0.20041322314049587</v>
          </cell>
          <cell r="Q87">
            <v>0.20952380952380953</v>
          </cell>
          <cell r="R87">
            <v>0.17321016166281755</v>
          </cell>
          <cell r="S87">
            <v>0.15812917594654788</v>
          </cell>
          <cell r="T87">
            <v>0.16545012165450121</v>
          </cell>
          <cell r="U87">
            <v>0.16666666666666666</v>
          </cell>
          <cell r="V87">
            <v>0.17849462365591398</v>
          </cell>
          <cell r="W87">
            <v>0.18837675350701402</v>
          </cell>
          <cell r="X87">
            <v>0.1569634703196347</v>
          </cell>
          <cell r="Y87">
            <v>0.12636165577342048</v>
          </cell>
          <cell r="Z87">
            <v>16</v>
          </cell>
          <cell r="AA87">
            <v>14</v>
          </cell>
          <cell r="AB87">
            <v>8</v>
          </cell>
          <cell r="AC87">
            <v>8</v>
          </cell>
          <cell r="AD87">
            <v>0</v>
          </cell>
          <cell r="AE87">
            <v>12</v>
          </cell>
          <cell r="AF87">
            <v>20</v>
          </cell>
          <cell r="AG87">
            <v>22</v>
          </cell>
          <cell r="AH87">
            <v>20</v>
          </cell>
          <cell r="AI87">
            <v>20</v>
          </cell>
          <cell r="AJ87">
            <v>0.22610887096774193</v>
          </cell>
          <cell r="AK87">
            <v>0.22768361581920904</v>
          </cell>
          <cell r="AL87">
            <v>0.22910052910052911</v>
          </cell>
          <cell r="AM87">
            <v>20</v>
          </cell>
        </row>
        <row r="88">
          <cell r="B88" t="str">
            <v>Change in Margin (bps)</v>
          </cell>
          <cell r="D88">
            <v>767</v>
          </cell>
          <cell r="H88">
            <v>2317.0731707317073</v>
          </cell>
          <cell r="I88">
            <v>-66.150661506615137</v>
          </cell>
          <cell r="J88">
            <v>-67.436270692982077</v>
          </cell>
          <cell r="K88">
            <v>-34.725907953597755</v>
          </cell>
          <cell r="L88">
            <v>276.01843048343454</v>
          </cell>
          <cell r="M88">
            <v>-129.69679384883221</v>
          </cell>
          <cell r="N88">
            <v>72.890775546680658</v>
          </cell>
          <cell r="O88">
            <v>-121.48288316541162</v>
          </cell>
          <cell r="P88">
            <v>-242.35762818942518</v>
          </cell>
          <cell r="Q88">
            <v>91.105863833136624</v>
          </cell>
          <cell r="R88">
            <v>-363.13647860991978</v>
          </cell>
          <cell r="S88">
            <v>-150.80985716269674</v>
          </cell>
          <cell r="T88">
            <v>73.209457079533308</v>
          </cell>
          <cell r="U88">
            <v>12.165450121654487</v>
          </cell>
          <cell r="V88">
            <v>118.27956989247323</v>
          </cell>
          <cell r="W88">
            <v>98.821298511000407</v>
          </cell>
          <cell r="Y88">
            <v>-306.01814546214217</v>
          </cell>
          <cell r="Z88">
            <v>12</v>
          </cell>
          <cell r="AA88">
            <v>10</v>
          </cell>
          <cell r="AB88">
            <v>13</v>
          </cell>
          <cell r="AC88">
            <v>12</v>
          </cell>
          <cell r="AD88">
            <v>18</v>
          </cell>
          <cell r="AE88">
            <v>18</v>
          </cell>
          <cell r="AF88">
            <v>12</v>
          </cell>
          <cell r="AG88">
            <v>12</v>
          </cell>
          <cell r="AH88">
            <v>12</v>
          </cell>
          <cell r="AI88">
            <v>134.28124325491063</v>
          </cell>
          <cell r="AJ88">
            <v>71.929417642020994</v>
          </cell>
          <cell r="AK88">
            <v>15.747448514671081</v>
          </cell>
          <cell r="AL88">
            <v>14.169132813200703</v>
          </cell>
        </row>
        <row r="89">
          <cell r="A89" t="str">
            <v>OEM Build-Up</v>
          </cell>
          <cell r="D89">
            <v>777</v>
          </cell>
          <cell r="Z89">
            <v>83</v>
          </cell>
          <cell r="AA89">
            <v>61</v>
          </cell>
          <cell r="AB89">
            <v>88</v>
          </cell>
          <cell r="AC89">
            <v>72</v>
          </cell>
          <cell r="AD89">
            <v>72</v>
          </cell>
          <cell r="AE89">
            <v>84</v>
          </cell>
          <cell r="AF89">
            <v>84</v>
          </cell>
          <cell r="AG89">
            <v>84</v>
          </cell>
          <cell r="AH89">
            <v>84</v>
          </cell>
          <cell r="AI89">
            <v>35</v>
          </cell>
          <cell r="AJ89">
            <v>24</v>
          </cell>
          <cell r="AK89">
            <v>24</v>
          </cell>
          <cell r="AL89">
            <v>20</v>
          </cell>
          <cell r="AM89">
            <v>20</v>
          </cell>
        </row>
        <row r="90">
          <cell r="B90" t="str">
            <v>Incremental Sales (Y/Y)</v>
          </cell>
          <cell r="D90">
            <v>787</v>
          </cell>
          <cell r="L90">
            <v>73</v>
          </cell>
          <cell r="M90">
            <v>68</v>
          </cell>
          <cell r="N90">
            <v>42</v>
          </cell>
          <cell r="O90">
            <v>36</v>
          </cell>
          <cell r="P90">
            <v>-81</v>
          </cell>
          <cell r="Q90">
            <v>-85</v>
          </cell>
          <cell r="R90">
            <v>-154</v>
          </cell>
          <cell r="S90">
            <v>-192</v>
          </cell>
          <cell r="T90">
            <v>-73</v>
          </cell>
          <cell r="U90">
            <v>-75</v>
          </cell>
          <cell r="V90">
            <v>32</v>
          </cell>
          <cell r="W90">
            <v>50</v>
          </cell>
          <cell r="Y90">
            <v>-375</v>
          </cell>
          <cell r="Z90">
            <v>0</v>
          </cell>
          <cell r="AA90">
            <v>0</v>
          </cell>
          <cell r="AB90">
            <v>0</v>
          </cell>
          <cell r="AC90">
            <v>0</v>
          </cell>
          <cell r="AD90">
            <v>50</v>
          </cell>
          <cell r="AE90">
            <v>48</v>
          </cell>
          <cell r="AF90">
            <v>108</v>
          </cell>
          <cell r="AG90">
            <v>120</v>
          </cell>
          <cell r="AH90">
            <v>120</v>
          </cell>
          <cell r="AI90">
            <v>210</v>
          </cell>
          <cell r="AJ90">
            <v>220</v>
          </cell>
          <cell r="AK90">
            <v>175</v>
          </cell>
          <cell r="AL90">
            <v>180</v>
          </cell>
        </row>
        <row r="91">
          <cell r="B91" t="str">
            <v>Incremental Operating Profit (Y/Y)</v>
          </cell>
          <cell r="C91" t="str">
            <v>Boeing Deliveries (Calendar)</v>
          </cell>
          <cell r="D91" t="str">
            <v>Total Boeing</v>
          </cell>
          <cell r="L91">
            <v>23</v>
          </cell>
          <cell r="M91">
            <v>18</v>
          </cell>
          <cell r="N91">
            <v>20</v>
          </cell>
          <cell r="O91">
            <v>14</v>
          </cell>
          <cell r="P91">
            <v>-40</v>
          </cell>
          <cell r="Q91">
            <v>-30</v>
          </cell>
          <cell r="R91">
            <v>-64</v>
          </cell>
          <cell r="S91">
            <v>-73</v>
          </cell>
          <cell r="T91">
            <v>-29</v>
          </cell>
          <cell r="U91">
            <v>-35</v>
          </cell>
          <cell r="V91">
            <v>8</v>
          </cell>
          <cell r="W91">
            <v>23</v>
          </cell>
          <cell r="Y91">
            <v>-101</v>
          </cell>
          <cell r="Z91">
            <v>441</v>
          </cell>
          <cell r="AA91">
            <v>375</v>
          </cell>
          <cell r="AB91">
            <v>481</v>
          </cell>
          <cell r="AC91">
            <v>468</v>
          </cell>
          <cell r="AD91">
            <v>520</v>
          </cell>
          <cell r="AE91">
            <v>572</v>
          </cell>
          <cell r="AF91">
            <v>634</v>
          </cell>
          <cell r="AG91">
            <v>610</v>
          </cell>
          <cell r="AH91">
            <v>608</v>
          </cell>
          <cell r="AI91">
            <v>73.5</v>
          </cell>
          <cell r="AJ91">
            <v>66</v>
          </cell>
          <cell r="AK91">
            <v>43.75</v>
          </cell>
          <cell r="AL91">
            <v>45</v>
          </cell>
        </row>
        <row r="92">
          <cell r="B92" t="str">
            <v>Drop Through Rate</v>
          </cell>
          <cell r="C92" t="str">
            <v>Boeing Deliveries (Adjusted)</v>
          </cell>
          <cell r="D92">
            <v>787</v>
          </cell>
          <cell r="L92">
            <v>0.31506849315068491</v>
          </cell>
          <cell r="M92">
            <v>0.26470588235294118</v>
          </cell>
          <cell r="N92">
            <v>0.47619047619047616</v>
          </cell>
          <cell r="O92">
            <v>0.3888888888888889</v>
          </cell>
          <cell r="P92">
            <v>0.49382716049382713</v>
          </cell>
          <cell r="Q92">
            <v>0.35294117647058826</v>
          </cell>
          <cell r="R92">
            <v>0.41558441558441561</v>
          </cell>
          <cell r="S92">
            <v>0.38020833333333331</v>
          </cell>
          <cell r="T92">
            <v>0.39726027397260272</v>
          </cell>
          <cell r="U92">
            <v>0.46666666666666667</v>
          </cell>
          <cell r="V92">
            <v>0.25</v>
          </cell>
          <cell r="W92">
            <v>0.46</v>
          </cell>
          <cell r="Y92">
            <v>0.26933333333333331</v>
          </cell>
          <cell r="Z92">
            <v>0.35238095238095241</v>
          </cell>
          <cell r="AA92">
            <v>0.51219512195121952</v>
          </cell>
          <cell r="AB92">
            <v>0.4</v>
          </cell>
          <cell r="AC92">
            <v>0.4</v>
          </cell>
          <cell r="AD92">
            <v>0.31593406593406592</v>
          </cell>
          <cell r="AE92">
            <v>0.34246575342465752</v>
          </cell>
          <cell r="AF92">
            <v>0.404296875</v>
          </cell>
          <cell r="AG92">
            <v>0.5</v>
          </cell>
          <cell r="AH92">
            <v>0.45</v>
          </cell>
          <cell r="AI92">
            <v>0.35</v>
          </cell>
          <cell r="AJ92">
            <v>0.3</v>
          </cell>
          <cell r="AK92">
            <v>0.25</v>
          </cell>
          <cell r="AL92">
            <v>0.25</v>
          </cell>
          <cell r="AM92">
            <v>420</v>
          </cell>
          <cell r="AN92">
            <v>445</v>
          </cell>
          <cell r="AO92">
            <v>505</v>
          </cell>
          <cell r="AP92">
            <v>480</v>
          </cell>
        </row>
        <row r="93">
          <cell r="C93" t="str">
            <v>Boeing Deliveries (Adjusted)</v>
          </cell>
          <cell r="D93" t="str">
            <v>737NG</v>
          </cell>
          <cell r="Z93">
            <v>247.5</v>
          </cell>
          <cell r="AA93">
            <v>300</v>
          </cell>
          <cell r="AB93">
            <v>351.5</v>
          </cell>
          <cell r="AC93">
            <v>375</v>
          </cell>
          <cell r="AD93">
            <v>379</v>
          </cell>
          <cell r="AE93">
            <v>402.5</v>
          </cell>
          <cell r="AF93">
            <v>410</v>
          </cell>
          <cell r="AG93">
            <v>381.5</v>
          </cell>
          <cell r="AH93">
            <v>372</v>
          </cell>
          <cell r="AI93">
            <v>607</v>
          </cell>
          <cell r="AJ93">
            <v>665</v>
          </cell>
          <cell r="AK93">
            <v>690</v>
          </cell>
          <cell r="AL93">
            <v>694</v>
          </cell>
          <cell r="AM93">
            <v>20</v>
          </cell>
          <cell r="AN93">
            <v>24</v>
          </cell>
          <cell r="AO93">
            <v>24</v>
          </cell>
          <cell r="AP93">
            <v>24</v>
          </cell>
          <cell r="AQ93">
            <v>20</v>
          </cell>
        </row>
        <row r="94">
          <cell r="D94" t="str">
            <v>737NG</v>
          </cell>
          <cell r="H94" t="b">
            <v>1</v>
          </cell>
          <cell r="I94" t="b">
            <v>1</v>
          </cell>
          <cell r="J94" t="b">
            <v>1</v>
          </cell>
          <cell r="K94" t="b">
            <v>1</v>
          </cell>
          <cell r="L94" t="b">
            <v>1</v>
          </cell>
          <cell r="M94" t="b">
            <v>1</v>
          </cell>
          <cell r="N94" t="b">
            <v>1</v>
          </cell>
          <cell r="O94" t="b">
            <v>1</v>
          </cell>
          <cell r="P94" t="b">
            <v>1</v>
          </cell>
          <cell r="Q94" t="b">
            <v>1</v>
          </cell>
          <cell r="R94" t="b">
            <v>1</v>
          </cell>
          <cell r="S94" t="b">
            <v>1</v>
          </cell>
          <cell r="T94" t="b">
            <v>1</v>
          </cell>
          <cell r="U94" t="b">
            <v>1</v>
          </cell>
          <cell r="V94" t="b">
            <v>1</v>
          </cell>
          <cell r="W94" t="b">
            <v>1</v>
          </cell>
          <cell r="Z94">
            <v>247.5</v>
          </cell>
          <cell r="AA94">
            <v>300</v>
          </cell>
          <cell r="AB94">
            <v>351.5</v>
          </cell>
          <cell r="AC94">
            <v>375</v>
          </cell>
          <cell r="AD94">
            <v>379</v>
          </cell>
          <cell r="AE94">
            <v>402.5</v>
          </cell>
          <cell r="AF94">
            <v>410</v>
          </cell>
          <cell r="AG94">
            <v>381.5</v>
          </cell>
          <cell r="AH94">
            <v>372</v>
          </cell>
          <cell r="AI94" t="b">
            <v>1</v>
          </cell>
          <cell r="AJ94" t="b">
            <v>1</v>
          </cell>
          <cell r="AK94" t="b">
            <v>1</v>
          </cell>
          <cell r="AL94" t="b">
            <v>1</v>
          </cell>
          <cell r="AM94">
            <v>18</v>
          </cell>
          <cell r="AN94">
            <v>18</v>
          </cell>
          <cell r="AO94">
            <v>22</v>
          </cell>
          <cell r="AP94">
            <v>22</v>
          </cell>
        </row>
        <row r="95">
          <cell r="C95" t="str">
            <v>Boeing Deliveries (Adjusted)</v>
          </cell>
          <cell r="D95">
            <v>747</v>
          </cell>
          <cell r="Z95">
            <v>12</v>
          </cell>
          <cell r="AA95">
            <v>14.5</v>
          </cell>
          <cell r="AB95">
            <v>9.5</v>
          </cell>
          <cell r="AC95">
            <v>0</v>
          </cell>
          <cell r="AD95">
            <v>8</v>
          </cell>
          <cell r="AE95">
            <v>9</v>
          </cell>
          <cell r="AF95">
            <v>18</v>
          </cell>
          <cell r="AG95">
            <v>21.5</v>
          </cell>
          <cell r="AH95">
            <v>20.5</v>
          </cell>
          <cell r="AI95">
            <v>20</v>
          </cell>
          <cell r="AJ95">
            <v>26.75</v>
          </cell>
          <cell r="AK95">
            <v>24</v>
          </cell>
          <cell r="AL95">
            <v>21</v>
          </cell>
          <cell r="AM95">
            <v>20</v>
          </cell>
          <cell r="AN95">
            <v>95</v>
          </cell>
          <cell r="AO95">
            <v>95</v>
          </cell>
          <cell r="AP95">
            <v>100</v>
          </cell>
        </row>
        <row r="96">
          <cell r="D96">
            <v>767</v>
          </cell>
          <cell r="Z96">
            <v>9</v>
          </cell>
          <cell r="AA96">
            <v>10.5</v>
          </cell>
          <cell r="AB96">
            <v>12.25</v>
          </cell>
          <cell r="AC96">
            <v>12.25</v>
          </cell>
          <cell r="AD96">
            <v>16.5</v>
          </cell>
          <cell r="AE96">
            <v>18</v>
          </cell>
          <cell r="AF96">
            <v>13.5</v>
          </cell>
          <cell r="AG96">
            <v>12</v>
          </cell>
          <cell r="AH96">
            <v>12</v>
          </cell>
          <cell r="AI96">
            <v>401.25</v>
          </cell>
          <cell r="AJ96">
            <v>432.5</v>
          </cell>
          <cell r="AK96">
            <v>445.25</v>
          </cell>
          <cell r="AL96">
            <v>447</v>
          </cell>
          <cell r="AM96">
            <v>60</v>
          </cell>
          <cell r="AN96">
            <v>84</v>
          </cell>
          <cell r="AO96">
            <v>108</v>
          </cell>
          <cell r="AP96">
            <v>120</v>
          </cell>
        </row>
        <row r="97">
          <cell r="D97">
            <v>777</v>
          </cell>
          <cell r="Z97">
            <v>62.25</v>
          </cell>
          <cell r="AA97">
            <v>66.5</v>
          </cell>
          <cell r="AB97">
            <v>81.25</v>
          </cell>
          <cell r="AC97">
            <v>76</v>
          </cell>
          <cell r="AD97">
            <v>78</v>
          </cell>
          <cell r="AE97">
            <v>81</v>
          </cell>
          <cell r="AF97">
            <v>84</v>
          </cell>
          <cell r="AG97">
            <v>84</v>
          </cell>
          <cell r="AH97">
            <v>84</v>
          </cell>
          <cell r="AI97">
            <v>29.25</v>
          </cell>
          <cell r="AJ97">
            <v>26.75</v>
          </cell>
          <cell r="AK97">
            <v>24</v>
          </cell>
          <cell r="AL97">
            <v>21</v>
          </cell>
          <cell r="AM97">
            <v>20</v>
          </cell>
          <cell r="AN97">
            <v>666</v>
          </cell>
          <cell r="AO97">
            <v>754</v>
          </cell>
          <cell r="AP97">
            <v>746</v>
          </cell>
        </row>
        <row r="98">
          <cell r="D98">
            <v>787</v>
          </cell>
          <cell r="Z98">
            <v>0</v>
          </cell>
          <cell r="AA98">
            <v>0</v>
          </cell>
          <cell r="AB98">
            <v>10</v>
          </cell>
          <cell r="AC98">
            <v>18</v>
          </cell>
          <cell r="AD98">
            <v>50</v>
          </cell>
          <cell r="AE98">
            <v>60</v>
          </cell>
          <cell r="AF98">
            <v>108</v>
          </cell>
          <cell r="AG98">
            <v>120</v>
          </cell>
          <cell r="AH98">
            <v>120</v>
          </cell>
          <cell r="AI98">
            <v>18</v>
          </cell>
          <cell r="AJ98">
            <v>18</v>
          </cell>
          <cell r="AK98">
            <v>13.5</v>
          </cell>
          <cell r="AL98">
            <v>12</v>
          </cell>
        </row>
        <row r="99">
          <cell r="C99" t="str">
            <v>Boeing Deliveries (Adjusted)</v>
          </cell>
          <cell r="D99" t="str">
            <v>Total Boeing</v>
          </cell>
          <cell r="Z99">
            <v>330.75</v>
          </cell>
          <cell r="AA99">
            <v>391.5</v>
          </cell>
          <cell r="AB99">
            <v>464.5</v>
          </cell>
          <cell r="AC99">
            <v>481.25</v>
          </cell>
          <cell r="AD99">
            <v>531.5</v>
          </cell>
          <cell r="AE99">
            <v>570.5</v>
          </cell>
          <cell r="AF99">
            <v>633.5</v>
          </cell>
          <cell r="AG99">
            <v>619</v>
          </cell>
          <cell r="AH99">
            <v>608.5</v>
          </cell>
          <cell r="AI99">
            <v>81.25</v>
          </cell>
          <cell r="AJ99">
            <v>95.25</v>
          </cell>
          <cell r="AK99">
            <v>99</v>
          </cell>
          <cell r="AL99">
            <v>96</v>
          </cell>
        </row>
        <row r="100">
          <cell r="C100" t="str">
            <v>Airbus Deliveries (Calendar)</v>
          </cell>
          <cell r="D100">
            <v>787</v>
          </cell>
          <cell r="AD100">
            <v>0</v>
          </cell>
          <cell r="AE100">
            <v>0</v>
          </cell>
          <cell r="AF100">
            <v>10</v>
          </cell>
          <cell r="AG100">
            <v>18</v>
          </cell>
          <cell r="AH100">
            <v>30</v>
          </cell>
          <cell r="AI100">
            <v>50</v>
          </cell>
          <cell r="AJ100">
            <v>80</v>
          </cell>
          <cell r="AK100">
            <v>100</v>
          </cell>
          <cell r="AL100">
            <v>120</v>
          </cell>
          <cell r="AM100">
            <v>408.75</v>
          </cell>
          <cell r="AN100">
            <v>438.75</v>
          </cell>
          <cell r="AO100">
            <v>490</v>
          </cell>
          <cell r="AP100">
            <v>486.25</v>
          </cell>
        </row>
        <row r="101">
          <cell r="C101" t="str">
            <v>Airbus Deliveries (Calendar)</v>
          </cell>
          <cell r="D101" t="str">
            <v>A320 Family</v>
          </cell>
          <cell r="Z101">
            <v>367</v>
          </cell>
          <cell r="AA101">
            <v>386</v>
          </cell>
          <cell r="AB101">
            <v>402</v>
          </cell>
          <cell r="AC101">
            <v>408</v>
          </cell>
          <cell r="AD101">
            <v>427</v>
          </cell>
          <cell r="AE101">
            <v>450</v>
          </cell>
          <cell r="AF101">
            <v>452</v>
          </cell>
          <cell r="AG101">
            <v>452</v>
          </cell>
          <cell r="AH101">
            <v>458</v>
          </cell>
          <cell r="AI101">
            <v>579.75</v>
          </cell>
          <cell r="AJ101">
            <v>652.5</v>
          </cell>
          <cell r="AK101">
            <v>681.75</v>
          </cell>
          <cell r="AL101">
            <v>696</v>
          </cell>
          <cell r="AM101">
            <v>20</v>
          </cell>
          <cell r="AN101">
            <v>25.5</v>
          </cell>
          <cell r="AO101">
            <v>24</v>
          </cell>
          <cell r="AP101">
            <v>24</v>
          </cell>
          <cell r="AQ101">
            <v>20</v>
          </cell>
        </row>
        <row r="102">
          <cell r="D102" t="str">
            <v>A320 Family</v>
          </cell>
          <cell r="Z102">
            <v>367</v>
          </cell>
          <cell r="AA102">
            <v>386</v>
          </cell>
          <cell r="AB102">
            <v>402</v>
          </cell>
          <cell r="AC102">
            <v>408</v>
          </cell>
          <cell r="AD102">
            <v>427</v>
          </cell>
          <cell r="AE102">
            <v>450</v>
          </cell>
          <cell r="AF102">
            <v>452</v>
          </cell>
          <cell r="AG102">
            <v>452</v>
          </cell>
          <cell r="AH102">
            <v>458</v>
          </cell>
          <cell r="AI102">
            <v>454</v>
          </cell>
          <cell r="AJ102">
            <v>476</v>
          </cell>
          <cell r="AK102">
            <v>476</v>
          </cell>
          <cell r="AL102">
            <v>476</v>
          </cell>
          <cell r="AM102">
            <v>18</v>
          </cell>
          <cell r="AN102">
            <v>18</v>
          </cell>
          <cell r="AO102">
            <v>21</v>
          </cell>
          <cell r="AP102">
            <v>22</v>
          </cell>
        </row>
        <row r="103">
          <cell r="C103" t="str">
            <v>Airbus Deliveries (Calendar)</v>
          </cell>
          <cell r="D103" t="str">
            <v>A330</v>
          </cell>
          <cell r="Z103">
            <v>68</v>
          </cell>
          <cell r="AA103">
            <v>72</v>
          </cell>
          <cell r="AB103">
            <v>76</v>
          </cell>
          <cell r="AC103">
            <v>73</v>
          </cell>
          <cell r="AD103">
            <v>70</v>
          </cell>
          <cell r="AE103">
            <v>68</v>
          </cell>
          <cell r="AF103">
            <v>68</v>
          </cell>
          <cell r="AG103">
            <v>64</v>
          </cell>
          <cell r="AH103">
            <v>62</v>
          </cell>
          <cell r="AI103">
            <v>90</v>
          </cell>
          <cell r="AJ103">
            <v>90</v>
          </cell>
          <cell r="AK103">
            <v>82</v>
          </cell>
          <cell r="AL103">
            <v>74</v>
          </cell>
          <cell r="AM103">
            <v>81</v>
          </cell>
          <cell r="AN103">
            <v>92.25</v>
          </cell>
          <cell r="AO103">
            <v>95</v>
          </cell>
          <cell r="AP103">
            <v>98.75</v>
          </cell>
        </row>
        <row r="104">
          <cell r="D104" t="str">
            <v>A340</v>
          </cell>
          <cell r="Z104">
            <v>11</v>
          </cell>
          <cell r="AA104">
            <v>13</v>
          </cell>
          <cell r="AB104">
            <v>10</v>
          </cell>
          <cell r="AC104">
            <v>10</v>
          </cell>
          <cell r="AD104">
            <v>7</v>
          </cell>
          <cell r="AE104">
            <v>5</v>
          </cell>
          <cell r="AF104">
            <v>4</v>
          </cell>
          <cell r="AG104">
            <v>3</v>
          </cell>
          <cell r="AH104">
            <v>3</v>
          </cell>
          <cell r="AI104">
            <v>454</v>
          </cell>
          <cell r="AJ104">
            <v>476</v>
          </cell>
          <cell r="AK104">
            <v>476</v>
          </cell>
          <cell r="AL104">
            <v>476</v>
          </cell>
          <cell r="AM104">
            <v>46</v>
          </cell>
          <cell r="AN104">
            <v>78</v>
          </cell>
          <cell r="AO104">
            <v>102</v>
          </cell>
          <cell r="AP104">
            <v>117</v>
          </cell>
        </row>
        <row r="105">
          <cell r="D105" t="str">
            <v>A350</v>
          </cell>
          <cell r="Z105">
            <v>0</v>
          </cell>
          <cell r="AA105">
            <v>0</v>
          </cell>
          <cell r="AB105">
            <v>0</v>
          </cell>
          <cell r="AC105">
            <v>0</v>
          </cell>
          <cell r="AD105">
            <v>0</v>
          </cell>
          <cell r="AE105">
            <v>0</v>
          </cell>
          <cell r="AF105">
            <v>10</v>
          </cell>
          <cell r="AG105">
            <v>15</v>
          </cell>
          <cell r="AH105">
            <v>25</v>
          </cell>
          <cell r="AI105">
            <v>90</v>
          </cell>
          <cell r="AJ105">
            <v>90</v>
          </cell>
          <cell r="AK105">
            <v>82</v>
          </cell>
          <cell r="AL105">
            <v>74</v>
          </cell>
          <cell r="AM105">
            <v>579</v>
          </cell>
          <cell r="AN105">
            <v>652.5</v>
          </cell>
          <cell r="AO105">
            <v>732</v>
          </cell>
          <cell r="AP105">
            <v>748</v>
          </cell>
        </row>
        <row r="106">
          <cell r="D106" t="str">
            <v>A380</v>
          </cell>
          <cell r="Z106">
            <v>1</v>
          </cell>
          <cell r="AA106">
            <v>12</v>
          </cell>
          <cell r="AB106">
            <v>10</v>
          </cell>
          <cell r="AC106">
            <v>15</v>
          </cell>
          <cell r="AD106">
            <v>20</v>
          </cell>
          <cell r="AE106">
            <v>25</v>
          </cell>
          <cell r="AF106">
            <v>30</v>
          </cell>
          <cell r="AG106">
            <v>30</v>
          </cell>
          <cell r="AH106">
            <v>30</v>
          </cell>
          <cell r="AI106">
            <v>5</v>
          </cell>
          <cell r="AJ106">
            <v>4</v>
          </cell>
          <cell r="AK106">
            <v>2</v>
          </cell>
          <cell r="AL106">
            <v>2</v>
          </cell>
        </row>
        <row r="107">
          <cell r="C107" t="str">
            <v>Airbus Deliveries (Calendar)</v>
          </cell>
          <cell r="D107" t="str">
            <v>Total Airbus</v>
          </cell>
          <cell r="Z107">
            <v>447</v>
          </cell>
          <cell r="AA107">
            <v>483</v>
          </cell>
          <cell r="AB107">
            <v>498</v>
          </cell>
          <cell r="AC107">
            <v>506</v>
          </cell>
          <cell r="AD107">
            <v>524</v>
          </cell>
          <cell r="AE107">
            <v>548</v>
          </cell>
          <cell r="AF107">
            <v>564</v>
          </cell>
          <cell r="AG107">
            <v>564</v>
          </cell>
          <cell r="AH107">
            <v>578</v>
          </cell>
          <cell r="AI107">
            <v>0</v>
          </cell>
          <cell r="AJ107">
            <v>2</v>
          </cell>
          <cell r="AK107">
            <v>15</v>
          </cell>
          <cell r="AL107">
            <v>25</v>
          </cell>
        </row>
        <row r="108">
          <cell r="C108" t="str">
            <v>Airbus Deliveries (Adjusted)</v>
          </cell>
          <cell r="D108" t="str">
            <v>A380</v>
          </cell>
          <cell r="AD108">
            <v>1</v>
          </cell>
          <cell r="AE108">
            <v>12</v>
          </cell>
          <cell r="AF108">
            <v>10</v>
          </cell>
          <cell r="AG108">
            <v>18</v>
          </cell>
          <cell r="AH108">
            <v>22</v>
          </cell>
          <cell r="AI108">
            <v>25</v>
          </cell>
          <cell r="AJ108">
            <v>30</v>
          </cell>
          <cell r="AK108">
            <v>30</v>
          </cell>
          <cell r="AL108">
            <v>30</v>
          </cell>
          <cell r="AM108">
            <v>454</v>
          </cell>
          <cell r="AN108">
            <v>476</v>
          </cell>
          <cell r="AO108">
            <v>476</v>
          </cell>
          <cell r="AP108">
            <v>476</v>
          </cell>
        </row>
        <row r="109">
          <cell r="C109" t="str">
            <v>Airbus Deliveries (Adjusted)</v>
          </cell>
          <cell r="D109" t="str">
            <v>A320 Family</v>
          </cell>
          <cell r="Z109">
            <v>367</v>
          </cell>
          <cell r="AA109">
            <v>386</v>
          </cell>
          <cell r="AB109">
            <v>402</v>
          </cell>
          <cell r="AC109">
            <v>408</v>
          </cell>
          <cell r="AD109">
            <v>440</v>
          </cell>
          <cell r="AE109">
            <v>450</v>
          </cell>
          <cell r="AF109">
            <v>452</v>
          </cell>
          <cell r="AG109">
            <v>452</v>
          </cell>
          <cell r="AH109">
            <v>458</v>
          </cell>
          <cell r="AI109">
            <v>574</v>
          </cell>
          <cell r="AJ109">
            <v>602</v>
          </cell>
          <cell r="AK109">
            <v>605</v>
          </cell>
          <cell r="AL109">
            <v>607</v>
          </cell>
          <cell r="AM109">
            <v>90</v>
          </cell>
          <cell r="AN109">
            <v>90</v>
          </cell>
          <cell r="AO109">
            <v>90</v>
          </cell>
          <cell r="AP109">
            <v>90</v>
          </cell>
        </row>
        <row r="110">
          <cell r="D110" t="str">
            <v>A320 Family</v>
          </cell>
          <cell r="Z110">
            <v>367</v>
          </cell>
          <cell r="AA110">
            <v>386</v>
          </cell>
          <cell r="AB110">
            <v>402</v>
          </cell>
          <cell r="AC110">
            <v>408</v>
          </cell>
          <cell r="AD110">
            <v>440</v>
          </cell>
          <cell r="AE110">
            <v>450</v>
          </cell>
          <cell r="AF110">
            <v>452</v>
          </cell>
          <cell r="AG110">
            <v>452</v>
          </cell>
          <cell r="AH110">
            <v>458</v>
          </cell>
          <cell r="AI110">
            <v>450</v>
          </cell>
          <cell r="AJ110">
            <v>452</v>
          </cell>
          <cell r="AK110">
            <v>452</v>
          </cell>
          <cell r="AL110">
            <v>458</v>
          </cell>
          <cell r="AM110">
            <v>0</v>
          </cell>
          <cell r="AN110">
            <v>0</v>
          </cell>
          <cell r="AO110">
            <v>0</v>
          </cell>
          <cell r="AP110">
            <v>0</v>
          </cell>
        </row>
        <row r="111">
          <cell r="C111" t="str">
            <v>Airbus Deliveries (Adjusted)</v>
          </cell>
          <cell r="D111" t="str">
            <v>A330</v>
          </cell>
          <cell r="Z111">
            <v>68</v>
          </cell>
          <cell r="AA111">
            <v>72</v>
          </cell>
          <cell r="AB111">
            <v>76</v>
          </cell>
          <cell r="AC111">
            <v>73</v>
          </cell>
          <cell r="AD111">
            <v>70</v>
          </cell>
          <cell r="AE111">
            <v>68</v>
          </cell>
          <cell r="AF111">
            <v>68</v>
          </cell>
          <cell r="AG111">
            <v>64</v>
          </cell>
          <cell r="AH111">
            <v>62</v>
          </cell>
          <cell r="AI111">
            <v>68</v>
          </cell>
          <cell r="AJ111">
            <v>68</v>
          </cell>
          <cell r="AK111">
            <v>64</v>
          </cell>
          <cell r="AL111">
            <v>62</v>
          </cell>
          <cell r="AM111">
            <v>0</v>
          </cell>
          <cell r="AN111">
            <v>0</v>
          </cell>
          <cell r="AO111">
            <v>2</v>
          </cell>
          <cell r="AP111">
            <v>4</v>
          </cell>
        </row>
        <row r="112">
          <cell r="D112" t="str">
            <v>A340</v>
          </cell>
          <cell r="Z112">
            <v>11</v>
          </cell>
          <cell r="AA112">
            <v>13</v>
          </cell>
          <cell r="AB112">
            <v>10</v>
          </cell>
          <cell r="AC112">
            <v>10</v>
          </cell>
          <cell r="AD112">
            <v>7</v>
          </cell>
          <cell r="AE112">
            <v>5</v>
          </cell>
          <cell r="AF112">
            <v>4</v>
          </cell>
          <cell r="AG112">
            <v>3</v>
          </cell>
          <cell r="AH112">
            <v>3</v>
          </cell>
          <cell r="AI112">
            <v>450</v>
          </cell>
          <cell r="AJ112">
            <v>452</v>
          </cell>
          <cell r="AK112">
            <v>452</v>
          </cell>
          <cell r="AL112">
            <v>458</v>
          </cell>
          <cell r="AM112">
            <v>25</v>
          </cell>
          <cell r="AN112">
            <v>30</v>
          </cell>
          <cell r="AO112">
            <v>30</v>
          </cell>
          <cell r="AP112">
            <v>30</v>
          </cell>
        </row>
        <row r="113">
          <cell r="D113" t="str">
            <v>A350</v>
          </cell>
          <cell r="Z113">
            <v>0</v>
          </cell>
          <cell r="AA113">
            <v>0</v>
          </cell>
          <cell r="AB113">
            <v>0</v>
          </cell>
          <cell r="AC113">
            <v>0</v>
          </cell>
          <cell r="AD113">
            <v>0</v>
          </cell>
          <cell r="AE113">
            <v>0</v>
          </cell>
          <cell r="AF113">
            <v>10</v>
          </cell>
          <cell r="AG113">
            <v>15</v>
          </cell>
          <cell r="AH113">
            <v>25</v>
          </cell>
          <cell r="AI113">
            <v>68</v>
          </cell>
          <cell r="AJ113">
            <v>68</v>
          </cell>
          <cell r="AK113">
            <v>64</v>
          </cell>
          <cell r="AL113">
            <v>62</v>
          </cell>
          <cell r="AM113">
            <v>569</v>
          </cell>
          <cell r="AN113">
            <v>596</v>
          </cell>
          <cell r="AO113">
            <v>598</v>
          </cell>
          <cell r="AP113">
            <v>600</v>
          </cell>
        </row>
        <row r="114">
          <cell r="D114" t="str">
            <v>A380</v>
          </cell>
          <cell r="Z114">
            <v>1</v>
          </cell>
          <cell r="AA114">
            <v>12</v>
          </cell>
          <cell r="AB114">
            <v>10</v>
          </cell>
          <cell r="AC114">
            <v>15</v>
          </cell>
          <cell r="AD114">
            <v>20</v>
          </cell>
          <cell r="AE114">
            <v>25</v>
          </cell>
          <cell r="AF114">
            <v>30</v>
          </cell>
          <cell r="AG114">
            <v>30</v>
          </cell>
          <cell r="AH114">
            <v>30</v>
          </cell>
          <cell r="AI114">
            <v>5</v>
          </cell>
          <cell r="AJ114">
            <v>4</v>
          </cell>
          <cell r="AK114">
            <v>3</v>
          </cell>
          <cell r="AL114">
            <v>3</v>
          </cell>
        </row>
        <row r="115">
          <cell r="C115" t="str">
            <v>Airbus Deliveries (Adjusted)</v>
          </cell>
          <cell r="D115" t="str">
            <v>Total Airbus</v>
          </cell>
          <cell r="Z115">
            <v>447</v>
          </cell>
          <cell r="AA115">
            <v>483</v>
          </cell>
          <cell r="AB115">
            <v>498</v>
          </cell>
          <cell r="AC115">
            <v>506</v>
          </cell>
          <cell r="AD115">
            <v>537</v>
          </cell>
          <cell r="AE115">
            <v>548</v>
          </cell>
          <cell r="AF115">
            <v>564</v>
          </cell>
          <cell r="AG115">
            <v>564</v>
          </cell>
          <cell r="AH115">
            <v>578</v>
          </cell>
          <cell r="AI115">
            <v>0</v>
          </cell>
          <cell r="AJ115">
            <v>10</v>
          </cell>
          <cell r="AK115">
            <v>15</v>
          </cell>
          <cell r="AL115">
            <v>25</v>
          </cell>
        </row>
        <row r="116">
          <cell r="C116" t="str">
            <v>Boeing $ Content:</v>
          </cell>
          <cell r="D116" t="str">
            <v>A380</v>
          </cell>
          <cell r="AD116">
            <v>1</v>
          </cell>
          <cell r="AE116">
            <v>12</v>
          </cell>
          <cell r="AF116">
            <v>10</v>
          </cell>
          <cell r="AG116">
            <v>15</v>
          </cell>
          <cell r="AH116">
            <v>20</v>
          </cell>
          <cell r="AI116">
            <v>25</v>
          </cell>
          <cell r="AJ116">
            <v>30</v>
          </cell>
          <cell r="AK116">
            <v>30</v>
          </cell>
          <cell r="AL116">
            <v>30</v>
          </cell>
          <cell r="AM116">
            <v>443</v>
          </cell>
          <cell r="AN116">
            <v>470.5</v>
          </cell>
          <cell r="AO116">
            <v>476</v>
          </cell>
          <cell r="AP116">
            <v>476</v>
          </cell>
        </row>
        <row r="117">
          <cell r="C117" t="str">
            <v>Boeing $ Content:</v>
          </cell>
          <cell r="D117" t="str">
            <v>737NG</v>
          </cell>
          <cell r="F117">
            <v>0.47499999999999998</v>
          </cell>
          <cell r="Z117">
            <v>117.5625</v>
          </cell>
          <cell r="AA117">
            <v>142.5</v>
          </cell>
          <cell r="AB117">
            <v>166.96250000000001</v>
          </cell>
          <cell r="AC117">
            <v>178.125</v>
          </cell>
          <cell r="AD117">
            <v>180.02500000000001</v>
          </cell>
          <cell r="AE117">
            <v>191.1875</v>
          </cell>
          <cell r="AF117">
            <v>194.75</v>
          </cell>
          <cell r="AG117">
            <v>181.21250000000001</v>
          </cell>
          <cell r="AH117">
            <v>176.7</v>
          </cell>
          <cell r="AI117">
            <v>548</v>
          </cell>
          <cell r="AJ117">
            <v>564</v>
          </cell>
          <cell r="AK117">
            <v>564</v>
          </cell>
          <cell r="AL117">
            <v>578</v>
          </cell>
          <cell r="AM117">
            <v>88</v>
          </cell>
          <cell r="AN117">
            <v>90</v>
          </cell>
          <cell r="AO117">
            <v>90</v>
          </cell>
          <cell r="AP117">
            <v>90</v>
          </cell>
        </row>
        <row r="118">
          <cell r="C118">
            <v>717</v>
          </cell>
          <cell r="D118" t="str">
            <v>737NG</v>
          </cell>
          <cell r="F118">
            <v>0.47499999999999998</v>
          </cell>
          <cell r="Z118">
            <v>117.5625</v>
          </cell>
          <cell r="AA118">
            <v>142.5</v>
          </cell>
          <cell r="AB118">
            <v>166.96250000000001</v>
          </cell>
          <cell r="AC118">
            <v>178.125</v>
          </cell>
          <cell r="AD118">
            <v>180.02500000000001</v>
          </cell>
          <cell r="AE118">
            <v>191.1875</v>
          </cell>
          <cell r="AF118">
            <v>194.75</v>
          </cell>
          <cell r="AG118">
            <v>181.21250000000001</v>
          </cell>
          <cell r="AH118">
            <v>176.7</v>
          </cell>
          <cell r="AI118">
            <v>190.59375</v>
          </cell>
          <cell r="AJ118">
            <v>205.4375</v>
          </cell>
          <cell r="AK118">
            <v>211.49374999999998</v>
          </cell>
          <cell r="AL118">
            <v>212.32499999999999</v>
          </cell>
          <cell r="AM118">
            <v>1.75</v>
          </cell>
          <cell r="AN118">
            <v>0</v>
          </cell>
          <cell r="AO118">
            <v>0</v>
          </cell>
          <cell r="AP118">
            <v>0</v>
          </cell>
        </row>
        <row r="119">
          <cell r="C119" t="str">
            <v>Boeing $ Content:</v>
          </cell>
          <cell r="D119">
            <v>747</v>
          </cell>
          <cell r="F119">
            <v>0.97499999999999998</v>
          </cell>
          <cell r="Z119">
            <v>11.7</v>
          </cell>
          <cell r="AA119">
            <v>14.137499999999999</v>
          </cell>
          <cell r="AB119">
            <v>9.2624999999999993</v>
          </cell>
          <cell r="AC119">
            <v>0</v>
          </cell>
          <cell r="AD119">
            <v>7.8</v>
          </cell>
          <cell r="AE119">
            <v>8.7750000000000004</v>
          </cell>
          <cell r="AF119">
            <v>17.55</v>
          </cell>
          <cell r="AG119">
            <v>20.962499999999999</v>
          </cell>
          <cell r="AH119">
            <v>19.987500000000001</v>
          </cell>
          <cell r="AI119">
            <v>28.518750000000001</v>
          </cell>
          <cell r="AJ119">
            <v>26.081250000000001</v>
          </cell>
          <cell r="AK119">
            <v>23.4</v>
          </cell>
          <cell r="AL119">
            <v>20.474999999999998</v>
          </cell>
          <cell r="AM119">
            <v>0</v>
          </cell>
          <cell r="AN119">
            <v>0</v>
          </cell>
          <cell r="AO119">
            <v>1.5</v>
          </cell>
          <cell r="AP119">
            <v>3.5</v>
          </cell>
        </row>
        <row r="120">
          <cell r="D120">
            <v>767</v>
          </cell>
          <cell r="F120">
            <v>0.72</v>
          </cell>
          <cell r="Z120">
            <v>6.4799999999999995</v>
          </cell>
          <cell r="AA120">
            <v>7.56</v>
          </cell>
          <cell r="AB120">
            <v>8.82</v>
          </cell>
          <cell r="AC120">
            <v>8.82</v>
          </cell>
          <cell r="AD120">
            <v>11.879999999999999</v>
          </cell>
          <cell r="AE120">
            <v>12.959999999999999</v>
          </cell>
          <cell r="AF120">
            <v>9.7199999999999989</v>
          </cell>
          <cell r="AG120">
            <v>8.64</v>
          </cell>
          <cell r="AH120">
            <v>8.64</v>
          </cell>
          <cell r="AI120">
            <v>190.59375</v>
          </cell>
          <cell r="AJ120">
            <v>205.4375</v>
          </cell>
          <cell r="AK120">
            <v>211.49374999999998</v>
          </cell>
          <cell r="AL120">
            <v>212.32499999999999</v>
          </cell>
          <cell r="AM120">
            <v>24.25</v>
          </cell>
          <cell r="AN120">
            <v>28.75</v>
          </cell>
          <cell r="AO120">
            <v>30</v>
          </cell>
          <cell r="AP120">
            <v>30</v>
          </cell>
        </row>
        <row r="121">
          <cell r="D121">
            <v>777</v>
          </cell>
          <cell r="F121">
            <v>0.7</v>
          </cell>
          <cell r="Z121">
            <v>43.574999999999996</v>
          </cell>
          <cell r="AA121">
            <v>46.55</v>
          </cell>
          <cell r="AB121">
            <v>56.874999999999993</v>
          </cell>
          <cell r="AC121">
            <v>53.199999999999996</v>
          </cell>
          <cell r="AD121">
            <v>54.599999999999994</v>
          </cell>
          <cell r="AE121">
            <v>56.699999999999996</v>
          </cell>
          <cell r="AF121">
            <v>58.8</v>
          </cell>
          <cell r="AG121">
            <v>58.8</v>
          </cell>
          <cell r="AH121">
            <v>58.8</v>
          </cell>
          <cell r="AI121">
            <v>28.518750000000001</v>
          </cell>
          <cell r="AJ121">
            <v>26.081250000000001</v>
          </cell>
          <cell r="AK121">
            <v>23.4</v>
          </cell>
          <cell r="AL121">
            <v>20.474999999999998</v>
          </cell>
          <cell r="AM121">
            <v>557</v>
          </cell>
          <cell r="AN121">
            <v>589.25</v>
          </cell>
          <cell r="AO121">
            <v>597.5</v>
          </cell>
          <cell r="AP121">
            <v>599.5</v>
          </cell>
        </row>
        <row r="122">
          <cell r="D122">
            <v>787</v>
          </cell>
          <cell r="F122">
            <v>1</v>
          </cell>
          <cell r="Z122">
            <v>0</v>
          </cell>
          <cell r="AA122">
            <v>0</v>
          </cell>
          <cell r="AB122">
            <v>10</v>
          </cell>
          <cell r="AC122">
            <v>18</v>
          </cell>
          <cell r="AD122">
            <v>50</v>
          </cell>
          <cell r="AE122">
            <v>60</v>
          </cell>
          <cell r="AF122">
            <v>108</v>
          </cell>
          <cell r="AG122">
            <v>120</v>
          </cell>
          <cell r="AH122">
            <v>120</v>
          </cell>
          <cell r="AI122">
            <v>12.959999999999999</v>
          </cell>
          <cell r="AJ122">
            <v>12.959999999999999</v>
          </cell>
          <cell r="AK122">
            <v>9.7199999999999989</v>
          </cell>
          <cell r="AL122">
            <v>8.64</v>
          </cell>
        </row>
        <row r="123">
          <cell r="C123" t="str">
            <v>Boeing $ Content:</v>
          </cell>
          <cell r="D123" t="str">
            <v>Total Boeing</v>
          </cell>
          <cell r="F123">
            <v>0.7</v>
          </cell>
          <cell r="Z123">
            <v>179.31749999999997</v>
          </cell>
          <cell r="AA123">
            <v>210.7475</v>
          </cell>
          <cell r="AB123">
            <v>251.92</v>
          </cell>
          <cell r="AC123">
            <v>258.14499999999998</v>
          </cell>
          <cell r="AD123">
            <v>304.30500000000001</v>
          </cell>
          <cell r="AE123">
            <v>329.6225</v>
          </cell>
          <cell r="AF123">
            <v>388.82</v>
          </cell>
          <cell r="AG123">
            <v>389.61500000000001</v>
          </cell>
          <cell r="AH123">
            <v>384.1275</v>
          </cell>
          <cell r="AI123">
            <v>56.874999999999993</v>
          </cell>
          <cell r="AJ123">
            <v>66.674999999999997</v>
          </cell>
          <cell r="AK123">
            <v>69.3</v>
          </cell>
          <cell r="AL123">
            <v>67.199999999999989</v>
          </cell>
        </row>
        <row r="124">
          <cell r="C124" t="str">
            <v>Airbus $ Content</v>
          </cell>
          <cell r="D124">
            <v>787</v>
          </cell>
          <cell r="F124">
            <v>1</v>
          </cell>
          <cell r="AD124">
            <v>0</v>
          </cell>
          <cell r="AE124">
            <v>0</v>
          </cell>
          <cell r="AF124">
            <v>10</v>
          </cell>
          <cell r="AG124">
            <v>18</v>
          </cell>
          <cell r="AH124">
            <v>30</v>
          </cell>
          <cell r="AI124">
            <v>50</v>
          </cell>
          <cell r="AJ124">
            <v>80</v>
          </cell>
          <cell r="AK124">
            <v>100</v>
          </cell>
          <cell r="AL124">
            <v>120</v>
          </cell>
          <cell r="AM124">
            <v>194.15625</v>
          </cell>
          <cell r="AN124">
            <v>208.40625</v>
          </cell>
          <cell r="AO124">
            <v>232.75</v>
          </cell>
          <cell r="AP124">
            <v>230.96875</v>
          </cell>
        </row>
        <row r="125">
          <cell r="C125" t="str">
            <v>Airbus $ Content</v>
          </cell>
          <cell r="D125" t="str">
            <v>A320 Family</v>
          </cell>
          <cell r="F125">
            <v>0.32500000000000001</v>
          </cell>
          <cell r="Z125">
            <v>119.27500000000001</v>
          </cell>
          <cell r="AA125">
            <v>125.45</v>
          </cell>
          <cell r="AB125">
            <v>130.65</v>
          </cell>
          <cell r="AC125">
            <v>132.6</v>
          </cell>
          <cell r="AD125">
            <v>143</v>
          </cell>
          <cell r="AE125">
            <v>146.25</v>
          </cell>
          <cell r="AF125">
            <v>146.9</v>
          </cell>
          <cell r="AG125">
            <v>146.9</v>
          </cell>
          <cell r="AH125">
            <v>148.85</v>
          </cell>
          <cell r="AI125">
            <v>338.94749999999999</v>
          </cell>
          <cell r="AJ125">
            <v>391.15375</v>
          </cell>
          <cell r="AK125">
            <v>413.91374999999999</v>
          </cell>
          <cell r="AL125">
            <v>428.64</v>
          </cell>
          <cell r="AM125">
            <v>24.618749999999999</v>
          </cell>
          <cell r="AN125">
            <v>24.862500000000001</v>
          </cell>
          <cell r="AO125">
            <v>23.4</v>
          </cell>
          <cell r="AP125">
            <v>23.4</v>
          </cell>
        </row>
        <row r="126">
          <cell r="D126" t="str">
            <v>A320 Family</v>
          </cell>
          <cell r="F126">
            <v>0.32500000000000001</v>
          </cell>
          <cell r="Z126">
            <v>119.27500000000001</v>
          </cell>
          <cell r="AA126">
            <v>125.45</v>
          </cell>
          <cell r="AB126">
            <v>130.65</v>
          </cell>
          <cell r="AC126">
            <v>132.6</v>
          </cell>
          <cell r="AD126">
            <v>143</v>
          </cell>
          <cell r="AE126">
            <v>146.25</v>
          </cell>
          <cell r="AF126">
            <v>146.9</v>
          </cell>
          <cell r="AG126">
            <v>146.9</v>
          </cell>
          <cell r="AH126">
            <v>148.85</v>
          </cell>
          <cell r="AI126">
            <v>146.25</v>
          </cell>
          <cell r="AJ126">
            <v>146.9</v>
          </cell>
          <cell r="AK126">
            <v>146.9</v>
          </cell>
          <cell r="AL126">
            <v>148.85</v>
          </cell>
          <cell r="AM126">
            <v>12.959999999999999</v>
          </cell>
          <cell r="AN126">
            <v>12.959999999999999</v>
          </cell>
          <cell r="AO126">
            <v>15.12</v>
          </cell>
          <cell r="AP126">
            <v>15.84</v>
          </cell>
        </row>
        <row r="127">
          <cell r="C127" t="str">
            <v>Airbus $ Content</v>
          </cell>
          <cell r="D127" t="str">
            <v>A330</v>
          </cell>
          <cell r="F127">
            <v>0.32500000000000001</v>
          </cell>
          <cell r="Z127">
            <v>22.1</v>
          </cell>
          <cell r="AA127">
            <v>23.400000000000002</v>
          </cell>
          <cell r="AB127">
            <v>24.7</v>
          </cell>
          <cell r="AC127">
            <v>23.725000000000001</v>
          </cell>
          <cell r="AD127">
            <v>22.75</v>
          </cell>
          <cell r="AE127">
            <v>22.1</v>
          </cell>
          <cell r="AF127">
            <v>22.1</v>
          </cell>
          <cell r="AG127">
            <v>20.8</v>
          </cell>
          <cell r="AH127">
            <v>20.150000000000002</v>
          </cell>
          <cell r="AI127">
            <v>22.1</v>
          </cell>
          <cell r="AJ127">
            <v>22.1</v>
          </cell>
          <cell r="AK127">
            <v>20.8</v>
          </cell>
          <cell r="AL127">
            <v>20.150000000000002</v>
          </cell>
          <cell r="AM127">
            <v>56.699999999999996</v>
          </cell>
          <cell r="AN127">
            <v>64.575000000000003</v>
          </cell>
          <cell r="AO127">
            <v>66.5</v>
          </cell>
          <cell r="AP127">
            <v>69.125</v>
          </cell>
        </row>
        <row r="128">
          <cell r="D128" t="str">
            <v>A340</v>
          </cell>
          <cell r="F128">
            <v>0.32500000000000001</v>
          </cell>
          <cell r="Z128">
            <v>3.5750000000000002</v>
          </cell>
          <cell r="AA128">
            <v>4.2250000000000005</v>
          </cell>
          <cell r="AB128">
            <v>3.25</v>
          </cell>
          <cell r="AC128">
            <v>3.25</v>
          </cell>
          <cell r="AD128">
            <v>2.2749999999999999</v>
          </cell>
          <cell r="AE128">
            <v>1.625</v>
          </cell>
          <cell r="AF128">
            <v>1.3</v>
          </cell>
          <cell r="AG128">
            <v>0.97500000000000009</v>
          </cell>
          <cell r="AH128">
            <v>0.97500000000000009</v>
          </cell>
          <cell r="AI128">
            <v>146.25</v>
          </cell>
          <cell r="AJ128">
            <v>146.9</v>
          </cell>
          <cell r="AK128">
            <v>146.9</v>
          </cell>
          <cell r="AL128">
            <v>148.85</v>
          </cell>
          <cell r="AM128">
            <v>46</v>
          </cell>
          <cell r="AN128">
            <v>78</v>
          </cell>
          <cell r="AO128">
            <v>102</v>
          </cell>
          <cell r="AP128">
            <v>117</v>
          </cell>
        </row>
        <row r="129">
          <cell r="D129" t="str">
            <v>A350</v>
          </cell>
          <cell r="F129">
            <v>0.32500000000000001</v>
          </cell>
          <cell r="Z129">
            <v>0</v>
          </cell>
          <cell r="AA129">
            <v>0</v>
          </cell>
          <cell r="AB129">
            <v>0</v>
          </cell>
          <cell r="AC129">
            <v>0</v>
          </cell>
          <cell r="AD129">
            <v>0</v>
          </cell>
          <cell r="AE129">
            <v>0</v>
          </cell>
          <cell r="AF129">
            <v>3.25</v>
          </cell>
          <cell r="AG129">
            <v>4.875</v>
          </cell>
          <cell r="AH129">
            <v>8.125</v>
          </cell>
          <cell r="AI129">
            <v>22.1</v>
          </cell>
          <cell r="AJ129">
            <v>22.1</v>
          </cell>
          <cell r="AK129">
            <v>20.8</v>
          </cell>
          <cell r="AL129">
            <v>20.150000000000002</v>
          </cell>
          <cell r="AM129">
            <v>334.435</v>
          </cell>
          <cell r="AN129">
            <v>388.80375000000004</v>
          </cell>
          <cell r="AO129">
            <v>439.77</v>
          </cell>
          <cell r="AP129">
            <v>456.33375000000001</v>
          </cell>
        </row>
        <row r="130">
          <cell r="D130" t="str">
            <v>A380</v>
          </cell>
          <cell r="F130">
            <v>0.32500000000000001</v>
          </cell>
          <cell r="Z130">
            <v>0.32500000000000001</v>
          </cell>
          <cell r="AA130">
            <v>3.9000000000000004</v>
          </cell>
          <cell r="AB130">
            <v>3.25</v>
          </cell>
          <cell r="AC130">
            <v>4.875</v>
          </cell>
          <cell r="AD130">
            <v>6.5</v>
          </cell>
          <cell r="AE130">
            <v>8.125</v>
          </cell>
          <cell r="AF130">
            <v>9.75</v>
          </cell>
          <cell r="AG130">
            <v>9.75</v>
          </cell>
          <cell r="AH130">
            <v>9.75</v>
          </cell>
          <cell r="AI130">
            <v>1.625</v>
          </cell>
          <cell r="AJ130">
            <v>1.3</v>
          </cell>
          <cell r="AK130">
            <v>0.97500000000000009</v>
          </cell>
          <cell r="AL130">
            <v>0.97500000000000009</v>
          </cell>
        </row>
        <row r="131">
          <cell r="C131" t="str">
            <v>Airbus $ Content</v>
          </cell>
          <cell r="D131" t="str">
            <v>Total Airbus</v>
          </cell>
          <cell r="F131">
            <v>0.32500000000000001</v>
          </cell>
          <cell r="Z131">
            <v>145.27499999999998</v>
          </cell>
          <cell r="AA131">
            <v>156.97499999999999</v>
          </cell>
          <cell r="AB131">
            <v>161.85</v>
          </cell>
          <cell r="AC131">
            <v>164.45</v>
          </cell>
          <cell r="AD131">
            <v>174.52500000000001</v>
          </cell>
          <cell r="AE131">
            <v>178.1</v>
          </cell>
          <cell r="AF131">
            <v>183.3</v>
          </cell>
          <cell r="AG131">
            <v>183.3</v>
          </cell>
          <cell r="AH131">
            <v>187.85</v>
          </cell>
          <cell r="AI131">
            <v>0</v>
          </cell>
          <cell r="AJ131">
            <v>3.25</v>
          </cell>
          <cell r="AK131">
            <v>4.875</v>
          </cell>
          <cell r="AL131">
            <v>8.125</v>
          </cell>
        </row>
        <row r="132">
          <cell r="C132" t="str">
            <v>Total Boeing &amp; Airbus</v>
          </cell>
          <cell r="D132" t="str">
            <v>A380</v>
          </cell>
          <cell r="F132">
            <v>0.32500000000000001</v>
          </cell>
          <cell r="Z132">
            <v>324.59249999999997</v>
          </cell>
          <cell r="AA132">
            <v>367.72249999999997</v>
          </cell>
          <cell r="AB132">
            <v>413.77</v>
          </cell>
          <cell r="AC132">
            <v>422.59499999999997</v>
          </cell>
          <cell r="AD132">
            <v>478.83000000000004</v>
          </cell>
          <cell r="AE132">
            <v>507.72249999999997</v>
          </cell>
          <cell r="AF132">
            <v>572.12</v>
          </cell>
          <cell r="AG132">
            <v>572.91499999999996</v>
          </cell>
          <cell r="AH132">
            <v>571.97749999999996</v>
          </cell>
          <cell r="AI132">
            <v>8.125</v>
          </cell>
          <cell r="AJ132">
            <v>9.75</v>
          </cell>
          <cell r="AK132">
            <v>9.75</v>
          </cell>
          <cell r="AL132">
            <v>9.75</v>
          </cell>
          <cell r="AM132">
            <v>143.97499999999999</v>
          </cell>
          <cell r="AN132">
            <v>152.91249999999999</v>
          </cell>
          <cell r="AO132">
            <v>154.70000000000002</v>
          </cell>
          <cell r="AP132">
            <v>154.70000000000002</v>
          </cell>
        </row>
        <row r="133">
          <cell r="C133" t="str">
            <v>Total Boeing &amp; Airbus</v>
          </cell>
          <cell r="D133" t="str">
            <v>Total Airbus</v>
          </cell>
          <cell r="F133">
            <v>0.32500000000000001</v>
          </cell>
          <cell r="Z133">
            <v>324.59249999999997</v>
          </cell>
          <cell r="AA133">
            <v>367.72249999999997</v>
          </cell>
          <cell r="AB133">
            <v>413.77</v>
          </cell>
          <cell r="AC133">
            <v>422.59499999999997</v>
          </cell>
          <cell r="AD133">
            <v>478.83000000000004</v>
          </cell>
          <cell r="AE133">
            <v>507.72249999999997</v>
          </cell>
          <cell r="AF133">
            <v>572.12</v>
          </cell>
          <cell r="AG133">
            <v>572.91499999999996</v>
          </cell>
          <cell r="AH133">
            <v>571.97749999999996</v>
          </cell>
          <cell r="AI133">
            <v>178.1</v>
          </cell>
          <cell r="AJ133">
            <v>183.3</v>
          </cell>
          <cell r="AK133">
            <v>183.3</v>
          </cell>
          <cell r="AL133">
            <v>187.85</v>
          </cell>
          <cell r="AM133">
            <v>28.6</v>
          </cell>
          <cell r="AN133">
            <v>29.25</v>
          </cell>
          <cell r="AO133">
            <v>29.25</v>
          </cell>
          <cell r="AP133">
            <v>29.25</v>
          </cell>
        </row>
        <row r="134">
          <cell r="C134" t="str">
            <v>Y/Y Growth Rate</v>
          </cell>
          <cell r="D134" t="str">
            <v>A340</v>
          </cell>
          <cell r="F134">
            <v>0.32500000000000001</v>
          </cell>
          <cell r="AA134">
            <v>0.13287429623296898</v>
          </cell>
          <cell r="AB134">
            <v>0.12522350413695116</v>
          </cell>
          <cell r="AC134">
            <v>2.1328274161974026E-2</v>
          </cell>
          <cell r="AD134">
            <v>0.13307067050012433</v>
          </cell>
          <cell r="AE134">
            <v>6.0339786563080589E-2</v>
          </cell>
          <cell r="AF134">
            <v>0.12683601770652286</v>
          </cell>
          <cell r="AG134">
            <v>1.3895686219673742E-3</v>
          </cell>
          <cell r="AH134">
            <v>-1.63636839670811E-3</v>
          </cell>
          <cell r="AI134">
            <v>0.13127428966822463</v>
          </cell>
          <cell r="AJ134">
            <v>0.11102703329964858</v>
          </cell>
          <cell r="AK134">
            <v>3.9620247931186681E-2</v>
          </cell>
          <cell r="AL134">
            <v>3.2276969510497633E-2</v>
          </cell>
          <cell r="AM134">
            <v>0.56874999999999998</v>
          </cell>
          <cell r="AN134">
            <v>0</v>
          </cell>
          <cell r="AO134">
            <v>0</v>
          </cell>
          <cell r="AP134">
            <v>0</v>
          </cell>
        </row>
        <row r="135">
          <cell r="C135" t="str">
            <v>Model</v>
          </cell>
          <cell r="D135" t="str">
            <v>A350</v>
          </cell>
          <cell r="F135">
            <v>0.32500000000000001</v>
          </cell>
          <cell r="AB135">
            <v>365</v>
          </cell>
          <cell r="AC135">
            <v>440</v>
          </cell>
          <cell r="AD135">
            <v>497.19999999999993</v>
          </cell>
          <cell r="AE135">
            <v>537.78775510204082</v>
          </cell>
          <cell r="AF135">
            <v>588.52244897959179</v>
          </cell>
          <cell r="AG135">
            <v>618.96326530612237</v>
          </cell>
          <cell r="AH135">
            <v>649.40408163265306</v>
          </cell>
          <cell r="AI135">
            <v>517.04750000000001</v>
          </cell>
          <cell r="AJ135">
            <v>574.45375000000001</v>
          </cell>
          <cell r="AK135">
            <v>597.21375</v>
          </cell>
          <cell r="AL135">
            <v>616.49</v>
          </cell>
          <cell r="AM135">
            <v>0</v>
          </cell>
          <cell r="AN135">
            <v>0</v>
          </cell>
          <cell r="AO135">
            <v>0.48750000000000004</v>
          </cell>
          <cell r="AP135">
            <v>1.1375</v>
          </cell>
        </row>
        <row r="136">
          <cell r="C136" t="str">
            <v>Model</v>
          </cell>
          <cell r="D136" t="str">
            <v>A380</v>
          </cell>
          <cell r="F136">
            <v>0.32500000000000001</v>
          </cell>
          <cell r="AB136">
            <v>365</v>
          </cell>
          <cell r="AC136">
            <v>440</v>
          </cell>
          <cell r="AD136">
            <v>497.19999999999993</v>
          </cell>
          <cell r="AE136">
            <v>546.91999999999996</v>
          </cell>
          <cell r="AF136">
            <v>601.61199999999997</v>
          </cell>
          <cell r="AG136">
            <v>632.72986206896553</v>
          </cell>
          <cell r="AH136">
            <v>663.8477241379311</v>
          </cell>
          <cell r="AI136">
            <v>0.13127428966822463</v>
          </cell>
          <cell r="AJ136">
            <v>0.11102703329964858</v>
          </cell>
          <cell r="AK136">
            <v>3.9620247931186681E-2</v>
          </cell>
          <cell r="AL136">
            <v>3.2276969510497633E-2</v>
          </cell>
          <cell r="AM136">
            <v>7.8812500000000005</v>
          </cell>
          <cell r="AN136">
            <v>9.34375</v>
          </cell>
          <cell r="AO136">
            <v>9.75</v>
          </cell>
          <cell r="AP136">
            <v>9.75</v>
          </cell>
        </row>
        <row r="137">
          <cell r="C137" t="str">
            <v>Y/Y Growth Rate</v>
          </cell>
          <cell r="D137" t="str">
            <v>Total Airbus</v>
          </cell>
          <cell r="AB137">
            <v>48.769999999999982</v>
          </cell>
          <cell r="AC137">
            <v>0.20547945205479445</v>
          </cell>
          <cell r="AD137">
            <v>0.12999999999999989</v>
          </cell>
          <cell r="AE137">
            <v>0.10000000000000009</v>
          </cell>
          <cell r="AF137">
            <v>0.10000000000000009</v>
          </cell>
          <cell r="AG137">
            <v>5.1724137931034475E-2</v>
          </cell>
          <cell r="AH137">
            <v>4.9180327868852514E-2</v>
          </cell>
          <cell r="AI137">
            <v>0.14000000000000012</v>
          </cell>
          <cell r="AJ137">
            <v>0.14999999999999991</v>
          </cell>
          <cell r="AK137">
            <v>5.1724137931034475E-2</v>
          </cell>
          <cell r="AL137">
            <v>4.9180327868852514E-2</v>
          </cell>
          <cell r="AM137">
            <v>181.02499999999998</v>
          </cell>
          <cell r="AN137">
            <v>191.50624999999999</v>
          </cell>
          <cell r="AO137">
            <v>194.18750000000003</v>
          </cell>
          <cell r="AP137">
            <v>194.83750000000001</v>
          </cell>
        </row>
        <row r="138">
          <cell r="C138" t="str">
            <v>Difference</v>
          </cell>
          <cell r="AB138">
            <v>48.769999999999982</v>
          </cell>
          <cell r="AC138">
            <v>-17.40500000000003</v>
          </cell>
          <cell r="AD138">
            <v>-18.369999999999891</v>
          </cell>
          <cell r="AE138">
            <v>-39.197499999999991</v>
          </cell>
          <cell r="AF138">
            <v>-29.491999999999962</v>
          </cell>
          <cell r="AG138">
            <v>-59.814862068965567</v>
          </cell>
          <cell r="AH138">
            <v>-91.870224137931132</v>
          </cell>
          <cell r="AI138">
            <v>580.53359999999998</v>
          </cell>
          <cell r="AJ138">
            <v>667.61363999999992</v>
          </cell>
          <cell r="AK138">
            <v>702.14537999999993</v>
          </cell>
          <cell r="AL138">
            <v>736.67711999999995</v>
          </cell>
        </row>
        <row r="139">
          <cell r="C139" t="str">
            <v>Y/Y Growth Rate</v>
          </cell>
          <cell r="AB139">
            <v>0.13361643835616432</v>
          </cell>
          <cell r="AC139">
            <v>-3.9556818181818248E-2</v>
          </cell>
          <cell r="AD139">
            <v>-3.6946902654867039E-2</v>
          </cell>
          <cell r="AE139">
            <v>-7.1669531192861832E-2</v>
          </cell>
          <cell r="AF139">
            <v>-4.9021628557940941E-2</v>
          </cell>
          <cell r="AG139">
            <v>-9.4534596286283606E-2</v>
          </cell>
          <cell r="AH139">
            <v>-0.13839050854205048</v>
          </cell>
          <cell r="AI139">
            <v>0.14000000000000012</v>
          </cell>
          <cell r="AJ139">
            <v>0.14999999999999991</v>
          </cell>
          <cell r="AK139">
            <v>5.1724137931034475E-2</v>
          </cell>
          <cell r="AL139">
            <v>4.9180327868852514E-2</v>
          </cell>
          <cell r="AM139">
            <v>515.46</v>
          </cell>
          <cell r="AN139">
            <v>580.31000000000006</v>
          </cell>
          <cell r="AO139">
            <v>633.95749999999998</v>
          </cell>
          <cell r="AP139">
            <v>651.17124999999999</v>
          </cell>
        </row>
        <row r="140">
          <cell r="C140" t="str">
            <v>Difference</v>
          </cell>
          <cell r="AE140">
            <v>0.13287429623296898</v>
          </cell>
          <cell r="AF140">
            <v>48.769999999999982</v>
          </cell>
          <cell r="AG140">
            <v>-15.355000000000018</v>
          </cell>
          <cell r="AH140">
            <v>-52.191249999999911</v>
          </cell>
          <cell r="AI140">
            <v>-63.486099999999965</v>
          </cell>
          <cell r="AJ140">
            <v>-93.159889999999905</v>
          </cell>
          <cell r="AK140">
            <v>-104.93162999999993</v>
          </cell>
          <cell r="AL140">
            <v>-120.18711999999994</v>
          </cell>
          <cell r="AM140">
            <v>3.3247389745401756E-2</v>
          </cell>
          <cell r="AN140">
            <v>0.12580995615566692</v>
          </cell>
          <cell r="AO140">
            <v>9.2446278713101515E-2</v>
          </cell>
          <cell r="AP140">
            <v>2.7152845419448512E-2</v>
          </cell>
        </row>
        <row r="141">
          <cell r="AF141">
            <v>0.13361643835616432</v>
          </cell>
          <cell r="AG141">
            <v>-3.4977220956719859E-2</v>
          </cell>
          <cell r="AH141">
            <v>-0.10248851229282836</v>
          </cell>
          <cell r="AI141">
            <v>-0.10935818357455962</v>
          </cell>
          <cell r="AJ141">
            <v>-0.1395416217080285</v>
          </cell>
          <cell r="AK141">
            <v>-0.14944430738830744</v>
          </cell>
          <cell r="AL141">
            <v>-0.16314762157945117</v>
          </cell>
        </row>
        <row r="142">
          <cell r="C142" t="str">
            <v>Model</v>
          </cell>
          <cell r="AF142">
            <v>365</v>
          </cell>
          <cell r="AG142">
            <v>439</v>
          </cell>
          <cell r="AH142">
            <v>509.23999999999995</v>
          </cell>
          <cell r="AI142">
            <v>580.53359999999998</v>
          </cell>
          <cell r="AJ142">
            <v>667.61363999999992</v>
          </cell>
          <cell r="AK142">
            <v>702.14537999999993</v>
          </cell>
          <cell r="AL142">
            <v>736.67711999999995</v>
          </cell>
          <cell r="AM142">
            <v>568.86</v>
          </cell>
          <cell r="AN142">
            <v>654.18899999999996</v>
          </cell>
          <cell r="AO142">
            <v>688.02636206896545</v>
          </cell>
          <cell r="AP142">
            <v>721.86372413793106</v>
          </cell>
        </row>
        <row r="143">
          <cell r="C143" t="str">
            <v>Y/Y Growth Rate</v>
          </cell>
          <cell r="AG143">
            <v>0.20273972602739732</v>
          </cell>
          <cell r="AH143">
            <v>0.15999999999999992</v>
          </cell>
          <cell r="AI143">
            <v>0.14000000000000012</v>
          </cell>
          <cell r="AJ143">
            <v>0.14999999999999991</v>
          </cell>
          <cell r="AK143">
            <v>5.1724137931034475E-2</v>
          </cell>
          <cell r="AL143">
            <v>4.9180327868852514E-2</v>
          </cell>
          <cell r="AM143">
            <v>0.14000000000000012</v>
          </cell>
          <cell r="AN143">
            <v>0.14999999999999991</v>
          </cell>
          <cell r="AO143">
            <v>5.1724137931034475E-2</v>
          </cell>
          <cell r="AP143">
            <v>4.9180327868852514E-2</v>
          </cell>
        </row>
        <row r="144">
          <cell r="C144" t="str">
            <v>Difference</v>
          </cell>
          <cell r="AF144">
            <v>48.769999999999982</v>
          </cell>
          <cell r="AG144">
            <v>-15.355000000000018</v>
          </cell>
          <cell r="AH144">
            <v>-52.191249999999911</v>
          </cell>
          <cell r="AI144">
            <v>-63.486099999999965</v>
          </cell>
          <cell r="AJ144">
            <v>-93.159889999999905</v>
          </cell>
          <cell r="AK144">
            <v>-104.93162999999993</v>
          </cell>
          <cell r="AL144">
            <v>-120.18711999999994</v>
          </cell>
          <cell r="AM144">
            <v>-53.399999999999977</v>
          </cell>
          <cell r="AN144">
            <v>-73.878999999999905</v>
          </cell>
          <cell r="AO144">
            <v>-54.068862068965473</v>
          </cell>
          <cell r="AP144">
            <v>-70.692474137931072</v>
          </cell>
        </row>
        <row r="145">
          <cell r="AF145">
            <v>0.13361643835616432</v>
          </cell>
          <cell r="AG145">
            <v>-3.4977220956719859E-2</v>
          </cell>
          <cell r="AH145">
            <v>-0.10248851229282836</v>
          </cell>
          <cell r="AI145">
            <v>-0.10935818357455962</v>
          </cell>
          <cell r="AJ145">
            <v>-0.1395416217080285</v>
          </cell>
          <cell r="AK145">
            <v>-0.14944430738830744</v>
          </cell>
          <cell r="AL145">
            <v>-0.16314762157945117</v>
          </cell>
          <cell r="AM145">
            <v>-9.3871954435186117E-2</v>
          </cell>
          <cell r="AN145">
            <v>-0.11293219543587543</v>
          </cell>
          <cell r="AO145">
            <v>-7.8585451153898936E-2</v>
          </cell>
          <cell r="AP145">
            <v>-9.7930498200825805E-2</v>
          </cell>
        </row>
      </sheetData>
      <sheetData sheetId="10" refreshError="1"/>
      <sheetData sheetId="11" refreshError="1"/>
      <sheetData sheetId="12" refreshError="1"/>
      <sheetData sheetId="13" refreshError="1"/>
      <sheetData sheetId="14" refreshError="1"/>
      <sheetData sheetId="15" refreshError="1">
        <row r="1">
          <cell r="A1" t="str">
            <v>Rockwell Collins, Inc.</v>
          </cell>
        </row>
        <row r="2">
          <cell r="A2" t="str">
            <v>Business Model Breakdown</v>
          </cell>
        </row>
        <row r="3">
          <cell r="A3" t="str">
            <v>Morgan Stanley Research</v>
          </cell>
        </row>
        <row r="4">
          <cell r="A4" t="str">
            <v>($ in Millions Except EPS)</v>
          </cell>
        </row>
        <row r="5">
          <cell r="A5" t="str">
            <v>Model Updated: 4/10</v>
          </cell>
        </row>
        <row r="7">
          <cell r="W7" t="str">
            <v>% Revenue Contribution</v>
          </cell>
        </row>
        <row r="8">
          <cell r="G8" t="str">
            <v>% Sales Contribution</v>
          </cell>
          <cell r="K8" t="str">
            <v>% Implied Revenue</v>
          </cell>
          <cell r="O8" t="str">
            <v>Revenue</v>
          </cell>
          <cell r="W8" t="str">
            <v>Total</v>
          </cell>
          <cell r="Y8" t="str">
            <v>Segment</v>
          </cell>
          <cell r="AA8" t="str">
            <v>Sub-Segment</v>
          </cell>
        </row>
        <row r="9">
          <cell r="G9" t="str">
            <v>Total</v>
          </cell>
          <cell r="H9" t="str">
            <v>Segment</v>
          </cell>
          <cell r="I9" t="str">
            <v>Sub-Segment</v>
          </cell>
          <cell r="K9" t="str">
            <v>Low</v>
          </cell>
          <cell r="L9" t="str">
            <v>Mid</v>
          </cell>
          <cell r="M9" t="str">
            <v>High</v>
          </cell>
          <cell r="O9" t="str">
            <v>09A</v>
          </cell>
          <cell r="P9" t="str">
            <v>10E</v>
          </cell>
          <cell r="R9" t="str">
            <v>Y/Y</v>
          </cell>
          <cell r="T9" t="str">
            <v>Guidance</v>
          </cell>
          <cell r="W9" t="str">
            <v>Calc</v>
          </cell>
          <cell r="X9" t="str">
            <v>Guide</v>
          </cell>
          <cell r="Y9" t="str">
            <v>Calc</v>
          </cell>
          <cell r="Z9" t="str">
            <v>Guide</v>
          </cell>
          <cell r="AA9" t="str">
            <v>Calc</v>
          </cell>
          <cell r="AB9" t="str">
            <v>Guide</v>
          </cell>
        </row>
        <row r="10">
          <cell r="B10" t="str">
            <v>Total Revenue</v>
          </cell>
          <cell r="K10">
            <v>4600</v>
          </cell>
          <cell r="L10">
            <v>4700</v>
          </cell>
          <cell r="M10">
            <v>4800</v>
          </cell>
          <cell r="O10">
            <v>4470</v>
          </cell>
          <cell r="P10">
            <v>4725</v>
          </cell>
          <cell r="R10">
            <v>5.7046979865771785E-2</v>
          </cell>
          <cell r="T10" t="str">
            <v>$4.6-4.8B Total Revenue</v>
          </cell>
          <cell r="X10" t="str">
            <v>@ High-end of guidance</v>
          </cell>
        </row>
        <row r="13">
          <cell r="B13" t="str">
            <v>Government Systems</v>
          </cell>
          <cell r="G13">
            <v>0.6</v>
          </cell>
          <cell r="H13">
            <v>1</v>
          </cell>
          <cell r="K13">
            <v>2760</v>
          </cell>
          <cell r="L13">
            <v>2820</v>
          </cell>
          <cell r="M13">
            <v>2880</v>
          </cell>
          <cell r="O13">
            <v>2579</v>
          </cell>
          <cell r="P13">
            <v>2900</v>
          </cell>
          <cell r="R13">
            <v>0.12446684761535476</v>
          </cell>
          <cell r="T13" t="str">
            <v xml:space="preserve"> +12% y/y</v>
          </cell>
          <cell r="W13">
            <v>0.61375661375661372</v>
          </cell>
          <cell r="X13">
            <v>0.6</v>
          </cell>
          <cell r="Y13">
            <v>1</v>
          </cell>
        </row>
        <row r="15">
          <cell r="B15" t="str">
            <v>Airborne Solutions</v>
          </cell>
          <cell r="G15">
            <v>0.39</v>
          </cell>
          <cell r="H15">
            <v>0.65</v>
          </cell>
          <cell r="K15">
            <v>1794</v>
          </cell>
          <cell r="L15">
            <v>1833</v>
          </cell>
          <cell r="M15">
            <v>1872</v>
          </cell>
          <cell r="O15">
            <v>1761</v>
          </cell>
          <cell r="P15">
            <v>1870</v>
          </cell>
          <cell r="R15">
            <v>6.1896649630891476E-2</v>
          </cell>
          <cell r="T15" t="str">
            <v xml:space="preserve"> +6% y/y</v>
          </cell>
          <cell r="W15">
            <v>0.39576719576719577</v>
          </cell>
          <cell r="Y15">
            <v>0.64482758620689651</v>
          </cell>
          <cell r="Z15">
            <v>0.65</v>
          </cell>
        </row>
        <row r="17">
          <cell r="B17" t="str">
            <v>Surface Solutions</v>
          </cell>
          <cell r="G17">
            <v>0.20999999999999996</v>
          </cell>
          <cell r="H17">
            <v>0.35</v>
          </cell>
          <cell r="K17">
            <v>965.99999999999989</v>
          </cell>
          <cell r="L17">
            <v>986.99999999999989</v>
          </cell>
          <cell r="M17">
            <v>1007.9999999999999</v>
          </cell>
          <cell r="O17">
            <v>818</v>
          </cell>
          <cell r="P17">
            <v>1030</v>
          </cell>
          <cell r="R17">
            <v>0.25916870415647919</v>
          </cell>
          <cell r="T17" t="str">
            <v xml:space="preserve"> +26% y/y (20% DataPath)</v>
          </cell>
          <cell r="W17">
            <v>0.21798941798941798</v>
          </cell>
          <cell r="Y17">
            <v>0.35517241379310344</v>
          </cell>
          <cell r="Z17">
            <v>0.35</v>
          </cell>
        </row>
        <row r="18">
          <cell r="K18">
            <v>0</v>
          </cell>
          <cell r="L18">
            <v>0</v>
          </cell>
          <cell r="M18">
            <v>0</v>
          </cell>
          <cell r="O18">
            <v>0</v>
          </cell>
          <cell r="P18">
            <v>0</v>
          </cell>
        </row>
        <row r="20">
          <cell r="B20" t="str">
            <v>Commercial Systems</v>
          </cell>
          <cell r="G20">
            <v>0.4</v>
          </cell>
          <cell r="H20">
            <v>1</v>
          </cell>
          <cell r="K20">
            <v>1840</v>
          </cell>
          <cell r="L20">
            <v>1880</v>
          </cell>
          <cell r="M20">
            <v>1920</v>
          </cell>
          <cell r="O20">
            <v>1891</v>
          </cell>
          <cell r="P20">
            <v>1825</v>
          </cell>
          <cell r="R20">
            <v>-3.4902168164992031E-2</v>
          </cell>
          <cell r="T20" t="str">
            <v xml:space="preserve"> -3% y/y</v>
          </cell>
          <cell r="W20">
            <v>0.38624338624338622</v>
          </cell>
          <cell r="X20">
            <v>0.4</v>
          </cell>
          <cell r="Y20">
            <v>1</v>
          </cell>
        </row>
        <row r="22">
          <cell r="B22" t="str">
            <v>OEM vs. Aftermarket</v>
          </cell>
        </row>
        <row r="23">
          <cell r="C23" t="str">
            <v>Original Equipment</v>
          </cell>
          <cell r="O23">
            <v>439</v>
          </cell>
          <cell r="P23">
            <v>509.23999999999995</v>
          </cell>
          <cell r="R23">
            <v>0.15999999999999992</v>
          </cell>
          <cell r="T23" t="str">
            <v xml:space="preserve"> +10% y/y</v>
          </cell>
        </row>
        <row r="24">
          <cell r="B24" t="str">
            <v>Total OEM</v>
          </cell>
          <cell r="C24" t="str">
            <v>Aftermarket</v>
          </cell>
          <cell r="G24">
            <v>0.21200000000000002</v>
          </cell>
          <cell r="H24">
            <v>0.53</v>
          </cell>
          <cell r="I24">
            <v>1</v>
          </cell>
          <cell r="K24">
            <v>975.2</v>
          </cell>
          <cell r="L24">
            <v>996.40000000000009</v>
          </cell>
          <cell r="M24">
            <v>1017.6000000000001</v>
          </cell>
          <cell r="O24">
            <v>970</v>
          </cell>
          <cell r="P24">
            <v>880</v>
          </cell>
          <cell r="R24">
            <v>-9.2783505154639179E-2</v>
          </cell>
          <cell r="T24" t="str">
            <v xml:space="preserve"> -10% y/y</v>
          </cell>
          <cell r="W24">
            <v>0.18624338624338624</v>
          </cell>
          <cell r="X24">
            <v>0.19</v>
          </cell>
          <cell r="Y24">
            <v>0.48219178082191783</v>
          </cell>
          <cell r="AA24">
            <v>1</v>
          </cell>
        </row>
        <row r="25">
          <cell r="C25" t="str">
            <v xml:space="preserve">Wide-Body In-Flight Entertainment </v>
          </cell>
          <cell r="O25">
            <v>145</v>
          </cell>
          <cell r="P25">
            <v>98.6</v>
          </cell>
          <cell r="R25">
            <v>-0.32000000000000006</v>
          </cell>
          <cell r="T25" t="str">
            <v xml:space="preserve"> -40% y/y</v>
          </cell>
        </row>
        <row r="26">
          <cell r="B26" t="str">
            <v>Air Transport OEM</v>
          </cell>
          <cell r="G26">
            <v>9.5400000000000013E-2</v>
          </cell>
          <cell r="H26">
            <v>0.23850000000000002</v>
          </cell>
          <cell r="I26">
            <v>0.45</v>
          </cell>
          <cell r="K26">
            <v>438.84000000000003</v>
          </cell>
          <cell r="L26">
            <v>448.38000000000005</v>
          </cell>
          <cell r="M26">
            <v>457.92000000000007</v>
          </cell>
          <cell r="O26">
            <v>365</v>
          </cell>
          <cell r="P26">
            <v>405</v>
          </cell>
          <cell r="R26">
            <v>0.1095890410958904</v>
          </cell>
          <cell r="T26" t="str">
            <v xml:space="preserve"> +10% y/y</v>
          </cell>
          <cell r="W26">
            <v>8.5714285714285715E-2</v>
          </cell>
          <cell r="Y26">
            <v>0.22191780821917809</v>
          </cell>
          <cell r="AA26">
            <v>0.46022727272727271</v>
          </cell>
          <cell r="AB26">
            <v>0.45</v>
          </cell>
        </row>
        <row r="28">
          <cell r="B28" t="str">
            <v>Business &amp; Regional Jet OEM</v>
          </cell>
          <cell r="G28">
            <v>0.11660000000000002</v>
          </cell>
          <cell r="H28">
            <v>0.29150000000000004</v>
          </cell>
          <cell r="I28">
            <v>0.55000000000000004</v>
          </cell>
          <cell r="K28">
            <v>536.36</v>
          </cell>
          <cell r="L28">
            <v>548.0200000000001</v>
          </cell>
          <cell r="M28">
            <v>559.68000000000006</v>
          </cell>
          <cell r="O28">
            <v>605</v>
          </cell>
          <cell r="P28">
            <v>475</v>
          </cell>
          <cell r="R28">
            <v>-0.21487603305785119</v>
          </cell>
          <cell r="T28" t="str">
            <v xml:space="preserve"> -22% y/y</v>
          </cell>
          <cell r="W28">
            <v>0.10052910052910052</v>
          </cell>
          <cell r="Y28">
            <v>0.26027397260273971</v>
          </cell>
          <cell r="AA28">
            <v>0.53977272727272729</v>
          </cell>
          <cell r="AB28">
            <v>0.55000000000000004</v>
          </cell>
        </row>
        <row r="29">
          <cell r="C29" t="str">
            <v>Orginal Equipment</v>
          </cell>
          <cell r="K29">
            <v>0</v>
          </cell>
          <cell r="L29">
            <v>0</v>
          </cell>
          <cell r="M29">
            <v>0</v>
          </cell>
          <cell r="O29">
            <v>466</v>
          </cell>
          <cell r="P29">
            <v>526.57999999999993</v>
          </cell>
          <cell r="R29">
            <v>0.12999999999999989</v>
          </cell>
          <cell r="T29" t="str">
            <v xml:space="preserve"> low double digits</v>
          </cell>
        </row>
        <row r="30">
          <cell r="C30" t="str">
            <v>Aftermarket</v>
          </cell>
          <cell r="O30">
            <v>340</v>
          </cell>
          <cell r="P30">
            <v>397.79999999999995</v>
          </cell>
          <cell r="R30">
            <v>0.16999999999999993</v>
          </cell>
          <cell r="T30" t="str">
            <v>+ mid-teens</v>
          </cell>
        </row>
        <row r="31">
          <cell r="B31" t="str">
            <v>Total Aftermarket</v>
          </cell>
          <cell r="G31">
            <v>0.17600000000000002</v>
          </cell>
          <cell r="H31">
            <v>0.44</v>
          </cell>
          <cell r="I31">
            <v>1</v>
          </cell>
          <cell r="K31">
            <v>809.60000000000014</v>
          </cell>
          <cell r="L31">
            <v>827.2</v>
          </cell>
          <cell r="M31">
            <v>844.80000000000007</v>
          </cell>
          <cell r="O31">
            <v>836</v>
          </cell>
          <cell r="P31">
            <v>895</v>
          </cell>
          <cell r="R31">
            <v>7.0574162679425845E-2</v>
          </cell>
          <cell r="T31" t="str">
            <v xml:space="preserve"> +6% y/y</v>
          </cell>
          <cell r="W31">
            <v>0.18941798941798943</v>
          </cell>
          <cell r="X31">
            <v>0.19</v>
          </cell>
          <cell r="Y31">
            <v>0.49041095890410957</v>
          </cell>
          <cell r="AA31">
            <v>1</v>
          </cell>
        </row>
        <row r="33">
          <cell r="B33" t="str">
            <v>Air Transport Aftermarket</v>
          </cell>
          <cell r="G33">
            <v>0.1056</v>
          </cell>
          <cell r="H33">
            <v>0.26400000000000001</v>
          </cell>
          <cell r="I33">
            <v>0.6</v>
          </cell>
          <cell r="K33">
            <v>485.76000000000005</v>
          </cell>
          <cell r="L33">
            <v>496.32</v>
          </cell>
          <cell r="M33">
            <v>506.88</v>
          </cell>
          <cell r="O33">
            <v>520</v>
          </cell>
          <cell r="P33">
            <v>535</v>
          </cell>
          <cell r="R33">
            <v>2.8846153846153744E-2</v>
          </cell>
          <cell r="T33" t="str">
            <v xml:space="preserve"> +2-3% y/y</v>
          </cell>
          <cell r="W33">
            <v>0.11322751322751323</v>
          </cell>
          <cell r="Y33">
            <v>0.29315068493150687</v>
          </cell>
          <cell r="AA33">
            <v>0.5977653631284916</v>
          </cell>
          <cell r="AB33">
            <v>0.6</v>
          </cell>
        </row>
        <row r="34">
          <cell r="C34" t="str">
            <v>Orginal Equipment</v>
          </cell>
          <cell r="O34">
            <v>0.50166297117516634</v>
          </cell>
          <cell r="P34">
            <v>0.51897389648780001</v>
          </cell>
        </row>
        <row r="35">
          <cell r="B35" t="str">
            <v>Business &amp; Regional Jet Aftermarket</v>
          </cell>
          <cell r="C35" t="str">
            <v>Aftermarket</v>
          </cell>
          <cell r="G35">
            <v>7.0400000000000004E-2</v>
          </cell>
          <cell r="H35">
            <v>0.17600000000000002</v>
          </cell>
          <cell r="I35">
            <v>0.4</v>
          </cell>
          <cell r="K35">
            <v>323.84000000000009</v>
          </cell>
          <cell r="L35">
            <v>330.88000000000005</v>
          </cell>
          <cell r="M35">
            <v>337.92000000000007</v>
          </cell>
          <cell r="O35">
            <v>316</v>
          </cell>
          <cell r="P35">
            <v>360</v>
          </cell>
          <cell r="R35">
            <v>0.139240506329114</v>
          </cell>
          <cell r="T35" t="str">
            <v xml:space="preserve"> +13% y/y (Air Routing 10%)</v>
          </cell>
          <cell r="W35">
            <v>7.6190476190476197E-2</v>
          </cell>
          <cell r="Y35">
            <v>0.19726027397260273</v>
          </cell>
          <cell r="AA35">
            <v>0.4022346368715084</v>
          </cell>
          <cell r="AB35">
            <v>0.4</v>
          </cell>
        </row>
        <row r="36">
          <cell r="C36" t="str">
            <v>Other</v>
          </cell>
          <cell r="O36">
            <v>8.03769401330377E-2</v>
          </cell>
          <cell r="P36">
            <v>4.9401272608848142E-2</v>
          </cell>
        </row>
        <row r="38">
          <cell r="B38" t="str">
            <v>Wide-Body IFE</v>
          </cell>
          <cell r="G38">
            <v>1.2E-2</v>
          </cell>
          <cell r="H38">
            <v>0.03</v>
          </cell>
          <cell r="I38" t="str">
            <v xml:space="preserve">NA </v>
          </cell>
          <cell r="K38">
            <v>55.199999999999996</v>
          </cell>
          <cell r="L38">
            <v>56.4</v>
          </cell>
          <cell r="M38">
            <v>57.599999999999994</v>
          </cell>
          <cell r="O38">
            <v>85</v>
          </cell>
          <cell r="P38">
            <v>50</v>
          </cell>
          <cell r="R38">
            <v>-0.41176470588235292</v>
          </cell>
          <cell r="T38" t="str">
            <v xml:space="preserve"> -40% y/y</v>
          </cell>
          <cell r="W38">
            <v>1.0582010582010581E-2</v>
          </cell>
          <cell r="Y38">
            <v>2.7397260273972601E-2</v>
          </cell>
        </row>
        <row r="39">
          <cell r="B39" t="str">
            <v>Summary - % of Total Company Revenues</v>
          </cell>
        </row>
        <row r="41">
          <cell r="B41" t="str">
            <v>Air Transport vs. Business &amp; Regional Jet</v>
          </cell>
          <cell r="C41" t="str">
            <v>Government Systems</v>
          </cell>
          <cell r="O41">
            <v>0.61329046087888528</v>
          </cell>
          <cell r="P41">
            <v>0.59645362825774884</v>
          </cell>
        </row>
        <row r="42">
          <cell r="D42" t="str">
            <v>Airborne Solutions</v>
          </cell>
          <cell r="O42">
            <v>0.3969989281886388</v>
          </cell>
          <cell r="P42">
            <v>0.39426595766190181</v>
          </cell>
        </row>
        <row r="43">
          <cell r="B43" t="str">
            <v>Air Transport</v>
          </cell>
          <cell r="D43" t="str">
            <v>Surface Solutions</v>
          </cell>
          <cell r="G43">
            <v>0.21200000000000002</v>
          </cell>
          <cell r="H43">
            <v>0.53</v>
          </cell>
          <cell r="K43">
            <v>975.2</v>
          </cell>
          <cell r="L43">
            <v>996.40000000000009</v>
          </cell>
          <cell r="M43">
            <v>1017.6</v>
          </cell>
          <cell r="O43">
            <v>885</v>
          </cell>
          <cell r="P43">
            <v>940</v>
          </cell>
          <cell r="R43">
            <v>6.2146892655367214E-2</v>
          </cell>
          <cell r="W43">
            <v>0.19894179894179895</v>
          </cell>
          <cell r="Y43">
            <v>0.51506849315068493</v>
          </cell>
          <cell r="Z43">
            <v>0.53</v>
          </cell>
          <cell r="AA43">
            <v>1</v>
          </cell>
        </row>
        <row r="45">
          <cell r="C45" t="str">
            <v>OEM</v>
          </cell>
          <cell r="K45">
            <v>438.84000000000003</v>
          </cell>
          <cell r="L45">
            <v>448.38000000000005</v>
          </cell>
          <cell r="M45">
            <v>457.92000000000007</v>
          </cell>
          <cell r="O45">
            <v>365</v>
          </cell>
          <cell r="P45">
            <v>405</v>
          </cell>
          <cell r="R45">
            <v>0.1095890410958904</v>
          </cell>
          <cell r="T45" t="str">
            <v xml:space="preserve"> +10% y/y</v>
          </cell>
          <cell r="W45">
            <v>8.5714285714285715E-2</v>
          </cell>
          <cell r="Y45">
            <v>0.22191780821917809</v>
          </cell>
          <cell r="AA45">
            <v>0.43085106382978722</v>
          </cell>
        </row>
        <row r="47">
          <cell r="C47" t="str">
            <v>Aftermarket</v>
          </cell>
          <cell r="K47">
            <v>485.76000000000005</v>
          </cell>
          <cell r="L47">
            <v>496.32</v>
          </cell>
          <cell r="M47">
            <v>506.88</v>
          </cell>
          <cell r="O47">
            <v>520</v>
          </cell>
          <cell r="P47">
            <v>535</v>
          </cell>
          <cell r="R47">
            <v>2.8846153846153744E-2</v>
          </cell>
          <cell r="T47" t="str">
            <v xml:space="preserve"> +2-3% y/y</v>
          </cell>
          <cell r="W47">
            <v>0.11322751322751323</v>
          </cell>
          <cell r="Y47">
            <v>0.29315068493150687</v>
          </cell>
          <cell r="AA47">
            <v>0.56914893617021278</v>
          </cell>
        </row>
        <row r="48">
          <cell r="C48" t="str">
            <v>Total</v>
          </cell>
          <cell r="K48">
            <v>924.60000000000014</v>
          </cell>
          <cell r="L48">
            <v>944.7</v>
          </cell>
          <cell r="M48">
            <v>964.80000000000007</v>
          </cell>
          <cell r="O48">
            <v>885</v>
          </cell>
          <cell r="P48">
            <v>940</v>
          </cell>
          <cell r="R48">
            <v>6.2146892655367214E-2</v>
          </cell>
          <cell r="T48" t="str">
            <v xml:space="preserve"> -10% y/y</v>
          </cell>
        </row>
        <row r="49">
          <cell r="C49" t="str">
            <v>Difference</v>
          </cell>
          <cell r="D49" t="str">
            <v>Air Transport</v>
          </cell>
          <cell r="K49">
            <v>-50.599999999999909</v>
          </cell>
          <cell r="L49">
            <v>-51.700000000000045</v>
          </cell>
          <cell r="M49">
            <v>-52.799999999999955</v>
          </cell>
          <cell r="O49">
            <v>0.21393354769560557</v>
          </cell>
          <cell r="P49">
            <v>0.21664813279686207</v>
          </cell>
        </row>
        <row r="50">
          <cell r="D50" t="str">
            <v>Business and Regional</v>
          </cell>
          <cell r="O50">
            <v>0.17277599142550912</v>
          </cell>
          <cell r="P50">
            <v>0.18689823894538909</v>
          </cell>
        </row>
        <row r="52">
          <cell r="B52" t="str">
            <v>Business &amp; Regional Jet</v>
          </cell>
          <cell r="D52" t="str">
            <v>OEM</v>
          </cell>
          <cell r="G52">
            <v>0.17600000000000002</v>
          </cell>
          <cell r="H52">
            <v>0.44</v>
          </cell>
          <cell r="K52">
            <v>809.6</v>
          </cell>
          <cell r="L52">
            <v>827.2</v>
          </cell>
          <cell r="M52">
            <v>844.8</v>
          </cell>
          <cell r="O52">
            <v>921</v>
          </cell>
          <cell r="P52">
            <v>835</v>
          </cell>
          <cell r="R52">
            <v>-9.3376764386536415E-2</v>
          </cell>
          <cell r="W52">
            <v>0.17671957671957672</v>
          </cell>
          <cell r="Y52">
            <v>0.45753424657534247</v>
          </cell>
          <cell r="Z52">
            <v>0.44</v>
          </cell>
          <cell r="AA52">
            <v>1</v>
          </cell>
        </row>
        <row r="53">
          <cell r="D53" t="str">
            <v xml:space="preserve">Aftermarket </v>
          </cell>
          <cell r="O53">
            <v>0.16162915326902466</v>
          </cell>
          <cell r="P53">
            <v>0.17418063446491033</v>
          </cell>
        </row>
        <row r="54">
          <cell r="C54" t="str">
            <v>OEM</v>
          </cell>
          <cell r="D54" t="str">
            <v>Other</v>
          </cell>
          <cell r="K54">
            <v>536.36</v>
          </cell>
          <cell r="L54">
            <v>548.0200000000001</v>
          </cell>
          <cell r="M54">
            <v>559.68000000000006</v>
          </cell>
          <cell r="O54">
            <v>605</v>
          </cell>
          <cell r="P54">
            <v>475</v>
          </cell>
          <cell r="R54">
            <v>-0.21487603305785119</v>
          </cell>
          <cell r="T54" t="str">
            <v xml:space="preserve"> -22% y/y</v>
          </cell>
          <cell r="W54">
            <v>0.10052910052910052</v>
          </cell>
          <cell r="Y54">
            <v>0.26027397260273971</v>
          </cell>
          <cell r="AA54">
            <v>0.56886227544910184</v>
          </cell>
        </row>
        <row r="56">
          <cell r="C56" t="str">
            <v>Aftermarket</v>
          </cell>
          <cell r="K56">
            <v>323.84000000000009</v>
          </cell>
          <cell r="L56">
            <v>330.88000000000005</v>
          </cell>
          <cell r="M56">
            <v>337.92000000000007</v>
          </cell>
          <cell r="O56">
            <v>316</v>
          </cell>
          <cell r="P56">
            <v>360</v>
          </cell>
          <cell r="R56">
            <v>0.139240506329114</v>
          </cell>
          <cell r="T56" t="str">
            <v xml:space="preserve"> +13% y/y (Air Routing 10%)</v>
          </cell>
          <cell r="W56">
            <v>7.6190476190476197E-2</v>
          </cell>
          <cell r="Y56">
            <v>0.19726027397260273</v>
          </cell>
          <cell r="AA56">
            <v>0.43113772455089822</v>
          </cell>
        </row>
        <row r="57">
          <cell r="C57" t="str">
            <v>Total</v>
          </cell>
          <cell r="K57">
            <v>860.2</v>
          </cell>
          <cell r="L57">
            <v>878.90000000000009</v>
          </cell>
          <cell r="M57">
            <v>897.60000000000014</v>
          </cell>
          <cell r="O57">
            <v>921</v>
          </cell>
          <cell r="P57">
            <v>835</v>
          </cell>
          <cell r="R57">
            <v>-9.3376764386536415E-2</v>
          </cell>
          <cell r="T57" t="str">
            <v xml:space="preserve"> +6% y/y</v>
          </cell>
        </row>
        <row r="58">
          <cell r="C58" t="str">
            <v>Difference</v>
          </cell>
          <cell r="K58">
            <v>50.600000000000023</v>
          </cell>
          <cell r="L58">
            <v>51.700000000000045</v>
          </cell>
          <cell r="M58">
            <v>52.800000000000182</v>
          </cell>
        </row>
        <row r="61">
          <cell r="C61" t="str">
            <v>Revenue Check</v>
          </cell>
          <cell r="O61">
            <v>0</v>
          </cell>
          <cell r="P61">
            <v>0</v>
          </cell>
        </row>
        <row r="63">
          <cell r="B63" t="str">
            <v>OEM Cross-check</v>
          </cell>
          <cell r="O63">
            <v>0</v>
          </cell>
          <cell r="P63">
            <v>0</v>
          </cell>
        </row>
        <row r="65">
          <cell r="B65" t="str">
            <v>Aftermarket Cross-check</v>
          </cell>
          <cell r="O65">
            <v>0</v>
          </cell>
          <cell r="P65">
            <v>0</v>
          </cell>
        </row>
      </sheetData>
      <sheetData sheetId="16" refreshError="1">
        <row r="1">
          <cell r="A1" t="str">
            <v>Rockwell Collins, Inc.</v>
          </cell>
        </row>
        <row r="2">
          <cell r="A2" t="str">
            <v>Residual Income Valuation</v>
          </cell>
        </row>
        <row r="3">
          <cell r="A3" t="str">
            <v>Morgan Stanley Research</v>
          </cell>
        </row>
        <row r="4">
          <cell r="A4" t="str">
            <v>($ in Millions Except EPS)</v>
          </cell>
        </row>
        <row r="5">
          <cell r="A5" t="str">
            <v>Model Updated:</v>
          </cell>
        </row>
        <row r="9">
          <cell r="H9" t="str">
            <v xml:space="preserve">2009A </v>
          </cell>
          <cell r="I9">
            <v>2010</v>
          </cell>
          <cell r="J9">
            <v>2011</v>
          </cell>
          <cell r="K9">
            <v>2012</v>
          </cell>
          <cell r="L9">
            <v>2013</v>
          </cell>
          <cell r="M9">
            <v>2014</v>
          </cell>
          <cell r="N9">
            <v>2015</v>
          </cell>
        </row>
        <row r="11">
          <cell r="B11" t="str">
            <v>EBIT</v>
          </cell>
          <cell r="H11">
            <v>885</v>
          </cell>
          <cell r="I11">
            <v>868.44</v>
          </cell>
          <cell r="J11">
            <v>991.1724999999999</v>
          </cell>
          <cell r="K11">
            <v>1066.55</v>
          </cell>
          <cell r="L11">
            <v>1168.931785714286</v>
          </cell>
          <cell r="M11">
            <v>1237.6240842490843</v>
          </cell>
          <cell r="N11">
            <v>1307.4809890109889</v>
          </cell>
        </row>
        <row r="12">
          <cell r="B12" t="str">
            <v>Taxes</v>
          </cell>
          <cell r="H12">
            <v>-278.66782006920414</v>
          </cell>
          <cell r="I12">
            <v>-270.81810879256381</v>
          </cell>
          <cell r="J12">
            <v>-307.26347499999997</v>
          </cell>
          <cell r="K12">
            <v>-330.63049999999998</v>
          </cell>
          <cell r="L12">
            <v>-362.36885357142864</v>
          </cell>
          <cell r="M12">
            <v>-383.6634661172161</v>
          </cell>
          <cell r="N12">
            <v>-405.31910659340656</v>
          </cell>
        </row>
        <row r="13">
          <cell r="B13" t="str">
            <v>Tax Rate</v>
          </cell>
          <cell r="H13">
            <v>0.31487889273356401</v>
          </cell>
          <cell r="I13">
            <v>0.31184435170255148</v>
          </cell>
          <cell r="J13">
            <v>0.31</v>
          </cell>
          <cell r="K13">
            <v>0.31</v>
          </cell>
          <cell r="L13">
            <v>0.31</v>
          </cell>
          <cell r="M13">
            <v>0.31</v>
          </cell>
          <cell r="N13">
            <v>0.31</v>
          </cell>
        </row>
        <row r="15">
          <cell r="B15" t="str">
            <v>NOPLAT</v>
          </cell>
          <cell r="H15">
            <v>606.33217993079586</v>
          </cell>
          <cell r="I15">
            <v>597.62189120743619</v>
          </cell>
          <cell r="J15">
            <v>683.90902499999993</v>
          </cell>
          <cell r="K15">
            <v>735.91949999999997</v>
          </cell>
          <cell r="L15">
            <v>806.56293214285733</v>
          </cell>
          <cell r="M15">
            <v>853.96061813186816</v>
          </cell>
          <cell r="N15">
            <v>902.16188241758232</v>
          </cell>
        </row>
        <row r="16">
          <cell r="B16" t="str">
            <v>Net Operating Assets</v>
          </cell>
          <cell r="H16">
            <v>2932.3999999999996</v>
          </cell>
          <cell r="I16">
            <v>2900.1365384615383</v>
          </cell>
          <cell r="J16">
            <v>2923.5230769230766</v>
          </cell>
          <cell r="K16">
            <v>2939.3179487179482</v>
          </cell>
          <cell r="L16">
            <v>3014.4628205128201</v>
          </cell>
          <cell r="M16">
            <v>3078.1243589743581</v>
          </cell>
          <cell r="N16">
            <v>4202.6773703846156</v>
          </cell>
        </row>
        <row r="17">
          <cell r="B17" t="str">
            <v>RONOA</v>
          </cell>
          <cell r="H17">
            <v>0.20676994268544399</v>
          </cell>
          <cell r="I17">
            <v>0.20606681212480502</v>
          </cell>
          <cell r="J17">
            <v>0.23393317138436764</v>
          </cell>
          <cell r="K17">
            <v>0.25037083869099236</v>
          </cell>
          <cell r="L17">
            <v>0.26756439875600951</v>
          </cell>
          <cell r="M17">
            <v>0.27742888803115506</v>
          </cell>
          <cell r="N17">
            <v>0.21466360677003843</v>
          </cell>
        </row>
        <row r="19">
          <cell r="B19" t="str">
            <v>Residual Income</v>
          </cell>
          <cell r="I19">
            <v>336.60960274589775</v>
          </cell>
          <cell r="J19">
            <v>420.79194807692306</v>
          </cell>
          <cell r="K19">
            <v>471.38088461538462</v>
          </cell>
          <cell r="L19">
            <v>535.26127829670349</v>
          </cell>
          <cell r="M19">
            <v>576.92942582417595</v>
          </cell>
          <cell r="N19">
            <v>523.92091908296698</v>
          </cell>
        </row>
        <row r="21">
          <cell r="B21" t="str">
            <v>$B</v>
          </cell>
        </row>
        <row r="22">
          <cell r="B22" t="str">
            <v>EVA Terminal Value</v>
          </cell>
          <cell r="M22">
            <v>7431.1154592584453</v>
          </cell>
          <cell r="N22">
            <v>3625.7614434973284</v>
          </cell>
        </row>
        <row r="23">
          <cell r="B23" t="str">
            <v>Discounted Residual Income</v>
          </cell>
          <cell r="M23">
            <v>1781.1379708233251</v>
          </cell>
          <cell r="N23">
            <v>1213.7428535089614</v>
          </cell>
        </row>
        <row r="24">
          <cell r="B24" t="str">
            <v>Total Discounted Operating Profits</v>
          </cell>
          <cell r="M24">
            <v>9212.2534300817697</v>
          </cell>
          <cell r="N24">
            <v>4839.5042970062896</v>
          </cell>
        </row>
        <row r="25">
          <cell r="B25" t="str">
            <v>Book Value of NOA (2009)</v>
          </cell>
          <cell r="M25">
            <v>2932.3999999999996</v>
          </cell>
          <cell r="N25">
            <v>3255.12</v>
          </cell>
        </row>
        <row r="26">
          <cell r="B26" t="str">
            <v>Enterprise Value</v>
          </cell>
          <cell r="M26">
            <v>12144.653430081769</v>
          </cell>
          <cell r="N26">
            <v>8094.6242970062895</v>
          </cell>
        </row>
        <row r="27">
          <cell r="B27" t="str">
            <v>Net Debt</v>
          </cell>
          <cell r="M27">
            <v>385</v>
          </cell>
          <cell r="N27">
            <v>112.72168234050991</v>
          </cell>
        </row>
        <row r="28">
          <cell r="B28" t="str">
            <v>Shares (MM)</v>
          </cell>
          <cell r="M28">
            <v>157.218806</v>
          </cell>
          <cell r="N28">
            <v>150.59042675000001</v>
          </cell>
        </row>
        <row r="29">
          <cell r="B29" t="str">
            <v>Implied Value per Share</v>
          </cell>
          <cell r="M29">
            <v>74.798007498427182</v>
          </cell>
          <cell r="N29">
            <v>53.004050701820454</v>
          </cell>
        </row>
        <row r="31">
          <cell r="B31" t="str">
            <v>Perpetuity Growth Rate</v>
          </cell>
          <cell r="H31">
            <v>3.5000000000000003E-2</v>
          </cell>
        </row>
        <row r="32">
          <cell r="B32" t="str">
            <v>WACC</v>
          </cell>
          <cell r="H32">
            <v>0.09</v>
          </cell>
        </row>
        <row r="34">
          <cell r="B34" t="str">
            <v>Total Assets</v>
          </cell>
          <cell r="H34">
            <v>4645</v>
          </cell>
          <cell r="I34">
            <v>4944.1675999999998</v>
          </cell>
          <cell r="J34">
            <v>5231.4539175</v>
          </cell>
          <cell r="K34">
            <v>5501.9225674999998</v>
          </cell>
          <cell r="L34">
            <v>5778.29162</v>
          </cell>
          <cell r="M34">
            <v>6022.7890526923075</v>
          </cell>
          <cell r="N34">
            <v>6041.7649169991855</v>
          </cell>
        </row>
        <row r="35">
          <cell r="B35" t="str">
            <v>Excess Cash (1)</v>
          </cell>
          <cell r="H35">
            <v>-145.6</v>
          </cell>
          <cell r="I35">
            <v>-375.15606153846159</v>
          </cell>
          <cell r="J35">
            <v>-558.43084057692329</v>
          </cell>
          <cell r="K35">
            <v>-735.7046187820514</v>
          </cell>
          <cell r="L35">
            <v>-853.07879948718005</v>
          </cell>
          <cell r="M35">
            <v>-965.11469371794931</v>
          </cell>
          <cell r="N35">
            <v>-953.07498452407197</v>
          </cell>
        </row>
        <row r="36">
          <cell r="B36" t="str">
            <v>Adj. Total Assets</v>
          </cell>
          <cell r="H36">
            <v>4499.3999999999996</v>
          </cell>
          <cell r="I36">
            <v>4569.0115384615383</v>
          </cell>
          <cell r="J36">
            <v>4673.0230769230766</v>
          </cell>
          <cell r="K36">
            <v>4766.2179487179483</v>
          </cell>
          <cell r="L36">
            <v>4925.2128205128201</v>
          </cell>
          <cell r="M36">
            <v>5057.6743589743583</v>
          </cell>
          <cell r="N36">
            <v>6252.1023703846158</v>
          </cell>
        </row>
        <row r="38">
          <cell r="B38" t="str">
            <v>Total Liabilities</v>
          </cell>
          <cell r="H38">
            <v>3353</v>
          </cell>
          <cell r="I38">
            <v>3355.875</v>
          </cell>
          <cell r="J38">
            <v>3336.5</v>
          </cell>
          <cell r="K38">
            <v>3313.9</v>
          </cell>
          <cell r="L38">
            <v>3297.75</v>
          </cell>
          <cell r="M38">
            <v>3266.55</v>
          </cell>
          <cell r="N38">
            <v>3236.4250000000002</v>
          </cell>
        </row>
        <row r="39">
          <cell r="B39" t="str">
            <v>Debt + Retirement Obligations</v>
          </cell>
          <cell r="H39">
            <v>1786</v>
          </cell>
          <cell r="I39">
            <v>1687</v>
          </cell>
          <cell r="J39">
            <v>1587</v>
          </cell>
          <cell r="K39">
            <v>1487</v>
          </cell>
          <cell r="L39">
            <v>1387</v>
          </cell>
          <cell r="M39">
            <v>1287</v>
          </cell>
          <cell r="N39">
            <v>1187</v>
          </cell>
        </row>
        <row r="40">
          <cell r="B40" t="str">
            <v>Operating Liabilities</v>
          </cell>
          <cell r="H40">
            <v>1567</v>
          </cell>
          <cell r="I40">
            <v>1668.875</v>
          </cell>
          <cell r="J40">
            <v>1749.5</v>
          </cell>
          <cell r="K40">
            <v>1826.9</v>
          </cell>
          <cell r="L40">
            <v>1910.75</v>
          </cell>
          <cell r="M40">
            <v>1979.5500000000002</v>
          </cell>
          <cell r="N40">
            <v>2049.4250000000002</v>
          </cell>
        </row>
        <row r="42">
          <cell r="B42" t="str">
            <v>NOA</v>
          </cell>
          <cell r="H42">
            <v>2932.3999999999996</v>
          </cell>
          <cell r="I42">
            <v>2900.1365384615383</v>
          </cell>
          <cell r="J42">
            <v>2923.5230769230766</v>
          </cell>
          <cell r="K42">
            <v>2939.3179487179482</v>
          </cell>
          <cell r="L42">
            <v>3014.4628205128201</v>
          </cell>
          <cell r="M42">
            <v>3078.1243589743581</v>
          </cell>
          <cell r="N42">
            <v>4202.6773703846156</v>
          </cell>
        </row>
        <row r="46">
          <cell r="J46" t="str">
            <v xml:space="preserve">Terminal </v>
          </cell>
          <cell r="K46" t="str">
            <v>Discount Rate</v>
          </cell>
        </row>
        <row r="47">
          <cell r="B47" t="str">
            <v>Growth Implied to = RNOA*(1-FCF/NOPAT)</v>
          </cell>
          <cell r="H47">
            <v>2.5094194355823524E-2</v>
          </cell>
          <cell r="J47">
            <v>74.798007498427182</v>
          </cell>
          <cell r="K47">
            <v>8.5000000000000006E-2</v>
          </cell>
          <cell r="L47">
            <v>9.0000000000000011E-2</v>
          </cell>
          <cell r="M47">
            <v>9.5000000000000015E-2</v>
          </cell>
        </row>
        <row r="48">
          <cell r="B48" t="str">
            <v>ROIC</v>
          </cell>
          <cell r="H48">
            <v>0.21466360677003843</v>
          </cell>
          <cell r="J48">
            <v>0.03</v>
          </cell>
          <cell r="K48">
            <v>77.49332024328541</v>
          </cell>
          <cell r="L48">
            <v>70.859168135883806</v>
          </cell>
          <cell r="M48">
            <v>65.232620332946482</v>
          </cell>
        </row>
        <row r="49">
          <cell r="B49" t="str">
            <v>NOPAT</v>
          </cell>
          <cell r="H49">
            <v>902.16188241758232</v>
          </cell>
          <cell r="J49">
            <v>3.4999999999999996E-2</v>
          </cell>
          <cell r="K49">
            <v>82.436089036690618</v>
          </cell>
          <cell r="L49">
            <v>74.798007498427182</v>
          </cell>
          <cell r="M49">
            <v>68.417728602196533</v>
          </cell>
        </row>
        <row r="50">
          <cell r="B50" t="str">
            <v>FCF</v>
          </cell>
          <cell r="H50">
            <v>796.69907967032941</v>
          </cell>
          <cell r="J50">
            <v>3.9999999999999994E-2</v>
          </cell>
          <cell r="K50">
            <v>88.477250895296962</v>
          </cell>
          <cell r="L50">
            <v>79.524614733479225</v>
          </cell>
          <cell r="M50">
            <v>72.181947465855686</v>
          </cell>
        </row>
        <row r="52">
          <cell r="B52" t="str">
            <v>Start of Cash Flows</v>
          </cell>
          <cell r="H52">
            <v>40178</v>
          </cell>
        </row>
        <row r="53">
          <cell r="B53" t="str">
            <v>Today</v>
          </cell>
          <cell r="H53">
            <v>40283</v>
          </cell>
        </row>
        <row r="54">
          <cell r="B54" t="str">
            <v>Midpoint Cost of Equity</v>
          </cell>
          <cell r="H54">
            <v>9.7500000000000003E-2</v>
          </cell>
        </row>
      </sheetData>
      <sheetData sheetId="17" refreshError="1">
        <row r="1">
          <cell r="B1" t="str">
            <v>Rockwell Collins, Inc.</v>
          </cell>
          <cell r="E1" t="str">
            <v>IN PROCESS</v>
          </cell>
        </row>
        <row r="2">
          <cell r="D2">
            <v>0</v>
          </cell>
          <cell r="E2">
            <v>1</v>
          </cell>
          <cell r="F2">
            <v>2</v>
          </cell>
          <cell r="G2">
            <v>3</v>
          </cell>
          <cell r="H2">
            <v>4</v>
          </cell>
          <cell r="I2">
            <v>5</v>
          </cell>
          <cell r="J2">
            <v>6</v>
          </cell>
          <cell r="K2">
            <v>6</v>
          </cell>
        </row>
        <row r="3">
          <cell r="B3" t="str">
            <v>Dividend Discount Model</v>
          </cell>
          <cell r="D3" t="str">
            <v>2009A</v>
          </cell>
          <cell r="E3" t="str">
            <v>2010E</v>
          </cell>
          <cell r="F3" t="str">
            <v>2011E</v>
          </cell>
          <cell r="G3" t="str">
            <v>2012E</v>
          </cell>
          <cell r="H3" t="str">
            <v>2013E</v>
          </cell>
          <cell r="I3" t="str">
            <v>2014E</v>
          </cell>
          <cell r="J3" t="str">
            <v>2015E</v>
          </cell>
          <cell r="K3" t="str">
            <v>Term Val</v>
          </cell>
        </row>
        <row r="4">
          <cell r="B4" t="str">
            <v>Net Income $MM</v>
          </cell>
          <cell r="D4">
            <v>594</v>
          </cell>
          <cell r="E4">
            <v>580.41800000000001</v>
          </cell>
          <cell r="F4">
            <v>666.65902499999993</v>
          </cell>
          <cell r="G4">
            <v>718.66949999999997</v>
          </cell>
          <cell r="H4">
            <v>789.31293214285733</v>
          </cell>
          <cell r="I4">
            <v>836.71061813186816</v>
          </cell>
          <cell r="J4">
            <v>884.91188241758232</v>
          </cell>
        </row>
        <row r="6">
          <cell r="B6" t="str">
            <v>Book Equity Value</v>
          </cell>
          <cell r="C6">
            <v>1408</v>
          </cell>
          <cell r="D6">
            <v>1292</v>
          </cell>
          <cell r="E6">
            <v>1588.2926000000002</v>
          </cell>
          <cell r="F6">
            <v>1894.9539175000002</v>
          </cell>
          <cell r="G6">
            <v>2188.0225675000002</v>
          </cell>
          <cell r="H6">
            <v>2480.5416200000004</v>
          </cell>
          <cell r="I6">
            <v>2756.2390526923082</v>
          </cell>
          <cell r="J6">
            <v>3015.6773703846156</v>
          </cell>
        </row>
        <row r="7">
          <cell r="B7" t="str">
            <v>Excess Cash</v>
          </cell>
          <cell r="C7">
            <v>-79.62</v>
          </cell>
          <cell r="D7">
            <v>-145.6</v>
          </cell>
          <cell r="E7">
            <v>-375.15606153846159</v>
          </cell>
          <cell r="F7">
            <v>-558.43084057692329</v>
          </cell>
          <cell r="G7">
            <v>-735.7046187820514</v>
          </cell>
          <cell r="H7">
            <v>-853.07879948718005</v>
          </cell>
          <cell r="I7">
            <v>-965.11469371794931</v>
          </cell>
          <cell r="J7">
            <v>-1058.0831396153853</v>
          </cell>
        </row>
        <row r="8">
          <cell r="B8" t="str">
            <v>Adjusted Book Equity Value</v>
          </cell>
          <cell r="C8">
            <v>1328.38</v>
          </cell>
          <cell r="D8">
            <v>1146.4000000000001</v>
          </cell>
          <cell r="E8">
            <v>1213.1365384615387</v>
          </cell>
          <cell r="F8">
            <v>1336.523076923077</v>
          </cell>
          <cell r="G8">
            <v>1452.3179487179486</v>
          </cell>
          <cell r="H8">
            <v>1627.4628205128204</v>
          </cell>
          <cell r="I8">
            <v>1791.124358974359</v>
          </cell>
          <cell r="J8">
            <v>1957.5942307692303</v>
          </cell>
        </row>
        <row r="9">
          <cell r="B9" t="str">
            <v>ROE (% Avg. Adj. Book Equity Value)</v>
          </cell>
          <cell r="D9">
            <v>0.48004267045959637</v>
          </cell>
          <cell r="E9">
            <v>0.49197627630589114</v>
          </cell>
          <cell r="F9">
            <v>0.52293962768785862</v>
          </cell>
          <cell r="G9">
            <v>0.51538936310276851</v>
          </cell>
          <cell r="H9">
            <v>0.51257734967934265</v>
          </cell>
          <cell r="I9">
            <v>0.48950667290420413</v>
          </cell>
          <cell r="J9">
            <v>0.4721143298612393</v>
          </cell>
        </row>
        <row r="11">
          <cell r="B11" t="str">
            <v>Total Dividend (Cash Outflow)</v>
          </cell>
          <cell r="D11">
            <v>-152</v>
          </cell>
          <cell r="E11">
            <v>-174.12539999999998</v>
          </cell>
          <cell r="F11">
            <v>-199.99770749999996</v>
          </cell>
          <cell r="G11">
            <v>-215.60084999999998</v>
          </cell>
          <cell r="H11">
            <v>-236.79387964285718</v>
          </cell>
          <cell r="I11">
            <v>-251.01318543956043</v>
          </cell>
          <cell r="J11">
            <v>-265.47356472527468</v>
          </cell>
        </row>
        <row r="12">
          <cell r="B12" t="str">
            <v>Dividend Payout (% of Net Income)</v>
          </cell>
          <cell r="D12">
            <v>0.25589225589225589</v>
          </cell>
          <cell r="E12">
            <v>0.3</v>
          </cell>
          <cell r="F12">
            <v>0.3</v>
          </cell>
          <cell r="G12">
            <v>0.3</v>
          </cell>
          <cell r="H12">
            <v>0.3</v>
          </cell>
          <cell r="I12">
            <v>0.3</v>
          </cell>
          <cell r="J12">
            <v>0.3</v>
          </cell>
        </row>
        <row r="13">
          <cell r="B13" t="str">
            <v>Y/Y Change in Dividend</v>
          </cell>
          <cell r="E13">
            <v>0.14556184210526313</v>
          </cell>
          <cell r="F13">
            <v>0.14858433921759828</v>
          </cell>
          <cell r="G13">
            <v>7.8016606765355156E-2</v>
          </cell>
          <cell r="H13">
            <v>9.829752360835875E-2</v>
          </cell>
          <cell r="I13">
            <v>6.0049296114196071E-2</v>
          </cell>
          <cell r="J13">
            <v>5.7608046606762997E-2</v>
          </cell>
        </row>
        <row r="15">
          <cell r="B15" t="str">
            <v>Dividend Per Share</v>
          </cell>
          <cell r="D15">
            <v>0.96</v>
          </cell>
          <cell r="E15">
            <v>1.0951283018867923</v>
          </cell>
          <cell r="F15">
            <v>1.273870748407643</v>
          </cell>
          <cell r="G15">
            <v>1.4091558823529411</v>
          </cell>
          <cell r="H15">
            <v>1.563305470673118</v>
          </cell>
          <cell r="I15">
            <v>1.6739200644429402</v>
          </cell>
          <cell r="J15">
            <v>1.7882336661932978</v>
          </cell>
          <cell r="K15">
            <v>85.437830718124204</v>
          </cell>
        </row>
        <row r="16">
          <cell r="B16" t="str">
            <v>Cost of Equity (%)</v>
          </cell>
          <cell r="D16">
            <v>9.7500000000000003E-2</v>
          </cell>
          <cell r="E16">
            <v>9.7500000000000003E-2</v>
          </cell>
          <cell r="F16">
            <v>9.7500000000000003E-2</v>
          </cell>
          <cell r="G16">
            <v>9.7500000000000003E-2</v>
          </cell>
          <cell r="H16">
            <v>9.7500000000000003E-2</v>
          </cell>
          <cell r="I16">
            <v>9.7500000000000003E-2</v>
          </cell>
          <cell r="J16">
            <v>9.7500000000000003E-2</v>
          </cell>
          <cell r="K16">
            <v>9.7500000000000003E-2</v>
          </cell>
        </row>
        <row r="17">
          <cell r="B17" t="str">
            <v>Discount Factor</v>
          </cell>
          <cell r="D17">
            <v>1</v>
          </cell>
          <cell r="E17">
            <v>0.91116173120728938</v>
          </cell>
          <cell r="F17">
            <v>0.83021570041666459</v>
          </cell>
          <cell r="G17">
            <v>0.75646077486712049</v>
          </cell>
          <cell r="H17">
            <v>0.68925810921833297</v>
          </cell>
          <cell r="I17">
            <v>0.62802561204403917</v>
          </cell>
          <cell r="J17">
            <v>0.57223290391256421</v>
          </cell>
          <cell r="K17">
            <v>0.57223290391256421</v>
          </cell>
        </row>
        <row r="18">
          <cell r="B18" t="str">
            <v>Discounted Dividend Cash Flows</v>
          </cell>
          <cell r="D18">
            <v>0.96</v>
          </cell>
          <cell r="E18">
            <v>0.99783899944126875</v>
          </cell>
          <cell r="F18">
            <v>1.0575874956295521</v>
          </cell>
          <cell r="G18">
            <v>1.0659711506732668</v>
          </cell>
          <cell r="H18">
            <v>1.0775209728468294</v>
          </cell>
          <cell r="I18">
            <v>1.0512646729845749</v>
          </cell>
          <cell r="J18">
            <v>1.0232861436800018</v>
          </cell>
          <cell r="K18">
            <v>48.890337975822291</v>
          </cell>
        </row>
        <row r="21">
          <cell r="B21" t="str">
            <v>Implied Dividend Growth</v>
          </cell>
          <cell r="D21">
            <v>7.4999999999999997E-2</v>
          </cell>
          <cell r="F21" t="str">
            <v xml:space="preserve">Payout </v>
          </cell>
          <cell r="G21" t="str">
            <v>ROE (%)</v>
          </cell>
          <cell r="M21" t="str">
            <v>Current Dividend</v>
          </cell>
          <cell r="O21">
            <v>0.96</v>
          </cell>
          <cell r="P21">
            <v>0.96</v>
          </cell>
        </row>
        <row r="22">
          <cell r="B22" t="str">
            <v>Normalized Payout Ratio</v>
          </cell>
          <cell r="D22">
            <v>0.25</v>
          </cell>
          <cell r="F22">
            <v>55.163807411077784</v>
          </cell>
          <cell r="G22">
            <v>0.28000000000000003</v>
          </cell>
          <cell r="H22">
            <v>0.3</v>
          </cell>
          <cell r="I22">
            <v>0.32</v>
          </cell>
          <cell r="M22" t="str">
            <v>Normalized Growth</v>
          </cell>
          <cell r="O22">
            <v>0.08</v>
          </cell>
          <cell r="P22">
            <v>0.08</v>
          </cell>
        </row>
        <row r="23">
          <cell r="B23" t="str">
            <v>Normalized ROE</v>
          </cell>
          <cell r="D23">
            <v>0.3</v>
          </cell>
          <cell r="F23">
            <v>0.27500000000000002</v>
          </cell>
          <cell r="G23">
            <v>60.033429276395118</v>
          </cell>
          <cell r="H23">
            <v>80.120619470828956</v>
          </cell>
          <cell r="I23">
            <v>123.4666614693442</v>
          </cell>
          <cell r="M23" t="str">
            <v>Cost of Equity</v>
          </cell>
          <cell r="O23">
            <v>8.7999999999999995E-2</v>
          </cell>
          <cell r="P23">
            <v>0.107</v>
          </cell>
        </row>
        <row r="24">
          <cell r="B24" t="str">
            <v>DDM Implied Value Per Share</v>
          </cell>
          <cell r="D24">
            <v>55.163807411077784</v>
          </cell>
          <cell r="F24">
            <v>0.25</v>
          </cell>
          <cell r="G24">
            <v>46.088603025713752</v>
          </cell>
          <cell r="H24">
            <v>55.163807411077784</v>
          </cell>
          <cell r="I24">
            <v>69.424842873792755</v>
          </cell>
        </row>
        <row r="25">
          <cell r="B25" t="str">
            <v>Current Price</v>
          </cell>
          <cell r="D25">
            <v>64.22</v>
          </cell>
          <cell r="F25">
            <v>0.22500000000000001</v>
          </cell>
          <cell r="G25">
            <v>37.80254684777266</v>
          </cell>
          <cell r="H25">
            <v>42.685401381202219</v>
          </cell>
          <cell r="I25">
            <v>49.291616338195183</v>
          </cell>
          <cell r="M25" t="str">
            <v>Value</v>
          </cell>
          <cell r="O25">
            <v>129.60000000000011</v>
          </cell>
          <cell r="P25">
            <v>38.400000000000006</v>
          </cell>
        </row>
        <row r="26">
          <cell r="B26" t="str">
            <v>Implied Upside</v>
          </cell>
          <cell r="D26">
            <v>-0.1410182589368143</v>
          </cell>
        </row>
        <row r="29">
          <cell r="N29">
            <v>129.60000000000011</v>
          </cell>
          <cell r="O29">
            <v>7.4999999999999997E-2</v>
          </cell>
          <cell r="P29">
            <v>0.08</v>
          </cell>
          <cell r="Q29">
            <v>8.5000000000000006E-2</v>
          </cell>
        </row>
        <row r="30">
          <cell r="N30">
            <v>0.09</v>
          </cell>
          <cell r="O30">
            <v>68.800000000000011</v>
          </cell>
          <cell r="P30">
            <v>103.68000000000005</v>
          </cell>
          <cell r="Q30">
            <v>208.32000000000036</v>
          </cell>
        </row>
        <row r="31">
          <cell r="N31">
            <v>9.5000000000000001E-2</v>
          </cell>
          <cell r="O31">
            <v>51.599999999999994</v>
          </cell>
          <cell r="P31">
            <v>69.12</v>
          </cell>
          <cell r="Q31">
            <v>104.16000000000004</v>
          </cell>
        </row>
        <row r="32">
          <cell r="N32">
            <v>0.1</v>
          </cell>
          <cell r="O32">
            <v>41.279999999999987</v>
          </cell>
          <cell r="P32">
            <v>51.839999999999989</v>
          </cell>
          <cell r="Q32">
            <v>69.44</v>
          </cell>
        </row>
        <row r="33">
          <cell r="F33" t="str">
            <v>Valuation Window</v>
          </cell>
          <cell r="N33">
            <v>0.10500000000000001</v>
          </cell>
          <cell r="O33">
            <v>34.399999999999984</v>
          </cell>
          <cell r="P33">
            <v>41.471999999999987</v>
          </cell>
          <cell r="Q33">
            <v>52.079999999999984</v>
          </cell>
        </row>
        <row r="34">
          <cell r="F34" t="str">
            <v>DCF</v>
          </cell>
          <cell r="G34" t="str">
            <v>RI</v>
          </cell>
          <cell r="H34" t="str">
            <v>SOP</v>
          </cell>
          <cell r="I34" t="str">
            <v>DDM</v>
          </cell>
          <cell r="J34" t="str">
            <v>AVG</v>
          </cell>
        </row>
        <row r="35">
          <cell r="F35" t="str">
            <v>Implied Share Price</v>
          </cell>
        </row>
        <row r="36">
          <cell r="F36">
            <v>87.146400935586172</v>
          </cell>
          <cell r="G36">
            <v>74.798007498427182</v>
          </cell>
          <cell r="I36">
            <v>55.163807411077784</v>
          </cell>
          <cell r="J36">
            <v>72.369405281697041</v>
          </cell>
        </row>
        <row r="43">
          <cell r="B43" t="str">
            <v>Historical Dividend Data</v>
          </cell>
        </row>
        <row r="45">
          <cell r="B45" t="str">
            <v>Fiscal Year</v>
          </cell>
          <cell r="D45">
            <v>2004</v>
          </cell>
          <cell r="E45">
            <v>2005</v>
          </cell>
          <cell r="F45">
            <v>2006</v>
          </cell>
          <cell r="G45" t="str">
            <v>2007</v>
          </cell>
          <cell r="H45">
            <v>2008</v>
          </cell>
          <cell r="I45" t="str">
            <v>2009A</v>
          </cell>
          <cell r="J45" t="str">
            <v>2010A</v>
          </cell>
        </row>
        <row r="48">
          <cell r="B48" t="str">
            <v>Dividend per Share</v>
          </cell>
          <cell r="D48">
            <v>0.39</v>
          </cell>
          <cell r="E48">
            <v>0.48</v>
          </cell>
          <cell r="F48">
            <v>0.56000000000000005</v>
          </cell>
          <cell r="G48">
            <v>0.64</v>
          </cell>
          <cell r="H48">
            <v>0.8</v>
          </cell>
          <cell r="I48">
            <v>0.96</v>
          </cell>
          <cell r="J48">
            <v>0.96</v>
          </cell>
        </row>
        <row r="49">
          <cell r="B49" t="str">
            <v xml:space="preserve">   Y/Y Change</v>
          </cell>
          <cell r="E49">
            <v>0.23076923076923062</v>
          </cell>
          <cell r="F49">
            <v>0.16666666666666674</v>
          </cell>
          <cell r="G49">
            <v>0.14285714285714279</v>
          </cell>
          <cell r="H49">
            <v>0.25</v>
          </cell>
          <cell r="I49">
            <v>0.19999999999999996</v>
          </cell>
          <cell r="J49">
            <v>0</v>
          </cell>
        </row>
        <row r="50">
          <cell r="B50" t="str">
            <v xml:space="preserve">   Payout Ratio</v>
          </cell>
          <cell r="D50">
            <v>0.23322259136212625</v>
          </cell>
          <cell r="E50">
            <v>0.21317560073937153</v>
          </cell>
          <cell r="F50">
            <v>0.20102859493931291</v>
          </cell>
          <cell r="G50">
            <v>0.18669187795444778</v>
          </cell>
          <cell r="H50">
            <v>0.19221238938053101</v>
          </cell>
          <cell r="I50">
            <v>0.25168421052631579</v>
          </cell>
          <cell r="J50">
            <v>0.27274382082626925</v>
          </cell>
        </row>
        <row r="52">
          <cell r="B52" t="str">
            <v>EPS</v>
          </cell>
          <cell r="D52">
            <v>1.6722222222222223</v>
          </cell>
          <cell r="E52">
            <v>2.2516648168701443</v>
          </cell>
          <cell r="F52">
            <v>2.7856733524355302</v>
          </cell>
          <cell r="G52">
            <v>3.4281084266352391</v>
          </cell>
          <cell r="H52">
            <v>4.1620626151012887</v>
          </cell>
          <cell r="I52">
            <v>3.8143036386449181</v>
          </cell>
          <cell r="J52">
            <v>3.5197864321608043</v>
          </cell>
        </row>
        <row r="55">
          <cell r="B55" t="str">
            <v>Net Income</v>
          </cell>
          <cell r="D55">
            <v>301</v>
          </cell>
          <cell r="E55">
            <v>396</v>
          </cell>
          <cell r="F55">
            <v>477</v>
          </cell>
          <cell r="G55">
            <v>585</v>
          </cell>
          <cell r="H55">
            <v>678</v>
          </cell>
          <cell r="I55">
            <v>594</v>
          </cell>
          <cell r="J55">
            <v>561</v>
          </cell>
        </row>
        <row r="56">
          <cell r="B56" t="str">
            <v>Free Cash Flow (FCF)</v>
          </cell>
          <cell r="D56">
            <v>307</v>
          </cell>
          <cell r="E56">
            <v>448</v>
          </cell>
          <cell r="F56">
            <v>451</v>
          </cell>
          <cell r="G56">
            <v>482</v>
          </cell>
          <cell r="H56">
            <v>449</v>
          </cell>
          <cell r="I56">
            <v>480</v>
          </cell>
          <cell r="J56">
            <v>602</v>
          </cell>
        </row>
        <row r="57">
          <cell r="B57" t="str">
            <v>Dividend (Cash Outlay)</v>
          </cell>
          <cell r="D57">
            <v>-69</v>
          </cell>
          <cell r="E57">
            <v>-85</v>
          </cell>
          <cell r="F57">
            <v>-96</v>
          </cell>
          <cell r="G57">
            <v>-107</v>
          </cell>
          <cell r="H57">
            <v>-129</v>
          </cell>
          <cell r="I57">
            <v>-152</v>
          </cell>
          <cell r="J57">
            <v>-151</v>
          </cell>
        </row>
        <row r="59">
          <cell r="B59" t="str">
            <v>Dividend Payout % Net Income</v>
          </cell>
          <cell r="D59">
            <v>0.2292358803986711</v>
          </cell>
          <cell r="E59">
            <v>0.21464646464646464</v>
          </cell>
          <cell r="F59">
            <v>0.20125786163522014</v>
          </cell>
          <cell r="G59">
            <v>0.18290598290598289</v>
          </cell>
          <cell r="H59">
            <v>0.19026548672566371</v>
          </cell>
          <cell r="I59">
            <v>0.25589225589225589</v>
          </cell>
          <cell r="J59">
            <v>0.26916221033868093</v>
          </cell>
        </row>
        <row r="60">
          <cell r="B60" t="str">
            <v>Dividend Payout % FCF</v>
          </cell>
          <cell r="D60">
            <v>0.22475570032573289</v>
          </cell>
          <cell r="E60">
            <v>0.18973214285714285</v>
          </cell>
          <cell r="F60">
            <v>0.21286031042128603</v>
          </cell>
          <cell r="G60">
            <v>0.22199170124481327</v>
          </cell>
          <cell r="H60">
            <v>0.28730512249443207</v>
          </cell>
          <cell r="I60">
            <v>0.31666666666666665</v>
          </cell>
          <cell r="J60">
            <v>0.25083056478405313</v>
          </cell>
        </row>
        <row r="62">
          <cell r="B62" t="str">
            <v>FCF % Net Income</v>
          </cell>
          <cell r="D62">
            <v>1.0199335548172757</v>
          </cell>
          <cell r="E62">
            <v>1.1313131313131313</v>
          </cell>
          <cell r="F62">
            <v>0.9454926624737946</v>
          </cell>
          <cell r="G62">
            <v>0.82393162393162389</v>
          </cell>
          <cell r="H62">
            <v>0.66224188790560468</v>
          </cell>
          <cell r="I62">
            <v>0.80808080808080807</v>
          </cell>
          <cell r="J62">
            <v>1.0730837789661318</v>
          </cell>
        </row>
        <row r="65">
          <cell r="B65" t="str">
            <v>Book Equity</v>
          </cell>
          <cell r="D65">
            <v>1133</v>
          </cell>
          <cell r="E65">
            <v>939</v>
          </cell>
          <cell r="F65">
            <v>1206</v>
          </cell>
          <cell r="G65">
            <v>1573</v>
          </cell>
          <cell r="H65">
            <v>1408</v>
          </cell>
          <cell r="I65">
            <v>1292</v>
          </cell>
          <cell r="J65">
            <v>1486</v>
          </cell>
        </row>
        <row r="66">
          <cell r="B66" t="str">
            <v>Avg. Book Equity</v>
          </cell>
        </row>
        <row r="68">
          <cell r="B68" t="str">
            <v>ROE</v>
          </cell>
          <cell r="D68">
            <v>0.26566637246248898</v>
          </cell>
          <cell r="E68">
            <v>0.4217252396166134</v>
          </cell>
          <cell r="F68">
            <v>0.39552238805970147</v>
          </cell>
          <cell r="G68">
            <v>0.37190082644628097</v>
          </cell>
          <cell r="H68">
            <v>0.48153409090909088</v>
          </cell>
          <cell r="I68">
            <v>0.45975232198142413</v>
          </cell>
          <cell r="J68">
            <v>0.3775235531628533</v>
          </cell>
        </row>
        <row r="69">
          <cell r="B69" t="str">
            <v>ROE (Average)</v>
          </cell>
          <cell r="E69">
            <v>0.38223938223938225</v>
          </cell>
          <cell r="F69">
            <v>0.44475524475524475</v>
          </cell>
          <cell r="G69">
            <v>0.4210147535084563</v>
          </cell>
          <cell r="H69">
            <v>0.45488091244548812</v>
          </cell>
          <cell r="I69">
            <v>0.44</v>
          </cell>
          <cell r="J69">
            <v>0.4038876889848812</v>
          </cell>
        </row>
        <row r="72">
          <cell r="B72" t="str">
            <v xml:space="preserve">Year </v>
          </cell>
          <cell r="C72">
            <v>2001</v>
          </cell>
          <cell r="D72">
            <v>2002</v>
          </cell>
          <cell r="E72">
            <v>2003</v>
          </cell>
          <cell r="F72">
            <v>2004</v>
          </cell>
          <cell r="G72">
            <v>2005</v>
          </cell>
          <cell r="H72">
            <v>2006</v>
          </cell>
          <cell r="I72">
            <v>2007</v>
          </cell>
          <cell r="J72">
            <v>2008</v>
          </cell>
          <cell r="K72">
            <v>2009</v>
          </cell>
          <cell r="L72">
            <v>2010</v>
          </cell>
          <cell r="M72">
            <v>2011</v>
          </cell>
          <cell r="N72">
            <v>2012</v>
          </cell>
          <cell r="O72">
            <v>2013</v>
          </cell>
          <cell r="P72">
            <v>2014</v>
          </cell>
          <cell r="Q72">
            <v>2015</v>
          </cell>
        </row>
        <row r="74">
          <cell r="B74" t="str">
            <v>Ending Cash</v>
          </cell>
          <cell r="C74">
            <v>60</v>
          </cell>
          <cell r="D74">
            <v>49</v>
          </cell>
          <cell r="E74">
            <v>66</v>
          </cell>
          <cell r="F74">
            <v>196</v>
          </cell>
          <cell r="G74">
            <v>145</v>
          </cell>
          <cell r="H74">
            <v>144</v>
          </cell>
          <cell r="I74">
            <v>231</v>
          </cell>
          <cell r="J74">
            <v>175</v>
          </cell>
          <cell r="K74">
            <v>235</v>
          </cell>
          <cell r="L74">
            <v>469.65606153846159</v>
          </cell>
          <cell r="M74">
            <v>660.43084057692329</v>
          </cell>
          <cell r="N74">
            <v>844.90461878205144</v>
          </cell>
          <cell r="O74">
            <v>970.07879948718005</v>
          </cell>
          <cell r="P74">
            <v>1088.5146937179493</v>
          </cell>
          <cell r="Q74">
            <v>1187.9831396153854</v>
          </cell>
        </row>
        <row r="76">
          <cell r="B76" t="str">
            <v>Sales</v>
          </cell>
          <cell r="C76">
            <v>2820</v>
          </cell>
          <cell r="D76">
            <v>2492</v>
          </cell>
          <cell r="E76">
            <v>2542</v>
          </cell>
          <cell r="F76">
            <v>2930</v>
          </cell>
          <cell r="G76">
            <v>3445</v>
          </cell>
          <cell r="H76">
            <v>3863</v>
          </cell>
          <cell r="I76">
            <v>4415</v>
          </cell>
          <cell r="J76">
            <v>4769</v>
          </cell>
          <cell r="K76">
            <v>4470</v>
          </cell>
          <cell r="L76">
            <v>4725</v>
          </cell>
          <cell r="M76">
            <v>5100</v>
          </cell>
          <cell r="N76">
            <v>5460</v>
          </cell>
          <cell r="O76">
            <v>5850</v>
          </cell>
          <cell r="P76">
            <v>6170</v>
          </cell>
          <cell r="Q76">
            <v>6495</v>
          </cell>
        </row>
        <row r="77">
          <cell r="B77" t="str">
            <v>Cash % Sales</v>
          </cell>
          <cell r="C77">
            <v>2.1276595744680851E-2</v>
          </cell>
          <cell r="D77">
            <v>1.9662921348314606E-2</v>
          </cell>
          <cell r="E77">
            <v>2.5963808025177025E-2</v>
          </cell>
          <cell r="F77">
            <v>6.6894197952218432E-2</v>
          </cell>
          <cell r="G77">
            <v>4.2089985486211901E-2</v>
          </cell>
          <cell r="H77">
            <v>3.7276727931659336E-2</v>
          </cell>
          <cell r="I77">
            <v>5.2321630804077007E-2</v>
          </cell>
          <cell r="J77">
            <v>3.6695323967288737E-2</v>
          </cell>
          <cell r="K77">
            <v>5.2572706935123045E-2</v>
          </cell>
          <cell r="L77">
            <v>9.9398108262108278E-2</v>
          </cell>
          <cell r="M77">
            <v>0.12949624325037712</v>
          </cell>
          <cell r="N77">
            <v>0.15474443567436841</v>
          </cell>
          <cell r="O77">
            <v>0.16582543580977438</v>
          </cell>
          <cell r="P77">
            <v>0.1764205338278686</v>
          </cell>
          <cell r="Q77">
            <v>0.1829073348137622</v>
          </cell>
        </row>
        <row r="80">
          <cell r="B80" t="str">
            <v>Operating Cash % Sales</v>
          </cell>
          <cell r="C80">
            <v>0.02</v>
          </cell>
          <cell r="D80">
            <v>0.02</v>
          </cell>
          <cell r="E80">
            <v>0.02</v>
          </cell>
          <cell r="F80">
            <v>0.02</v>
          </cell>
          <cell r="G80">
            <v>0.02</v>
          </cell>
          <cell r="H80">
            <v>0.02</v>
          </cell>
          <cell r="I80">
            <v>0.02</v>
          </cell>
          <cell r="J80">
            <v>0.02</v>
          </cell>
          <cell r="K80">
            <v>0.02</v>
          </cell>
          <cell r="L80">
            <v>0.02</v>
          </cell>
          <cell r="M80">
            <v>0.02</v>
          </cell>
          <cell r="N80">
            <v>0.02</v>
          </cell>
          <cell r="O80">
            <v>0.02</v>
          </cell>
          <cell r="P80">
            <v>0.02</v>
          </cell>
          <cell r="Q80">
            <v>0.02</v>
          </cell>
        </row>
        <row r="81">
          <cell r="B81" t="str">
            <v>Excess Cash</v>
          </cell>
          <cell r="C81">
            <v>3.6000000000000014</v>
          </cell>
          <cell r="D81">
            <v>-0.84000000000000341</v>
          </cell>
          <cell r="E81">
            <v>15.159999999999997</v>
          </cell>
          <cell r="F81">
            <v>137.4</v>
          </cell>
          <cell r="G81">
            <v>76.099999999999994</v>
          </cell>
          <cell r="H81">
            <v>66.739999999999995</v>
          </cell>
          <cell r="I81">
            <v>142.69999999999999</v>
          </cell>
          <cell r="J81">
            <v>79.62</v>
          </cell>
          <cell r="K81">
            <v>145.6</v>
          </cell>
          <cell r="L81">
            <v>375.15606153846159</v>
          </cell>
          <cell r="M81">
            <v>558.43084057692329</v>
          </cell>
          <cell r="N81">
            <v>735.7046187820514</v>
          </cell>
          <cell r="O81">
            <v>853.07879948718005</v>
          </cell>
          <cell r="P81">
            <v>965.11469371794931</v>
          </cell>
          <cell r="Q81">
            <v>1058.0831396153853</v>
          </cell>
        </row>
      </sheetData>
      <sheetData sheetId="18" refreshError="1">
        <row r="2">
          <cell r="F2">
            <v>2009</v>
          </cell>
          <cell r="G2">
            <v>2010</v>
          </cell>
          <cell r="H2">
            <v>2011</v>
          </cell>
          <cell r="I2">
            <v>2012</v>
          </cell>
          <cell r="J2">
            <v>2013</v>
          </cell>
          <cell r="K2">
            <v>2014</v>
          </cell>
        </row>
        <row r="5">
          <cell r="B5" t="str">
            <v>Sales</v>
          </cell>
          <cell r="F5">
            <v>4470</v>
          </cell>
          <cell r="G5">
            <v>4725</v>
          </cell>
          <cell r="H5">
            <v>5100</v>
          </cell>
          <cell r="I5">
            <v>5460</v>
          </cell>
          <cell r="J5">
            <v>5850</v>
          </cell>
          <cell r="K5">
            <v>6170</v>
          </cell>
        </row>
        <row r="8">
          <cell r="B8" t="str">
            <v>EBIT</v>
          </cell>
          <cell r="F8">
            <v>867.44</v>
          </cell>
          <cell r="G8">
            <v>991.1724999999999</v>
          </cell>
          <cell r="H8">
            <v>1066.55</v>
          </cell>
          <cell r="I8">
            <v>1168.931785714286</v>
          </cell>
          <cell r="J8">
            <v>1237.6240842490843</v>
          </cell>
          <cell r="K8">
            <v>1307.4809890109889</v>
          </cell>
        </row>
        <row r="9">
          <cell r="B9" t="str">
            <v>Tax Rate</v>
          </cell>
          <cell r="F9">
            <v>0.31184435170255148</v>
          </cell>
          <cell r="G9">
            <v>0.31</v>
          </cell>
          <cell r="H9">
            <v>0.31</v>
          </cell>
          <cell r="I9">
            <v>0.31</v>
          </cell>
          <cell r="J9">
            <v>0.31</v>
          </cell>
          <cell r="K9">
            <v>0.31</v>
          </cell>
        </row>
        <row r="10">
          <cell r="B10" t="str">
            <v>NOPAT</v>
          </cell>
          <cell r="F10">
            <v>596.93373555913877</v>
          </cell>
          <cell r="G10">
            <v>683.90902499999993</v>
          </cell>
          <cell r="H10">
            <v>735.91949999999986</v>
          </cell>
          <cell r="I10">
            <v>806.56293214285722</v>
          </cell>
          <cell r="J10">
            <v>853.96061813186805</v>
          </cell>
          <cell r="K10">
            <v>902.16188241758221</v>
          </cell>
        </row>
        <row r="12">
          <cell r="B12" t="str">
            <v>Debt</v>
          </cell>
          <cell r="F12">
            <v>531</v>
          </cell>
          <cell r="G12">
            <v>531</v>
          </cell>
          <cell r="H12">
            <v>531</v>
          </cell>
          <cell r="I12">
            <v>531</v>
          </cell>
          <cell r="J12">
            <v>531</v>
          </cell>
          <cell r="K12">
            <v>531</v>
          </cell>
        </row>
        <row r="13">
          <cell r="B13" t="str">
            <v>Equity</v>
          </cell>
          <cell r="F13">
            <v>1292</v>
          </cell>
          <cell r="G13">
            <v>1588.2926000000002</v>
          </cell>
          <cell r="H13">
            <v>1894.9539175000002</v>
          </cell>
          <cell r="I13">
            <v>2188.0225675000002</v>
          </cell>
          <cell r="J13">
            <v>2480.5416200000004</v>
          </cell>
          <cell r="K13">
            <v>2756.2390526923082</v>
          </cell>
        </row>
        <row r="14">
          <cell r="B14" t="str">
            <v>Total Capital</v>
          </cell>
          <cell r="F14">
            <v>1823</v>
          </cell>
          <cell r="G14">
            <v>2119.2926000000002</v>
          </cell>
          <cell r="H14">
            <v>2425.9539175</v>
          </cell>
          <cell r="I14">
            <v>2719.0225675000002</v>
          </cell>
          <cell r="J14">
            <v>3011.5416200000004</v>
          </cell>
          <cell r="K14">
            <v>3287.2390526923082</v>
          </cell>
        </row>
        <row r="16">
          <cell r="B16" t="str">
            <v>Return on Avg. Capital</v>
          </cell>
          <cell r="G16">
            <v>0.34696005314268141</v>
          </cell>
          <cell r="H16">
            <v>0.32381939996723175</v>
          </cell>
          <cell r="I16">
            <v>0.31353415685936109</v>
          </cell>
          <cell r="J16">
            <v>0.2980371880292696</v>
          </cell>
          <cell r="K16">
            <v>0.28645603944547832</v>
          </cell>
        </row>
        <row r="18">
          <cell r="B18" t="str">
            <v>Less: Excess Cash</v>
          </cell>
          <cell r="F18">
            <v>-335.55606153846156</v>
          </cell>
          <cell r="G18">
            <v>-518.68084057692329</v>
          </cell>
          <cell r="H18">
            <v>-691.90461878205144</v>
          </cell>
          <cell r="I18">
            <v>-806.27879948718009</v>
          </cell>
          <cell r="J18">
            <v>-913.01469371794929</v>
          </cell>
          <cell r="K18">
            <v>-1002.8831396153854</v>
          </cell>
        </row>
        <row r="19">
          <cell r="B19" t="str">
            <v>Net Capital</v>
          </cell>
          <cell r="F19">
            <v>1487.4439384615384</v>
          </cell>
          <cell r="G19">
            <v>1600.6117594230768</v>
          </cell>
          <cell r="H19">
            <v>1734.0492987179487</v>
          </cell>
          <cell r="I19">
            <v>1912.7437680128201</v>
          </cell>
          <cell r="J19">
            <v>2098.5269262820511</v>
          </cell>
          <cell r="K19">
            <v>2284.3559130769227</v>
          </cell>
        </row>
        <row r="21">
          <cell r="B21" t="str">
            <v>Return on Avg. Net Capital</v>
          </cell>
          <cell r="G21">
            <v>0.44293827049071194</v>
          </cell>
          <cell r="H21">
            <v>0.44137589228348928</v>
          </cell>
          <cell r="I21">
            <v>0.44234093757664983</v>
          </cell>
          <cell r="J21">
            <v>0.4257805983258296</v>
          </cell>
          <cell r="K21">
            <v>0.41167510767845644</v>
          </cell>
        </row>
        <row r="28">
          <cell r="B28" t="str">
            <v>Cash</v>
          </cell>
          <cell r="E28">
            <v>235</v>
          </cell>
          <cell r="F28">
            <v>469.65606153846159</v>
          </cell>
          <cell r="G28">
            <v>660.43084057692329</v>
          </cell>
          <cell r="H28">
            <v>844.90461878205144</v>
          </cell>
          <cell r="I28">
            <v>970.07879948718005</v>
          </cell>
          <cell r="J28">
            <v>1088.5146937179493</v>
          </cell>
          <cell r="K28">
            <v>1187.9831396153854</v>
          </cell>
        </row>
        <row r="29">
          <cell r="F29">
            <v>0.10506847014283258</v>
          </cell>
          <cell r="G29">
            <v>0.13977372287342291</v>
          </cell>
          <cell r="H29">
            <v>0.16566757231020615</v>
          </cell>
          <cell r="I29">
            <v>0.17767010979618683</v>
          </cell>
          <cell r="J29">
            <v>0.18607088781503406</v>
          </cell>
          <cell r="K29">
            <v>0.19254183786310947</v>
          </cell>
        </row>
        <row r="32">
          <cell r="F32">
            <v>0.03</v>
          </cell>
          <cell r="G32">
            <v>0.03</v>
          </cell>
          <cell r="H32">
            <v>0.03</v>
          </cell>
          <cell r="I32">
            <v>0.03</v>
          </cell>
          <cell r="J32">
            <v>0.03</v>
          </cell>
          <cell r="K32">
            <v>0.03</v>
          </cell>
        </row>
        <row r="33">
          <cell r="B33" t="str">
            <v>Operating Cash</v>
          </cell>
          <cell r="F33">
            <v>134.1</v>
          </cell>
          <cell r="G33">
            <v>141.75</v>
          </cell>
          <cell r="H33">
            <v>153</v>
          </cell>
          <cell r="I33">
            <v>163.79999999999998</v>
          </cell>
          <cell r="J33">
            <v>175.5</v>
          </cell>
          <cell r="K33">
            <v>185.1</v>
          </cell>
        </row>
        <row r="35">
          <cell r="B35" t="str">
            <v>Excess Cash</v>
          </cell>
          <cell r="F35">
            <v>335.55606153846156</v>
          </cell>
          <cell r="G35">
            <v>518.68084057692329</v>
          </cell>
          <cell r="H35">
            <v>691.90461878205144</v>
          </cell>
          <cell r="I35">
            <v>806.27879948718009</v>
          </cell>
          <cell r="J35">
            <v>913.01469371794929</v>
          </cell>
          <cell r="K35">
            <v>1002.8831396153854</v>
          </cell>
        </row>
        <row r="38">
          <cell r="F38">
            <v>2009</v>
          </cell>
          <cell r="G38">
            <v>2010</v>
          </cell>
          <cell r="H38">
            <v>2011</v>
          </cell>
          <cell r="I38">
            <v>2012</v>
          </cell>
          <cell r="J38">
            <v>2013</v>
          </cell>
          <cell r="K38">
            <v>2014</v>
          </cell>
        </row>
        <row r="40">
          <cell r="B40" t="str">
            <v>Net Income</v>
          </cell>
          <cell r="F40">
            <v>594</v>
          </cell>
          <cell r="G40">
            <v>580.41800000000001</v>
          </cell>
          <cell r="H40">
            <v>666.65902499999993</v>
          </cell>
          <cell r="I40">
            <v>718.66949999999997</v>
          </cell>
          <cell r="J40">
            <v>789.31293214285733</v>
          </cell>
          <cell r="K40">
            <v>836.71061813186816</v>
          </cell>
        </row>
        <row r="41">
          <cell r="B41" t="str">
            <v>D&amp;A</v>
          </cell>
          <cell r="F41">
            <v>144</v>
          </cell>
          <cell r="G41">
            <v>151.73846153846154</v>
          </cell>
          <cell r="H41">
            <v>156.23846153846154</v>
          </cell>
          <cell r="I41">
            <v>163.40512820512822</v>
          </cell>
          <cell r="J41">
            <v>170.90512820512822</v>
          </cell>
          <cell r="K41">
            <v>178.73846153846154</v>
          </cell>
        </row>
        <row r="42">
          <cell r="B42" t="str">
            <v>Non-cash Comp</v>
          </cell>
          <cell r="F42">
            <v>81</v>
          </cell>
          <cell r="G42">
            <v>90</v>
          </cell>
          <cell r="H42">
            <v>90</v>
          </cell>
          <cell r="I42">
            <v>90</v>
          </cell>
          <cell r="J42">
            <v>90</v>
          </cell>
          <cell r="K42">
            <v>90</v>
          </cell>
        </row>
        <row r="43">
          <cell r="B43" t="str">
            <v>Pension &amp; Other</v>
          </cell>
          <cell r="F43">
            <v>-30</v>
          </cell>
          <cell r="G43">
            <v>-98</v>
          </cell>
          <cell r="H43">
            <v>-100</v>
          </cell>
          <cell r="I43">
            <v>-100</v>
          </cell>
          <cell r="J43">
            <v>-100</v>
          </cell>
          <cell r="K43">
            <v>-100</v>
          </cell>
        </row>
        <row r="44">
          <cell r="B44" t="str">
            <v>Working Capital</v>
          </cell>
          <cell r="F44">
            <v>-156</v>
          </cell>
          <cell r="G44">
            <v>20.625000000000057</v>
          </cell>
          <cell r="H44">
            <v>-22.124999999999886</v>
          </cell>
          <cell r="I44">
            <v>-12</v>
          </cell>
          <cell r="J44">
            <v>-68.249999999999886</v>
          </cell>
          <cell r="K44">
            <v>-56.000000000000171</v>
          </cell>
        </row>
        <row r="45">
          <cell r="B45" t="str">
            <v>Operating Cash Flow (OCF)</v>
          </cell>
          <cell r="F45">
            <v>633</v>
          </cell>
          <cell r="G45">
            <v>744.7814615384616</v>
          </cell>
          <cell r="H45">
            <v>790.77248653846152</v>
          </cell>
          <cell r="I45">
            <v>860.07462820512819</v>
          </cell>
          <cell r="J45">
            <v>881.96806034798567</v>
          </cell>
          <cell r="K45">
            <v>949.44907967032941</v>
          </cell>
        </row>
        <row r="47">
          <cell r="B47" t="str">
            <v>OCF % Net Income</v>
          </cell>
          <cell r="F47">
            <v>1.0656565656565657</v>
          </cell>
          <cell r="G47">
            <v>1.2831811927584285</v>
          </cell>
          <cell r="H47">
            <v>1.1861723263079826</v>
          </cell>
          <cell r="I47">
            <v>1.1967596067526565</v>
          </cell>
          <cell r="J47">
            <v>1.1173870646634214</v>
          </cell>
          <cell r="K47">
            <v>1.1347400870687807</v>
          </cell>
        </row>
        <row r="48">
          <cell r="B48" t="str">
            <v>OCF % Sales</v>
          </cell>
          <cell r="F48">
            <v>0.14161073825503356</v>
          </cell>
          <cell r="G48">
            <v>0.15762570614570615</v>
          </cell>
          <cell r="H48">
            <v>0.15505342873303168</v>
          </cell>
          <cell r="I48">
            <v>0.15752282567859491</v>
          </cell>
          <cell r="J48">
            <v>0.15076377099965568</v>
          </cell>
          <cell r="K48">
            <v>0.15388153641334351</v>
          </cell>
          <cell r="M48" t="str">
            <v>In-line with historical mid-teen OCF margins</v>
          </cell>
        </row>
        <row r="50">
          <cell r="B50" t="str">
            <v>Capex</v>
          </cell>
          <cell r="F50">
            <v>-153</v>
          </cell>
          <cell r="G50">
            <v>-135</v>
          </cell>
          <cell r="H50">
            <v>-150</v>
          </cell>
          <cell r="I50">
            <v>-160</v>
          </cell>
          <cell r="J50">
            <v>-170</v>
          </cell>
          <cell r="K50">
            <v>-180</v>
          </cell>
        </row>
        <row r="51">
          <cell r="B51" t="str">
            <v>Free Cash Flow</v>
          </cell>
          <cell r="F51">
            <v>480</v>
          </cell>
          <cell r="G51">
            <v>609.7814615384616</v>
          </cell>
          <cell r="H51">
            <v>640.77248653846152</v>
          </cell>
          <cell r="I51">
            <v>700.07462820512819</v>
          </cell>
          <cell r="J51">
            <v>711.96806034798567</v>
          </cell>
          <cell r="K51">
            <v>769.44907967032941</v>
          </cell>
        </row>
        <row r="53">
          <cell r="B53" t="str">
            <v>Capex % Sales</v>
          </cell>
          <cell r="F53">
            <v>3.4228187919463089E-2</v>
          </cell>
          <cell r="G53">
            <v>2.8571428571428571E-2</v>
          </cell>
          <cell r="H53">
            <v>2.9411764705882353E-2</v>
          </cell>
          <cell r="I53">
            <v>2.9304029304029304E-2</v>
          </cell>
          <cell r="J53">
            <v>2.9059829059829061E-2</v>
          </cell>
          <cell r="K53">
            <v>2.9173419773095625E-2</v>
          </cell>
          <cell r="M53" t="str">
            <v>2001-2009 avg of ~3% sales</v>
          </cell>
        </row>
        <row r="55">
          <cell r="B55" t="str">
            <v>Dividends</v>
          </cell>
          <cell r="F55">
            <v>-152</v>
          </cell>
          <cell r="G55">
            <v>-174.12539999999998</v>
          </cell>
          <cell r="H55">
            <v>-199.99770749999996</v>
          </cell>
          <cell r="I55">
            <v>-215.60084999999998</v>
          </cell>
          <cell r="J55">
            <v>-236.79387964285718</v>
          </cell>
          <cell r="K55">
            <v>-251.01318543956043</v>
          </cell>
        </row>
        <row r="56">
          <cell r="B56" t="str">
            <v>Discretionary Cash Flow</v>
          </cell>
          <cell r="F56">
            <v>328</v>
          </cell>
          <cell r="G56">
            <v>435.65606153846159</v>
          </cell>
          <cell r="H56">
            <v>440.77477903846159</v>
          </cell>
          <cell r="I56">
            <v>484.47377820512821</v>
          </cell>
          <cell r="J56">
            <v>475.17418070512849</v>
          </cell>
          <cell r="K56">
            <v>518.43589423076901</v>
          </cell>
        </row>
        <row r="58">
          <cell r="B58" t="str">
            <v>Dividend Payout Ratio</v>
          </cell>
          <cell r="F58">
            <v>0.25589225589225589</v>
          </cell>
          <cell r="G58">
            <v>0.3</v>
          </cell>
          <cell r="H58">
            <v>0.3</v>
          </cell>
          <cell r="I58">
            <v>0.3</v>
          </cell>
          <cell r="J58">
            <v>0.3</v>
          </cell>
          <cell r="K58">
            <v>0.3</v>
          </cell>
          <cell r="M58">
            <v>0.21424672489082969</v>
          </cell>
        </row>
        <row r="60">
          <cell r="B60" t="str">
            <v>Assumed Share Repurchase</v>
          </cell>
          <cell r="F60">
            <v>-153</v>
          </cell>
          <cell r="G60">
            <v>-200</v>
          </cell>
          <cell r="H60">
            <v>-250</v>
          </cell>
          <cell r="I60">
            <v>-300</v>
          </cell>
          <cell r="J60">
            <v>-350</v>
          </cell>
          <cell r="K60">
            <v>-400</v>
          </cell>
        </row>
        <row r="61">
          <cell r="B61" t="str">
            <v>Remaining Free Cash Flow</v>
          </cell>
          <cell r="F61">
            <v>175</v>
          </cell>
          <cell r="G61">
            <v>235.65606153846159</v>
          </cell>
          <cell r="H61">
            <v>190.77477903846159</v>
          </cell>
          <cell r="I61">
            <v>184.47377820512821</v>
          </cell>
          <cell r="J61">
            <v>125.17418070512849</v>
          </cell>
          <cell r="K61">
            <v>118.43589423076901</v>
          </cell>
        </row>
        <row r="63">
          <cell r="F63">
            <v>235</v>
          </cell>
          <cell r="G63">
            <v>470.65606153846159</v>
          </cell>
          <cell r="H63">
            <v>661.43084057692317</v>
          </cell>
          <cell r="I63">
            <v>845.90461878205133</v>
          </cell>
          <cell r="J63">
            <v>971.07879948717982</v>
          </cell>
          <cell r="K63">
            <v>1089.5146937179488</v>
          </cell>
        </row>
        <row r="64">
          <cell r="G64">
            <v>234.65606153846159</v>
          </cell>
          <cell r="H64">
            <v>190.7747790384617</v>
          </cell>
          <cell r="I64">
            <v>184.47377820512816</v>
          </cell>
          <cell r="J64">
            <v>125.17418070512861</v>
          </cell>
          <cell r="K64">
            <v>118.43589423076912</v>
          </cell>
        </row>
        <row r="66">
          <cell r="G66">
            <v>159</v>
          </cell>
          <cell r="H66">
            <v>157</v>
          </cell>
          <cell r="I66">
            <v>153</v>
          </cell>
          <cell r="J66">
            <v>151.47</v>
          </cell>
          <cell r="K66">
            <v>149.95529999999999</v>
          </cell>
        </row>
        <row r="68">
          <cell r="G68">
            <v>4.6841601354620224</v>
          </cell>
          <cell r="H68">
            <v>5.0367674301812837</v>
          </cell>
          <cell r="I68">
            <v>5.6214027987263284</v>
          </cell>
          <cell r="J68">
            <v>5.8227243701590128</v>
          </cell>
          <cell r="K68">
            <v>6.3315473322405369</v>
          </cell>
        </row>
        <row r="69">
          <cell r="G69">
            <v>3.8351035316884379</v>
          </cell>
          <cell r="H69">
            <v>4.08135341744243</v>
          </cell>
          <cell r="I69">
            <v>4.5756511647393996</v>
          </cell>
          <cell r="J69">
            <v>4.7003899144912236</v>
          </cell>
          <cell r="K69">
            <v>5.1311896256439713</v>
          </cell>
        </row>
        <row r="71">
          <cell r="F71">
            <v>62.62</v>
          </cell>
          <cell r="G71">
            <v>7.4802940521590908E-2</v>
          </cell>
          <cell r="H71">
            <v>8.0433845898774892E-2</v>
          </cell>
          <cell r="I71">
            <v>8.9770086214090203E-2</v>
          </cell>
          <cell r="J71">
            <v>9.298505861001298E-2</v>
          </cell>
          <cell r="K71">
            <v>0.10111062491600986</v>
          </cell>
        </row>
        <row r="72">
          <cell r="G72">
            <v>6.1244067896653431E-2</v>
          </cell>
          <cell r="H72">
            <v>6.5176515768802776E-2</v>
          </cell>
          <cell r="I72">
            <v>7.3070123997754713E-2</v>
          </cell>
          <cell r="J72">
            <v>7.5062119362683227E-2</v>
          </cell>
          <cell r="K72">
            <v>8.1941705934908515E-2</v>
          </cell>
        </row>
        <row r="74">
          <cell r="G74">
            <v>4.4800000000000004</v>
          </cell>
          <cell r="H74">
            <v>4.95</v>
          </cell>
          <cell r="I74">
            <v>5.38</v>
          </cell>
        </row>
        <row r="75">
          <cell r="G75">
            <v>3.29</v>
          </cell>
          <cell r="H75">
            <v>3.99</v>
          </cell>
          <cell r="I75">
            <v>4.4400000000000004</v>
          </cell>
        </row>
        <row r="77">
          <cell r="G77">
            <v>4.5571458808487009E-2</v>
          </cell>
          <cell r="H77">
            <v>1.7528773773996642E-2</v>
          </cell>
          <cell r="I77">
            <v>4.487040868519121E-2</v>
          </cell>
        </row>
        <row r="78">
          <cell r="G78">
            <v>0.16568496403903876</v>
          </cell>
          <cell r="H78">
            <v>2.2895593343967402E-2</v>
          </cell>
          <cell r="I78">
            <v>3.0552064130495271E-2</v>
          </cell>
        </row>
        <row r="81">
          <cell r="F81">
            <v>3.8143036386449181</v>
          </cell>
          <cell r="G81">
            <v>3.6463396226415097</v>
          </cell>
          <cell r="H81">
            <v>4.2462358280254771</v>
          </cell>
          <cell r="I81">
            <v>4.6971862745098036</v>
          </cell>
          <cell r="J81">
            <v>5.2110182355770602</v>
          </cell>
          <cell r="K81">
            <v>5.5797335481431345</v>
          </cell>
        </row>
        <row r="82">
          <cell r="G82">
            <v>18</v>
          </cell>
          <cell r="H82">
            <v>18</v>
          </cell>
          <cell r="I82">
            <v>18</v>
          </cell>
          <cell r="J82">
            <v>18</v>
          </cell>
          <cell r="K82">
            <v>18</v>
          </cell>
        </row>
        <row r="83">
          <cell r="F83">
            <v>50</v>
          </cell>
          <cell r="G83">
            <v>65.634113207547173</v>
          </cell>
          <cell r="H83">
            <v>76.432244904458585</v>
          </cell>
          <cell r="I83">
            <v>84.549352941176465</v>
          </cell>
          <cell r="J83">
            <v>93.798328240387079</v>
          </cell>
          <cell r="K83">
            <v>100.43520386657642</v>
          </cell>
        </row>
        <row r="86">
          <cell r="F86">
            <v>-2.1485573971761762E-2</v>
          </cell>
          <cell r="G86">
            <v>-2.5094102885822034E-3</v>
          </cell>
          <cell r="H86">
            <v>-1.2578616352201255E-2</v>
          </cell>
          <cell r="I86">
            <v>-2.5477707006369421E-2</v>
          </cell>
          <cell r="J86">
            <v>-1.0000000000000009E-2</v>
          </cell>
          <cell r="K86">
            <v>-1.0000000000000009E-2</v>
          </cell>
        </row>
        <row r="87">
          <cell r="F87">
            <v>-350</v>
          </cell>
          <cell r="G87">
            <v>-52.507290566038485</v>
          </cell>
          <cell r="H87">
            <v>-305.72897961783434</v>
          </cell>
          <cell r="I87">
            <v>-676.39482352941172</v>
          </cell>
          <cell r="J87">
            <v>-287.02288441558466</v>
          </cell>
          <cell r="K87">
            <v>-304.25840659340759</v>
          </cell>
        </row>
        <row r="96">
          <cell r="D96">
            <v>235</v>
          </cell>
          <cell r="E96">
            <v>609.7814615384616</v>
          </cell>
          <cell r="F96">
            <v>640.77248653846152</v>
          </cell>
          <cell r="G96">
            <v>700.07462820512819</v>
          </cell>
          <cell r="H96">
            <v>2185.6285762820512</v>
          </cell>
          <cell r="I96">
            <v>-531</v>
          </cell>
          <cell r="J96">
            <v>1654.6285762820512</v>
          </cell>
        </row>
        <row r="103">
          <cell r="E103">
            <v>3.52</v>
          </cell>
          <cell r="F103">
            <v>3.95</v>
          </cell>
          <cell r="G103">
            <v>4.51</v>
          </cell>
        </row>
        <row r="104">
          <cell r="E104">
            <v>559</v>
          </cell>
          <cell r="F104">
            <v>621</v>
          </cell>
          <cell r="G104">
            <v>699</v>
          </cell>
        </row>
        <row r="105">
          <cell r="E105">
            <v>158.80681818181819</v>
          </cell>
          <cell r="F105">
            <v>157.21518987341773</v>
          </cell>
          <cell r="G105">
            <v>154.9889135254989</v>
          </cell>
        </row>
        <row r="107">
          <cell r="E107">
            <v>159</v>
          </cell>
          <cell r="F107">
            <v>157</v>
          </cell>
          <cell r="G107">
            <v>153</v>
          </cell>
        </row>
        <row r="109">
          <cell r="E109">
            <v>3.5157232704402515</v>
          </cell>
          <cell r="F109">
            <v>3.9554140127388533</v>
          </cell>
          <cell r="G109">
            <v>4.5686274509803919</v>
          </cell>
        </row>
        <row r="111">
          <cell r="E111">
            <v>580.41800000000001</v>
          </cell>
          <cell r="F111">
            <v>666.65902499999993</v>
          </cell>
          <cell r="G111">
            <v>718.66949999999997</v>
          </cell>
        </row>
        <row r="119">
          <cell r="D119">
            <v>2002</v>
          </cell>
          <cell r="E119">
            <v>2003</v>
          </cell>
          <cell r="F119">
            <v>2004</v>
          </cell>
          <cell r="G119">
            <v>2005</v>
          </cell>
          <cell r="H119">
            <v>2006</v>
          </cell>
          <cell r="I119" t="str">
            <v>2007</v>
          </cell>
          <cell r="J119">
            <v>2008</v>
          </cell>
          <cell r="K119" t="str">
            <v>2009A</v>
          </cell>
          <cell r="L119" t="str">
            <v>2010E</v>
          </cell>
          <cell r="M119" t="str">
            <v>2011E</v>
          </cell>
          <cell r="N119" t="str">
            <v>2012E</v>
          </cell>
        </row>
        <row r="120">
          <cell r="D120">
            <v>102</v>
          </cell>
          <cell r="E120">
            <v>154</v>
          </cell>
          <cell r="F120">
            <v>179</v>
          </cell>
          <cell r="G120">
            <v>498</v>
          </cell>
          <cell r="H120">
            <v>492</v>
          </cell>
          <cell r="I120">
            <v>333</v>
          </cell>
          <cell r="J120">
            <v>576</v>
          </cell>
          <cell r="K120">
            <v>153</v>
          </cell>
          <cell r="L120">
            <v>200</v>
          </cell>
          <cell r="M120">
            <v>250</v>
          </cell>
          <cell r="N120">
            <v>300</v>
          </cell>
        </row>
        <row r="121">
          <cell r="D121">
            <v>1.6567796610169492</v>
          </cell>
          <cell r="E121">
            <v>1.1705426356589148</v>
          </cell>
          <cell r="F121">
            <v>1.0199335548172757</v>
          </cell>
          <cell r="G121">
            <v>1.1313131313131313</v>
          </cell>
          <cell r="H121">
            <v>0.9454926624737946</v>
          </cell>
          <cell r="I121">
            <v>0.82393162393162389</v>
          </cell>
          <cell r="J121">
            <v>0.66224188790560468</v>
          </cell>
          <cell r="K121">
            <v>0.80808080808080807</v>
          </cell>
          <cell r="L121">
            <v>1.0505901979925873</v>
          </cell>
          <cell r="M121">
            <v>0.96116974721591997</v>
          </cell>
          <cell r="N121">
            <v>0.97412597613385321</v>
          </cell>
        </row>
        <row r="153">
          <cell r="D153">
            <v>2002</v>
          </cell>
          <cell r="E153">
            <v>2003</v>
          </cell>
          <cell r="F153">
            <v>2004</v>
          </cell>
          <cell r="G153">
            <v>2005</v>
          </cell>
          <cell r="H153">
            <v>2006</v>
          </cell>
          <cell r="I153" t="str">
            <v>2007</v>
          </cell>
          <cell r="J153">
            <v>2008</v>
          </cell>
          <cell r="K153" t="str">
            <v>2009A</v>
          </cell>
          <cell r="L153" t="str">
            <v>2010E</v>
          </cell>
          <cell r="M153" t="str">
            <v>2011E</v>
          </cell>
          <cell r="N153" t="str">
            <v>2012E</v>
          </cell>
        </row>
        <row r="154">
          <cell r="C154" t="str">
            <v>% Net Income</v>
          </cell>
          <cell r="D154">
            <v>0.27966101694915252</v>
          </cell>
          <cell r="E154">
            <v>0.24806201550387597</v>
          </cell>
          <cell r="F154">
            <v>0.2292358803986711</v>
          </cell>
          <cell r="G154">
            <v>0.21464646464646464</v>
          </cell>
          <cell r="H154">
            <v>0.20125786163522014</v>
          </cell>
          <cell r="I154">
            <v>0.18290598290598289</v>
          </cell>
          <cell r="J154">
            <v>0.19026548672566371</v>
          </cell>
          <cell r="K154">
            <v>0.25589225589225589</v>
          </cell>
          <cell r="L154">
            <v>0.3</v>
          </cell>
          <cell r="M154">
            <v>0.3</v>
          </cell>
          <cell r="N154">
            <v>0.3</v>
          </cell>
        </row>
        <row r="155">
          <cell r="C155" t="str">
            <v>% FCF</v>
          </cell>
          <cell r="D155">
            <v>0.16879795396419436</v>
          </cell>
          <cell r="E155">
            <v>0.2119205298013245</v>
          </cell>
          <cell r="F155">
            <v>0.22475570032573289</v>
          </cell>
          <cell r="G155">
            <v>0.18973214285714285</v>
          </cell>
          <cell r="H155">
            <v>0.21286031042128603</v>
          </cell>
          <cell r="I155">
            <v>0.22199170124481327</v>
          </cell>
          <cell r="J155">
            <v>0.28730512249443207</v>
          </cell>
          <cell r="K155">
            <v>0.31666666666666665</v>
          </cell>
          <cell r="L155">
            <v>0.28555377784146874</v>
          </cell>
          <cell r="M155">
            <v>0.31211968631864051</v>
          </cell>
          <cell r="N155">
            <v>0.30796838124638759</v>
          </cell>
        </row>
      </sheetData>
      <sheetData sheetId="19" refreshError="1">
        <row r="1">
          <cell r="A1" t="str">
            <v>Rockwell Collins, Inc.</v>
          </cell>
        </row>
        <row r="2">
          <cell r="A2" t="str">
            <v>Historical Valuation</v>
          </cell>
          <cell r="P2" t="str">
            <v>Red = Factset Code</v>
          </cell>
        </row>
        <row r="3">
          <cell r="A3" t="str">
            <v>Morgan Stanely Research</v>
          </cell>
        </row>
        <row r="4">
          <cell r="A4" t="str">
            <v>($ in Millions)</v>
          </cell>
        </row>
        <row r="5">
          <cell r="A5" t="str">
            <v xml:space="preserve">Updated: </v>
          </cell>
        </row>
        <row r="7">
          <cell r="B7" t="str">
            <v>COL</v>
          </cell>
        </row>
        <row r="8">
          <cell r="B8" t="str">
            <v>Fiscal Year Ended September</v>
          </cell>
        </row>
        <row r="9">
          <cell r="H9">
            <v>36891</v>
          </cell>
          <cell r="I9">
            <v>37164</v>
          </cell>
          <cell r="J9">
            <v>37529</v>
          </cell>
          <cell r="K9">
            <v>37894</v>
          </cell>
          <cell r="L9">
            <v>38260</v>
          </cell>
          <cell r="M9">
            <v>38625</v>
          </cell>
          <cell r="N9">
            <v>38990</v>
          </cell>
          <cell r="O9">
            <v>39355</v>
          </cell>
          <cell r="P9">
            <v>39721</v>
          </cell>
        </row>
        <row r="10">
          <cell r="B10" t="str">
            <v>($ in Millions)</v>
          </cell>
          <cell r="I10">
            <v>2001</v>
          </cell>
          <cell r="J10">
            <v>2002</v>
          </cell>
          <cell r="K10">
            <v>2003</v>
          </cell>
          <cell r="L10">
            <v>2004</v>
          </cell>
          <cell r="M10">
            <v>2005</v>
          </cell>
          <cell r="N10">
            <v>2006</v>
          </cell>
          <cell r="O10">
            <v>2007</v>
          </cell>
          <cell r="P10">
            <v>2008</v>
          </cell>
          <cell r="Q10">
            <v>2009</v>
          </cell>
          <cell r="R10">
            <v>2010</v>
          </cell>
          <cell r="S10">
            <v>2011</v>
          </cell>
        </row>
        <row r="12">
          <cell r="B12" t="str">
            <v>EBIT (excl. Extraordinary Items)</v>
          </cell>
          <cell r="I12">
            <v>409</v>
          </cell>
          <cell r="J12">
            <v>341</v>
          </cell>
          <cell r="K12">
            <v>367</v>
          </cell>
          <cell r="L12">
            <v>435</v>
          </cell>
          <cell r="M12">
            <v>569</v>
          </cell>
          <cell r="N12">
            <v>694</v>
          </cell>
          <cell r="O12">
            <v>851</v>
          </cell>
          <cell r="P12">
            <v>974</v>
          </cell>
          <cell r="Q12">
            <v>906</v>
          </cell>
          <cell r="R12">
            <v>867.44</v>
          </cell>
          <cell r="S12">
            <v>991.1724999999999</v>
          </cell>
        </row>
        <row r="13">
          <cell r="B13" t="str">
            <v xml:space="preserve">  % Margin</v>
          </cell>
          <cell r="I13">
            <v>0.14503546099290779</v>
          </cell>
          <cell r="J13">
            <v>0.1368378812199037</v>
          </cell>
          <cell r="K13">
            <v>0.14437450826121165</v>
          </cell>
          <cell r="L13">
            <v>0.14846416382252559</v>
          </cell>
          <cell r="M13">
            <v>0.16516690856313498</v>
          </cell>
          <cell r="N13">
            <v>0.1796531193373026</v>
          </cell>
          <cell r="O13">
            <v>0.19275198187995471</v>
          </cell>
          <cell r="P13">
            <v>0.20423568882365276</v>
          </cell>
          <cell r="Q13">
            <v>0.20268456375838925</v>
          </cell>
          <cell r="R13">
            <v>0.18358518518518518</v>
          </cell>
          <cell r="S13">
            <v>0.19434754901960782</v>
          </cell>
        </row>
        <row r="15">
          <cell r="B15" t="str">
            <v>Depreciation &amp; Amortization</v>
          </cell>
          <cell r="I15">
            <v>138</v>
          </cell>
          <cell r="J15">
            <v>105</v>
          </cell>
          <cell r="K15">
            <v>105</v>
          </cell>
          <cell r="L15">
            <v>109</v>
          </cell>
          <cell r="M15">
            <v>104</v>
          </cell>
          <cell r="N15">
            <v>106</v>
          </cell>
          <cell r="O15">
            <v>118</v>
          </cell>
          <cell r="P15">
            <v>129</v>
          </cell>
          <cell r="Q15">
            <v>144</v>
          </cell>
          <cell r="R15">
            <v>151.73846153846154</v>
          </cell>
          <cell r="S15">
            <v>156.23846153846154</v>
          </cell>
        </row>
        <row r="16">
          <cell r="B16" t="str">
            <v xml:space="preserve">  % Sales</v>
          </cell>
          <cell r="I16">
            <v>4.8936170212765959E-2</v>
          </cell>
          <cell r="J16">
            <v>4.2134831460674156E-2</v>
          </cell>
          <cell r="K16">
            <v>4.1306058221872541E-2</v>
          </cell>
          <cell r="L16">
            <v>3.720136518771331E-2</v>
          </cell>
          <cell r="M16">
            <v>3.0188679245283019E-2</v>
          </cell>
          <cell r="N16">
            <v>2.7439813616360342E-2</v>
          </cell>
          <cell r="O16">
            <v>2.6727066817667046E-2</v>
          </cell>
          <cell r="P16">
            <v>2.7049695953029987E-2</v>
          </cell>
          <cell r="Q16">
            <v>3.2214765100671144E-2</v>
          </cell>
          <cell r="R16">
            <v>3.2113960113960116E-2</v>
          </cell>
          <cell r="S16">
            <v>3.063499245852187E-2</v>
          </cell>
        </row>
        <row r="18">
          <cell r="B18" t="str">
            <v>EBITDA</v>
          </cell>
          <cell r="I18">
            <v>547</v>
          </cell>
          <cell r="J18">
            <v>446</v>
          </cell>
          <cell r="K18">
            <v>472</v>
          </cell>
          <cell r="L18">
            <v>544</v>
          </cell>
          <cell r="M18">
            <v>673</v>
          </cell>
          <cell r="N18">
            <v>800</v>
          </cell>
          <cell r="O18">
            <v>969</v>
          </cell>
          <cell r="P18">
            <v>1103</v>
          </cell>
          <cell r="Q18">
            <v>1050</v>
          </cell>
          <cell r="R18">
            <v>1019.1784615384615</v>
          </cell>
          <cell r="S18">
            <v>1147.4109615384614</v>
          </cell>
          <cell r="U18" t="b">
            <v>1</v>
          </cell>
        </row>
        <row r="19">
          <cell r="B19" t="str">
            <v xml:space="preserve">  % Margin</v>
          </cell>
          <cell r="I19">
            <v>0.19397163120567376</v>
          </cell>
          <cell r="J19">
            <v>0.17897271268057785</v>
          </cell>
          <cell r="K19">
            <v>0.18568056648308418</v>
          </cell>
          <cell r="L19">
            <v>0.18566552901023892</v>
          </cell>
          <cell r="M19">
            <v>0.195355587808418</v>
          </cell>
          <cell r="N19">
            <v>0.20709293295366296</v>
          </cell>
          <cell r="O19">
            <v>0.21947904869762175</v>
          </cell>
          <cell r="P19">
            <v>0.23128538477668276</v>
          </cell>
          <cell r="Q19">
            <v>0.2348993288590604</v>
          </cell>
          <cell r="R19">
            <v>0.2156991452991453</v>
          </cell>
          <cell r="S19">
            <v>0.22498254147812968</v>
          </cell>
        </row>
        <row r="21">
          <cell r="B21" t="str">
            <v>Enterprise Value</v>
          </cell>
        </row>
        <row r="22">
          <cell r="B22" t="str">
            <v xml:space="preserve"> Market Cap</v>
          </cell>
          <cell r="I22">
            <v>3609.8300000000004</v>
          </cell>
          <cell r="J22">
            <v>3773.1295</v>
          </cell>
          <cell r="K22">
            <v>4040.5435000000002</v>
          </cell>
          <cell r="L22">
            <v>5614.2</v>
          </cell>
          <cell r="M22">
            <v>7586.42</v>
          </cell>
          <cell r="N22">
            <v>9044.3349999999991</v>
          </cell>
          <cell r="O22">
            <v>10943.952999999998</v>
          </cell>
          <cell r="P22">
            <v>9817.1684999999998</v>
          </cell>
          <cell r="Q22">
            <v>6798.4179700000004</v>
          </cell>
          <cell r="R22">
            <v>8635.2900000000009</v>
          </cell>
          <cell r="S22">
            <v>8526.67</v>
          </cell>
        </row>
        <row r="23">
          <cell r="B23" t="str">
            <v xml:space="preserve"> Avg. Net Debt (Cash)</v>
          </cell>
          <cell r="I23">
            <v>142</v>
          </cell>
          <cell r="J23">
            <v>112.5</v>
          </cell>
          <cell r="K23">
            <v>29.5</v>
          </cell>
          <cell r="L23">
            <v>-9.5</v>
          </cell>
          <cell r="M23">
            <v>30</v>
          </cell>
          <cell r="N23">
            <v>78</v>
          </cell>
          <cell r="O23">
            <v>46.5</v>
          </cell>
          <cell r="P23">
            <v>166</v>
          </cell>
          <cell r="Q23">
            <v>318.5</v>
          </cell>
          <cell r="R23">
            <v>179.17196923076921</v>
          </cell>
          <cell r="S23">
            <v>-34.043451057692437</v>
          </cell>
        </row>
        <row r="24">
          <cell r="B24" t="str">
            <v>Total</v>
          </cell>
          <cell r="I24">
            <v>3751.8300000000004</v>
          </cell>
          <cell r="J24">
            <v>3885.6295</v>
          </cell>
          <cell r="K24">
            <v>4070.0435000000002</v>
          </cell>
          <cell r="L24">
            <v>5604.7</v>
          </cell>
          <cell r="M24">
            <v>7616.42</v>
          </cell>
          <cell r="N24">
            <v>9122.3349999999991</v>
          </cell>
          <cell r="O24">
            <v>10990.452999999998</v>
          </cell>
          <cell r="P24">
            <v>9983.1684999999998</v>
          </cell>
          <cell r="Q24">
            <v>7116.9179700000004</v>
          </cell>
          <cell r="R24">
            <v>8814.4619692307697</v>
          </cell>
          <cell r="S24">
            <v>8492.6265489423076</v>
          </cell>
        </row>
        <row r="26">
          <cell r="B26" t="str">
            <v>EV / EBITDA</v>
          </cell>
          <cell r="I26">
            <v>6.85892138939671</v>
          </cell>
          <cell r="J26">
            <v>8.712173766816143</v>
          </cell>
          <cell r="K26">
            <v>8.6229735169491537</v>
          </cell>
          <cell r="L26">
            <v>10.302757352941176</v>
          </cell>
          <cell r="M26">
            <v>11.317117384843982</v>
          </cell>
          <cell r="N26">
            <v>11.40291875</v>
          </cell>
          <cell r="O26">
            <v>11.342056759545921</v>
          </cell>
          <cell r="P26">
            <v>9.0509233907524926</v>
          </cell>
          <cell r="Q26">
            <v>6.7780171142857144</v>
          </cell>
          <cell r="R26">
            <v>8.6485952184715895</v>
          </cell>
          <cell r="S26">
            <v>7.401556054123188</v>
          </cell>
        </row>
        <row r="27">
          <cell r="B27" t="str">
            <v>P/E Ratio</v>
          </cell>
          <cell r="I27">
            <v>13.994301221166893</v>
          </cell>
          <cell r="J27">
            <v>16.16593616109683</v>
          </cell>
          <cell r="K27">
            <v>15.661021317829459</v>
          </cell>
          <cell r="L27">
            <v>18.651827242524917</v>
          </cell>
          <cell r="M27">
            <v>18.697276648182378</v>
          </cell>
          <cell r="N27">
            <v>18.605914420901048</v>
          </cell>
          <cell r="O27">
            <v>18.812123764503649</v>
          </cell>
          <cell r="P27">
            <v>14.479599557522125</v>
          </cell>
          <cell r="Q27">
            <v>11.181608503289475</v>
          </cell>
          <cell r="R27">
            <v>14.894388789998757</v>
          </cell>
          <cell r="S27">
            <v>12.790151607112799</v>
          </cell>
        </row>
        <row r="29">
          <cell r="B29" t="str">
            <v>52w High</v>
          </cell>
          <cell r="I29">
            <v>27.12</v>
          </cell>
          <cell r="J29">
            <v>28</v>
          </cell>
          <cell r="K29">
            <v>27.67</v>
          </cell>
          <cell r="L29">
            <v>37.49</v>
          </cell>
          <cell r="M29">
            <v>49.800000000000004</v>
          </cell>
          <cell r="N29">
            <v>60.410000000000004</v>
          </cell>
          <cell r="O29">
            <v>74.69</v>
          </cell>
          <cell r="P29">
            <v>76</v>
          </cell>
          <cell r="Q29">
            <v>57.63</v>
          </cell>
        </row>
        <row r="30">
          <cell r="B30" t="str">
            <v>52w Low</v>
          </cell>
          <cell r="I30">
            <v>11.8</v>
          </cell>
          <cell r="J30">
            <v>12.99</v>
          </cell>
          <cell r="K30">
            <v>17.2</v>
          </cell>
          <cell r="L30">
            <v>24.89</v>
          </cell>
          <cell r="M30">
            <v>34.4</v>
          </cell>
          <cell r="N30">
            <v>43.25</v>
          </cell>
          <cell r="O30">
            <v>54.29</v>
          </cell>
          <cell r="P30">
            <v>44.53</v>
          </cell>
          <cell r="Q30">
            <v>27.670100000000001</v>
          </cell>
        </row>
        <row r="31">
          <cell r="B31" t="str">
            <v>Average Price (Current Rolled Forward)</v>
          </cell>
          <cell r="I31">
            <v>19.46</v>
          </cell>
          <cell r="J31">
            <v>20.495000000000001</v>
          </cell>
          <cell r="K31">
            <v>22.435000000000002</v>
          </cell>
          <cell r="L31">
            <v>31.19</v>
          </cell>
          <cell r="M31">
            <v>42.1</v>
          </cell>
          <cell r="N31">
            <v>51.83</v>
          </cell>
          <cell r="O31">
            <v>64.489999999999995</v>
          </cell>
          <cell r="P31">
            <v>60.265000000000001</v>
          </cell>
          <cell r="Q31">
            <v>42.65005</v>
          </cell>
          <cell r="R31">
            <v>54.31</v>
          </cell>
          <cell r="S31">
            <v>54.31</v>
          </cell>
        </row>
        <row r="60">
          <cell r="B60" t="str">
            <v>Sales</v>
          </cell>
          <cell r="I60">
            <v>2820</v>
          </cell>
          <cell r="J60">
            <v>2492</v>
          </cell>
          <cell r="K60">
            <v>2542</v>
          </cell>
          <cell r="L60">
            <v>2930</v>
          </cell>
          <cell r="M60">
            <v>3445</v>
          </cell>
          <cell r="N60">
            <v>3863</v>
          </cell>
          <cell r="O60">
            <v>4415</v>
          </cell>
          <cell r="P60">
            <v>4769</v>
          </cell>
          <cell r="Q60">
            <v>4470</v>
          </cell>
          <cell r="R60">
            <v>4725</v>
          </cell>
          <cell r="S60">
            <v>5100</v>
          </cell>
        </row>
        <row r="61">
          <cell r="B61" t="str">
            <v>Incremental Sales</v>
          </cell>
          <cell r="J61">
            <v>-328</v>
          </cell>
          <cell r="K61">
            <v>50</v>
          </cell>
          <cell r="L61">
            <v>388</v>
          </cell>
          <cell r="M61">
            <v>515</v>
          </cell>
          <cell r="N61">
            <v>418</v>
          </cell>
          <cell r="O61">
            <v>552</v>
          </cell>
          <cell r="P61">
            <v>354</v>
          </cell>
          <cell r="Q61">
            <v>-299</v>
          </cell>
          <cell r="R61">
            <v>255</v>
          </cell>
          <cell r="S61">
            <v>375</v>
          </cell>
        </row>
        <row r="63">
          <cell r="B63" t="str">
            <v>Capex</v>
          </cell>
          <cell r="I63">
            <v>110</v>
          </cell>
          <cell r="J63">
            <v>62</v>
          </cell>
          <cell r="K63">
            <v>69</v>
          </cell>
          <cell r="L63">
            <v>92</v>
          </cell>
          <cell r="M63">
            <v>111</v>
          </cell>
          <cell r="N63">
            <v>144</v>
          </cell>
          <cell r="O63">
            <v>125</v>
          </cell>
          <cell r="P63">
            <v>171</v>
          </cell>
          <cell r="Q63">
            <v>153</v>
          </cell>
          <cell r="R63">
            <v>135</v>
          </cell>
          <cell r="S63">
            <v>150</v>
          </cell>
        </row>
        <row r="64">
          <cell r="B64" t="str">
            <v>M&amp;A</v>
          </cell>
          <cell r="I64">
            <v>292</v>
          </cell>
          <cell r="J64">
            <v>193</v>
          </cell>
          <cell r="K64">
            <v>-2</v>
          </cell>
          <cell r="L64">
            <v>126</v>
          </cell>
          <cell r="M64">
            <v>19</v>
          </cell>
          <cell r="N64">
            <v>100</v>
          </cell>
          <cell r="O64">
            <v>32</v>
          </cell>
          <cell r="P64">
            <v>105</v>
          </cell>
          <cell r="Q64">
            <v>146</v>
          </cell>
          <cell r="R64">
            <v>0</v>
          </cell>
          <cell r="S64">
            <v>0</v>
          </cell>
        </row>
        <row r="65">
          <cell r="B65" t="str">
            <v>Intangibles</v>
          </cell>
          <cell r="I65">
            <v>0</v>
          </cell>
          <cell r="J65">
            <v>0</v>
          </cell>
          <cell r="K65">
            <v>0</v>
          </cell>
          <cell r="L65">
            <v>11</v>
          </cell>
          <cell r="M65">
            <v>7</v>
          </cell>
          <cell r="N65">
            <v>0</v>
          </cell>
          <cell r="O65">
            <v>8</v>
          </cell>
          <cell r="P65">
            <v>8</v>
          </cell>
          <cell r="Q65">
            <v>2</v>
          </cell>
          <cell r="R65">
            <v>0</v>
          </cell>
          <cell r="S65">
            <v>0</v>
          </cell>
        </row>
        <row r="66">
          <cell r="B66" t="str">
            <v>Less: Depreciation &amp; Amortization</v>
          </cell>
          <cell r="I66">
            <v>-138</v>
          </cell>
          <cell r="J66">
            <v>-105</v>
          </cell>
          <cell r="K66">
            <v>-105</v>
          </cell>
          <cell r="L66">
            <v>-109</v>
          </cell>
          <cell r="M66">
            <v>-104</v>
          </cell>
          <cell r="N66">
            <v>-106</v>
          </cell>
          <cell r="O66">
            <v>-118</v>
          </cell>
          <cell r="P66">
            <v>-129</v>
          </cell>
          <cell r="Q66">
            <v>-144</v>
          </cell>
          <cell r="R66">
            <v>-151.73846153846154</v>
          </cell>
          <cell r="S66">
            <v>-156.23846153846154</v>
          </cell>
        </row>
        <row r="67">
          <cell r="B67" t="str">
            <v>Net Fixed Capital Investment Investment</v>
          </cell>
          <cell r="I67">
            <v>264</v>
          </cell>
          <cell r="J67">
            <v>150</v>
          </cell>
          <cell r="K67">
            <v>-38</v>
          </cell>
          <cell r="L67">
            <v>120</v>
          </cell>
          <cell r="M67">
            <v>33</v>
          </cell>
          <cell r="N67">
            <v>138</v>
          </cell>
          <cell r="O67">
            <v>47</v>
          </cell>
          <cell r="P67">
            <v>155</v>
          </cell>
          <cell r="Q67">
            <v>157</v>
          </cell>
          <cell r="R67">
            <v>-16.738461538461536</v>
          </cell>
          <cell r="S67">
            <v>-6.2384615384615358</v>
          </cell>
        </row>
        <row r="69">
          <cell r="B69" t="str">
            <v>Incremental Fixed Capital Investment</v>
          </cell>
          <cell r="J69">
            <v>-0.45731707317073172</v>
          </cell>
          <cell r="K69">
            <v>-0.76</v>
          </cell>
          <cell r="L69">
            <v>0.30927835051546393</v>
          </cell>
          <cell r="M69">
            <v>6.4077669902912623E-2</v>
          </cell>
          <cell r="N69">
            <v>0.33014354066985646</v>
          </cell>
          <cell r="O69">
            <v>8.5144927536231887E-2</v>
          </cell>
          <cell r="P69">
            <v>0.43785310734463279</v>
          </cell>
          <cell r="Q69">
            <v>-0.52508361204013376</v>
          </cell>
          <cell r="R69">
            <v>-6.5641025641025627E-2</v>
          </cell>
          <cell r="S69">
            <v>-1.6635897435897429E-2</v>
          </cell>
        </row>
        <row r="71">
          <cell r="B71" t="str">
            <v>Net Change in Working Capital</v>
          </cell>
          <cell r="I71">
            <v>-200</v>
          </cell>
          <cell r="J71">
            <v>104</v>
          </cell>
          <cell r="K71">
            <v>-18</v>
          </cell>
          <cell r="L71">
            <v>11</v>
          </cell>
          <cell r="M71">
            <v>38</v>
          </cell>
          <cell r="N71">
            <v>-17</v>
          </cell>
          <cell r="O71">
            <v>-120</v>
          </cell>
          <cell r="P71">
            <v>-330</v>
          </cell>
          <cell r="Q71">
            <v>-156</v>
          </cell>
          <cell r="R71">
            <v>20.625000000000057</v>
          </cell>
          <cell r="S71">
            <v>-22.124999999999886</v>
          </cell>
        </row>
        <row r="72">
          <cell r="J72">
            <v>-0.31707317073170732</v>
          </cell>
          <cell r="K72">
            <v>-0.36</v>
          </cell>
          <cell r="L72">
            <v>2.8350515463917526E-2</v>
          </cell>
          <cell r="M72">
            <v>7.3786407766990289E-2</v>
          </cell>
          <cell r="N72">
            <v>-4.0669856459330141E-2</v>
          </cell>
          <cell r="O72">
            <v>-0.21739130434782608</v>
          </cell>
          <cell r="P72">
            <v>-0.93220338983050843</v>
          </cell>
          <cell r="Q72">
            <v>0.52173913043478259</v>
          </cell>
          <cell r="R72">
            <v>8.0882352941176697E-2</v>
          </cell>
          <cell r="S72">
            <v>-5.8999999999999699E-2</v>
          </cell>
        </row>
        <row r="74">
          <cell r="B74" t="str">
            <v>NOPAT</v>
          </cell>
          <cell r="I74">
            <v>274.03000000000003</v>
          </cell>
          <cell r="J74">
            <v>228.47000000000003</v>
          </cell>
          <cell r="K74">
            <v>245.89000000000001</v>
          </cell>
          <cell r="L74">
            <v>291.45000000000005</v>
          </cell>
          <cell r="M74">
            <v>381.23</v>
          </cell>
          <cell r="N74">
            <v>464.98</v>
          </cell>
          <cell r="O74">
            <v>570.17000000000007</v>
          </cell>
          <cell r="P74">
            <v>652.58000000000004</v>
          </cell>
          <cell r="Q74">
            <v>607.02</v>
          </cell>
          <cell r="R74">
            <v>581.18480000000011</v>
          </cell>
          <cell r="S74">
            <v>664.08557499999995</v>
          </cell>
        </row>
        <row r="75">
          <cell r="B75" t="str">
            <v>Net Investment</v>
          </cell>
          <cell r="I75">
            <v>-264</v>
          </cell>
        </row>
        <row r="76">
          <cell r="I76">
            <v>-200</v>
          </cell>
        </row>
      </sheetData>
      <sheetData sheetId="20" refreshError="1"/>
      <sheetData sheetId="21" refreshError="1"/>
      <sheetData sheetId="22" refreshError="1">
        <row r="2">
          <cell r="B2" t="str">
            <v>Newly announced 2010 Guidance in-line with Prior MS Forecast</v>
          </cell>
        </row>
        <row r="4">
          <cell r="C4" t="str">
            <v>COL Guidance</v>
          </cell>
          <cell r="D4" t="str">
            <v xml:space="preserve">MSe </v>
          </cell>
        </row>
        <row r="5">
          <cell r="B5" t="str">
            <v>Total Sales ($B)</v>
          </cell>
          <cell r="C5" t="str">
            <v>$4.6 - 4.8</v>
          </cell>
          <cell r="D5">
            <v>4.7249999999999996</v>
          </cell>
        </row>
        <row r="6">
          <cell r="B6" t="str">
            <v>Segment Operating Margin (%)</v>
          </cell>
          <cell r="C6" t="str">
            <v>18.5 - 19.5%</v>
          </cell>
          <cell r="D6">
            <v>0.19882328042328043</v>
          </cell>
        </row>
        <row r="7">
          <cell r="B7" t="str">
            <v>EPS</v>
          </cell>
          <cell r="C7" t="str">
            <v>$3.35 - 3.55</v>
          </cell>
          <cell r="D7">
            <v>3.6463396226415097</v>
          </cell>
        </row>
        <row r="11">
          <cell r="B11" t="str">
            <v>CFO ($MM)</v>
          </cell>
          <cell r="C11" t="str">
            <v>$600 - 700</v>
          </cell>
          <cell r="D11">
            <v>744.7814615384616</v>
          </cell>
        </row>
        <row r="12">
          <cell r="B12" t="str">
            <v>Capex ($MM)</v>
          </cell>
          <cell r="C12">
            <v>135</v>
          </cell>
          <cell r="D12">
            <v>135</v>
          </cell>
        </row>
        <row r="13">
          <cell r="B13" t="str">
            <v>FCF ($MM)</v>
          </cell>
          <cell r="C13" t="str">
            <v>$465 - 565</v>
          </cell>
          <cell r="D13">
            <v>609.7814615384616</v>
          </cell>
        </row>
        <row r="21">
          <cell r="H21">
            <v>2001</v>
          </cell>
          <cell r="I21">
            <v>2002</v>
          </cell>
          <cell r="J21">
            <v>2003</v>
          </cell>
          <cell r="K21">
            <v>2004</v>
          </cell>
          <cell r="L21">
            <v>2005</v>
          </cell>
          <cell r="M21">
            <v>2006</v>
          </cell>
          <cell r="N21" t="str">
            <v>2007</v>
          </cell>
          <cell r="O21">
            <v>2008</v>
          </cell>
          <cell r="P21" t="str">
            <v>2009A</v>
          </cell>
          <cell r="Q21" t="str">
            <v>2010E</v>
          </cell>
          <cell r="R21" t="str">
            <v>2011E</v>
          </cell>
          <cell r="S21" t="str">
            <v>2012E</v>
          </cell>
        </row>
        <row r="22">
          <cell r="G22" t="str">
            <v>Commercial</v>
          </cell>
          <cell r="H22">
            <v>0.37872340425531914</v>
          </cell>
          <cell r="I22">
            <v>0.4474317817014446</v>
          </cell>
          <cell r="J22">
            <v>0.49960660896931552</v>
          </cell>
          <cell r="K22">
            <v>0.52389078498293518</v>
          </cell>
          <cell r="L22">
            <v>0.52539912917271403</v>
          </cell>
          <cell r="M22">
            <v>0.5288635775304168</v>
          </cell>
          <cell r="N22">
            <v>0.50532276330690828</v>
          </cell>
          <cell r="O22">
            <v>0.49612078003774374</v>
          </cell>
          <cell r="P22">
            <v>0.57695749440715882</v>
          </cell>
          <cell r="Q22">
            <v>0.61375661375661372</v>
          </cell>
          <cell r="R22">
            <v>0.59803921568627449</v>
          </cell>
          <cell r="S22">
            <v>0.58608058608058611</v>
          </cell>
        </row>
        <row r="23">
          <cell r="G23" t="str">
            <v>Government</v>
          </cell>
          <cell r="H23">
            <v>0.62127659574468086</v>
          </cell>
          <cell r="I23">
            <v>0.5525682182985554</v>
          </cell>
          <cell r="J23">
            <v>0.50039339103068448</v>
          </cell>
          <cell r="K23">
            <v>0.47610921501706482</v>
          </cell>
          <cell r="L23">
            <v>0.47460087082728591</v>
          </cell>
          <cell r="M23">
            <v>0.4711364224695832</v>
          </cell>
          <cell r="N23">
            <v>0.49467723669309172</v>
          </cell>
          <cell r="O23">
            <v>0.50387921996225626</v>
          </cell>
          <cell r="P23">
            <v>0.42304250559284118</v>
          </cell>
          <cell r="Q23">
            <v>0.38624338624338622</v>
          </cell>
          <cell r="R23">
            <v>0.40196078431372551</v>
          </cell>
          <cell r="S23">
            <v>0.41391941391941389</v>
          </cell>
        </row>
      </sheetData>
      <sheetData sheetId="23" refreshError="1"/>
      <sheetData sheetId="24" refreshError="1">
        <row r="1">
          <cell r="A1" t="str">
            <v>RRS-5.13</v>
          </cell>
          <cell r="D1" t="str">
            <v>RISK-REWARD SNAPSHOT
(You must upload your model to ModelWare to capture changes to your scenario values and NOT delete this worksheet.)</v>
          </cell>
          <cell r="I1" t="str">
            <v>Select Language</v>
          </cell>
          <cell r="N1" t="str">
            <v>http://ChartGallery</v>
          </cell>
          <cell r="O1" t="str">
            <v>http://ChartGallery</v>
          </cell>
          <cell r="AA1" t="str">
            <v>ElementName</v>
          </cell>
          <cell r="AB1" t="str">
            <v>ScaleOverride</v>
          </cell>
          <cell r="AC1" t="str">
            <v>UnitOverride</v>
          </cell>
          <cell r="AD1" t="str">
            <v>ReverseSign</v>
          </cell>
          <cell r="AE1" t="str">
            <v>IsDrivingAssumption</v>
          </cell>
          <cell r="AF1" t="str">
            <v>SegmentID</v>
          </cell>
        </row>
        <row r="2">
          <cell r="B2" t="str">
            <v>Instructions:</v>
          </cell>
          <cell r="G2" t="str">
            <v>Is refreshing chart data too slow? Read below to improve performance.</v>
          </cell>
          <cell r="AQ2" t="str">
            <v>Refer to cell G2 to learn about improving chart refresh performance</v>
          </cell>
        </row>
        <row r="4">
          <cell r="B4" t="str">
            <v>Ticker:</v>
          </cell>
          <cell r="C4" t="str">
            <v>COL.N</v>
          </cell>
          <cell r="E4" t="str">
            <v>Company Name:</v>
          </cell>
          <cell r="F4" t="str">
            <v>Rockwell Collins</v>
          </cell>
          <cell r="I4" t="str">
            <v>Sedol:</v>
          </cell>
          <cell r="J4">
            <v>2767228</v>
          </cell>
          <cell r="K4">
            <v>2767228</v>
          </cell>
        </row>
        <row r="5">
          <cell r="B5" t="str">
            <v xml:space="preserve">Chart Data Inputs (decimal formats will reflect on chart): </v>
          </cell>
          <cell r="H5" t="str">
            <v>Risk Reward Chart Gallery 
(Click on the below image for other Risk-Reward Charts)</v>
          </cell>
        </row>
        <row r="6">
          <cell r="B6" t="str">
            <v>Bull Case</v>
          </cell>
          <cell r="C6">
            <v>90</v>
          </cell>
          <cell r="AA6" t="str">
            <v>mstag:bullCaseValueEstimatePerShare</v>
          </cell>
          <cell r="AB6">
            <v>0</v>
          </cell>
          <cell r="AC6" t="str">
            <v>ISO4217:USD</v>
          </cell>
          <cell r="AD6" t="b">
            <v>0</v>
          </cell>
        </row>
        <row r="7">
          <cell r="B7" t="str">
            <v>Base Case</v>
          </cell>
          <cell r="C7">
            <v>80</v>
          </cell>
          <cell r="AA7" t="str">
            <v>mstag:met_12monthIntrinsicValueEstimate</v>
          </cell>
          <cell r="AB7">
            <v>0</v>
          </cell>
          <cell r="AC7" t="str">
            <v>ISO4217:USD</v>
          </cell>
          <cell r="AD7" t="b">
            <v>0</v>
          </cell>
        </row>
        <row r="8">
          <cell r="B8" t="str">
            <v>Bear Case</v>
          </cell>
          <cell r="C8">
            <v>50</v>
          </cell>
          <cell r="K8" t="str">
            <v>日本語</v>
          </cell>
          <cell r="M8" t="str">
            <v>-</v>
          </cell>
          <cell r="AA8" t="str">
            <v>mstag:bearCaseValueEstimatePerShare</v>
          </cell>
          <cell r="AB8">
            <v>0</v>
          </cell>
          <cell r="AC8" t="str">
            <v>ISO4217:USD</v>
          </cell>
          <cell r="AD8" t="b">
            <v>0</v>
          </cell>
        </row>
        <row r="9">
          <cell r="B9" t="str">
            <v>Extreme Upside</v>
          </cell>
          <cell r="K9" t="str">
            <v>English</v>
          </cell>
          <cell r="L9" t="str">
            <v>年</v>
          </cell>
          <cell r="M9" t="str">
            <v>月</v>
          </cell>
          <cell r="N9" t="str">
            <v>-</v>
          </cell>
          <cell r="AA9" t="str">
            <v>mstag:extremeBullCaseValueEstimatePerShare</v>
          </cell>
          <cell r="AB9">
            <v>0</v>
          </cell>
          <cell r="AC9" t="str">
            <v>ISO4217:USD</v>
          </cell>
          <cell r="AD9" t="b">
            <v>0</v>
          </cell>
          <cell r="AH9" t="str">
            <v>Other Refresh Chart Option</v>
          </cell>
        </row>
        <row r="10">
          <cell r="B10" t="str">
            <v>Extreme Downside</v>
          </cell>
          <cell r="O10" t="b">
            <v>0</v>
          </cell>
          <cell r="AA10" t="str">
            <v>mstag:extremeBearCaseValueEstimatePerShare</v>
          </cell>
          <cell r="AB10">
            <v>0</v>
          </cell>
          <cell r="AC10" t="str">
            <v>ISO4217:USD</v>
          </cell>
          <cell r="AD10" t="b">
            <v>0</v>
          </cell>
        </row>
        <row r="11">
          <cell r="B11" t="str">
            <v>Price Target</v>
          </cell>
          <cell r="C11">
            <v>80</v>
          </cell>
          <cell r="O11" t="b">
            <v>1</v>
          </cell>
        </row>
        <row r="12">
          <cell r="B12" t="str">
            <v>Currency</v>
          </cell>
          <cell r="C12" t="str">
            <v>USD American Dollar</v>
          </cell>
          <cell r="F12">
            <v>0</v>
          </cell>
        </row>
        <row r="13">
          <cell r="B13" t="str">
            <v>Currency Symbol</v>
          </cell>
          <cell r="C13" t="str">
            <v>$</v>
          </cell>
          <cell r="F13">
            <v>0</v>
          </cell>
          <cell r="I13" t="str">
            <v xml:space="preserve">WARNINGDONOTEDIT_RRS4RL~COL.N~ </v>
          </cell>
        </row>
        <row r="14">
          <cell r="B14" t="str">
            <v>"Refresh RR Chart" updates chart dates below, as of today. If your PT time horizon is &gt; 1yr. or price history is &lt; 2yrs., adjust Start/End dates and select "Apply Manually Adjusted Dates" option.</v>
          </cell>
        </row>
        <row r="15">
          <cell r="B15" t="str">
            <v>Start Date (-2 Yrs)</v>
          </cell>
          <cell r="C15">
            <v>39547</v>
          </cell>
          <cell r="E15" t="str">
            <v>NA</v>
          </cell>
          <cell r="F15" t="str">
            <v>USD</v>
          </cell>
        </row>
        <row r="16">
          <cell r="B16" t="str">
            <v>End Date (+1 Yr)</v>
          </cell>
          <cell r="C16">
            <v>40642</v>
          </cell>
          <cell r="E16" t="str">
            <v>USD</v>
          </cell>
          <cell r="F16" t="str">
            <v>USD</v>
          </cell>
        </row>
        <row r="17">
          <cell r="B17">
            <v>63.51</v>
          </cell>
          <cell r="C17" t="str">
            <v>Hand entert Share Price</v>
          </cell>
          <cell r="H17" t="str">
            <v>2007-FY</v>
          </cell>
        </row>
        <row r="18">
          <cell r="B18" t="b">
            <v>0</v>
          </cell>
          <cell r="C18">
            <v>40277</v>
          </cell>
        </row>
        <row r="19">
          <cell r="C19" t="str">
            <v>2010-FY</v>
          </cell>
        </row>
        <row r="34">
          <cell r="A34" t="str">
            <v>BullCase</v>
          </cell>
        </row>
        <row r="52">
          <cell r="A52">
            <v>40642</v>
          </cell>
          <cell r="B52">
            <v>758</v>
          </cell>
          <cell r="N52" t="str">
            <v>Apr-11</v>
          </cell>
          <cell r="O52" t="str">
            <v>Dec-12</v>
          </cell>
          <cell r="P52" t="str">
            <v>Base Case  (Dec-12)</v>
          </cell>
          <cell r="R52" t="b">
            <v>0</v>
          </cell>
        </row>
        <row r="53">
          <cell r="A53" t="str">
            <v>Header</v>
          </cell>
          <cell r="B53" t="str">
            <v>Date</v>
          </cell>
          <cell r="C53" t="str">
            <v>Past/Future</v>
          </cell>
          <cell r="D53" t="str">
            <v>Historical Stock Performance</v>
          </cell>
          <cell r="E53" t="str">
            <v>Extreme Upside Cone</v>
          </cell>
          <cell r="F53" t="str">
            <v>Blue Cone</v>
          </cell>
          <cell r="G53" t="str">
            <v>Extreme Downside Cone</v>
          </cell>
          <cell r="H53" t="str">
            <v>White Mask</v>
          </cell>
          <cell r="I53" t="str">
            <v>Current Stock Price</v>
          </cell>
          <cell r="J53" t="str">
            <v>Extreme Upside Price(Apr-11)</v>
          </cell>
          <cell r="K53" t="str">
            <v>Bull Price(Apr-11)</v>
          </cell>
          <cell r="L53" t="str">
            <v>Bear Price(Apr-11)</v>
          </cell>
          <cell r="M53" t="str">
            <v>Extreme Downside Price(Apr-11)</v>
          </cell>
          <cell r="N53" t="str">
            <v>Price Target (Apr-11)</v>
          </cell>
          <cell r="O53" t="str">
            <v>Gray Line</v>
          </cell>
          <cell r="P53" t="str">
            <v>Prices</v>
          </cell>
          <cell r="Q53" t="str">
            <v>Volume</v>
          </cell>
          <cell r="R53" t="str">
            <v>Base Case(Apr-11)</v>
          </cell>
          <cell r="S53" t="str">
            <v>Header Row</v>
          </cell>
          <cell r="T53">
            <v>53</v>
          </cell>
          <cell r="U53">
            <v>0</v>
          </cell>
          <cell r="AI53" t="str">
            <v xml:space="preserve">Display </v>
          </cell>
          <cell r="AJ53" t="str">
            <v>Symbol</v>
          </cell>
          <cell r="AK53" t="str">
            <v>Unit</v>
          </cell>
          <cell r="AL53" t="str">
            <v>FactsetUnit</v>
          </cell>
          <cell r="AM53" t="str">
            <v>Right alligned</v>
          </cell>
          <cell r="AN53" t="str">
            <v>Display 2 Decimal Places for Currency Amount</v>
          </cell>
        </row>
        <row r="54">
          <cell r="A54">
            <v>39547</v>
          </cell>
          <cell r="B54">
            <v>39547</v>
          </cell>
          <cell r="C54" t="str">
            <v>Past</v>
          </cell>
          <cell r="D54">
            <v>63.2</v>
          </cell>
          <cell r="E54" t="e">
            <v>#N/A</v>
          </cell>
          <cell r="F54" t="e">
            <v>#N/A</v>
          </cell>
          <cell r="G54" t="e">
            <v>#N/A</v>
          </cell>
          <cell r="H54" t="e">
            <v>#N/A</v>
          </cell>
          <cell r="I54" t="e">
            <v>#N/A</v>
          </cell>
          <cell r="J54" t="e">
            <v>#N/A</v>
          </cell>
          <cell r="K54" t="e">
            <v>#N/A</v>
          </cell>
          <cell r="L54" t="e">
            <v>#N/A</v>
          </cell>
          <cell r="M54" t="e">
            <v>#N/A</v>
          </cell>
          <cell r="N54" t="e">
            <v>#N/A</v>
          </cell>
          <cell r="O54" t="e">
            <v>#N/A</v>
          </cell>
          <cell r="P54">
            <v>63.2</v>
          </cell>
          <cell r="Q54">
            <v>2.3414999999999999</v>
          </cell>
          <cell r="R54" t="e">
            <v>#N/A</v>
          </cell>
          <cell r="S54" t="str">
            <v>Count</v>
          </cell>
          <cell r="T54">
            <v>758</v>
          </cell>
          <cell r="U54">
            <v>90</v>
          </cell>
          <cell r="AI54" t="str">
            <v>AED UAE Dirham</v>
          </cell>
          <cell r="AJ54" t="str">
            <v>AED</v>
          </cell>
          <cell r="AK54" t="str">
            <v>AED</v>
          </cell>
          <cell r="AL54" t="str">
            <v>AED</v>
          </cell>
          <cell r="AM54">
            <v>0</v>
          </cell>
          <cell r="AN54">
            <v>2</v>
          </cell>
        </row>
        <row r="55">
          <cell r="A55">
            <v>39548</v>
          </cell>
          <cell r="B55">
            <v>39548</v>
          </cell>
          <cell r="C55" t="str">
            <v>Past</v>
          </cell>
          <cell r="D55">
            <v>63.26</v>
          </cell>
          <cell r="E55" t="e">
            <v>#N/A</v>
          </cell>
          <cell r="F55" t="e">
            <v>#N/A</v>
          </cell>
          <cell r="G55" t="e">
            <v>#N/A</v>
          </cell>
          <cell r="H55" t="e">
            <v>#N/A</v>
          </cell>
          <cell r="I55" t="e">
            <v>#N/A</v>
          </cell>
          <cell r="J55" t="e">
            <v>#N/A</v>
          </cell>
          <cell r="K55" t="e">
            <v>#N/A</v>
          </cell>
          <cell r="L55" t="e">
            <v>#N/A</v>
          </cell>
          <cell r="M55" t="e">
            <v>#N/A</v>
          </cell>
          <cell r="N55" t="e">
            <v>#N/A</v>
          </cell>
          <cell r="O55" t="e">
            <v>#N/A</v>
          </cell>
          <cell r="P55">
            <v>63.26</v>
          </cell>
          <cell r="Q55">
            <v>1.0905669999999998</v>
          </cell>
          <cell r="R55" t="e">
            <v>#N/A</v>
          </cell>
          <cell r="S55" t="str">
            <v>Curr Price</v>
          </cell>
          <cell r="T55">
            <v>63.51</v>
          </cell>
          <cell r="U55">
            <v>505</v>
          </cell>
          <cell r="V55">
            <v>26.288689999999999</v>
          </cell>
          <cell r="AI55" t="str">
            <v>ARS Argentinian Pesos</v>
          </cell>
          <cell r="AJ55" t="str">
            <v>Ar$</v>
          </cell>
          <cell r="AK55" t="str">
            <v>ARS</v>
          </cell>
          <cell r="AL55" t="str">
            <v>ARS</v>
          </cell>
          <cell r="AM55">
            <v>0</v>
          </cell>
          <cell r="AN55">
            <v>2</v>
          </cell>
        </row>
        <row r="56">
          <cell r="A56">
            <v>39549</v>
          </cell>
          <cell r="B56">
            <v>39549</v>
          </cell>
          <cell r="C56" t="str">
            <v>Past</v>
          </cell>
          <cell r="D56">
            <v>61.67</v>
          </cell>
          <cell r="E56" t="e">
            <v>#N/A</v>
          </cell>
          <cell r="F56" t="e">
            <v>#N/A</v>
          </cell>
          <cell r="G56" t="e">
            <v>#N/A</v>
          </cell>
          <cell r="H56" t="e">
            <v>#N/A</v>
          </cell>
          <cell r="I56" t="e">
            <v>#N/A</v>
          </cell>
          <cell r="J56" t="e">
            <v>#N/A</v>
          </cell>
          <cell r="K56" t="e">
            <v>#N/A</v>
          </cell>
          <cell r="L56" t="e">
            <v>#N/A</v>
          </cell>
          <cell r="M56" t="e">
            <v>#N/A</v>
          </cell>
          <cell r="N56" t="e">
            <v>#N/A</v>
          </cell>
          <cell r="O56" t="e">
            <v>#N/A</v>
          </cell>
          <cell r="P56">
            <v>61.67</v>
          </cell>
          <cell r="Q56">
            <v>0.87271799999999999</v>
          </cell>
          <cell r="R56" t="e">
            <v>#N/A</v>
          </cell>
          <cell r="S56" t="str">
            <v>Curr Price Date</v>
          </cell>
          <cell r="T56">
            <v>40277</v>
          </cell>
          <cell r="U56">
            <v>40274.855555555558</v>
          </cell>
          <cell r="AI56" t="str">
            <v>AUD Australian Dollar</v>
          </cell>
          <cell r="AJ56" t="str">
            <v>A$</v>
          </cell>
          <cell r="AK56" t="str">
            <v>AUD</v>
          </cell>
          <cell r="AL56" t="str">
            <v>AUD</v>
          </cell>
          <cell r="AM56">
            <v>0</v>
          </cell>
          <cell r="AN56">
            <v>2</v>
          </cell>
        </row>
        <row r="57">
          <cell r="A57">
            <v>39552</v>
          </cell>
          <cell r="B57">
            <v>39552</v>
          </cell>
          <cell r="C57" t="str">
            <v>Past</v>
          </cell>
          <cell r="D57">
            <v>62.51</v>
          </cell>
          <cell r="E57" t="e">
            <v>#N/A</v>
          </cell>
          <cell r="F57" t="e">
            <v>#N/A</v>
          </cell>
          <cell r="G57" t="e">
            <v>#N/A</v>
          </cell>
          <cell r="H57" t="e">
            <v>#N/A</v>
          </cell>
          <cell r="I57" t="e">
            <v>#N/A</v>
          </cell>
          <cell r="J57" t="e">
            <v>#N/A</v>
          </cell>
          <cell r="K57" t="e">
            <v>#N/A</v>
          </cell>
          <cell r="L57" t="e">
            <v>#N/A</v>
          </cell>
          <cell r="M57" t="e">
            <v>#N/A</v>
          </cell>
          <cell r="N57" t="e">
            <v>#N/A</v>
          </cell>
          <cell r="O57" t="e">
            <v>#N/A</v>
          </cell>
          <cell r="P57">
            <v>62.51</v>
          </cell>
          <cell r="Q57">
            <v>1.0499369999999999</v>
          </cell>
          <cell r="R57" t="e">
            <v>#N/A</v>
          </cell>
          <cell r="S57" t="str">
            <v>Bull-Curr</v>
          </cell>
          <cell r="T57">
            <v>26.490000000000002</v>
          </cell>
          <cell r="U57">
            <v>0.10429133858267717</v>
          </cell>
          <cell r="AI57" t="str">
            <v>BGL Bulgarian levs</v>
          </cell>
          <cell r="AJ57" t="str">
            <v>BGL</v>
          </cell>
          <cell r="AK57" t="str">
            <v>BGL</v>
          </cell>
          <cell r="AL57" t="str">
            <v>BGN</v>
          </cell>
          <cell r="AM57">
            <v>0</v>
          </cell>
          <cell r="AN57">
            <v>2</v>
          </cell>
        </row>
        <row r="58">
          <cell r="A58">
            <v>39553</v>
          </cell>
          <cell r="B58">
            <v>39553</v>
          </cell>
          <cell r="C58" t="str">
            <v>Past</v>
          </cell>
          <cell r="D58">
            <v>61.41</v>
          </cell>
          <cell r="E58" t="e">
            <v>#N/A</v>
          </cell>
          <cell r="F58" t="e">
            <v>#N/A</v>
          </cell>
          <cell r="G58" t="e">
            <v>#N/A</v>
          </cell>
          <cell r="H58" t="e">
            <v>#N/A</v>
          </cell>
          <cell r="I58" t="e">
            <v>#N/A</v>
          </cell>
          <cell r="J58" t="e">
            <v>#N/A</v>
          </cell>
          <cell r="K58" t="e">
            <v>#N/A</v>
          </cell>
          <cell r="L58" t="e">
            <v>#N/A</v>
          </cell>
          <cell r="M58" t="e">
            <v>#N/A</v>
          </cell>
          <cell r="N58" t="e">
            <v>#N/A</v>
          </cell>
          <cell r="O58" t="e">
            <v>#N/A</v>
          </cell>
          <cell r="P58">
            <v>61.41</v>
          </cell>
          <cell r="Q58">
            <v>1.6427</v>
          </cell>
          <cell r="R58" t="e">
            <v>#N/A</v>
          </cell>
          <cell r="S58" t="str">
            <v>Upp-Cur</v>
          </cell>
          <cell r="T58">
            <v>-63.51</v>
          </cell>
          <cell r="U58">
            <v>-0.25003937007874016</v>
          </cell>
          <cell r="AI58" t="str">
            <v>BMD Bermudan Dollars</v>
          </cell>
          <cell r="AJ58" t="str">
            <v>BMD</v>
          </cell>
          <cell r="AK58" t="str">
            <v>BMD</v>
          </cell>
          <cell r="AL58" t="str">
            <v>BMD</v>
          </cell>
          <cell r="AM58">
            <v>0</v>
          </cell>
          <cell r="AN58">
            <v>2</v>
          </cell>
        </row>
        <row r="59">
          <cell r="A59">
            <v>39554</v>
          </cell>
          <cell r="B59">
            <v>39554</v>
          </cell>
          <cell r="C59" t="str">
            <v>Past</v>
          </cell>
          <cell r="D59">
            <v>62.4</v>
          </cell>
          <cell r="E59" t="e">
            <v>#N/A</v>
          </cell>
          <cell r="F59" t="e">
            <v>#N/A</v>
          </cell>
          <cell r="G59" t="e">
            <v>#N/A</v>
          </cell>
          <cell r="H59" t="e">
            <v>#N/A</v>
          </cell>
          <cell r="I59" t="e">
            <v>#N/A</v>
          </cell>
          <cell r="J59" t="e">
            <v>#N/A</v>
          </cell>
          <cell r="K59" t="e">
            <v>#N/A</v>
          </cell>
          <cell r="L59" t="e">
            <v>#N/A</v>
          </cell>
          <cell r="M59" t="e">
            <v>#N/A</v>
          </cell>
          <cell r="N59" t="e">
            <v>#N/A</v>
          </cell>
          <cell r="O59" t="e">
            <v>#N/A</v>
          </cell>
          <cell r="P59">
            <v>62.4</v>
          </cell>
          <cell r="Q59">
            <v>1.2424389999999998</v>
          </cell>
          <cell r="R59" t="e">
            <v>#N/A</v>
          </cell>
          <cell r="S59" t="str">
            <v>Curr-Bear</v>
          </cell>
          <cell r="T59">
            <v>13.509999999999998</v>
          </cell>
          <cell r="U59">
            <v>5.3188976377952751E-2</v>
          </cell>
          <cell r="AI59" t="str">
            <v>BRL Brazilian Real</v>
          </cell>
          <cell r="AJ59" t="str">
            <v>R$</v>
          </cell>
          <cell r="AK59" t="str">
            <v>BRL</v>
          </cell>
          <cell r="AL59" t="str">
            <v>BRL</v>
          </cell>
          <cell r="AM59">
            <v>0</v>
          </cell>
          <cell r="AN59">
            <v>2</v>
          </cell>
        </row>
        <row r="60">
          <cell r="A60">
            <v>39555</v>
          </cell>
          <cell r="B60">
            <v>39555</v>
          </cell>
          <cell r="C60" t="str">
            <v>Past</v>
          </cell>
          <cell r="D60">
            <v>62.01</v>
          </cell>
          <cell r="E60" t="e">
            <v>#N/A</v>
          </cell>
          <cell r="F60" t="e">
            <v>#N/A</v>
          </cell>
          <cell r="G60" t="e">
            <v>#N/A</v>
          </cell>
          <cell r="H60" t="e">
            <v>#N/A</v>
          </cell>
          <cell r="I60" t="e">
            <v>#N/A</v>
          </cell>
          <cell r="J60" t="e">
            <v>#N/A</v>
          </cell>
          <cell r="K60" t="e">
            <v>#N/A</v>
          </cell>
          <cell r="L60" t="e">
            <v>#N/A</v>
          </cell>
          <cell r="M60" t="e">
            <v>#N/A</v>
          </cell>
          <cell r="N60" t="e">
            <v>#N/A</v>
          </cell>
          <cell r="O60" t="e">
            <v>#N/A</v>
          </cell>
          <cell r="P60">
            <v>62.01</v>
          </cell>
          <cell r="Q60">
            <v>0.83691699999999991</v>
          </cell>
          <cell r="R60" t="e">
            <v>#N/A</v>
          </cell>
          <cell r="S60" t="str">
            <v>Curr-Lower</v>
          </cell>
          <cell r="T60">
            <v>63.51</v>
          </cell>
          <cell r="U60">
            <v>0.25003937007874016</v>
          </cell>
          <cell r="AI60" t="str">
            <v>CAD Canadian Dollars</v>
          </cell>
          <cell r="AJ60" t="str">
            <v>C$</v>
          </cell>
          <cell r="AK60" t="str">
            <v>CAD</v>
          </cell>
          <cell r="AL60" t="str">
            <v>CAD</v>
          </cell>
          <cell r="AM60">
            <v>0</v>
          </cell>
          <cell r="AN60">
            <v>2</v>
          </cell>
        </row>
        <row r="61">
          <cell r="A61">
            <v>39556</v>
          </cell>
          <cell r="B61">
            <v>39556</v>
          </cell>
          <cell r="C61" t="str">
            <v>Past</v>
          </cell>
          <cell r="D61">
            <v>63.66</v>
          </cell>
          <cell r="E61" t="e">
            <v>#N/A</v>
          </cell>
          <cell r="F61" t="e">
            <v>#N/A</v>
          </cell>
          <cell r="G61" t="e">
            <v>#N/A</v>
          </cell>
          <cell r="H61" t="e">
            <v>#N/A</v>
          </cell>
          <cell r="I61" t="e">
            <v>#N/A</v>
          </cell>
          <cell r="J61" t="e">
            <v>#N/A</v>
          </cell>
          <cell r="K61" t="e">
            <v>#N/A</v>
          </cell>
          <cell r="L61" t="e">
            <v>#N/A</v>
          </cell>
          <cell r="M61" t="e">
            <v>#N/A</v>
          </cell>
          <cell r="N61" t="e">
            <v>#N/A</v>
          </cell>
          <cell r="O61" t="e">
            <v>#N/A</v>
          </cell>
          <cell r="P61">
            <v>63.66</v>
          </cell>
          <cell r="Q61">
            <v>0.799095</v>
          </cell>
          <cell r="R61" t="e">
            <v>#N/A</v>
          </cell>
          <cell r="S61" t="str">
            <v>PriceFoundAt</v>
          </cell>
          <cell r="T61">
            <v>505</v>
          </cell>
          <cell r="AI61" t="str">
            <v>CHF Swiss Francs</v>
          </cell>
          <cell r="AJ61" t="str">
            <v>SFr</v>
          </cell>
          <cell r="AK61" t="str">
            <v>CHF</v>
          </cell>
          <cell r="AL61" t="str">
            <v>CHF</v>
          </cell>
          <cell r="AM61">
            <v>0</v>
          </cell>
          <cell r="AN61">
            <v>2</v>
          </cell>
        </row>
        <row r="62">
          <cell r="A62">
            <v>39559</v>
          </cell>
          <cell r="B62">
            <v>39559</v>
          </cell>
          <cell r="C62" t="str">
            <v>Past</v>
          </cell>
          <cell r="D62">
            <v>62.26</v>
          </cell>
          <cell r="E62" t="e">
            <v>#N/A</v>
          </cell>
          <cell r="F62" t="e">
            <v>#N/A</v>
          </cell>
          <cell r="G62" t="e">
            <v>#N/A</v>
          </cell>
          <cell r="H62" t="e">
            <v>#N/A</v>
          </cell>
          <cell r="I62" t="e">
            <v>#N/A</v>
          </cell>
          <cell r="J62" t="e">
            <v>#N/A</v>
          </cell>
          <cell r="K62" t="e">
            <v>#N/A</v>
          </cell>
          <cell r="L62" t="e">
            <v>#N/A</v>
          </cell>
          <cell r="M62" t="e">
            <v>#N/A</v>
          </cell>
          <cell r="N62" t="e">
            <v>#N/A</v>
          </cell>
          <cell r="O62" t="e">
            <v>#N/A</v>
          </cell>
          <cell r="P62">
            <v>62.26</v>
          </cell>
          <cell r="Q62">
            <v>1.2850429999999999</v>
          </cell>
          <cell r="R62" t="e">
            <v>#N/A</v>
          </cell>
          <cell r="S62" t="str">
            <v>Starting Point</v>
          </cell>
          <cell r="T62">
            <v>558</v>
          </cell>
          <cell r="AI62" t="str">
            <v>CLP Chilean Pesos</v>
          </cell>
          <cell r="AJ62" t="str">
            <v>CLP</v>
          </cell>
          <cell r="AK62" t="str">
            <v>CLP</v>
          </cell>
          <cell r="AL62" t="str">
            <v>CLP</v>
          </cell>
          <cell r="AM62">
            <v>0</v>
          </cell>
          <cell r="AN62">
            <v>2</v>
          </cell>
        </row>
        <row r="63">
          <cell r="A63">
            <v>39560</v>
          </cell>
          <cell r="B63">
            <v>39560</v>
          </cell>
          <cell r="C63" t="str">
            <v>Past</v>
          </cell>
          <cell r="D63">
            <v>61.42</v>
          </cell>
          <cell r="E63" t="e">
            <v>#N/A</v>
          </cell>
          <cell r="F63" t="e">
            <v>#N/A</v>
          </cell>
          <cell r="G63" t="e">
            <v>#N/A</v>
          </cell>
          <cell r="H63" t="e">
            <v>#N/A</v>
          </cell>
          <cell r="I63" t="e">
            <v>#N/A</v>
          </cell>
          <cell r="J63" t="e">
            <v>#N/A</v>
          </cell>
          <cell r="K63" t="e">
            <v>#N/A</v>
          </cell>
          <cell r="L63" t="e">
            <v>#N/A</v>
          </cell>
          <cell r="M63" t="e">
            <v>#N/A</v>
          </cell>
          <cell r="N63" t="e">
            <v>#N/A</v>
          </cell>
          <cell r="O63" t="e">
            <v>#N/A</v>
          </cell>
          <cell r="P63">
            <v>61.42</v>
          </cell>
          <cell r="Q63">
            <v>0.88567399999999996</v>
          </cell>
          <cell r="R63" t="e">
            <v>#N/A</v>
          </cell>
          <cell r="S63" t="str">
            <v>Saved</v>
          </cell>
          <cell r="T63">
            <v>254</v>
          </cell>
          <cell r="AI63" t="str">
            <v>CNY Chinese Renminbi Yuan</v>
          </cell>
          <cell r="AJ63" t="str">
            <v>Rmb</v>
          </cell>
          <cell r="AK63" t="str">
            <v>CNY</v>
          </cell>
          <cell r="AL63" t="str">
            <v>CNY</v>
          </cell>
          <cell r="AM63">
            <v>0</v>
          </cell>
          <cell r="AN63">
            <v>2</v>
          </cell>
        </row>
        <row r="64">
          <cell r="A64">
            <v>39561</v>
          </cell>
          <cell r="B64">
            <v>39561</v>
          </cell>
          <cell r="C64" t="str">
            <v>Past</v>
          </cell>
          <cell r="D64">
            <v>62.49</v>
          </cell>
          <cell r="E64" t="e">
            <v>#N/A</v>
          </cell>
          <cell r="F64" t="e">
            <v>#N/A</v>
          </cell>
          <cell r="G64" t="e">
            <v>#N/A</v>
          </cell>
          <cell r="H64" t="e">
            <v>#N/A</v>
          </cell>
          <cell r="I64" t="e">
            <v>#N/A</v>
          </cell>
          <cell r="J64" t="e">
            <v>#N/A</v>
          </cell>
          <cell r="K64" t="e">
            <v>#N/A</v>
          </cell>
          <cell r="L64" t="e">
            <v>#N/A</v>
          </cell>
          <cell r="M64" t="e">
            <v>#N/A</v>
          </cell>
          <cell r="N64" t="e">
            <v>#N/A</v>
          </cell>
          <cell r="O64" t="e">
            <v>#N/A</v>
          </cell>
          <cell r="P64">
            <v>62.49</v>
          </cell>
          <cell r="Q64">
            <v>1.2205809999999999</v>
          </cell>
          <cell r="R64" t="e">
            <v>#N/A</v>
          </cell>
          <cell r="S64" t="str">
            <v>Right alligned</v>
          </cell>
          <cell r="T64">
            <v>0</v>
          </cell>
          <cell r="AI64" t="str">
            <v>COP Colombian Peso</v>
          </cell>
          <cell r="AJ64" t="str">
            <v>COP</v>
          </cell>
          <cell r="AK64" t="str">
            <v>COP</v>
          </cell>
          <cell r="AL64" t="str">
            <v>COP</v>
          </cell>
          <cell r="AM64">
            <v>0</v>
          </cell>
          <cell r="AN64">
            <v>2</v>
          </cell>
        </row>
        <row r="65">
          <cell r="A65">
            <v>39562</v>
          </cell>
          <cell r="B65">
            <v>39562</v>
          </cell>
          <cell r="C65" t="str">
            <v>Past</v>
          </cell>
          <cell r="D65">
            <v>62.36</v>
          </cell>
          <cell r="E65" t="e">
            <v>#N/A</v>
          </cell>
          <cell r="F65" t="e">
            <v>#N/A</v>
          </cell>
          <cell r="G65" t="e">
            <v>#N/A</v>
          </cell>
          <cell r="H65" t="e">
            <v>#N/A</v>
          </cell>
          <cell r="I65" t="e">
            <v>#N/A</v>
          </cell>
          <cell r="J65" t="e">
            <v>#N/A</v>
          </cell>
          <cell r="K65" t="e">
            <v>#N/A</v>
          </cell>
          <cell r="L65" t="e">
            <v>#N/A</v>
          </cell>
          <cell r="M65" t="e">
            <v>#N/A</v>
          </cell>
          <cell r="N65" t="e">
            <v>#N/A</v>
          </cell>
          <cell r="O65" t="e">
            <v>#N/A</v>
          </cell>
          <cell r="P65">
            <v>62.36</v>
          </cell>
          <cell r="Q65">
            <v>1.5931579999999999</v>
          </cell>
          <cell r="R65" t="e">
            <v>#N/A</v>
          </cell>
          <cell r="S65" t="str">
            <v>Decimal</v>
          </cell>
          <cell r="T65">
            <v>2</v>
          </cell>
          <cell r="AI65" t="str">
            <v>CZK Czech Krona</v>
          </cell>
          <cell r="AJ65" t="str">
            <v>Kcs</v>
          </cell>
          <cell r="AK65" t="str">
            <v>CZK</v>
          </cell>
          <cell r="AL65" t="str">
            <v>CZK</v>
          </cell>
          <cell r="AM65">
            <v>0</v>
          </cell>
          <cell r="AN65">
            <v>2</v>
          </cell>
        </row>
        <row r="66">
          <cell r="A66">
            <v>39563</v>
          </cell>
          <cell r="B66">
            <v>39563</v>
          </cell>
          <cell r="C66" t="str">
            <v>Past</v>
          </cell>
          <cell r="D66">
            <v>64.44</v>
          </cell>
          <cell r="E66" t="e">
            <v>#N/A</v>
          </cell>
          <cell r="F66" t="e">
            <v>#N/A</v>
          </cell>
          <cell r="G66" t="e">
            <v>#N/A</v>
          </cell>
          <cell r="H66" t="e">
            <v>#N/A</v>
          </cell>
          <cell r="I66" t="e">
            <v>#N/A</v>
          </cell>
          <cell r="J66" t="e">
            <v>#N/A</v>
          </cell>
          <cell r="K66" t="e">
            <v>#N/A</v>
          </cell>
          <cell r="L66" t="e">
            <v>#N/A</v>
          </cell>
          <cell r="M66" t="e">
            <v>#N/A</v>
          </cell>
          <cell r="N66" t="e">
            <v>#N/A</v>
          </cell>
          <cell r="O66" t="e">
            <v>#N/A</v>
          </cell>
          <cell r="P66">
            <v>64.44</v>
          </cell>
          <cell r="Q66">
            <v>1.258497</v>
          </cell>
          <cell r="R66" t="e">
            <v>#N/A</v>
          </cell>
          <cell r="S66" t="str">
            <v>default StartDate</v>
          </cell>
          <cell r="T66">
            <v>39547</v>
          </cell>
          <cell r="AI66" t="str">
            <v>DKK Danish Krone</v>
          </cell>
          <cell r="AJ66" t="str">
            <v>DKr</v>
          </cell>
          <cell r="AK66" t="str">
            <v>DKK</v>
          </cell>
          <cell r="AL66" t="str">
            <v>DKK</v>
          </cell>
          <cell r="AM66">
            <v>0</v>
          </cell>
          <cell r="AN66">
            <v>2</v>
          </cell>
        </row>
        <row r="67">
          <cell r="A67">
            <v>39566</v>
          </cell>
          <cell r="B67">
            <v>39566</v>
          </cell>
          <cell r="C67" t="str">
            <v>Past</v>
          </cell>
          <cell r="D67">
            <v>64.06</v>
          </cell>
          <cell r="E67" t="e">
            <v>#N/A</v>
          </cell>
          <cell r="F67" t="e">
            <v>#N/A</v>
          </cell>
          <cell r="G67" t="e">
            <v>#N/A</v>
          </cell>
          <cell r="H67" t="e">
            <v>#N/A</v>
          </cell>
          <cell r="I67" t="e">
            <v>#N/A</v>
          </cell>
          <cell r="J67" t="e">
            <v>#N/A</v>
          </cell>
          <cell r="K67" t="e">
            <v>#N/A</v>
          </cell>
          <cell r="L67" t="e">
            <v>#N/A</v>
          </cell>
          <cell r="M67" t="e">
            <v>#N/A</v>
          </cell>
          <cell r="N67" t="e">
            <v>#N/A</v>
          </cell>
          <cell r="O67" t="e">
            <v>#N/A</v>
          </cell>
          <cell r="P67">
            <v>64.06</v>
          </cell>
          <cell r="Q67">
            <v>1.0035969999999999</v>
          </cell>
          <cell r="R67" t="e">
            <v>#N/A</v>
          </cell>
          <cell r="S67" t="str">
            <v>default EndDate</v>
          </cell>
          <cell r="T67">
            <v>40642</v>
          </cell>
          <cell r="AI67" t="str">
            <v>DZD Algerian Dinar</v>
          </cell>
          <cell r="AJ67" t="str">
            <v>DZD</v>
          </cell>
          <cell r="AK67" t="str">
            <v>DZD</v>
          </cell>
          <cell r="AL67" t="str">
            <v>DZD</v>
          </cell>
          <cell r="AM67">
            <v>0</v>
          </cell>
          <cell r="AN67">
            <v>2</v>
          </cell>
        </row>
        <row r="68">
          <cell r="A68">
            <v>39567</v>
          </cell>
          <cell r="B68">
            <v>39567</v>
          </cell>
          <cell r="C68" t="str">
            <v>Past</v>
          </cell>
          <cell r="D68">
            <v>63.94</v>
          </cell>
          <cell r="E68" t="e">
            <v>#N/A</v>
          </cell>
          <cell r="F68" t="e">
            <v>#N/A</v>
          </cell>
          <cell r="G68" t="e">
            <v>#N/A</v>
          </cell>
          <cell r="H68" t="e">
            <v>#N/A</v>
          </cell>
          <cell r="I68" t="e">
            <v>#N/A</v>
          </cell>
          <cell r="J68" t="e">
            <v>#N/A</v>
          </cell>
          <cell r="K68" t="e">
            <v>#N/A</v>
          </cell>
          <cell r="L68" t="e">
            <v>#N/A</v>
          </cell>
          <cell r="M68" t="e">
            <v>#N/A</v>
          </cell>
          <cell r="N68" t="e">
            <v>#N/A</v>
          </cell>
          <cell r="O68" t="e">
            <v>#N/A</v>
          </cell>
          <cell r="P68">
            <v>63.94</v>
          </cell>
          <cell r="Q68">
            <v>1.09409</v>
          </cell>
          <cell r="R68" t="e">
            <v>#N/A</v>
          </cell>
          <cell r="S68" t="str">
            <v>Max sharePrice</v>
          </cell>
          <cell r="T68">
            <v>66.34</v>
          </cell>
          <cell r="AI68" t="str">
            <v>EGP Egyptian Pound</v>
          </cell>
          <cell r="AJ68" t="str">
            <v>EGP</v>
          </cell>
          <cell r="AK68" t="str">
            <v>EGP</v>
          </cell>
          <cell r="AL68" t="str">
            <v>EGP</v>
          </cell>
          <cell r="AM68">
            <v>0</v>
          </cell>
          <cell r="AN68">
            <v>2</v>
          </cell>
        </row>
        <row r="69">
          <cell r="A69">
            <v>39568</v>
          </cell>
          <cell r="B69">
            <v>39568</v>
          </cell>
          <cell r="C69" t="str">
            <v>Past</v>
          </cell>
          <cell r="D69">
            <v>63.11</v>
          </cell>
          <cell r="E69" t="e">
            <v>#N/A</v>
          </cell>
          <cell r="F69" t="e">
            <v>#N/A</v>
          </cell>
          <cell r="G69" t="e">
            <v>#N/A</v>
          </cell>
          <cell r="H69" t="e">
            <v>#N/A</v>
          </cell>
          <cell r="I69" t="e">
            <v>#N/A</v>
          </cell>
          <cell r="J69" t="e">
            <v>#N/A</v>
          </cell>
          <cell r="K69" t="e">
            <v>#N/A</v>
          </cell>
          <cell r="L69" t="e">
            <v>#N/A</v>
          </cell>
          <cell r="M69" t="e">
            <v>#N/A</v>
          </cell>
          <cell r="N69" t="e">
            <v>#N/A</v>
          </cell>
          <cell r="O69" t="e">
            <v>#N/A</v>
          </cell>
          <cell r="P69">
            <v>63.11</v>
          </cell>
          <cell r="Q69">
            <v>0.93711499999999992</v>
          </cell>
          <cell r="R69" t="e">
            <v>#N/A</v>
          </cell>
          <cell r="AI69" t="str">
            <v>EUR Euro</v>
          </cell>
          <cell r="AJ69" t="str">
            <v>€</v>
          </cell>
          <cell r="AK69" t="str">
            <v>EUR</v>
          </cell>
          <cell r="AL69" t="str">
            <v>EUR</v>
          </cell>
          <cell r="AM69">
            <v>0</v>
          </cell>
          <cell r="AN69">
            <v>2</v>
          </cell>
        </row>
        <row r="70">
          <cell r="A70">
            <v>39569</v>
          </cell>
          <cell r="B70">
            <v>39569</v>
          </cell>
          <cell r="C70" t="str">
            <v>Past</v>
          </cell>
          <cell r="D70">
            <v>63.7</v>
          </cell>
          <cell r="E70" t="e">
            <v>#N/A</v>
          </cell>
          <cell r="F70" t="e">
            <v>#N/A</v>
          </cell>
          <cell r="G70" t="e">
            <v>#N/A</v>
          </cell>
          <cell r="H70" t="e">
            <v>#N/A</v>
          </cell>
          <cell r="I70" t="e">
            <v>#N/A</v>
          </cell>
          <cell r="J70" t="e">
            <v>#N/A</v>
          </cell>
          <cell r="K70" t="e">
            <v>#N/A</v>
          </cell>
          <cell r="L70" t="e">
            <v>#N/A</v>
          </cell>
          <cell r="M70" t="e">
            <v>#N/A</v>
          </cell>
          <cell r="N70" t="e">
            <v>#N/A</v>
          </cell>
          <cell r="O70" t="e">
            <v>#N/A</v>
          </cell>
          <cell r="P70">
            <v>63.7</v>
          </cell>
          <cell r="Q70">
            <v>1.054791</v>
          </cell>
          <cell r="R70" t="e">
            <v>#N/A</v>
          </cell>
          <cell r="AI70" t="str">
            <v>GBp British Pence</v>
          </cell>
          <cell r="AJ70" t="str">
            <v>p</v>
          </cell>
          <cell r="AK70" t="str">
            <v>GBp</v>
          </cell>
          <cell r="AL70" t="str">
            <v>GBX</v>
          </cell>
          <cell r="AM70">
            <v>1</v>
          </cell>
          <cell r="AN70">
            <v>0</v>
          </cell>
        </row>
        <row r="71">
          <cell r="A71">
            <v>39570</v>
          </cell>
          <cell r="B71">
            <v>39570</v>
          </cell>
          <cell r="C71" t="str">
            <v>Past</v>
          </cell>
          <cell r="D71">
            <v>64.849999999999994</v>
          </cell>
          <cell r="E71" t="e">
            <v>#N/A</v>
          </cell>
          <cell r="F71" t="e">
            <v>#N/A</v>
          </cell>
          <cell r="G71" t="e">
            <v>#N/A</v>
          </cell>
          <cell r="H71" t="e">
            <v>#N/A</v>
          </cell>
          <cell r="I71" t="e">
            <v>#N/A</v>
          </cell>
          <cell r="J71" t="e">
            <v>#N/A</v>
          </cell>
          <cell r="K71" t="e">
            <v>#N/A</v>
          </cell>
          <cell r="L71" t="e">
            <v>#N/A</v>
          </cell>
          <cell r="M71" t="e">
            <v>#N/A</v>
          </cell>
          <cell r="N71" t="e">
            <v>#N/A</v>
          </cell>
          <cell r="O71" t="e">
            <v>#N/A</v>
          </cell>
          <cell r="P71">
            <v>64.849999999999994</v>
          </cell>
          <cell r="Q71">
            <v>1.0130520000000001</v>
          </cell>
          <cell r="R71" t="e">
            <v>#N/A</v>
          </cell>
          <cell r="AI71" t="str">
            <v>GBP British Pound</v>
          </cell>
          <cell r="AJ71" t="str">
            <v>₤</v>
          </cell>
          <cell r="AK71" t="str">
            <v>GBP</v>
          </cell>
          <cell r="AL71" t="str">
            <v>GBP</v>
          </cell>
          <cell r="AM71">
            <v>0</v>
          </cell>
          <cell r="AN71">
            <v>2</v>
          </cell>
        </row>
        <row r="72">
          <cell r="A72">
            <v>39573</v>
          </cell>
          <cell r="B72">
            <v>39573</v>
          </cell>
          <cell r="C72" t="str">
            <v>Past</v>
          </cell>
          <cell r="D72">
            <v>63.89</v>
          </cell>
          <cell r="E72" t="e">
            <v>#N/A</v>
          </cell>
          <cell r="F72" t="e">
            <v>#N/A</v>
          </cell>
          <cell r="G72" t="e">
            <v>#N/A</v>
          </cell>
          <cell r="H72" t="e">
            <v>#N/A</v>
          </cell>
          <cell r="I72" t="e">
            <v>#N/A</v>
          </cell>
          <cell r="J72" t="e">
            <v>#N/A</v>
          </cell>
          <cell r="K72" t="e">
            <v>#N/A</v>
          </cell>
          <cell r="L72" t="e">
            <v>#N/A</v>
          </cell>
          <cell r="M72" t="e">
            <v>#N/A</v>
          </cell>
          <cell r="N72" t="e">
            <v>#N/A</v>
          </cell>
          <cell r="O72" t="e">
            <v>#N/A</v>
          </cell>
          <cell r="P72">
            <v>63.89</v>
          </cell>
          <cell r="Q72">
            <v>0.89414799999999994</v>
          </cell>
          <cell r="R72" t="e">
            <v>#N/A</v>
          </cell>
          <cell r="AI72" t="str">
            <v>HKD Hong Kong Dollar</v>
          </cell>
          <cell r="AJ72" t="str">
            <v>HK$</v>
          </cell>
          <cell r="AK72" t="str">
            <v>HKD</v>
          </cell>
          <cell r="AL72" t="str">
            <v>HKD</v>
          </cell>
          <cell r="AM72">
            <v>0</v>
          </cell>
          <cell r="AN72">
            <v>2</v>
          </cell>
        </row>
        <row r="73">
          <cell r="A73">
            <v>39574</v>
          </cell>
          <cell r="B73">
            <v>39574</v>
          </cell>
          <cell r="C73" t="str">
            <v>Past</v>
          </cell>
          <cell r="D73">
            <v>64.239999999999995</v>
          </cell>
          <cell r="E73" t="e">
            <v>#N/A</v>
          </cell>
          <cell r="F73" t="e">
            <v>#N/A</v>
          </cell>
          <cell r="G73" t="e">
            <v>#N/A</v>
          </cell>
          <cell r="H73" t="e">
            <v>#N/A</v>
          </cell>
          <cell r="I73" t="e">
            <v>#N/A</v>
          </cell>
          <cell r="J73" t="e">
            <v>#N/A</v>
          </cell>
          <cell r="K73" t="e">
            <v>#N/A</v>
          </cell>
          <cell r="L73" t="e">
            <v>#N/A</v>
          </cell>
          <cell r="M73" t="e">
            <v>#N/A</v>
          </cell>
          <cell r="N73" t="e">
            <v>#N/A</v>
          </cell>
          <cell r="O73" t="e">
            <v>#N/A</v>
          </cell>
          <cell r="P73">
            <v>64.239999999999995</v>
          </cell>
          <cell r="Q73">
            <v>0.80053399999999997</v>
          </cell>
          <cell r="R73" t="e">
            <v>#N/A</v>
          </cell>
          <cell r="AI73" t="str">
            <v>HUF Hungarian forint</v>
          </cell>
          <cell r="AJ73" t="str">
            <v>Ft</v>
          </cell>
          <cell r="AK73" t="str">
            <v>HUF</v>
          </cell>
          <cell r="AL73" t="str">
            <v>HUF</v>
          </cell>
          <cell r="AM73">
            <v>0</v>
          </cell>
          <cell r="AN73">
            <v>2</v>
          </cell>
        </row>
        <row r="74">
          <cell r="A74">
            <v>39575</v>
          </cell>
          <cell r="B74">
            <v>39575</v>
          </cell>
          <cell r="C74" t="str">
            <v>Past</v>
          </cell>
          <cell r="D74">
            <v>62.64</v>
          </cell>
          <cell r="E74" t="e">
            <v>#N/A</v>
          </cell>
          <cell r="F74" t="e">
            <v>#N/A</v>
          </cell>
          <cell r="G74" t="e">
            <v>#N/A</v>
          </cell>
          <cell r="H74" t="e">
            <v>#N/A</v>
          </cell>
          <cell r="I74" t="e">
            <v>#N/A</v>
          </cell>
          <cell r="J74" t="e">
            <v>#N/A</v>
          </cell>
          <cell r="K74" t="e">
            <v>#N/A</v>
          </cell>
          <cell r="L74" t="e">
            <v>#N/A</v>
          </cell>
          <cell r="M74" t="e">
            <v>#N/A</v>
          </cell>
          <cell r="N74" t="e">
            <v>#N/A</v>
          </cell>
          <cell r="O74" t="e">
            <v>#N/A</v>
          </cell>
          <cell r="P74">
            <v>62.64</v>
          </cell>
          <cell r="Q74">
            <v>0.89341899999999996</v>
          </cell>
          <cell r="R74" t="e">
            <v>#N/A</v>
          </cell>
          <cell r="AI74" t="str">
            <v>IDR Indonesian Rupiah</v>
          </cell>
          <cell r="AJ74" t="str">
            <v>Rp</v>
          </cell>
          <cell r="AK74" t="str">
            <v>IDR</v>
          </cell>
          <cell r="AL74" t="str">
            <v>IDR</v>
          </cell>
          <cell r="AM74">
            <v>0</v>
          </cell>
          <cell r="AN74">
            <v>0</v>
          </cell>
        </row>
        <row r="75">
          <cell r="A75">
            <v>39576</v>
          </cell>
          <cell r="B75">
            <v>39576</v>
          </cell>
          <cell r="C75" t="str">
            <v>Past</v>
          </cell>
          <cell r="D75">
            <v>63.42</v>
          </cell>
          <cell r="E75" t="e">
            <v>#N/A</v>
          </cell>
          <cell r="F75" t="e">
            <v>#N/A</v>
          </cell>
          <cell r="G75" t="e">
            <v>#N/A</v>
          </cell>
          <cell r="H75" t="e">
            <v>#N/A</v>
          </cell>
          <cell r="I75" t="e">
            <v>#N/A</v>
          </cell>
          <cell r="J75" t="e">
            <v>#N/A</v>
          </cell>
          <cell r="K75" t="e">
            <v>#N/A</v>
          </cell>
          <cell r="L75" t="e">
            <v>#N/A</v>
          </cell>
          <cell r="M75" t="e">
            <v>#N/A</v>
          </cell>
          <cell r="N75" t="e">
            <v>#N/A</v>
          </cell>
          <cell r="O75" t="e">
            <v>#N/A</v>
          </cell>
          <cell r="P75">
            <v>63.42</v>
          </cell>
          <cell r="Q75">
            <v>0.76153899999999997</v>
          </cell>
          <cell r="R75" t="e">
            <v>#N/A</v>
          </cell>
          <cell r="AI75" t="str">
            <v>ILS Israeli shekel</v>
          </cell>
          <cell r="AJ75" t="str">
            <v>ILS</v>
          </cell>
          <cell r="AK75" t="str">
            <v>ILS</v>
          </cell>
          <cell r="AL75" t="str">
            <v>ILS</v>
          </cell>
          <cell r="AM75">
            <v>0</v>
          </cell>
          <cell r="AN75">
            <v>2</v>
          </cell>
        </row>
        <row r="76">
          <cell r="A76">
            <v>39577</v>
          </cell>
          <cell r="B76">
            <v>39577</v>
          </cell>
          <cell r="C76" t="str">
            <v>Past</v>
          </cell>
          <cell r="D76">
            <v>63.03</v>
          </cell>
          <cell r="E76" t="e">
            <v>#N/A</v>
          </cell>
          <cell r="F76" t="e">
            <v>#N/A</v>
          </cell>
          <cell r="G76" t="e">
            <v>#N/A</v>
          </cell>
          <cell r="H76" t="e">
            <v>#N/A</v>
          </cell>
          <cell r="I76" t="e">
            <v>#N/A</v>
          </cell>
          <cell r="J76" t="e">
            <v>#N/A</v>
          </cell>
          <cell r="K76" t="e">
            <v>#N/A</v>
          </cell>
          <cell r="L76" t="e">
            <v>#N/A</v>
          </cell>
          <cell r="M76" t="e">
            <v>#N/A</v>
          </cell>
          <cell r="N76" t="e">
            <v>#N/A</v>
          </cell>
          <cell r="O76" t="e">
            <v>#N/A</v>
          </cell>
          <cell r="P76">
            <v>63.03</v>
          </cell>
          <cell r="Q76">
            <v>0.673929</v>
          </cell>
          <cell r="R76" t="e">
            <v>#N/A</v>
          </cell>
          <cell r="AI76" t="str">
            <v>INR Indian Rupee</v>
          </cell>
          <cell r="AJ76" t="str">
            <v>Rs.</v>
          </cell>
          <cell r="AK76" t="str">
            <v>INR</v>
          </cell>
          <cell r="AL76" t="str">
            <v>INR</v>
          </cell>
          <cell r="AM76">
            <v>0</v>
          </cell>
          <cell r="AN76">
            <v>2</v>
          </cell>
        </row>
        <row r="77">
          <cell r="A77">
            <v>39580</v>
          </cell>
          <cell r="B77">
            <v>39580</v>
          </cell>
          <cell r="C77" t="str">
            <v>Past</v>
          </cell>
          <cell r="D77">
            <v>63.88</v>
          </cell>
          <cell r="E77" t="e">
            <v>#N/A</v>
          </cell>
          <cell r="F77" t="e">
            <v>#N/A</v>
          </cell>
          <cell r="G77" t="e">
            <v>#N/A</v>
          </cell>
          <cell r="H77" t="e">
            <v>#N/A</v>
          </cell>
          <cell r="I77" t="e">
            <v>#N/A</v>
          </cell>
          <cell r="J77" t="e">
            <v>#N/A</v>
          </cell>
          <cell r="K77" t="e">
            <v>#N/A</v>
          </cell>
          <cell r="L77" t="e">
            <v>#N/A</v>
          </cell>
          <cell r="M77" t="e">
            <v>#N/A</v>
          </cell>
          <cell r="N77" t="e">
            <v>#N/A</v>
          </cell>
          <cell r="O77" t="e">
            <v>#N/A</v>
          </cell>
          <cell r="P77">
            <v>63.88</v>
          </cell>
          <cell r="Q77">
            <v>0.36889699999999997</v>
          </cell>
          <cell r="R77" t="e">
            <v>#N/A</v>
          </cell>
          <cell r="AI77" t="str">
            <v>IQD Iraqi Dinar</v>
          </cell>
          <cell r="AJ77" t="str">
            <v>IQD</v>
          </cell>
          <cell r="AK77" t="str">
            <v>IQD</v>
          </cell>
          <cell r="AL77" t="str">
            <v>IQD</v>
          </cell>
          <cell r="AM77">
            <v>0</v>
          </cell>
          <cell r="AN77">
            <v>2</v>
          </cell>
        </row>
        <row r="78">
          <cell r="A78">
            <v>39581</v>
          </cell>
          <cell r="B78">
            <v>39581</v>
          </cell>
          <cell r="C78" t="str">
            <v>Past</v>
          </cell>
          <cell r="D78">
            <v>64.680000000000007</v>
          </cell>
          <cell r="E78" t="e">
            <v>#N/A</v>
          </cell>
          <cell r="F78" t="e">
            <v>#N/A</v>
          </cell>
          <cell r="G78" t="e">
            <v>#N/A</v>
          </cell>
          <cell r="H78" t="e">
            <v>#N/A</v>
          </cell>
          <cell r="I78" t="e">
            <v>#N/A</v>
          </cell>
          <cell r="J78" t="e">
            <v>#N/A</v>
          </cell>
          <cell r="K78" t="e">
            <v>#N/A</v>
          </cell>
          <cell r="L78" t="e">
            <v>#N/A</v>
          </cell>
          <cell r="M78" t="e">
            <v>#N/A</v>
          </cell>
          <cell r="N78" t="e">
            <v>#N/A</v>
          </cell>
          <cell r="O78" t="e">
            <v>#N/A</v>
          </cell>
          <cell r="P78">
            <v>64.680000000000007</v>
          </cell>
          <cell r="Q78">
            <v>0.67565299999999995</v>
          </cell>
          <cell r="R78" t="e">
            <v>#N/A</v>
          </cell>
          <cell r="AI78" t="str">
            <v>IRR Iranian Rial</v>
          </cell>
          <cell r="AJ78" t="str">
            <v>IRR</v>
          </cell>
          <cell r="AK78" t="str">
            <v>IRR</v>
          </cell>
          <cell r="AL78" t="str">
            <v>IRR</v>
          </cell>
          <cell r="AM78">
            <v>0</v>
          </cell>
          <cell r="AN78">
            <v>2</v>
          </cell>
        </row>
        <row r="79">
          <cell r="A79">
            <v>39582</v>
          </cell>
          <cell r="B79">
            <v>39582</v>
          </cell>
          <cell r="C79" t="str">
            <v>Past</v>
          </cell>
          <cell r="D79">
            <v>65.72</v>
          </cell>
          <cell r="E79" t="e">
            <v>#N/A</v>
          </cell>
          <cell r="F79" t="e">
            <v>#N/A</v>
          </cell>
          <cell r="G79" t="e">
            <v>#N/A</v>
          </cell>
          <cell r="H79" t="e">
            <v>#N/A</v>
          </cell>
          <cell r="I79" t="e">
            <v>#N/A</v>
          </cell>
          <cell r="J79" t="e">
            <v>#N/A</v>
          </cell>
          <cell r="K79" t="e">
            <v>#N/A</v>
          </cell>
          <cell r="L79" t="e">
            <v>#N/A</v>
          </cell>
          <cell r="M79" t="e">
            <v>#N/A</v>
          </cell>
          <cell r="N79" t="e">
            <v>#N/A</v>
          </cell>
          <cell r="O79" t="e">
            <v>#N/A</v>
          </cell>
          <cell r="P79">
            <v>65.72</v>
          </cell>
          <cell r="Q79">
            <v>1.0094189999999998</v>
          </cell>
          <cell r="R79" t="e">
            <v>#N/A</v>
          </cell>
          <cell r="AI79" t="str">
            <v>ISK Iceland Krona</v>
          </cell>
          <cell r="AJ79" t="str">
            <v>kr</v>
          </cell>
          <cell r="AK79" t="str">
            <v>ISK</v>
          </cell>
          <cell r="AL79" t="str">
            <v>ISK</v>
          </cell>
          <cell r="AM79">
            <v>0</v>
          </cell>
          <cell r="AN79">
            <v>2</v>
          </cell>
        </row>
        <row r="80">
          <cell r="A80">
            <v>39583</v>
          </cell>
          <cell r="B80">
            <v>39583</v>
          </cell>
          <cell r="C80" t="str">
            <v>Past</v>
          </cell>
          <cell r="D80">
            <v>66.34</v>
          </cell>
          <cell r="E80" t="e">
            <v>#N/A</v>
          </cell>
          <cell r="F80" t="e">
            <v>#N/A</v>
          </cell>
          <cell r="G80" t="e">
            <v>#N/A</v>
          </cell>
          <cell r="H80" t="e">
            <v>#N/A</v>
          </cell>
          <cell r="I80" t="e">
            <v>#N/A</v>
          </cell>
          <cell r="J80" t="e">
            <v>#N/A</v>
          </cell>
          <cell r="K80" t="e">
            <v>#N/A</v>
          </cell>
          <cell r="L80" t="e">
            <v>#N/A</v>
          </cell>
          <cell r="M80" t="e">
            <v>#N/A</v>
          </cell>
          <cell r="N80" t="e">
            <v>#N/A</v>
          </cell>
          <cell r="O80" t="e">
            <v>#N/A</v>
          </cell>
          <cell r="P80">
            <v>66.34</v>
          </cell>
          <cell r="Q80">
            <v>0.69335199999999997</v>
          </cell>
          <cell r="R80" t="e">
            <v>#N/A</v>
          </cell>
          <cell r="AI80" t="str">
            <v>JMD Jamaican Dollars</v>
          </cell>
          <cell r="AJ80" t="str">
            <v>JMD</v>
          </cell>
          <cell r="AK80" t="str">
            <v>JMD</v>
          </cell>
          <cell r="AL80" t="str">
            <v>JMD</v>
          </cell>
          <cell r="AM80">
            <v>0</v>
          </cell>
          <cell r="AN80">
            <v>2</v>
          </cell>
        </row>
        <row r="81">
          <cell r="A81">
            <v>39584</v>
          </cell>
          <cell r="B81">
            <v>39584</v>
          </cell>
          <cell r="C81" t="str">
            <v>Past</v>
          </cell>
          <cell r="D81">
            <v>65.77</v>
          </cell>
          <cell r="E81" t="e">
            <v>#N/A</v>
          </cell>
          <cell r="F81" t="e">
            <v>#N/A</v>
          </cell>
          <cell r="G81" t="e">
            <v>#N/A</v>
          </cell>
          <cell r="H81" t="e">
            <v>#N/A</v>
          </cell>
          <cell r="I81" t="e">
            <v>#N/A</v>
          </cell>
          <cell r="J81" t="e">
            <v>#N/A</v>
          </cell>
          <cell r="K81" t="e">
            <v>#N/A</v>
          </cell>
          <cell r="L81" t="e">
            <v>#N/A</v>
          </cell>
          <cell r="M81" t="e">
            <v>#N/A</v>
          </cell>
          <cell r="N81" t="e">
            <v>#N/A</v>
          </cell>
          <cell r="O81" t="e">
            <v>#N/A</v>
          </cell>
          <cell r="P81">
            <v>65.77</v>
          </cell>
          <cell r="Q81">
            <v>0.80123499999999992</v>
          </cell>
          <cell r="R81" t="e">
            <v>#N/A</v>
          </cell>
          <cell r="AI81" t="str">
            <v>JPY Japanese Yen</v>
          </cell>
          <cell r="AJ81" t="str">
            <v>¥</v>
          </cell>
          <cell r="AK81" t="str">
            <v>JPY</v>
          </cell>
          <cell r="AL81" t="str">
            <v>JPY</v>
          </cell>
          <cell r="AM81">
            <v>0</v>
          </cell>
          <cell r="AN81">
            <v>0</v>
          </cell>
        </row>
        <row r="82">
          <cell r="A82">
            <v>39587</v>
          </cell>
          <cell r="B82">
            <v>39587</v>
          </cell>
          <cell r="C82" t="str">
            <v>Past</v>
          </cell>
          <cell r="D82">
            <v>66.3</v>
          </cell>
          <cell r="E82" t="e">
            <v>#N/A</v>
          </cell>
          <cell r="F82" t="e">
            <v>#N/A</v>
          </cell>
          <cell r="G82" t="e">
            <v>#N/A</v>
          </cell>
          <cell r="H82" t="e">
            <v>#N/A</v>
          </cell>
          <cell r="I82" t="e">
            <v>#N/A</v>
          </cell>
          <cell r="J82" t="e">
            <v>#N/A</v>
          </cell>
          <cell r="K82" t="e">
            <v>#N/A</v>
          </cell>
          <cell r="L82" t="e">
            <v>#N/A</v>
          </cell>
          <cell r="M82" t="e">
            <v>#N/A</v>
          </cell>
          <cell r="N82" t="e">
            <v>#N/A</v>
          </cell>
          <cell r="O82" t="e">
            <v>#N/A</v>
          </cell>
          <cell r="P82">
            <v>66.3</v>
          </cell>
          <cell r="Q82">
            <v>0.94335599999999997</v>
          </cell>
          <cell r="R82" t="e">
            <v>#N/A</v>
          </cell>
          <cell r="AI82" t="str">
            <v>KES Kenyan Shilling</v>
          </cell>
          <cell r="AJ82" t="str">
            <v>KES</v>
          </cell>
          <cell r="AK82" t="str">
            <v>KES</v>
          </cell>
          <cell r="AL82" t="str">
            <v>KES</v>
          </cell>
          <cell r="AM82">
            <v>0</v>
          </cell>
          <cell r="AN82">
            <v>0</v>
          </cell>
        </row>
        <row r="83">
          <cell r="A83">
            <v>39588</v>
          </cell>
          <cell r="B83">
            <v>39588</v>
          </cell>
          <cell r="C83" t="str">
            <v>Past</v>
          </cell>
          <cell r="D83">
            <v>65.33</v>
          </cell>
          <cell r="E83" t="e">
            <v>#N/A</v>
          </cell>
          <cell r="F83" t="e">
            <v>#N/A</v>
          </cell>
          <cell r="G83" t="e">
            <v>#N/A</v>
          </cell>
          <cell r="H83" t="e">
            <v>#N/A</v>
          </cell>
          <cell r="I83" t="e">
            <v>#N/A</v>
          </cell>
          <cell r="J83" t="e">
            <v>#N/A</v>
          </cell>
          <cell r="K83" t="e">
            <v>#N/A</v>
          </cell>
          <cell r="L83" t="e">
            <v>#N/A</v>
          </cell>
          <cell r="M83" t="e">
            <v>#N/A</v>
          </cell>
          <cell r="N83" t="e">
            <v>#N/A</v>
          </cell>
          <cell r="O83" t="e">
            <v>#N/A</v>
          </cell>
          <cell r="P83">
            <v>65.33</v>
          </cell>
          <cell r="Q83">
            <v>0.738506</v>
          </cell>
          <cell r="R83" t="e">
            <v>#N/A</v>
          </cell>
          <cell r="AI83" t="str">
            <v>KRW South Korean Won</v>
          </cell>
          <cell r="AJ83" t="str">
            <v>₩</v>
          </cell>
          <cell r="AK83" t="str">
            <v>KRW</v>
          </cell>
          <cell r="AL83" t="str">
            <v>KRW</v>
          </cell>
          <cell r="AM83">
            <v>0</v>
          </cell>
          <cell r="AN83">
            <v>0</v>
          </cell>
        </row>
        <row r="84">
          <cell r="A84">
            <v>39589</v>
          </cell>
          <cell r="B84">
            <v>39589</v>
          </cell>
          <cell r="C84" t="str">
            <v>Past</v>
          </cell>
          <cell r="D84">
            <v>62.96</v>
          </cell>
          <cell r="E84" t="e">
            <v>#N/A</v>
          </cell>
          <cell r="F84" t="e">
            <v>#N/A</v>
          </cell>
          <cell r="G84" t="e">
            <v>#N/A</v>
          </cell>
          <cell r="H84" t="e">
            <v>#N/A</v>
          </cell>
          <cell r="I84" t="e">
            <v>#N/A</v>
          </cell>
          <cell r="J84" t="e">
            <v>#N/A</v>
          </cell>
          <cell r="K84" t="e">
            <v>#N/A</v>
          </cell>
          <cell r="L84" t="e">
            <v>#N/A</v>
          </cell>
          <cell r="M84" t="e">
            <v>#N/A</v>
          </cell>
          <cell r="N84" t="e">
            <v>#N/A</v>
          </cell>
          <cell r="O84" t="e">
            <v>#N/A</v>
          </cell>
          <cell r="P84">
            <v>62.96</v>
          </cell>
          <cell r="Q84">
            <v>1.104722</v>
          </cell>
          <cell r="R84" t="e">
            <v>#N/A</v>
          </cell>
          <cell r="AI84" t="str">
            <v>KWD Kuwaiti Dinar</v>
          </cell>
          <cell r="AJ84" t="str">
            <v>KWD</v>
          </cell>
          <cell r="AK84" t="str">
            <v>KWD</v>
          </cell>
          <cell r="AL84" t="str">
            <v>KWD</v>
          </cell>
          <cell r="AM84">
            <v>0</v>
          </cell>
          <cell r="AN84">
            <v>2</v>
          </cell>
        </row>
        <row r="85">
          <cell r="A85">
            <v>39590</v>
          </cell>
          <cell r="B85">
            <v>39590</v>
          </cell>
          <cell r="C85" t="str">
            <v>Past</v>
          </cell>
          <cell r="D85">
            <v>61.87</v>
          </cell>
          <cell r="E85" t="e">
            <v>#N/A</v>
          </cell>
          <cell r="F85" t="e">
            <v>#N/A</v>
          </cell>
          <cell r="G85" t="e">
            <v>#N/A</v>
          </cell>
          <cell r="H85" t="e">
            <v>#N/A</v>
          </cell>
          <cell r="I85" t="e">
            <v>#N/A</v>
          </cell>
          <cell r="J85" t="e">
            <v>#N/A</v>
          </cell>
          <cell r="K85" t="e">
            <v>#N/A</v>
          </cell>
          <cell r="L85" t="e">
            <v>#N/A</v>
          </cell>
          <cell r="M85" t="e">
            <v>#N/A</v>
          </cell>
          <cell r="N85" t="e">
            <v>#N/A</v>
          </cell>
          <cell r="O85" t="e">
            <v>#N/A</v>
          </cell>
          <cell r="P85">
            <v>61.87</v>
          </cell>
          <cell r="Q85">
            <v>1.5921900000000002</v>
          </cell>
          <cell r="R85" t="e">
            <v>#N/A</v>
          </cell>
          <cell r="AI85" t="str">
            <v>KYD Cayman Dollars</v>
          </cell>
          <cell r="AJ85" t="str">
            <v>KYD</v>
          </cell>
          <cell r="AK85" t="str">
            <v>KYD</v>
          </cell>
          <cell r="AL85" t="str">
            <v>KYD</v>
          </cell>
          <cell r="AM85">
            <v>0</v>
          </cell>
          <cell r="AN85">
            <v>2</v>
          </cell>
        </row>
        <row r="86">
          <cell r="A86">
            <v>39591</v>
          </cell>
          <cell r="B86">
            <v>39591</v>
          </cell>
          <cell r="C86" t="str">
            <v>Past</v>
          </cell>
          <cell r="D86">
            <v>61.32</v>
          </cell>
          <cell r="E86" t="e">
            <v>#N/A</v>
          </cell>
          <cell r="F86" t="e">
            <v>#N/A</v>
          </cell>
          <cell r="G86" t="e">
            <v>#N/A</v>
          </cell>
          <cell r="H86" t="e">
            <v>#N/A</v>
          </cell>
          <cell r="I86" t="e">
            <v>#N/A</v>
          </cell>
          <cell r="J86" t="e">
            <v>#N/A</v>
          </cell>
          <cell r="K86" t="e">
            <v>#N/A</v>
          </cell>
          <cell r="L86" t="e">
            <v>#N/A</v>
          </cell>
          <cell r="M86" t="e">
            <v>#N/A</v>
          </cell>
          <cell r="N86" t="e">
            <v>#N/A</v>
          </cell>
          <cell r="O86" t="e">
            <v>#N/A</v>
          </cell>
          <cell r="P86">
            <v>61.32</v>
          </cell>
          <cell r="Q86">
            <v>0.83629599999999993</v>
          </cell>
          <cell r="R86" t="e">
            <v>#N/A</v>
          </cell>
          <cell r="AI86" t="str">
            <v>LKR Sri Lankan Rupee</v>
          </cell>
          <cell r="AJ86" t="str">
            <v>LKR</v>
          </cell>
          <cell r="AK86" t="str">
            <v>LKR</v>
          </cell>
          <cell r="AL86" t="str">
            <v>LKR</v>
          </cell>
          <cell r="AM86">
            <v>0</v>
          </cell>
          <cell r="AN86">
            <v>2</v>
          </cell>
        </row>
        <row r="87">
          <cell r="A87">
            <v>39595</v>
          </cell>
          <cell r="B87">
            <v>39595</v>
          </cell>
          <cell r="C87" t="str">
            <v>Past</v>
          </cell>
          <cell r="D87">
            <v>61.08</v>
          </cell>
          <cell r="E87" t="e">
            <v>#N/A</v>
          </cell>
          <cell r="F87" t="e">
            <v>#N/A</v>
          </cell>
          <cell r="G87" t="e">
            <v>#N/A</v>
          </cell>
          <cell r="H87" t="e">
            <v>#N/A</v>
          </cell>
          <cell r="I87" t="e">
            <v>#N/A</v>
          </cell>
          <cell r="J87" t="e">
            <v>#N/A</v>
          </cell>
          <cell r="K87" t="e">
            <v>#N/A</v>
          </cell>
          <cell r="L87" t="e">
            <v>#N/A</v>
          </cell>
          <cell r="M87" t="e">
            <v>#N/A</v>
          </cell>
          <cell r="N87" t="e">
            <v>#N/A</v>
          </cell>
          <cell r="O87" t="e">
            <v>#N/A</v>
          </cell>
          <cell r="P87">
            <v>61.08</v>
          </cell>
          <cell r="Q87">
            <v>1.1519279999999998</v>
          </cell>
          <cell r="R87" t="e">
            <v>#N/A</v>
          </cell>
          <cell r="AI87" t="str">
            <v>MAD Moroccan Dirham</v>
          </cell>
          <cell r="AJ87" t="str">
            <v>MAD</v>
          </cell>
          <cell r="AK87" t="str">
            <v>MAD</v>
          </cell>
          <cell r="AL87" t="str">
            <v>MAD</v>
          </cell>
          <cell r="AM87">
            <v>0</v>
          </cell>
          <cell r="AN87">
            <v>2</v>
          </cell>
        </row>
        <row r="88">
          <cell r="A88">
            <v>39596</v>
          </cell>
          <cell r="B88">
            <v>39596</v>
          </cell>
          <cell r="C88" t="str">
            <v>Past</v>
          </cell>
          <cell r="D88">
            <v>60.83</v>
          </cell>
          <cell r="E88" t="e">
            <v>#N/A</v>
          </cell>
          <cell r="F88" t="e">
            <v>#N/A</v>
          </cell>
          <cell r="G88" t="e">
            <v>#N/A</v>
          </cell>
          <cell r="H88" t="e">
            <v>#N/A</v>
          </cell>
          <cell r="I88" t="e">
            <v>#N/A</v>
          </cell>
          <cell r="J88" t="e">
            <v>#N/A</v>
          </cell>
          <cell r="K88" t="e">
            <v>#N/A</v>
          </cell>
          <cell r="L88" t="e">
            <v>#N/A</v>
          </cell>
          <cell r="M88" t="e">
            <v>#N/A</v>
          </cell>
          <cell r="N88" t="e">
            <v>#N/A</v>
          </cell>
          <cell r="O88" t="e">
            <v>#N/A</v>
          </cell>
          <cell r="P88">
            <v>60.83</v>
          </cell>
          <cell r="Q88">
            <v>0.94472599999999995</v>
          </cell>
          <cell r="R88" t="e">
            <v>#N/A</v>
          </cell>
          <cell r="AI88" t="str">
            <v>MXN Mexican Pesos (new)</v>
          </cell>
          <cell r="AJ88" t="str">
            <v>M$</v>
          </cell>
          <cell r="AK88" t="str">
            <v>MXN</v>
          </cell>
          <cell r="AL88" t="str">
            <v>MXN</v>
          </cell>
          <cell r="AM88">
            <v>0</v>
          </cell>
          <cell r="AN88">
            <v>2</v>
          </cell>
        </row>
        <row r="89">
          <cell r="A89">
            <v>39597</v>
          </cell>
          <cell r="B89">
            <v>39597</v>
          </cell>
          <cell r="C89" t="str">
            <v>Past</v>
          </cell>
          <cell r="D89">
            <v>61.13</v>
          </cell>
          <cell r="E89" t="e">
            <v>#N/A</v>
          </cell>
          <cell r="F89" t="e">
            <v>#N/A</v>
          </cell>
          <cell r="G89" t="e">
            <v>#N/A</v>
          </cell>
          <cell r="H89" t="e">
            <v>#N/A</v>
          </cell>
          <cell r="I89" t="e">
            <v>#N/A</v>
          </cell>
          <cell r="J89" t="e">
            <v>#N/A</v>
          </cell>
          <cell r="K89" t="e">
            <v>#N/A</v>
          </cell>
          <cell r="L89" t="e">
            <v>#N/A</v>
          </cell>
          <cell r="M89" t="e">
            <v>#N/A</v>
          </cell>
          <cell r="N89" t="e">
            <v>#N/A</v>
          </cell>
          <cell r="O89" t="e">
            <v>#N/A</v>
          </cell>
          <cell r="P89">
            <v>61.13</v>
          </cell>
          <cell r="Q89">
            <v>0.61835699999999993</v>
          </cell>
          <cell r="R89" t="e">
            <v>#N/A</v>
          </cell>
          <cell r="AI89" t="str">
            <v>MYR Malaysian Ringgit</v>
          </cell>
          <cell r="AJ89" t="str">
            <v>RM</v>
          </cell>
          <cell r="AK89" t="str">
            <v>MYR</v>
          </cell>
          <cell r="AL89" t="str">
            <v>MYR</v>
          </cell>
          <cell r="AM89">
            <v>0</v>
          </cell>
          <cell r="AN89">
            <v>2</v>
          </cell>
        </row>
        <row r="90">
          <cell r="A90">
            <v>39598</v>
          </cell>
          <cell r="B90">
            <v>39598</v>
          </cell>
          <cell r="C90" t="str">
            <v>Past</v>
          </cell>
          <cell r="D90">
            <v>61.37</v>
          </cell>
          <cell r="E90" t="e">
            <v>#N/A</v>
          </cell>
          <cell r="F90" t="e">
            <v>#N/A</v>
          </cell>
          <cell r="G90" t="e">
            <v>#N/A</v>
          </cell>
          <cell r="H90" t="e">
            <v>#N/A</v>
          </cell>
          <cell r="I90" t="e">
            <v>#N/A</v>
          </cell>
          <cell r="J90" t="e">
            <v>#N/A</v>
          </cell>
          <cell r="K90" t="e">
            <v>#N/A</v>
          </cell>
          <cell r="L90" t="e">
            <v>#N/A</v>
          </cell>
          <cell r="M90" t="e">
            <v>#N/A</v>
          </cell>
          <cell r="N90" t="e">
            <v>#N/A</v>
          </cell>
          <cell r="O90" t="e">
            <v>#N/A</v>
          </cell>
          <cell r="P90">
            <v>61.37</v>
          </cell>
          <cell r="Q90">
            <v>1.0274700000000001</v>
          </cell>
          <cell r="R90" t="e">
            <v>#N/A</v>
          </cell>
          <cell r="AI90" t="str">
            <v>NOK Norwegian Krone</v>
          </cell>
          <cell r="AJ90" t="str">
            <v>NKr</v>
          </cell>
          <cell r="AK90" t="str">
            <v>NOK</v>
          </cell>
          <cell r="AL90" t="str">
            <v>NOK</v>
          </cell>
          <cell r="AM90">
            <v>0</v>
          </cell>
          <cell r="AN90">
            <v>2</v>
          </cell>
        </row>
        <row r="91">
          <cell r="A91">
            <v>39601</v>
          </cell>
          <cell r="B91">
            <v>39601</v>
          </cell>
          <cell r="C91" t="str">
            <v>Past</v>
          </cell>
          <cell r="D91">
            <v>60.48</v>
          </cell>
          <cell r="E91" t="e">
            <v>#N/A</v>
          </cell>
          <cell r="F91" t="e">
            <v>#N/A</v>
          </cell>
          <cell r="G91" t="e">
            <v>#N/A</v>
          </cell>
          <cell r="H91" t="e">
            <v>#N/A</v>
          </cell>
          <cell r="I91" t="e">
            <v>#N/A</v>
          </cell>
          <cell r="J91" t="e">
            <v>#N/A</v>
          </cell>
          <cell r="K91" t="e">
            <v>#N/A</v>
          </cell>
          <cell r="L91" t="e">
            <v>#N/A</v>
          </cell>
          <cell r="M91" t="e">
            <v>#N/A</v>
          </cell>
          <cell r="N91" t="e">
            <v>#N/A</v>
          </cell>
          <cell r="O91" t="e">
            <v>#N/A</v>
          </cell>
          <cell r="P91">
            <v>60.48</v>
          </cell>
          <cell r="Q91">
            <v>0.90958799999999995</v>
          </cell>
          <cell r="R91" t="e">
            <v>#N/A</v>
          </cell>
          <cell r="AI91" t="str">
            <v>NZD New Zealand Dollars</v>
          </cell>
          <cell r="AJ91" t="str">
            <v>NZ$</v>
          </cell>
          <cell r="AK91" t="str">
            <v>NZD</v>
          </cell>
          <cell r="AL91" t="str">
            <v>NZD</v>
          </cell>
          <cell r="AM91">
            <v>0</v>
          </cell>
          <cell r="AN91">
            <v>2</v>
          </cell>
        </row>
        <row r="92">
          <cell r="A92">
            <v>39602</v>
          </cell>
          <cell r="B92">
            <v>39602</v>
          </cell>
          <cell r="C92" t="str">
            <v>Past</v>
          </cell>
          <cell r="D92">
            <v>59.53</v>
          </cell>
          <cell r="E92" t="e">
            <v>#N/A</v>
          </cell>
          <cell r="F92" t="e">
            <v>#N/A</v>
          </cell>
          <cell r="G92" t="e">
            <v>#N/A</v>
          </cell>
          <cell r="H92" t="e">
            <v>#N/A</v>
          </cell>
          <cell r="I92" t="e">
            <v>#N/A</v>
          </cell>
          <cell r="J92" t="e">
            <v>#N/A</v>
          </cell>
          <cell r="K92" t="e">
            <v>#N/A</v>
          </cell>
          <cell r="L92" t="e">
            <v>#N/A</v>
          </cell>
          <cell r="M92" t="e">
            <v>#N/A</v>
          </cell>
          <cell r="N92" t="e">
            <v>#N/A</v>
          </cell>
          <cell r="O92" t="e">
            <v>#N/A</v>
          </cell>
          <cell r="P92">
            <v>59.53</v>
          </cell>
          <cell r="Q92">
            <v>2.1573549999999999</v>
          </cell>
          <cell r="R92" t="e">
            <v>#N/A</v>
          </cell>
          <cell r="AI92" t="str">
            <v>OMR Rial Omani</v>
          </cell>
          <cell r="AJ92" t="str">
            <v>OMR</v>
          </cell>
          <cell r="AK92" t="str">
            <v>OMR</v>
          </cell>
          <cell r="AL92" t="str">
            <v>OMR</v>
          </cell>
          <cell r="AM92">
            <v>0</v>
          </cell>
          <cell r="AN92">
            <v>2</v>
          </cell>
        </row>
        <row r="93">
          <cell r="A93">
            <v>39603</v>
          </cell>
          <cell r="B93">
            <v>39603</v>
          </cell>
          <cell r="C93" t="str">
            <v>Past</v>
          </cell>
          <cell r="D93">
            <v>58.46</v>
          </cell>
          <cell r="E93" t="e">
            <v>#N/A</v>
          </cell>
          <cell r="F93" t="e">
            <v>#N/A</v>
          </cell>
          <cell r="G93" t="e">
            <v>#N/A</v>
          </cell>
          <cell r="H93" t="e">
            <v>#N/A</v>
          </cell>
          <cell r="I93" t="e">
            <v>#N/A</v>
          </cell>
          <cell r="J93" t="e">
            <v>#N/A</v>
          </cell>
          <cell r="K93" t="e">
            <v>#N/A</v>
          </cell>
          <cell r="L93" t="e">
            <v>#N/A</v>
          </cell>
          <cell r="M93" t="e">
            <v>#N/A</v>
          </cell>
          <cell r="N93" t="e">
            <v>#N/A</v>
          </cell>
          <cell r="O93" t="e">
            <v>#N/A</v>
          </cell>
          <cell r="P93">
            <v>58.46</v>
          </cell>
          <cell r="Q93">
            <v>2.5510300000000004</v>
          </cell>
          <cell r="R93" t="e">
            <v>#N/A</v>
          </cell>
          <cell r="AI93" t="str">
            <v>PAB Panamanian Balboa</v>
          </cell>
          <cell r="AJ93" t="str">
            <v>PAB</v>
          </cell>
          <cell r="AK93" t="str">
            <v>PAB</v>
          </cell>
          <cell r="AL93" t="str">
            <v>PAB</v>
          </cell>
          <cell r="AM93">
            <v>0</v>
          </cell>
          <cell r="AN93">
            <v>2</v>
          </cell>
        </row>
        <row r="94">
          <cell r="A94">
            <v>39604</v>
          </cell>
          <cell r="B94">
            <v>39604</v>
          </cell>
          <cell r="C94" t="str">
            <v>Past</v>
          </cell>
          <cell r="D94">
            <v>58.6</v>
          </cell>
          <cell r="E94" t="e">
            <v>#N/A</v>
          </cell>
          <cell r="F94" t="e">
            <v>#N/A</v>
          </cell>
          <cell r="G94" t="e">
            <v>#N/A</v>
          </cell>
          <cell r="H94" t="e">
            <v>#N/A</v>
          </cell>
          <cell r="I94" t="e">
            <v>#N/A</v>
          </cell>
          <cell r="J94" t="e">
            <v>#N/A</v>
          </cell>
          <cell r="K94" t="e">
            <v>#N/A</v>
          </cell>
          <cell r="L94" t="e">
            <v>#N/A</v>
          </cell>
          <cell r="M94" t="e">
            <v>#N/A</v>
          </cell>
          <cell r="N94" t="e">
            <v>#N/A</v>
          </cell>
          <cell r="O94" t="e">
            <v>#N/A</v>
          </cell>
          <cell r="P94">
            <v>58.6</v>
          </cell>
          <cell r="Q94">
            <v>1.563715</v>
          </cell>
          <cell r="R94" t="e">
            <v>#N/A</v>
          </cell>
          <cell r="AI94" t="str">
            <v>PEN Peruvian PEN</v>
          </cell>
          <cell r="AJ94" t="str">
            <v>PEN</v>
          </cell>
          <cell r="AK94" t="str">
            <v>PEN</v>
          </cell>
          <cell r="AL94" t="str">
            <v>PEN</v>
          </cell>
          <cell r="AM94">
            <v>0</v>
          </cell>
          <cell r="AN94">
            <v>2</v>
          </cell>
        </row>
        <row r="95">
          <cell r="A95">
            <v>39605</v>
          </cell>
          <cell r="B95">
            <v>39605</v>
          </cell>
          <cell r="C95" t="str">
            <v>Past</v>
          </cell>
          <cell r="D95">
            <v>55.66</v>
          </cell>
          <cell r="E95" t="e">
            <v>#N/A</v>
          </cell>
          <cell r="F95" t="e">
            <v>#N/A</v>
          </cell>
          <cell r="G95" t="e">
            <v>#N/A</v>
          </cell>
          <cell r="H95" t="e">
            <v>#N/A</v>
          </cell>
          <cell r="I95" t="e">
            <v>#N/A</v>
          </cell>
          <cell r="J95" t="e">
            <v>#N/A</v>
          </cell>
          <cell r="K95" t="e">
            <v>#N/A</v>
          </cell>
          <cell r="L95" t="e">
            <v>#N/A</v>
          </cell>
          <cell r="M95" t="e">
            <v>#N/A</v>
          </cell>
          <cell r="N95" t="e">
            <v>#N/A</v>
          </cell>
          <cell r="O95" t="e">
            <v>#N/A</v>
          </cell>
          <cell r="P95">
            <v>55.66</v>
          </cell>
          <cell r="Q95">
            <v>2.6248209999999998</v>
          </cell>
          <cell r="R95" t="e">
            <v>#N/A</v>
          </cell>
          <cell r="AI95" t="str">
            <v>PHP Philippino Peso</v>
          </cell>
          <cell r="AJ95" t="str">
            <v>PP</v>
          </cell>
          <cell r="AK95" t="str">
            <v>PHP</v>
          </cell>
          <cell r="AL95" t="str">
            <v>PHP</v>
          </cell>
          <cell r="AM95">
            <v>0</v>
          </cell>
          <cell r="AN95">
            <v>2</v>
          </cell>
        </row>
        <row r="96">
          <cell r="A96">
            <v>39608</v>
          </cell>
          <cell r="B96">
            <v>39608</v>
          </cell>
          <cell r="C96" t="str">
            <v>Past</v>
          </cell>
          <cell r="D96">
            <v>54.4</v>
          </cell>
          <cell r="E96" t="e">
            <v>#N/A</v>
          </cell>
          <cell r="F96" t="e">
            <v>#N/A</v>
          </cell>
          <cell r="G96" t="e">
            <v>#N/A</v>
          </cell>
          <cell r="H96" t="e">
            <v>#N/A</v>
          </cell>
          <cell r="I96" t="e">
            <v>#N/A</v>
          </cell>
          <cell r="J96" t="e">
            <v>#N/A</v>
          </cell>
          <cell r="K96" t="e">
            <v>#N/A</v>
          </cell>
          <cell r="L96" t="e">
            <v>#N/A</v>
          </cell>
          <cell r="M96" t="e">
            <v>#N/A</v>
          </cell>
          <cell r="N96" t="e">
            <v>#N/A</v>
          </cell>
          <cell r="O96" t="e">
            <v>#N/A</v>
          </cell>
          <cell r="P96">
            <v>54.4</v>
          </cell>
          <cell r="Q96">
            <v>3.6331560000000001</v>
          </cell>
          <cell r="R96" t="e">
            <v>#N/A</v>
          </cell>
          <cell r="AI96" t="str">
            <v>PKR Pakistani Rupee</v>
          </cell>
          <cell r="AJ96" t="str">
            <v>Rs.</v>
          </cell>
          <cell r="AK96" t="str">
            <v>PKR</v>
          </cell>
          <cell r="AL96" t="str">
            <v>PKR</v>
          </cell>
          <cell r="AM96">
            <v>0</v>
          </cell>
          <cell r="AN96">
            <v>2</v>
          </cell>
        </row>
        <row r="97">
          <cell r="A97">
            <v>39609</v>
          </cell>
          <cell r="B97">
            <v>39609</v>
          </cell>
          <cell r="C97" t="str">
            <v>Past</v>
          </cell>
          <cell r="D97">
            <v>54.17</v>
          </cell>
          <cell r="E97" t="e">
            <v>#N/A</v>
          </cell>
          <cell r="F97" t="e">
            <v>#N/A</v>
          </cell>
          <cell r="G97" t="e">
            <v>#N/A</v>
          </cell>
          <cell r="H97" t="e">
            <v>#N/A</v>
          </cell>
          <cell r="I97" t="e">
            <v>#N/A</v>
          </cell>
          <cell r="J97" t="e">
            <v>#N/A</v>
          </cell>
          <cell r="K97" t="e">
            <v>#N/A</v>
          </cell>
          <cell r="L97" t="e">
            <v>#N/A</v>
          </cell>
          <cell r="M97" t="e">
            <v>#N/A</v>
          </cell>
          <cell r="N97" t="e">
            <v>#N/A</v>
          </cell>
          <cell r="O97" t="e">
            <v>#N/A</v>
          </cell>
          <cell r="P97">
            <v>54.17</v>
          </cell>
          <cell r="Q97">
            <v>2.279776</v>
          </cell>
          <cell r="R97" t="e">
            <v>#N/A</v>
          </cell>
          <cell r="AI97" t="str">
            <v>PLN Polish Zloty</v>
          </cell>
          <cell r="AJ97" t="str">
            <v>zł</v>
          </cell>
          <cell r="AK97" t="str">
            <v>PLN</v>
          </cell>
          <cell r="AL97" t="str">
            <v>PLN</v>
          </cell>
          <cell r="AM97">
            <v>0</v>
          </cell>
          <cell r="AN97">
            <v>2</v>
          </cell>
        </row>
        <row r="98">
          <cell r="A98">
            <v>39610</v>
          </cell>
          <cell r="B98">
            <v>39610</v>
          </cell>
          <cell r="C98" t="str">
            <v>Past</v>
          </cell>
          <cell r="D98">
            <v>53.74</v>
          </cell>
          <cell r="E98" t="e">
            <v>#N/A</v>
          </cell>
          <cell r="F98" t="e">
            <v>#N/A</v>
          </cell>
          <cell r="G98" t="e">
            <v>#N/A</v>
          </cell>
          <cell r="H98" t="e">
            <v>#N/A</v>
          </cell>
          <cell r="I98" t="e">
            <v>#N/A</v>
          </cell>
          <cell r="J98" t="e">
            <v>#N/A</v>
          </cell>
          <cell r="K98" t="e">
            <v>#N/A</v>
          </cell>
          <cell r="L98" t="e">
            <v>#N/A</v>
          </cell>
          <cell r="M98" t="e">
            <v>#N/A</v>
          </cell>
          <cell r="N98" t="e">
            <v>#N/A</v>
          </cell>
          <cell r="O98" t="e">
            <v>#N/A</v>
          </cell>
          <cell r="P98">
            <v>53.74</v>
          </cell>
          <cell r="Q98">
            <v>2.453938</v>
          </cell>
          <cell r="R98" t="e">
            <v>#N/A</v>
          </cell>
          <cell r="AI98" t="str">
            <v>QAR Qatari Riyal</v>
          </cell>
          <cell r="AJ98" t="str">
            <v>QAR</v>
          </cell>
          <cell r="AK98" t="str">
            <v>QAR</v>
          </cell>
          <cell r="AL98" t="str">
            <v>QAR</v>
          </cell>
          <cell r="AM98">
            <v>0</v>
          </cell>
          <cell r="AN98">
            <v>2</v>
          </cell>
        </row>
        <row r="99">
          <cell r="A99">
            <v>39611</v>
          </cell>
          <cell r="B99">
            <v>39611</v>
          </cell>
          <cell r="C99" t="str">
            <v>Past</v>
          </cell>
          <cell r="D99">
            <v>53.82</v>
          </cell>
          <cell r="E99" t="e">
            <v>#N/A</v>
          </cell>
          <cell r="F99" t="e">
            <v>#N/A</v>
          </cell>
          <cell r="G99" t="e">
            <v>#N/A</v>
          </cell>
          <cell r="H99" t="e">
            <v>#N/A</v>
          </cell>
          <cell r="I99" t="e">
            <v>#N/A</v>
          </cell>
          <cell r="J99" t="e">
            <v>#N/A</v>
          </cell>
          <cell r="K99" t="e">
            <v>#N/A</v>
          </cell>
          <cell r="L99" t="e">
            <v>#N/A</v>
          </cell>
          <cell r="M99" t="e">
            <v>#N/A</v>
          </cell>
          <cell r="N99" t="e">
            <v>#N/A</v>
          </cell>
          <cell r="O99" t="e">
            <v>#N/A</v>
          </cell>
          <cell r="P99">
            <v>53.82</v>
          </cell>
          <cell r="Q99">
            <v>2.8789039999999999</v>
          </cell>
          <cell r="R99" t="e">
            <v>#N/A</v>
          </cell>
          <cell r="AI99" t="str">
            <v>RUB Russian Rouble</v>
          </cell>
          <cell r="AJ99" t="str">
            <v>RUB</v>
          </cell>
          <cell r="AK99" t="str">
            <v>RUB</v>
          </cell>
          <cell r="AL99" t="str">
            <v>RUB</v>
          </cell>
          <cell r="AM99">
            <v>0</v>
          </cell>
          <cell r="AN99">
            <v>2</v>
          </cell>
        </row>
        <row r="100">
          <cell r="A100">
            <v>39612</v>
          </cell>
          <cell r="B100">
            <v>39612</v>
          </cell>
          <cell r="C100" t="str">
            <v>Past</v>
          </cell>
          <cell r="D100">
            <v>54.2</v>
          </cell>
          <cell r="E100" t="e">
            <v>#N/A</v>
          </cell>
          <cell r="F100" t="e">
            <v>#N/A</v>
          </cell>
          <cell r="G100" t="e">
            <v>#N/A</v>
          </cell>
          <cell r="H100" t="e">
            <v>#N/A</v>
          </cell>
          <cell r="I100" t="e">
            <v>#N/A</v>
          </cell>
          <cell r="J100" t="e">
            <v>#N/A</v>
          </cell>
          <cell r="K100" t="e">
            <v>#N/A</v>
          </cell>
          <cell r="L100" t="e">
            <v>#N/A</v>
          </cell>
          <cell r="M100" t="e">
            <v>#N/A</v>
          </cell>
          <cell r="N100" t="e">
            <v>#N/A</v>
          </cell>
          <cell r="O100" t="e">
            <v>#N/A</v>
          </cell>
          <cell r="P100">
            <v>54.2</v>
          </cell>
          <cell r="Q100">
            <v>2.1869549999999998</v>
          </cell>
          <cell r="R100" t="e">
            <v>#N/A</v>
          </cell>
          <cell r="AI100" t="str">
            <v>SAR Saudi Riyal</v>
          </cell>
          <cell r="AJ100" t="str">
            <v>SAR</v>
          </cell>
          <cell r="AK100" t="str">
            <v>SAR</v>
          </cell>
          <cell r="AL100" t="str">
            <v>SAR</v>
          </cell>
          <cell r="AM100">
            <v>0</v>
          </cell>
          <cell r="AN100">
            <v>2</v>
          </cell>
        </row>
        <row r="101">
          <cell r="A101">
            <v>39615</v>
          </cell>
          <cell r="B101">
            <v>39615</v>
          </cell>
          <cell r="C101" t="str">
            <v>Past</v>
          </cell>
          <cell r="D101">
            <v>53.98</v>
          </cell>
          <cell r="E101" t="e">
            <v>#N/A</v>
          </cell>
          <cell r="F101" t="e">
            <v>#N/A</v>
          </cell>
          <cell r="G101" t="e">
            <v>#N/A</v>
          </cell>
          <cell r="H101" t="e">
            <v>#N/A</v>
          </cell>
          <cell r="I101" t="e">
            <v>#N/A</v>
          </cell>
          <cell r="J101" t="e">
            <v>#N/A</v>
          </cell>
          <cell r="K101" t="e">
            <v>#N/A</v>
          </cell>
          <cell r="L101" t="e">
            <v>#N/A</v>
          </cell>
          <cell r="M101" t="e">
            <v>#N/A</v>
          </cell>
          <cell r="N101" t="e">
            <v>#N/A</v>
          </cell>
          <cell r="O101" t="e">
            <v>#N/A</v>
          </cell>
          <cell r="P101">
            <v>53.98</v>
          </cell>
          <cell r="Q101">
            <v>1.654158</v>
          </cell>
          <cell r="R101" t="e">
            <v>#N/A</v>
          </cell>
          <cell r="AI101" t="str">
            <v>SEK Swedish Krona</v>
          </cell>
          <cell r="AJ101" t="str">
            <v>SKr</v>
          </cell>
          <cell r="AK101" t="str">
            <v>SEK</v>
          </cell>
          <cell r="AL101" t="str">
            <v>SEK</v>
          </cell>
          <cell r="AM101">
            <v>0</v>
          </cell>
          <cell r="AN101">
            <v>2</v>
          </cell>
        </row>
        <row r="102">
          <cell r="A102">
            <v>39616</v>
          </cell>
          <cell r="B102">
            <v>39616</v>
          </cell>
          <cell r="C102" t="str">
            <v>Past</v>
          </cell>
          <cell r="D102">
            <v>52.02</v>
          </cell>
          <cell r="E102" t="e">
            <v>#N/A</v>
          </cell>
          <cell r="F102" t="e">
            <v>#N/A</v>
          </cell>
          <cell r="G102" t="e">
            <v>#N/A</v>
          </cell>
          <cell r="H102" t="e">
            <v>#N/A</v>
          </cell>
          <cell r="I102" t="e">
            <v>#N/A</v>
          </cell>
          <cell r="J102" t="e">
            <v>#N/A</v>
          </cell>
          <cell r="K102" t="e">
            <v>#N/A</v>
          </cell>
          <cell r="L102" t="e">
            <v>#N/A</v>
          </cell>
          <cell r="M102" t="e">
            <v>#N/A</v>
          </cell>
          <cell r="N102" t="e">
            <v>#N/A</v>
          </cell>
          <cell r="O102" t="e">
            <v>#N/A</v>
          </cell>
          <cell r="P102">
            <v>52.02</v>
          </cell>
          <cell r="Q102">
            <v>2.6409549999999999</v>
          </cell>
          <cell r="R102" t="e">
            <v>#N/A</v>
          </cell>
          <cell r="AI102" t="str">
            <v>SGD Singapore Dollar</v>
          </cell>
          <cell r="AJ102" t="str">
            <v>S$</v>
          </cell>
          <cell r="AK102" t="str">
            <v>SGD</v>
          </cell>
          <cell r="AL102" t="str">
            <v>SGD</v>
          </cell>
          <cell r="AM102">
            <v>0</v>
          </cell>
          <cell r="AN102">
            <v>2</v>
          </cell>
        </row>
        <row r="103">
          <cell r="A103">
            <v>39617</v>
          </cell>
          <cell r="B103">
            <v>39617</v>
          </cell>
          <cell r="C103" t="str">
            <v>Past</v>
          </cell>
          <cell r="D103">
            <v>51.65</v>
          </cell>
          <cell r="E103" t="e">
            <v>#N/A</v>
          </cell>
          <cell r="F103" t="e">
            <v>#N/A</v>
          </cell>
          <cell r="G103" t="e">
            <v>#N/A</v>
          </cell>
          <cell r="H103" t="e">
            <v>#N/A</v>
          </cell>
          <cell r="I103" t="e">
            <v>#N/A</v>
          </cell>
          <cell r="J103" t="e">
            <v>#N/A</v>
          </cell>
          <cell r="K103" t="e">
            <v>#N/A</v>
          </cell>
          <cell r="L103" t="e">
            <v>#N/A</v>
          </cell>
          <cell r="M103" t="e">
            <v>#N/A</v>
          </cell>
          <cell r="N103" t="e">
            <v>#N/A</v>
          </cell>
          <cell r="O103" t="e">
            <v>#N/A</v>
          </cell>
          <cell r="P103">
            <v>51.65</v>
          </cell>
          <cell r="Q103">
            <v>2.086948</v>
          </cell>
          <cell r="R103" t="e">
            <v>#N/A</v>
          </cell>
          <cell r="AI103" t="str">
            <v>THB Thailand Baht</v>
          </cell>
          <cell r="AJ103" t="str">
            <v>Bt</v>
          </cell>
          <cell r="AK103" t="str">
            <v>THB</v>
          </cell>
          <cell r="AL103" t="str">
            <v>THB</v>
          </cell>
          <cell r="AM103">
            <v>0</v>
          </cell>
          <cell r="AN103">
            <v>2</v>
          </cell>
        </row>
        <row r="104">
          <cell r="A104">
            <v>39618</v>
          </cell>
          <cell r="B104">
            <v>39618</v>
          </cell>
          <cell r="C104" t="str">
            <v>Past</v>
          </cell>
          <cell r="D104">
            <v>51.6</v>
          </cell>
          <cell r="E104" t="e">
            <v>#N/A</v>
          </cell>
          <cell r="F104" t="e">
            <v>#N/A</v>
          </cell>
          <cell r="G104" t="e">
            <v>#N/A</v>
          </cell>
          <cell r="H104" t="e">
            <v>#N/A</v>
          </cell>
          <cell r="I104" t="e">
            <v>#N/A</v>
          </cell>
          <cell r="J104" t="e">
            <v>#N/A</v>
          </cell>
          <cell r="K104" t="e">
            <v>#N/A</v>
          </cell>
          <cell r="L104" t="e">
            <v>#N/A</v>
          </cell>
          <cell r="M104" t="e">
            <v>#N/A</v>
          </cell>
          <cell r="N104" t="e">
            <v>#N/A</v>
          </cell>
          <cell r="O104" t="e">
            <v>#N/A</v>
          </cell>
          <cell r="P104">
            <v>51.6</v>
          </cell>
          <cell r="Q104">
            <v>2.0014189999999998</v>
          </cell>
          <cell r="R104" t="e">
            <v>#N/A</v>
          </cell>
          <cell r="AI104" t="str">
            <v>TND Tunisian Dinar</v>
          </cell>
          <cell r="AJ104" t="str">
            <v>TND</v>
          </cell>
          <cell r="AK104" t="str">
            <v>TND</v>
          </cell>
          <cell r="AL104" t="str">
            <v>TND</v>
          </cell>
          <cell r="AM104">
            <v>0</v>
          </cell>
          <cell r="AN104">
            <v>2</v>
          </cell>
        </row>
        <row r="105">
          <cell r="A105">
            <v>39619</v>
          </cell>
          <cell r="B105">
            <v>39619</v>
          </cell>
          <cell r="C105" t="str">
            <v>Past</v>
          </cell>
          <cell r="D105">
            <v>50.3</v>
          </cell>
          <cell r="E105" t="e">
            <v>#N/A</v>
          </cell>
          <cell r="F105" t="e">
            <v>#N/A</v>
          </cell>
          <cell r="G105" t="e">
            <v>#N/A</v>
          </cell>
          <cell r="H105" t="e">
            <v>#N/A</v>
          </cell>
          <cell r="I105" t="e">
            <v>#N/A</v>
          </cell>
          <cell r="J105" t="e">
            <v>#N/A</v>
          </cell>
          <cell r="K105" t="e">
            <v>#N/A</v>
          </cell>
          <cell r="L105" t="e">
            <v>#N/A</v>
          </cell>
          <cell r="M105" t="e">
            <v>#N/A</v>
          </cell>
          <cell r="N105" t="e">
            <v>#N/A</v>
          </cell>
          <cell r="O105" t="e">
            <v>#N/A</v>
          </cell>
          <cell r="P105">
            <v>50.3</v>
          </cell>
          <cell r="Q105">
            <v>3.240291</v>
          </cell>
          <cell r="R105" t="e">
            <v>#N/A</v>
          </cell>
          <cell r="AI105" t="str">
            <v>TRY Turkish Lira</v>
          </cell>
          <cell r="AJ105" t="str">
            <v>TL</v>
          </cell>
          <cell r="AK105" t="str">
            <v>TRY</v>
          </cell>
          <cell r="AL105" t="str">
            <v>TRY</v>
          </cell>
          <cell r="AM105">
            <v>0</v>
          </cell>
          <cell r="AN105">
            <v>2</v>
          </cell>
        </row>
        <row r="106">
          <cell r="A106">
            <v>39622</v>
          </cell>
          <cell r="B106">
            <v>39622</v>
          </cell>
          <cell r="C106" t="str">
            <v>Past</v>
          </cell>
          <cell r="D106">
            <v>49.99</v>
          </cell>
          <cell r="E106" t="e">
            <v>#N/A</v>
          </cell>
          <cell r="F106" t="e">
            <v>#N/A</v>
          </cell>
          <cell r="G106" t="e">
            <v>#N/A</v>
          </cell>
          <cell r="H106" t="e">
            <v>#N/A</v>
          </cell>
          <cell r="I106" t="e">
            <v>#N/A</v>
          </cell>
          <cell r="J106" t="e">
            <v>#N/A</v>
          </cell>
          <cell r="K106" t="e">
            <v>#N/A</v>
          </cell>
          <cell r="L106" t="e">
            <v>#N/A</v>
          </cell>
          <cell r="M106" t="e">
            <v>#N/A</v>
          </cell>
          <cell r="N106" t="e">
            <v>#N/A</v>
          </cell>
          <cell r="O106" t="e">
            <v>#N/A</v>
          </cell>
          <cell r="P106">
            <v>49.99</v>
          </cell>
          <cell r="Q106">
            <v>1.574284</v>
          </cell>
          <cell r="R106" t="e">
            <v>#N/A</v>
          </cell>
          <cell r="AI106" t="str">
            <v>TWD New Taiwan Dollar</v>
          </cell>
          <cell r="AJ106" t="str">
            <v>NT$</v>
          </cell>
          <cell r="AK106" t="str">
            <v>TWD</v>
          </cell>
          <cell r="AL106" t="str">
            <v>TWD</v>
          </cell>
          <cell r="AM106">
            <v>0</v>
          </cell>
          <cell r="AN106">
            <v>2</v>
          </cell>
        </row>
        <row r="107">
          <cell r="A107">
            <v>39623</v>
          </cell>
          <cell r="B107">
            <v>39623</v>
          </cell>
          <cell r="C107" t="str">
            <v>Past</v>
          </cell>
          <cell r="D107">
            <v>49.36</v>
          </cell>
          <cell r="E107" t="e">
            <v>#N/A</v>
          </cell>
          <cell r="F107" t="e">
            <v>#N/A</v>
          </cell>
          <cell r="G107" t="e">
            <v>#N/A</v>
          </cell>
          <cell r="H107" t="e">
            <v>#N/A</v>
          </cell>
          <cell r="I107" t="e">
            <v>#N/A</v>
          </cell>
          <cell r="J107" t="e">
            <v>#N/A</v>
          </cell>
          <cell r="K107" t="e">
            <v>#N/A</v>
          </cell>
          <cell r="L107" t="e">
            <v>#N/A</v>
          </cell>
          <cell r="M107" t="e">
            <v>#N/A</v>
          </cell>
          <cell r="N107" t="e">
            <v>#N/A</v>
          </cell>
          <cell r="O107" t="e">
            <v>#N/A</v>
          </cell>
          <cell r="P107">
            <v>49.36</v>
          </cell>
          <cell r="Q107">
            <v>2.4846179999999998</v>
          </cell>
          <cell r="R107" t="e">
            <v>#N/A</v>
          </cell>
          <cell r="AI107" t="str">
            <v>UAH Ukrainian Hryvnia</v>
          </cell>
          <cell r="AJ107" t="str">
            <v>UAH</v>
          </cell>
          <cell r="AK107" t="str">
            <v>UAH</v>
          </cell>
          <cell r="AL107" t="str">
            <v>UAH</v>
          </cell>
          <cell r="AM107">
            <v>0</v>
          </cell>
          <cell r="AN107">
            <v>2</v>
          </cell>
        </row>
        <row r="108">
          <cell r="A108">
            <v>39624</v>
          </cell>
          <cell r="B108">
            <v>39624</v>
          </cell>
          <cell r="C108" t="str">
            <v>Past</v>
          </cell>
          <cell r="D108">
            <v>48.02</v>
          </cell>
          <cell r="E108" t="e">
            <v>#N/A</v>
          </cell>
          <cell r="F108" t="e">
            <v>#N/A</v>
          </cell>
          <cell r="G108" t="e">
            <v>#N/A</v>
          </cell>
          <cell r="H108" t="e">
            <v>#N/A</v>
          </cell>
          <cell r="I108" t="e">
            <v>#N/A</v>
          </cell>
          <cell r="J108" t="e">
            <v>#N/A</v>
          </cell>
          <cell r="K108" t="e">
            <v>#N/A</v>
          </cell>
          <cell r="L108" t="e">
            <v>#N/A</v>
          </cell>
          <cell r="M108" t="e">
            <v>#N/A</v>
          </cell>
          <cell r="N108" t="e">
            <v>#N/A</v>
          </cell>
          <cell r="O108" t="e">
            <v>#N/A</v>
          </cell>
          <cell r="P108">
            <v>48.02</v>
          </cell>
          <cell r="Q108">
            <v>4.6275040000000001</v>
          </cell>
          <cell r="R108" t="e">
            <v>#N/A</v>
          </cell>
          <cell r="AI108" t="str">
            <v>USD American Dollar</v>
          </cell>
          <cell r="AJ108" t="str">
            <v>$</v>
          </cell>
          <cell r="AK108" t="str">
            <v>USD</v>
          </cell>
          <cell r="AL108" t="str">
            <v>USD</v>
          </cell>
          <cell r="AM108">
            <v>0</v>
          </cell>
          <cell r="AN108">
            <v>2</v>
          </cell>
        </row>
        <row r="109">
          <cell r="A109">
            <v>39625</v>
          </cell>
          <cell r="B109">
            <v>39625</v>
          </cell>
          <cell r="C109" t="str">
            <v>Past</v>
          </cell>
          <cell r="D109">
            <v>47.84</v>
          </cell>
          <cell r="E109" t="e">
            <v>#N/A</v>
          </cell>
          <cell r="F109" t="e">
            <v>#N/A</v>
          </cell>
          <cell r="G109" t="e">
            <v>#N/A</v>
          </cell>
          <cell r="H109" t="e">
            <v>#N/A</v>
          </cell>
          <cell r="I109" t="e">
            <v>#N/A</v>
          </cell>
          <cell r="J109" t="e">
            <v>#N/A</v>
          </cell>
          <cell r="K109" t="e">
            <v>#N/A</v>
          </cell>
          <cell r="L109" t="e">
            <v>#N/A</v>
          </cell>
          <cell r="M109" t="e">
            <v>#N/A</v>
          </cell>
          <cell r="N109" t="e">
            <v>#N/A</v>
          </cell>
          <cell r="O109" t="e">
            <v>#N/A</v>
          </cell>
          <cell r="P109">
            <v>47.84</v>
          </cell>
          <cell r="Q109">
            <v>2.9123200000000002</v>
          </cell>
          <cell r="R109" t="e">
            <v>#N/A</v>
          </cell>
          <cell r="AI109" t="str">
            <v>VEB Venezuelan Bolivar</v>
          </cell>
          <cell r="AJ109" t="str">
            <v>VEB</v>
          </cell>
          <cell r="AK109" t="str">
            <v>VEB</v>
          </cell>
          <cell r="AL109" t="str">
            <v>VEB</v>
          </cell>
          <cell r="AM109">
            <v>0</v>
          </cell>
          <cell r="AN109">
            <v>2</v>
          </cell>
        </row>
        <row r="110">
          <cell r="A110">
            <v>39626</v>
          </cell>
          <cell r="B110">
            <v>39626</v>
          </cell>
          <cell r="C110" t="str">
            <v>Past</v>
          </cell>
          <cell r="D110">
            <v>47.81</v>
          </cell>
          <cell r="E110" t="e">
            <v>#N/A</v>
          </cell>
          <cell r="F110" t="e">
            <v>#N/A</v>
          </cell>
          <cell r="G110" t="e">
            <v>#N/A</v>
          </cell>
          <cell r="H110" t="e">
            <v>#N/A</v>
          </cell>
          <cell r="I110" t="e">
            <v>#N/A</v>
          </cell>
          <cell r="J110" t="e">
            <v>#N/A</v>
          </cell>
          <cell r="K110" t="e">
            <v>#N/A</v>
          </cell>
          <cell r="L110" t="e">
            <v>#N/A</v>
          </cell>
          <cell r="M110" t="e">
            <v>#N/A</v>
          </cell>
          <cell r="N110" t="e">
            <v>#N/A</v>
          </cell>
          <cell r="O110" t="e">
            <v>#N/A</v>
          </cell>
          <cell r="P110">
            <v>47.81</v>
          </cell>
          <cell r="Q110">
            <v>2.4799000000000002</v>
          </cell>
          <cell r="R110" t="e">
            <v>#N/A</v>
          </cell>
          <cell r="AI110" t="str">
            <v>ZAc South African Cent</v>
          </cell>
          <cell r="AJ110" t="str">
            <v>ZAc</v>
          </cell>
          <cell r="AK110" t="str">
            <v>ZAc</v>
          </cell>
          <cell r="AL110" t="str">
            <v>ZAc</v>
          </cell>
          <cell r="AM110">
            <v>0</v>
          </cell>
          <cell r="AN110">
            <v>0</v>
          </cell>
        </row>
        <row r="111">
          <cell r="A111">
            <v>39629</v>
          </cell>
          <cell r="B111">
            <v>39629</v>
          </cell>
          <cell r="C111" t="str">
            <v>Past</v>
          </cell>
          <cell r="D111">
            <v>47.96</v>
          </cell>
          <cell r="E111" t="e">
            <v>#N/A</v>
          </cell>
          <cell r="F111" t="e">
            <v>#N/A</v>
          </cell>
          <cell r="G111" t="e">
            <v>#N/A</v>
          </cell>
          <cell r="H111" t="e">
            <v>#N/A</v>
          </cell>
          <cell r="I111" t="e">
            <v>#N/A</v>
          </cell>
          <cell r="J111" t="e">
            <v>#N/A</v>
          </cell>
          <cell r="K111" t="e">
            <v>#N/A</v>
          </cell>
          <cell r="L111" t="e">
            <v>#N/A</v>
          </cell>
          <cell r="M111" t="e">
            <v>#N/A</v>
          </cell>
          <cell r="N111" t="e">
            <v>#N/A</v>
          </cell>
          <cell r="O111" t="e">
            <v>#N/A</v>
          </cell>
          <cell r="P111">
            <v>47.96</v>
          </cell>
          <cell r="Q111">
            <v>3.0451069999999998</v>
          </cell>
          <cell r="R111" t="e">
            <v>#N/A</v>
          </cell>
          <cell r="AI111" t="str">
            <v>ZAR South African rand</v>
          </cell>
          <cell r="AJ111" t="str">
            <v>ZAR</v>
          </cell>
          <cell r="AK111" t="str">
            <v>ZAR</v>
          </cell>
          <cell r="AL111" t="str">
            <v>ZAR</v>
          </cell>
          <cell r="AM111">
            <v>0</v>
          </cell>
          <cell r="AN111">
            <v>2</v>
          </cell>
        </row>
        <row r="112">
          <cell r="A112">
            <v>39630</v>
          </cell>
          <cell r="B112">
            <v>39630</v>
          </cell>
          <cell r="C112" t="str">
            <v>Past</v>
          </cell>
          <cell r="D112">
            <v>49.5</v>
          </cell>
          <cell r="E112" t="e">
            <v>#N/A</v>
          </cell>
          <cell r="F112" t="e">
            <v>#N/A</v>
          </cell>
          <cell r="G112" t="e">
            <v>#N/A</v>
          </cell>
          <cell r="H112" t="e">
            <v>#N/A</v>
          </cell>
          <cell r="I112" t="e">
            <v>#N/A</v>
          </cell>
          <cell r="J112" t="e">
            <v>#N/A</v>
          </cell>
          <cell r="K112" t="e">
            <v>#N/A</v>
          </cell>
          <cell r="L112" t="e">
            <v>#N/A</v>
          </cell>
          <cell r="M112" t="e">
            <v>#N/A</v>
          </cell>
          <cell r="N112" t="e">
            <v>#N/A</v>
          </cell>
          <cell r="O112" t="e">
            <v>#N/A</v>
          </cell>
          <cell r="P112">
            <v>49.5</v>
          </cell>
          <cell r="Q112">
            <v>3.9493739999999997</v>
          </cell>
          <cell r="R112" t="e">
            <v>#N/A</v>
          </cell>
          <cell r="AI112" t="str">
            <v xml:space="preserve">ZMK Zambian Kwacha </v>
          </cell>
          <cell r="AJ112" t="str">
            <v>ZMK</v>
          </cell>
          <cell r="AK112" t="str">
            <v>ZMK</v>
          </cell>
          <cell r="AL112" t="str">
            <v>ZMK</v>
          </cell>
          <cell r="AM112">
            <v>0</v>
          </cell>
          <cell r="AN112">
            <v>2</v>
          </cell>
        </row>
        <row r="113">
          <cell r="A113">
            <v>39631</v>
          </cell>
          <cell r="B113">
            <v>39631</v>
          </cell>
          <cell r="C113" t="str">
            <v>Past</v>
          </cell>
          <cell r="D113">
            <v>47.85</v>
          </cell>
          <cell r="E113" t="e">
            <v>#N/A</v>
          </cell>
          <cell r="F113" t="e">
            <v>#N/A</v>
          </cell>
          <cell r="G113" t="e">
            <v>#N/A</v>
          </cell>
          <cell r="H113" t="e">
            <v>#N/A</v>
          </cell>
          <cell r="I113" t="e">
            <v>#N/A</v>
          </cell>
          <cell r="J113" t="e">
            <v>#N/A</v>
          </cell>
          <cell r="K113" t="e">
            <v>#N/A</v>
          </cell>
          <cell r="L113" t="e">
            <v>#N/A</v>
          </cell>
          <cell r="M113" t="e">
            <v>#N/A</v>
          </cell>
          <cell r="N113" t="e">
            <v>#N/A</v>
          </cell>
          <cell r="O113" t="e">
            <v>#N/A</v>
          </cell>
          <cell r="P113">
            <v>47.85</v>
          </cell>
          <cell r="Q113">
            <v>2.5491539999999997</v>
          </cell>
          <cell r="R113" t="e">
            <v>#N/A</v>
          </cell>
          <cell r="AI113" t="str">
            <v>ZAR South African rand</v>
          </cell>
          <cell r="AJ113" t="str">
            <v>ZAR</v>
          </cell>
          <cell r="AK113" t="str">
            <v>ZAR</v>
          </cell>
          <cell r="AL113" t="str">
            <v>ZAR</v>
          </cell>
          <cell r="AM113">
            <v>0</v>
          </cell>
          <cell r="AN113">
            <v>2</v>
          </cell>
        </row>
        <row r="114">
          <cell r="A114">
            <v>39632</v>
          </cell>
          <cell r="B114">
            <v>39632</v>
          </cell>
          <cell r="C114" t="str">
            <v>Past</v>
          </cell>
          <cell r="D114">
            <v>48.64</v>
          </cell>
          <cell r="E114" t="e">
            <v>#N/A</v>
          </cell>
          <cell r="F114" t="e">
            <v>#N/A</v>
          </cell>
          <cell r="G114" t="e">
            <v>#N/A</v>
          </cell>
          <cell r="H114" t="e">
            <v>#N/A</v>
          </cell>
          <cell r="I114" t="e">
            <v>#N/A</v>
          </cell>
          <cell r="J114" t="e">
            <v>#N/A</v>
          </cell>
          <cell r="K114" t="e">
            <v>#N/A</v>
          </cell>
          <cell r="L114" t="e">
            <v>#N/A</v>
          </cell>
          <cell r="M114" t="e">
            <v>#N/A</v>
          </cell>
          <cell r="N114" t="e">
            <v>#N/A</v>
          </cell>
          <cell r="O114" t="e">
            <v>#N/A</v>
          </cell>
          <cell r="P114">
            <v>48.64</v>
          </cell>
          <cell r="Q114">
            <v>0.98191299999999992</v>
          </cell>
          <cell r="R114" t="e">
            <v>#N/A</v>
          </cell>
          <cell r="AI114" t="str">
            <v xml:space="preserve">ZMK Zambian Kwacha </v>
          </cell>
          <cell r="AJ114" t="str">
            <v>ZMK</v>
          </cell>
          <cell r="AK114" t="str">
            <v>ZMK</v>
          </cell>
          <cell r="AL114" t="str">
            <v>ZMK</v>
          </cell>
          <cell r="AM114">
            <v>0</v>
          </cell>
          <cell r="AN114">
            <v>2</v>
          </cell>
        </row>
        <row r="115">
          <cell r="A115">
            <v>39636</v>
          </cell>
          <cell r="B115">
            <v>39636</v>
          </cell>
          <cell r="C115" t="str">
            <v>Past</v>
          </cell>
          <cell r="D115">
            <v>48.16</v>
          </cell>
          <cell r="E115" t="e">
            <v>#N/A</v>
          </cell>
          <cell r="F115" t="e">
            <v>#N/A</v>
          </cell>
          <cell r="G115" t="e">
            <v>#N/A</v>
          </cell>
          <cell r="H115" t="e">
            <v>#N/A</v>
          </cell>
          <cell r="I115" t="e">
            <v>#N/A</v>
          </cell>
          <cell r="J115" t="e">
            <v>#N/A</v>
          </cell>
          <cell r="K115" t="e">
            <v>#N/A</v>
          </cell>
          <cell r="L115" t="e">
            <v>#N/A</v>
          </cell>
          <cell r="M115" t="e">
            <v>#N/A</v>
          </cell>
          <cell r="N115" t="e">
            <v>#N/A</v>
          </cell>
          <cell r="O115" t="e">
            <v>#N/A</v>
          </cell>
          <cell r="P115">
            <v>48.16</v>
          </cell>
          <cell r="Q115">
            <v>2.0897869999999998</v>
          </cell>
          <cell r="R115" t="e">
            <v>#N/A</v>
          </cell>
        </row>
        <row r="116">
          <cell r="A116">
            <v>39637</v>
          </cell>
          <cell r="B116">
            <v>39637</v>
          </cell>
          <cell r="C116" t="str">
            <v>Past</v>
          </cell>
          <cell r="D116">
            <v>51.27</v>
          </cell>
          <cell r="E116" t="e">
            <v>#N/A</v>
          </cell>
          <cell r="F116" t="e">
            <v>#N/A</v>
          </cell>
          <cell r="G116" t="e">
            <v>#N/A</v>
          </cell>
          <cell r="H116" t="e">
            <v>#N/A</v>
          </cell>
          <cell r="I116" t="e">
            <v>#N/A</v>
          </cell>
          <cell r="J116" t="e">
            <v>#N/A</v>
          </cell>
          <cell r="K116" t="e">
            <v>#N/A</v>
          </cell>
          <cell r="L116" t="e">
            <v>#N/A</v>
          </cell>
          <cell r="M116" t="e">
            <v>#N/A</v>
          </cell>
          <cell r="N116" t="e">
            <v>#N/A</v>
          </cell>
          <cell r="O116" t="e">
            <v>#N/A</v>
          </cell>
          <cell r="P116">
            <v>51.27</v>
          </cell>
          <cell r="Q116">
            <v>3.429897</v>
          </cell>
          <cell r="R116" t="e">
            <v>#N/A</v>
          </cell>
        </row>
        <row r="117">
          <cell r="A117">
            <v>39638</v>
          </cell>
          <cell r="B117">
            <v>39638</v>
          </cell>
          <cell r="C117" t="str">
            <v>Past</v>
          </cell>
          <cell r="D117">
            <v>51</v>
          </cell>
          <cell r="E117" t="e">
            <v>#N/A</v>
          </cell>
          <cell r="F117" t="e">
            <v>#N/A</v>
          </cell>
          <cell r="G117" t="e">
            <v>#N/A</v>
          </cell>
          <cell r="H117" t="e">
            <v>#N/A</v>
          </cell>
          <cell r="I117" t="e">
            <v>#N/A</v>
          </cell>
          <cell r="J117" t="e">
            <v>#N/A</v>
          </cell>
          <cell r="K117" t="e">
            <v>#N/A</v>
          </cell>
          <cell r="L117" t="e">
            <v>#N/A</v>
          </cell>
          <cell r="M117" t="e">
            <v>#N/A</v>
          </cell>
          <cell r="N117" t="e">
            <v>#N/A</v>
          </cell>
          <cell r="O117" t="e">
            <v>#N/A</v>
          </cell>
          <cell r="P117">
            <v>51</v>
          </cell>
          <cell r="Q117">
            <v>2.7236000000000002</v>
          </cell>
          <cell r="R117" t="e">
            <v>#N/A</v>
          </cell>
        </row>
        <row r="118">
          <cell r="A118">
            <v>39639</v>
          </cell>
          <cell r="B118">
            <v>39639</v>
          </cell>
          <cell r="C118" t="str">
            <v>Past</v>
          </cell>
          <cell r="D118">
            <v>51.46</v>
          </cell>
          <cell r="E118" t="e">
            <v>#N/A</v>
          </cell>
          <cell r="F118" t="e">
            <v>#N/A</v>
          </cell>
          <cell r="G118" t="e">
            <v>#N/A</v>
          </cell>
          <cell r="H118" t="e">
            <v>#N/A</v>
          </cell>
          <cell r="I118" t="e">
            <v>#N/A</v>
          </cell>
          <cell r="J118" t="e">
            <v>#N/A</v>
          </cell>
          <cell r="K118" t="e">
            <v>#N/A</v>
          </cell>
          <cell r="L118" t="e">
            <v>#N/A</v>
          </cell>
          <cell r="M118" t="e">
            <v>#N/A</v>
          </cell>
          <cell r="N118" t="e">
            <v>#N/A</v>
          </cell>
          <cell r="O118" t="e">
            <v>#N/A</v>
          </cell>
          <cell r="P118">
            <v>51.46</v>
          </cell>
          <cell r="Q118">
            <v>2.698531</v>
          </cell>
          <cell r="R118" t="e">
            <v>#N/A</v>
          </cell>
        </row>
        <row r="119">
          <cell r="A119">
            <v>39640</v>
          </cell>
          <cell r="B119">
            <v>39640</v>
          </cell>
          <cell r="C119" t="str">
            <v>Past</v>
          </cell>
          <cell r="D119">
            <v>47.16</v>
          </cell>
          <cell r="E119" t="e">
            <v>#N/A</v>
          </cell>
          <cell r="F119" t="e">
            <v>#N/A</v>
          </cell>
          <cell r="G119" t="e">
            <v>#N/A</v>
          </cell>
          <cell r="H119" t="e">
            <v>#N/A</v>
          </cell>
          <cell r="I119" t="e">
            <v>#N/A</v>
          </cell>
          <cell r="J119" t="e">
            <v>#N/A</v>
          </cell>
          <cell r="K119" t="e">
            <v>#N/A</v>
          </cell>
          <cell r="L119" t="e">
            <v>#N/A</v>
          </cell>
          <cell r="M119" t="e">
            <v>#N/A</v>
          </cell>
          <cell r="N119" t="e">
            <v>#N/A</v>
          </cell>
          <cell r="O119" t="e">
            <v>#N/A</v>
          </cell>
          <cell r="P119">
            <v>47.16</v>
          </cell>
          <cell r="Q119">
            <v>5.2577379999999998</v>
          </cell>
          <cell r="R119" t="e">
            <v>#N/A</v>
          </cell>
        </row>
        <row r="120">
          <cell r="A120">
            <v>39643</v>
          </cell>
          <cell r="B120">
            <v>39643</v>
          </cell>
          <cell r="C120" t="str">
            <v>Past</v>
          </cell>
          <cell r="D120">
            <v>47.23</v>
          </cell>
          <cell r="E120" t="e">
            <v>#N/A</v>
          </cell>
          <cell r="F120" t="e">
            <v>#N/A</v>
          </cell>
          <cell r="G120" t="e">
            <v>#N/A</v>
          </cell>
          <cell r="H120" t="e">
            <v>#N/A</v>
          </cell>
          <cell r="I120" t="e">
            <v>#N/A</v>
          </cell>
          <cell r="J120" t="e">
            <v>#N/A</v>
          </cell>
          <cell r="K120" t="e">
            <v>#N/A</v>
          </cell>
          <cell r="L120" t="e">
            <v>#N/A</v>
          </cell>
          <cell r="M120" t="e">
            <v>#N/A</v>
          </cell>
          <cell r="N120" t="e">
            <v>#N/A</v>
          </cell>
          <cell r="O120" t="e">
            <v>#N/A</v>
          </cell>
          <cell r="P120">
            <v>47.23</v>
          </cell>
          <cell r="Q120">
            <v>3.9552329999999998</v>
          </cell>
          <cell r="R120" t="e">
            <v>#N/A</v>
          </cell>
        </row>
        <row r="121">
          <cell r="A121">
            <v>39644</v>
          </cell>
          <cell r="B121">
            <v>39644</v>
          </cell>
          <cell r="C121" t="str">
            <v>Past</v>
          </cell>
          <cell r="D121">
            <v>45.47</v>
          </cell>
          <cell r="E121" t="e">
            <v>#N/A</v>
          </cell>
          <cell r="F121" t="e">
            <v>#N/A</v>
          </cell>
          <cell r="G121" t="e">
            <v>#N/A</v>
          </cell>
          <cell r="H121" t="e">
            <v>#N/A</v>
          </cell>
          <cell r="I121" t="e">
            <v>#N/A</v>
          </cell>
          <cell r="J121" t="e">
            <v>#N/A</v>
          </cell>
          <cell r="K121" t="e">
            <v>#N/A</v>
          </cell>
          <cell r="L121" t="e">
            <v>#N/A</v>
          </cell>
          <cell r="M121" t="e">
            <v>#N/A</v>
          </cell>
          <cell r="N121" t="e">
            <v>#N/A</v>
          </cell>
          <cell r="O121" t="e">
            <v>#N/A</v>
          </cell>
          <cell r="P121">
            <v>45.47</v>
          </cell>
          <cell r="Q121">
            <v>5.0841729999999998</v>
          </cell>
          <cell r="R121" t="e">
            <v>#N/A</v>
          </cell>
        </row>
        <row r="122">
          <cell r="A122">
            <v>39645</v>
          </cell>
          <cell r="B122">
            <v>39645</v>
          </cell>
          <cell r="C122" t="str">
            <v>Past</v>
          </cell>
          <cell r="D122">
            <v>47.27</v>
          </cell>
          <cell r="E122" t="e">
            <v>#N/A</v>
          </cell>
          <cell r="F122" t="e">
            <v>#N/A</v>
          </cell>
          <cell r="G122" t="e">
            <v>#N/A</v>
          </cell>
          <cell r="H122" t="e">
            <v>#N/A</v>
          </cell>
          <cell r="I122" t="e">
            <v>#N/A</v>
          </cell>
          <cell r="J122" t="e">
            <v>#N/A</v>
          </cell>
          <cell r="K122" t="e">
            <v>#N/A</v>
          </cell>
          <cell r="L122" t="e">
            <v>#N/A</v>
          </cell>
          <cell r="M122" t="e">
            <v>#N/A</v>
          </cell>
          <cell r="N122" t="e">
            <v>#N/A</v>
          </cell>
          <cell r="O122" t="e">
            <v>#N/A</v>
          </cell>
          <cell r="P122">
            <v>47.27</v>
          </cell>
          <cell r="Q122">
            <v>3.9761059999999997</v>
          </cell>
          <cell r="R122" t="e">
            <v>#N/A</v>
          </cell>
        </row>
        <row r="123">
          <cell r="A123">
            <v>39646</v>
          </cell>
          <cell r="B123">
            <v>39646</v>
          </cell>
          <cell r="C123" t="str">
            <v>Past</v>
          </cell>
          <cell r="D123">
            <v>46.64</v>
          </cell>
          <cell r="E123" t="e">
            <v>#N/A</v>
          </cell>
          <cell r="F123" t="e">
            <v>#N/A</v>
          </cell>
          <cell r="G123" t="e">
            <v>#N/A</v>
          </cell>
          <cell r="H123" t="e">
            <v>#N/A</v>
          </cell>
          <cell r="I123" t="e">
            <v>#N/A</v>
          </cell>
          <cell r="J123" t="e">
            <v>#N/A</v>
          </cell>
          <cell r="K123" t="e">
            <v>#N/A</v>
          </cell>
          <cell r="L123" t="e">
            <v>#N/A</v>
          </cell>
          <cell r="M123" t="e">
            <v>#N/A</v>
          </cell>
          <cell r="N123" t="e">
            <v>#N/A</v>
          </cell>
          <cell r="O123" t="e">
            <v>#N/A</v>
          </cell>
          <cell r="P123">
            <v>46.64</v>
          </cell>
          <cell r="Q123">
            <v>2.7639489999999998</v>
          </cell>
          <cell r="R123" t="e">
            <v>#N/A</v>
          </cell>
        </row>
        <row r="124">
          <cell r="A124">
            <v>39647</v>
          </cell>
          <cell r="B124">
            <v>39647</v>
          </cell>
          <cell r="C124" t="str">
            <v>Past</v>
          </cell>
          <cell r="D124">
            <v>46.79</v>
          </cell>
          <cell r="E124" t="e">
            <v>#N/A</v>
          </cell>
          <cell r="F124" t="e">
            <v>#N/A</v>
          </cell>
          <cell r="G124" t="e">
            <v>#N/A</v>
          </cell>
          <cell r="H124" t="e">
            <v>#N/A</v>
          </cell>
          <cell r="I124" t="e">
            <v>#N/A</v>
          </cell>
          <cell r="J124" t="e">
            <v>#N/A</v>
          </cell>
          <cell r="K124" t="e">
            <v>#N/A</v>
          </cell>
          <cell r="L124" t="e">
            <v>#N/A</v>
          </cell>
          <cell r="M124" t="e">
            <v>#N/A</v>
          </cell>
          <cell r="N124" t="e">
            <v>#N/A</v>
          </cell>
          <cell r="O124" t="e">
            <v>#N/A</v>
          </cell>
          <cell r="P124">
            <v>46.79</v>
          </cell>
          <cell r="Q124">
            <v>2.0581389999999997</v>
          </cell>
          <cell r="R124" t="e">
            <v>#N/A</v>
          </cell>
        </row>
        <row r="125">
          <cell r="A125">
            <v>39650</v>
          </cell>
          <cell r="B125">
            <v>39650</v>
          </cell>
          <cell r="C125" t="str">
            <v>Past</v>
          </cell>
          <cell r="D125">
            <v>46.45</v>
          </cell>
          <cell r="E125" t="e">
            <v>#N/A</v>
          </cell>
          <cell r="F125" t="e">
            <v>#N/A</v>
          </cell>
          <cell r="G125" t="e">
            <v>#N/A</v>
          </cell>
          <cell r="H125" t="e">
            <v>#N/A</v>
          </cell>
          <cell r="I125" t="e">
            <v>#N/A</v>
          </cell>
          <cell r="J125" t="e">
            <v>#N/A</v>
          </cell>
          <cell r="K125" t="e">
            <v>#N/A</v>
          </cell>
          <cell r="L125" t="e">
            <v>#N/A</v>
          </cell>
          <cell r="M125" t="e">
            <v>#N/A</v>
          </cell>
          <cell r="N125" t="e">
            <v>#N/A</v>
          </cell>
          <cell r="O125" t="e">
            <v>#N/A</v>
          </cell>
          <cell r="P125">
            <v>46.45</v>
          </cell>
          <cell r="Q125">
            <v>2.311048</v>
          </cell>
          <cell r="R125" t="e">
            <v>#N/A</v>
          </cell>
        </row>
        <row r="126">
          <cell r="A126">
            <v>39651</v>
          </cell>
          <cell r="B126">
            <v>39651</v>
          </cell>
          <cell r="C126" t="str">
            <v>Past</v>
          </cell>
          <cell r="D126">
            <v>48.23</v>
          </cell>
          <cell r="E126" t="e">
            <v>#N/A</v>
          </cell>
          <cell r="F126" t="e">
            <v>#N/A</v>
          </cell>
          <cell r="G126" t="e">
            <v>#N/A</v>
          </cell>
          <cell r="H126" t="e">
            <v>#N/A</v>
          </cell>
          <cell r="I126" t="e">
            <v>#N/A</v>
          </cell>
          <cell r="J126" t="e">
            <v>#N/A</v>
          </cell>
          <cell r="K126" t="e">
            <v>#N/A</v>
          </cell>
          <cell r="L126" t="e">
            <v>#N/A</v>
          </cell>
          <cell r="M126" t="e">
            <v>#N/A</v>
          </cell>
          <cell r="N126" t="e">
            <v>#N/A</v>
          </cell>
          <cell r="O126" t="e">
            <v>#N/A</v>
          </cell>
          <cell r="P126">
            <v>48.23</v>
          </cell>
          <cell r="Q126">
            <v>2.0023939999999998</v>
          </cell>
          <cell r="R126" t="e">
            <v>#N/A</v>
          </cell>
        </row>
        <row r="127">
          <cell r="A127">
            <v>39652</v>
          </cell>
          <cell r="B127">
            <v>39652</v>
          </cell>
          <cell r="C127" t="str">
            <v>Past</v>
          </cell>
          <cell r="D127">
            <v>49.17</v>
          </cell>
          <cell r="E127" t="e">
            <v>#N/A</v>
          </cell>
          <cell r="F127" t="e">
            <v>#N/A</v>
          </cell>
          <cell r="G127" t="e">
            <v>#N/A</v>
          </cell>
          <cell r="H127" t="e">
            <v>#N/A</v>
          </cell>
          <cell r="I127" t="e">
            <v>#N/A</v>
          </cell>
          <cell r="J127" t="e">
            <v>#N/A</v>
          </cell>
          <cell r="K127" t="e">
            <v>#N/A</v>
          </cell>
          <cell r="L127" t="e">
            <v>#N/A</v>
          </cell>
          <cell r="M127" t="e">
            <v>#N/A</v>
          </cell>
          <cell r="N127" t="e">
            <v>#N/A</v>
          </cell>
          <cell r="O127" t="e">
            <v>#N/A</v>
          </cell>
          <cell r="P127">
            <v>49.17</v>
          </cell>
          <cell r="Q127">
            <v>2.2585109999999999</v>
          </cell>
          <cell r="R127" t="e">
            <v>#N/A</v>
          </cell>
        </row>
        <row r="128">
          <cell r="A128">
            <v>39653</v>
          </cell>
          <cell r="B128">
            <v>39653</v>
          </cell>
          <cell r="C128" t="str">
            <v>Past</v>
          </cell>
          <cell r="D128">
            <v>47.71</v>
          </cell>
          <cell r="E128" t="e">
            <v>#N/A</v>
          </cell>
          <cell r="F128" t="e">
            <v>#N/A</v>
          </cell>
          <cell r="G128" t="e">
            <v>#N/A</v>
          </cell>
          <cell r="H128" t="e">
            <v>#N/A</v>
          </cell>
          <cell r="I128" t="e">
            <v>#N/A</v>
          </cell>
          <cell r="J128" t="e">
            <v>#N/A</v>
          </cell>
          <cell r="K128" t="e">
            <v>#N/A</v>
          </cell>
          <cell r="L128" t="e">
            <v>#N/A</v>
          </cell>
          <cell r="M128" t="e">
            <v>#N/A</v>
          </cell>
          <cell r="N128" t="e">
            <v>#N/A</v>
          </cell>
          <cell r="O128" t="e">
            <v>#N/A</v>
          </cell>
          <cell r="P128">
            <v>47.71</v>
          </cell>
          <cell r="Q128">
            <v>1.3194789999999998</v>
          </cell>
          <cell r="R128" t="e">
            <v>#N/A</v>
          </cell>
        </row>
        <row r="129">
          <cell r="A129">
            <v>39654</v>
          </cell>
          <cell r="B129">
            <v>39654</v>
          </cell>
          <cell r="C129" t="str">
            <v>Past</v>
          </cell>
          <cell r="D129">
            <v>48.25</v>
          </cell>
          <cell r="E129" t="e">
            <v>#N/A</v>
          </cell>
          <cell r="F129" t="e">
            <v>#N/A</v>
          </cell>
          <cell r="G129" t="e">
            <v>#N/A</v>
          </cell>
          <cell r="H129" t="e">
            <v>#N/A</v>
          </cell>
          <cell r="I129" t="e">
            <v>#N/A</v>
          </cell>
          <cell r="J129" t="e">
            <v>#N/A</v>
          </cell>
          <cell r="K129" t="e">
            <v>#N/A</v>
          </cell>
          <cell r="L129" t="e">
            <v>#N/A</v>
          </cell>
          <cell r="M129" t="e">
            <v>#N/A</v>
          </cell>
          <cell r="N129" t="e">
            <v>#N/A</v>
          </cell>
          <cell r="O129" t="e">
            <v>#N/A</v>
          </cell>
          <cell r="P129">
            <v>48.25</v>
          </cell>
          <cell r="Q129">
            <v>0.98369200000000001</v>
          </cell>
          <cell r="R129" t="e">
            <v>#N/A</v>
          </cell>
        </row>
        <row r="130">
          <cell r="A130">
            <v>39657</v>
          </cell>
          <cell r="B130">
            <v>39657</v>
          </cell>
          <cell r="C130" t="str">
            <v>Past</v>
          </cell>
          <cell r="D130">
            <v>47.44</v>
          </cell>
          <cell r="E130" t="e">
            <v>#N/A</v>
          </cell>
          <cell r="F130" t="e">
            <v>#N/A</v>
          </cell>
          <cell r="G130" t="e">
            <v>#N/A</v>
          </cell>
          <cell r="H130" t="e">
            <v>#N/A</v>
          </cell>
          <cell r="I130" t="e">
            <v>#N/A</v>
          </cell>
          <cell r="J130" t="e">
            <v>#N/A</v>
          </cell>
          <cell r="K130" t="e">
            <v>#N/A</v>
          </cell>
          <cell r="L130" t="e">
            <v>#N/A</v>
          </cell>
          <cell r="M130" t="e">
            <v>#N/A</v>
          </cell>
          <cell r="N130" t="e">
            <v>#N/A</v>
          </cell>
          <cell r="O130" t="e">
            <v>#N/A</v>
          </cell>
          <cell r="P130">
            <v>47.44</v>
          </cell>
          <cell r="Q130">
            <v>0.94626399999999999</v>
          </cell>
          <cell r="R130" t="e">
            <v>#N/A</v>
          </cell>
        </row>
        <row r="131">
          <cell r="A131">
            <v>39658</v>
          </cell>
          <cell r="B131">
            <v>39658</v>
          </cell>
          <cell r="C131" t="str">
            <v>Past</v>
          </cell>
          <cell r="D131">
            <v>48.64</v>
          </cell>
          <cell r="E131" t="e">
            <v>#N/A</v>
          </cell>
          <cell r="F131" t="e">
            <v>#N/A</v>
          </cell>
          <cell r="G131" t="e">
            <v>#N/A</v>
          </cell>
          <cell r="H131" t="e">
            <v>#N/A</v>
          </cell>
          <cell r="I131" t="e">
            <v>#N/A</v>
          </cell>
          <cell r="J131" t="e">
            <v>#N/A</v>
          </cell>
          <cell r="K131" t="e">
            <v>#N/A</v>
          </cell>
          <cell r="L131" t="e">
            <v>#N/A</v>
          </cell>
          <cell r="M131" t="e">
            <v>#N/A</v>
          </cell>
          <cell r="N131" t="e">
            <v>#N/A</v>
          </cell>
          <cell r="O131" t="e">
            <v>#N/A</v>
          </cell>
          <cell r="P131">
            <v>48.64</v>
          </cell>
          <cell r="Q131">
            <v>0.927037</v>
          </cell>
          <cell r="R131" t="e">
            <v>#N/A</v>
          </cell>
        </row>
        <row r="132">
          <cell r="A132">
            <v>39659</v>
          </cell>
          <cell r="B132">
            <v>39659</v>
          </cell>
          <cell r="C132" t="str">
            <v>Past</v>
          </cell>
          <cell r="D132">
            <v>49.2</v>
          </cell>
          <cell r="E132" t="e">
            <v>#N/A</v>
          </cell>
          <cell r="F132" t="e">
            <v>#N/A</v>
          </cell>
          <cell r="G132" t="e">
            <v>#N/A</v>
          </cell>
          <cell r="H132" t="e">
            <v>#N/A</v>
          </cell>
          <cell r="I132" t="e">
            <v>#N/A</v>
          </cell>
          <cell r="J132" t="e">
            <v>#N/A</v>
          </cell>
          <cell r="K132" t="e">
            <v>#N/A</v>
          </cell>
          <cell r="L132" t="e">
            <v>#N/A</v>
          </cell>
          <cell r="M132" t="e">
            <v>#N/A</v>
          </cell>
          <cell r="N132" t="e">
            <v>#N/A</v>
          </cell>
          <cell r="O132" t="e">
            <v>#N/A</v>
          </cell>
          <cell r="P132">
            <v>49.2</v>
          </cell>
          <cell r="Q132">
            <v>1.4878049999999998</v>
          </cell>
          <cell r="R132" t="e">
            <v>#N/A</v>
          </cell>
        </row>
        <row r="133">
          <cell r="A133">
            <v>39660</v>
          </cell>
          <cell r="B133">
            <v>39660</v>
          </cell>
          <cell r="C133" t="str">
            <v>Past</v>
          </cell>
          <cell r="D133">
            <v>49.69</v>
          </cell>
          <cell r="E133" t="e">
            <v>#N/A</v>
          </cell>
          <cell r="F133" t="e">
            <v>#N/A</v>
          </cell>
          <cell r="G133" t="e">
            <v>#N/A</v>
          </cell>
          <cell r="H133" t="e">
            <v>#N/A</v>
          </cell>
          <cell r="I133" t="e">
            <v>#N/A</v>
          </cell>
          <cell r="J133" t="e">
            <v>#N/A</v>
          </cell>
          <cell r="K133" t="e">
            <v>#N/A</v>
          </cell>
          <cell r="L133" t="e">
            <v>#N/A</v>
          </cell>
          <cell r="M133" t="e">
            <v>#N/A</v>
          </cell>
          <cell r="N133" t="e">
            <v>#N/A</v>
          </cell>
          <cell r="O133" t="e">
            <v>#N/A</v>
          </cell>
          <cell r="P133">
            <v>49.69</v>
          </cell>
          <cell r="Q133">
            <v>2.684456</v>
          </cell>
          <cell r="R133" t="e">
            <v>#N/A</v>
          </cell>
        </row>
        <row r="134">
          <cell r="A134">
            <v>39661</v>
          </cell>
          <cell r="B134">
            <v>39661</v>
          </cell>
          <cell r="C134" t="str">
            <v>Past</v>
          </cell>
          <cell r="D134">
            <v>49.74</v>
          </cell>
          <cell r="E134" t="e">
            <v>#N/A</v>
          </cell>
          <cell r="F134" t="e">
            <v>#N/A</v>
          </cell>
          <cell r="G134" t="e">
            <v>#N/A</v>
          </cell>
          <cell r="H134" t="e">
            <v>#N/A</v>
          </cell>
          <cell r="I134" t="e">
            <v>#N/A</v>
          </cell>
          <cell r="J134" t="e">
            <v>#N/A</v>
          </cell>
          <cell r="K134" t="e">
            <v>#N/A</v>
          </cell>
          <cell r="L134" t="e">
            <v>#N/A</v>
          </cell>
          <cell r="M134" t="e">
            <v>#N/A</v>
          </cell>
          <cell r="N134" t="e">
            <v>#N/A</v>
          </cell>
          <cell r="O134" t="e">
            <v>#N/A</v>
          </cell>
          <cell r="P134">
            <v>49.74</v>
          </cell>
          <cell r="Q134">
            <v>1.6727589999999999</v>
          </cell>
          <cell r="R134" t="e">
            <v>#N/A</v>
          </cell>
        </row>
        <row r="135">
          <cell r="A135">
            <v>39664</v>
          </cell>
          <cell r="B135">
            <v>39664</v>
          </cell>
          <cell r="C135" t="str">
            <v>Past</v>
          </cell>
          <cell r="D135">
            <v>49.73</v>
          </cell>
          <cell r="E135" t="e">
            <v>#N/A</v>
          </cell>
          <cell r="F135" t="e">
            <v>#N/A</v>
          </cell>
          <cell r="G135" t="e">
            <v>#N/A</v>
          </cell>
          <cell r="H135" t="e">
            <v>#N/A</v>
          </cell>
          <cell r="I135" t="e">
            <v>#N/A</v>
          </cell>
          <cell r="J135" t="e">
            <v>#N/A</v>
          </cell>
          <cell r="K135" t="e">
            <v>#N/A</v>
          </cell>
          <cell r="L135" t="e">
            <v>#N/A</v>
          </cell>
          <cell r="M135" t="e">
            <v>#N/A</v>
          </cell>
          <cell r="N135" t="e">
            <v>#N/A</v>
          </cell>
          <cell r="O135" t="e">
            <v>#N/A</v>
          </cell>
          <cell r="P135">
            <v>49.73</v>
          </cell>
          <cell r="Q135">
            <v>1.086246</v>
          </cell>
          <cell r="R135" t="e">
            <v>#N/A</v>
          </cell>
        </row>
        <row r="136">
          <cell r="A136">
            <v>39665</v>
          </cell>
          <cell r="B136">
            <v>39665</v>
          </cell>
          <cell r="C136" t="str">
            <v>Past</v>
          </cell>
          <cell r="D136">
            <v>51.17</v>
          </cell>
          <cell r="E136" t="e">
            <v>#N/A</v>
          </cell>
          <cell r="F136" t="e">
            <v>#N/A</v>
          </cell>
          <cell r="G136" t="e">
            <v>#N/A</v>
          </cell>
          <cell r="H136" t="e">
            <v>#N/A</v>
          </cell>
          <cell r="I136" t="e">
            <v>#N/A</v>
          </cell>
          <cell r="J136" t="e">
            <v>#N/A</v>
          </cell>
          <cell r="K136" t="e">
            <v>#N/A</v>
          </cell>
          <cell r="L136" t="e">
            <v>#N/A</v>
          </cell>
          <cell r="M136" t="e">
            <v>#N/A</v>
          </cell>
          <cell r="N136" t="e">
            <v>#N/A</v>
          </cell>
          <cell r="O136" t="e">
            <v>#N/A</v>
          </cell>
          <cell r="P136">
            <v>51.17</v>
          </cell>
          <cell r="Q136">
            <v>1.2260529999999998</v>
          </cell>
          <cell r="R136" t="e">
            <v>#N/A</v>
          </cell>
        </row>
        <row r="137">
          <cell r="A137">
            <v>39666</v>
          </cell>
          <cell r="B137">
            <v>39666</v>
          </cell>
          <cell r="C137" t="str">
            <v>Past</v>
          </cell>
          <cell r="D137">
            <v>51.25</v>
          </cell>
          <cell r="E137" t="e">
            <v>#N/A</v>
          </cell>
          <cell r="F137" t="e">
            <v>#N/A</v>
          </cell>
          <cell r="G137" t="e">
            <v>#N/A</v>
          </cell>
          <cell r="H137" t="e">
            <v>#N/A</v>
          </cell>
          <cell r="I137" t="e">
            <v>#N/A</v>
          </cell>
          <cell r="J137" t="e">
            <v>#N/A</v>
          </cell>
          <cell r="K137" t="e">
            <v>#N/A</v>
          </cell>
          <cell r="L137" t="e">
            <v>#N/A</v>
          </cell>
          <cell r="M137" t="e">
            <v>#N/A</v>
          </cell>
          <cell r="N137" t="e">
            <v>#N/A</v>
          </cell>
          <cell r="O137" t="e">
            <v>#N/A</v>
          </cell>
          <cell r="P137">
            <v>51.25</v>
          </cell>
          <cell r="Q137">
            <v>0.80292399999999997</v>
          </cell>
          <cell r="R137" t="e">
            <v>#N/A</v>
          </cell>
        </row>
        <row r="138">
          <cell r="A138">
            <v>39667</v>
          </cell>
          <cell r="B138">
            <v>39667</v>
          </cell>
          <cell r="C138" t="str">
            <v>Past</v>
          </cell>
          <cell r="D138">
            <v>50</v>
          </cell>
          <cell r="E138" t="e">
            <v>#N/A</v>
          </cell>
          <cell r="F138" t="e">
            <v>#N/A</v>
          </cell>
          <cell r="G138" t="e">
            <v>#N/A</v>
          </cell>
          <cell r="H138" t="e">
            <v>#N/A</v>
          </cell>
          <cell r="I138" t="e">
            <v>#N/A</v>
          </cell>
          <cell r="J138" t="e">
            <v>#N/A</v>
          </cell>
          <cell r="K138" t="e">
            <v>#N/A</v>
          </cell>
          <cell r="L138" t="e">
            <v>#N/A</v>
          </cell>
          <cell r="M138" t="e">
            <v>#N/A</v>
          </cell>
          <cell r="N138" t="e">
            <v>#N/A</v>
          </cell>
          <cell r="O138" t="e">
            <v>#N/A</v>
          </cell>
          <cell r="P138">
            <v>50</v>
          </cell>
          <cell r="Q138">
            <v>1.1969349999999999</v>
          </cell>
          <cell r="R138" t="e">
            <v>#N/A</v>
          </cell>
        </row>
        <row r="139">
          <cell r="A139">
            <v>39668</v>
          </cell>
          <cell r="B139">
            <v>39668</v>
          </cell>
          <cell r="C139" t="str">
            <v>Past</v>
          </cell>
          <cell r="D139">
            <v>52.7</v>
          </cell>
          <cell r="E139" t="e">
            <v>#N/A</v>
          </cell>
          <cell r="F139" t="e">
            <v>#N/A</v>
          </cell>
          <cell r="G139" t="e">
            <v>#N/A</v>
          </cell>
          <cell r="H139" t="e">
            <v>#N/A</v>
          </cell>
          <cell r="I139" t="e">
            <v>#N/A</v>
          </cell>
          <cell r="J139" t="e">
            <v>#N/A</v>
          </cell>
          <cell r="K139" t="e">
            <v>#N/A</v>
          </cell>
          <cell r="L139" t="e">
            <v>#N/A</v>
          </cell>
          <cell r="M139" t="e">
            <v>#N/A</v>
          </cell>
          <cell r="N139" t="e">
            <v>#N/A</v>
          </cell>
          <cell r="O139" t="e">
            <v>#N/A</v>
          </cell>
          <cell r="P139">
            <v>52.7</v>
          </cell>
          <cell r="Q139">
            <v>1.334784</v>
          </cell>
          <cell r="R139" t="e">
            <v>#N/A</v>
          </cell>
        </row>
        <row r="140">
          <cell r="A140">
            <v>39671</v>
          </cell>
          <cell r="B140">
            <v>39671</v>
          </cell>
          <cell r="C140" t="str">
            <v>Past</v>
          </cell>
          <cell r="D140">
            <v>53.2</v>
          </cell>
          <cell r="E140" t="e">
            <v>#N/A</v>
          </cell>
          <cell r="F140" t="e">
            <v>#N/A</v>
          </cell>
          <cell r="G140" t="e">
            <v>#N/A</v>
          </cell>
          <cell r="H140" t="e">
            <v>#N/A</v>
          </cell>
          <cell r="I140" t="e">
            <v>#N/A</v>
          </cell>
          <cell r="J140" t="e">
            <v>#N/A</v>
          </cell>
          <cell r="K140" t="e">
            <v>#N/A</v>
          </cell>
          <cell r="L140" t="e">
            <v>#N/A</v>
          </cell>
          <cell r="M140" t="e">
            <v>#N/A</v>
          </cell>
          <cell r="N140" t="e">
            <v>#N/A</v>
          </cell>
          <cell r="O140" t="e">
            <v>#N/A</v>
          </cell>
          <cell r="P140">
            <v>53.2</v>
          </cell>
          <cell r="Q140">
            <v>1.3110219999999999</v>
          </cell>
          <cell r="R140" t="e">
            <v>#N/A</v>
          </cell>
        </row>
        <row r="141">
          <cell r="A141">
            <v>39672</v>
          </cell>
          <cell r="B141">
            <v>39672</v>
          </cell>
          <cell r="C141" t="str">
            <v>Past</v>
          </cell>
          <cell r="D141">
            <v>53.21</v>
          </cell>
          <cell r="E141" t="e">
            <v>#N/A</v>
          </cell>
          <cell r="F141" t="e">
            <v>#N/A</v>
          </cell>
          <cell r="G141" t="e">
            <v>#N/A</v>
          </cell>
          <cell r="H141" t="e">
            <v>#N/A</v>
          </cell>
          <cell r="I141" t="e">
            <v>#N/A</v>
          </cell>
          <cell r="J141" t="e">
            <v>#N/A</v>
          </cell>
          <cell r="K141" t="e">
            <v>#N/A</v>
          </cell>
          <cell r="L141" t="e">
            <v>#N/A</v>
          </cell>
          <cell r="M141" t="e">
            <v>#N/A</v>
          </cell>
          <cell r="N141" t="e">
            <v>#N/A</v>
          </cell>
          <cell r="O141" t="e">
            <v>#N/A</v>
          </cell>
          <cell r="P141">
            <v>53.21</v>
          </cell>
          <cell r="Q141">
            <v>0.76755499999999999</v>
          </cell>
          <cell r="R141" t="e">
            <v>#N/A</v>
          </cell>
        </row>
        <row r="142">
          <cell r="A142">
            <v>39673</v>
          </cell>
          <cell r="B142">
            <v>39673</v>
          </cell>
          <cell r="C142" t="str">
            <v>Past</v>
          </cell>
          <cell r="D142">
            <v>52.84</v>
          </cell>
          <cell r="E142" t="e">
            <v>#N/A</v>
          </cell>
          <cell r="F142" t="e">
            <v>#N/A</v>
          </cell>
          <cell r="G142" t="e">
            <v>#N/A</v>
          </cell>
          <cell r="H142" t="e">
            <v>#N/A</v>
          </cell>
          <cell r="I142" t="e">
            <v>#N/A</v>
          </cell>
          <cell r="J142" t="e">
            <v>#N/A</v>
          </cell>
          <cell r="K142" t="e">
            <v>#N/A</v>
          </cell>
          <cell r="L142" t="e">
            <v>#N/A</v>
          </cell>
          <cell r="M142" t="e">
            <v>#N/A</v>
          </cell>
          <cell r="N142" t="e">
            <v>#N/A</v>
          </cell>
          <cell r="O142" t="e">
            <v>#N/A</v>
          </cell>
          <cell r="P142">
            <v>52.84</v>
          </cell>
          <cell r="Q142">
            <v>0.92146499999999998</v>
          </cell>
          <cell r="R142" t="e">
            <v>#N/A</v>
          </cell>
        </row>
        <row r="143">
          <cell r="A143">
            <v>39674</v>
          </cell>
          <cell r="B143">
            <v>39674</v>
          </cell>
          <cell r="C143" t="str">
            <v>Past</v>
          </cell>
          <cell r="D143">
            <v>53.17</v>
          </cell>
          <cell r="E143" t="e">
            <v>#N/A</v>
          </cell>
          <cell r="F143" t="e">
            <v>#N/A</v>
          </cell>
          <cell r="G143" t="e">
            <v>#N/A</v>
          </cell>
          <cell r="H143" t="e">
            <v>#N/A</v>
          </cell>
          <cell r="I143" t="e">
            <v>#N/A</v>
          </cell>
          <cell r="J143" t="e">
            <v>#N/A</v>
          </cell>
          <cell r="K143" t="e">
            <v>#N/A</v>
          </cell>
          <cell r="L143" t="e">
            <v>#N/A</v>
          </cell>
          <cell r="M143" t="e">
            <v>#N/A</v>
          </cell>
          <cell r="N143" t="e">
            <v>#N/A</v>
          </cell>
          <cell r="O143" t="e">
            <v>#N/A</v>
          </cell>
          <cell r="P143">
            <v>53.17</v>
          </cell>
          <cell r="Q143">
            <v>0.62597399999999992</v>
          </cell>
          <cell r="R143" t="e">
            <v>#N/A</v>
          </cell>
        </row>
        <row r="144">
          <cell r="A144">
            <v>39675</v>
          </cell>
          <cell r="B144">
            <v>39675</v>
          </cell>
          <cell r="C144" t="str">
            <v>Past</v>
          </cell>
          <cell r="D144">
            <v>53.68</v>
          </cell>
          <cell r="E144" t="e">
            <v>#N/A</v>
          </cell>
          <cell r="F144" t="e">
            <v>#N/A</v>
          </cell>
          <cell r="G144" t="e">
            <v>#N/A</v>
          </cell>
          <cell r="H144" t="e">
            <v>#N/A</v>
          </cell>
          <cell r="I144" t="e">
            <v>#N/A</v>
          </cell>
          <cell r="J144" t="e">
            <v>#N/A</v>
          </cell>
          <cell r="K144" t="e">
            <v>#N/A</v>
          </cell>
          <cell r="L144" t="e">
            <v>#N/A</v>
          </cell>
          <cell r="M144" t="e">
            <v>#N/A</v>
          </cell>
          <cell r="N144" t="e">
            <v>#N/A</v>
          </cell>
          <cell r="O144" t="e">
            <v>#N/A</v>
          </cell>
          <cell r="P144">
            <v>53.68</v>
          </cell>
          <cell r="Q144">
            <v>0.78139499999999995</v>
          </cell>
          <cell r="R144" t="e">
            <v>#N/A</v>
          </cell>
        </row>
        <row r="145">
          <cell r="A145">
            <v>39678</v>
          </cell>
          <cell r="B145">
            <v>39678</v>
          </cell>
          <cell r="C145" t="str">
            <v>Past</v>
          </cell>
          <cell r="D145">
            <v>53.21</v>
          </cell>
          <cell r="E145" t="e">
            <v>#N/A</v>
          </cell>
          <cell r="F145" t="e">
            <v>#N/A</v>
          </cell>
          <cell r="G145" t="e">
            <v>#N/A</v>
          </cell>
          <cell r="H145" t="e">
            <v>#N/A</v>
          </cell>
          <cell r="I145" t="e">
            <v>#N/A</v>
          </cell>
          <cell r="J145" t="e">
            <v>#N/A</v>
          </cell>
          <cell r="K145" t="e">
            <v>#N/A</v>
          </cell>
          <cell r="L145" t="e">
            <v>#N/A</v>
          </cell>
          <cell r="M145" t="e">
            <v>#N/A</v>
          </cell>
          <cell r="N145" t="e">
            <v>#N/A</v>
          </cell>
          <cell r="O145" t="e">
            <v>#N/A</v>
          </cell>
          <cell r="P145">
            <v>53.21</v>
          </cell>
          <cell r="Q145">
            <v>1.0726069999999999</v>
          </cell>
          <cell r="R145" t="e">
            <v>#N/A</v>
          </cell>
        </row>
        <row r="146">
          <cell r="A146">
            <v>39679</v>
          </cell>
          <cell r="B146">
            <v>39679</v>
          </cell>
          <cell r="C146" t="str">
            <v>Past</v>
          </cell>
          <cell r="D146">
            <v>52</v>
          </cell>
          <cell r="E146" t="e">
            <v>#N/A</v>
          </cell>
          <cell r="F146" t="e">
            <v>#N/A</v>
          </cell>
          <cell r="G146" t="e">
            <v>#N/A</v>
          </cell>
          <cell r="H146" t="e">
            <v>#N/A</v>
          </cell>
          <cell r="I146" t="e">
            <v>#N/A</v>
          </cell>
          <cell r="J146" t="e">
            <v>#N/A</v>
          </cell>
          <cell r="K146" t="e">
            <v>#N/A</v>
          </cell>
          <cell r="L146" t="e">
            <v>#N/A</v>
          </cell>
          <cell r="M146" t="e">
            <v>#N/A</v>
          </cell>
          <cell r="N146" t="e">
            <v>#N/A</v>
          </cell>
          <cell r="O146" t="e">
            <v>#N/A</v>
          </cell>
          <cell r="P146">
            <v>52</v>
          </cell>
          <cell r="Q146">
            <v>1.4836469999999999</v>
          </cell>
          <cell r="R146" t="e">
            <v>#N/A</v>
          </cell>
        </row>
        <row r="147">
          <cell r="A147">
            <v>39680</v>
          </cell>
          <cell r="B147">
            <v>39680</v>
          </cell>
          <cell r="C147" t="str">
            <v>Past</v>
          </cell>
          <cell r="D147">
            <v>51.35</v>
          </cell>
          <cell r="E147" t="e">
            <v>#N/A</v>
          </cell>
          <cell r="F147" t="e">
            <v>#N/A</v>
          </cell>
          <cell r="G147" t="e">
            <v>#N/A</v>
          </cell>
          <cell r="H147" t="e">
            <v>#N/A</v>
          </cell>
          <cell r="I147" t="e">
            <v>#N/A</v>
          </cell>
          <cell r="J147" t="e">
            <v>#N/A</v>
          </cell>
          <cell r="K147" t="e">
            <v>#N/A</v>
          </cell>
          <cell r="L147" t="e">
            <v>#N/A</v>
          </cell>
          <cell r="M147" t="e">
            <v>#N/A</v>
          </cell>
          <cell r="N147" t="e">
            <v>#N/A</v>
          </cell>
          <cell r="O147" t="e">
            <v>#N/A</v>
          </cell>
          <cell r="P147">
            <v>51.35</v>
          </cell>
          <cell r="Q147">
            <v>2.1084510000000001</v>
          </cell>
          <cell r="R147" t="e">
            <v>#N/A</v>
          </cell>
        </row>
        <row r="148">
          <cell r="A148">
            <v>39681</v>
          </cell>
          <cell r="B148">
            <v>39681</v>
          </cell>
          <cell r="C148" t="str">
            <v>Past</v>
          </cell>
          <cell r="D148">
            <v>50.77</v>
          </cell>
          <cell r="E148" t="e">
            <v>#N/A</v>
          </cell>
          <cell r="F148" t="e">
            <v>#N/A</v>
          </cell>
          <cell r="G148" t="e">
            <v>#N/A</v>
          </cell>
          <cell r="H148" t="e">
            <v>#N/A</v>
          </cell>
          <cell r="I148" t="e">
            <v>#N/A</v>
          </cell>
          <cell r="J148" t="e">
            <v>#N/A</v>
          </cell>
          <cell r="K148" t="e">
            <v>#N/A</v>
          </cell>
          <cell r="L148" t="e">
            <v>#N/A</v>
          </cell>
          <cell r="M148" t="e">
            <v>#N/A</v>
          </cell>
          <cell r="N148" t="e">
            <v>#N/A</v>
          </cell>
          <cell r="O148" t="e">
            <v>#N/A</v>
          </cell>
          <cell r="P148">
            <v>50.77</v>
          </cell>
          <cell r="Q148">
            <v>1.1655229999999999</v>
          </cell>
          <cell r="R148" t="e">
            <v>#N/A</v>
          </cell>
        </row>
        <row r="149">
          <cell r="A149">
            <v>39682</v>
          </cell>
          <cell r="B149">
            <v>39682</v>
          </cell>
          <cell r="C149" t="str">
            <v>Past</v>
          </cell>
          <cell r="D149">
            <v>52.28</v>
          </cell>
          <cell r="E149" t="e">
            <v>#N/A</v>
          </cell>
          <cell r="F149" t="e">
            <v>#N/A</v>
          </cell>
          <cell r="G149" t="e">
            <v>#N/A</v>
          </cell>
          <cell r="H149" t="e">
            <v>#N/A</v>
          </cell>
          <cell r="I149" t="e">
            <v>#N/A</v>
          </cell>
          <cell r="J149" t="e">
            <v>#N/A</v>
          </cell>
          <cell r="K149" t="e">
            <v>#N/A</v>
          </cell>
          <cell r="L149" t="e">
            <v>#N/A</v>
          </cell>
          <cell r="M149" t="e">
            <v>#N/A</v>
          </cell>
          <cell r="N149" t="e">
            <v>#N/A</v>
          </cell>
          <cell r="O149" t="e">
            <v>#N/A</v>
          </cell>
          <cell r="P149">
            <v>52.28</v>
          </cell>
          <cell r="Q149">
            <v>0.84543199999999996</v>
          </cell>
          <cell r="R149" t="e">
            <v>#N/A</v>
          </cell>
        </row>
        <row r="150">
          <cell r="A150">
            <v>39685</v>
          </cell>
          <cell r="B150">
            <v>39685</v>
          </cell>
          <cell r="C150" t="str">
            <v>Past</v>
          </cell>
          <cell r="D150">
            <v>51.25</v>
          </cell>
          <cell r="E150" t="e">
            <v>#N/A</v>
          </cell>
          <cell r="F150" t="e">
            <v>#N/A</v>
          </cell>
          <cell r="G150" t="e">
            <v>#N/A</v>
          </cell>
          <cell r="H150" t="e">
            <v>#N/A</v>
          </cell>
          <cell r="I150" t="e">
            <v>#N/A</v>
          </cell>
          <cell r="J150" t="e">
            <v>#N/A</v>
          </cell>
          <cell r="K150" t="e">
            <v>#N/A</v>
          </cell>
          <cell r="L150" t="e">
            <v>#N/A</v>
          </cell>
          <cell r="M150" t="e">
            <v>#N/A</v>
          </cell>
          <cell r="N150" t="e">
            <v>#N/A</v>
          </cell>
          <cell r="O150" t="e">
            <v>#N/A</v>
          </cell>
          <cell r="P150">
            <v>51.25</v>
          </cell>
          <cell r="Q150">
            <v>1.240548</v>
          </cell>
          <cell r="R150" t="e">
            <v>#N/A</v>
          </cell>
        </row>
        <row r="151">
          <cell r="A151">
            <v>39686</v>
          </cell>
          <cell r="B151">
            <v>39686</v>
          </cell>
          <cell r="C151" t="str">
            <v>Past</v>
          </cell>
          <cell r="D151">
            <v>51.81</v>
          </cell>
          <cell r="E151" t="e">
            <v>#N/A</v>
          </cell>
          <cell r="F151" t="e">
            <v>#N/A</v>
          </cell>
          <cell r="G151" t="e">
            <v>#N/A</v>
          </cell>
          <cell r="H151" t="e">
            <v>#N/A</v>
          </cell>
          <cell r="I151" t="e">
            <v>#N/A</v>
          </cell>
          <cell r="J151" t="e">
            <v>#N/A</v>
          </cell>
          <cell r="K151" t="e">
            <v>#N/A</v>
          </cell>
          <cell r="L151" t="e">
            <v>#N/A</v>
          </cell>
          <cell r="M151" t="e">
            <v>#N/A</v>
          </cell>
          <cell r="N151" t="e">
            <v>#N/A</v>
          </cell>
          <cell r="O151" t="e">
            <v>#N/A</v>
          </cell>
          <cell r="P151">
            <v>51.81</v>
          </cell>
          <cell r="Q151">
            <v>1.1626159999999999</v>
          </cell>
          <cell r="R151" t="e">
            <v>#N/A</v>
          </cell>
        </row>
        <row r="152">
          <cell r="A152">
            <v>39687</v>
          </cell>
          <cell r="B152">
            <v>39687</v>
          </cell>
          <cell r="C152" t="str">
            <v>Past</v>
          </cell>
          <cell r="D152">
            <v>51.97</v>
          </cell>
          <cell r="E152" t="e">
            <v>#N/A</v>
          </cell>
          <cell r="F152" t="e">
            <v>#N/A</v>
          </cell>
          <cell r="G152" t="e">
            <v>#N/A</v>
          </cell>
          <cell r="H152" t="e">
            <v>#N/A</v>
          </cell>
          <cell r="I152" t="e">
            <v>#N/A</v>
          </cell>
          <cell r="J152" t="e">
            <v>#N/A</v>
          </cell>
          <cell r="K152" t="e">
            <v>#N/A</v>
          </cell>
          <cell r="L152" t="e">
            <v>#N/A</v>
          </cell>
          <cell r="M152" t="e">
            <v>#N/A</v>
          </cell>
          <cell r="N152" t="e">
            <v>#N/A</v>
          </cell>
          <cell r="O152" t="e">
            <v>#N/A</v>
          </cell>
          <cell r="P152">
            <v>51.97</v>
          </cell>
          <cell r="Q152">
            <v>1.336713</v>
          </cell>
          <cell r="R152" t="e">
            <v>#N/A</v>
          </cell>
        </row>
        <row r="153">
          <cell r="A153">
            <v>39688</v>
          </cell>
          <cell r="B153">
            <v>39688</v>
          </cell>
          <cell r="C153" t="str">
            <v>Past</v>
          </cell>
          <cell r="D153">
            <v>53.22</v>
          </cell>
          <cell r="E153" t="e">
            <v>#N/A</v>
          </cell>
          <cell r="F153" t="e">
            <v>#N/A</v>
          </cell>
          <cell r="G153" t="e">
            <v>#N/A</v>
          </cell>
          <cell r="H153" t="e">
            <v>#N/A</v>
          </cell>
          <cell r="I153" t="e">
            <v>#N/A</v>
          </cell>
          <cell r="J153" t="e">
            <v>#N/A</v>
          </cell>
          <cell r="K153" t="e">
            <v>#N/A</v>
          </cell>
          <cell r="L153" t="e">
            <v>#N/A</v>
          </cell>
          <cell r="M153" t="e">
            <v>#N/A</v>
          </cell>
          <cell r="N153" t="e">
            <v>#N/A</v>
          </cell>
          <cell r="O153" t="e">
            <v>#N/A</v>
          </cell>
          <cell r="P153">
            <v>53.22</v>
          </cell>
          <cell r="Q153">
            <v>0.81744600000000001</v>
          </cell>
          <cell r="R153" t="e">
            <v>#N/A</v>
          </cell>
        </row>
        <row r="154">
          <cell r="A154">
            <v>39689</v>
          </cell>
          <cell r="B154">
            <v>39689</v>
          </cell>
          <cell r="C154" t="str">
            <v>Past</v>
          </cell>
          <cell r="D154">
            <v>52.59</v>
          </cell>
          <cell r="E154" t="e">
            <v>#N/A</v>
          </cell>
          <cell r="F154" t="e">
            <v>#N/A</v>
          </cell>
          <cell r="G154" t="e">
            <v>#N/A</v>
          </cell>
          <cell r="H154" t="e">
            <v>#N/A</v>
          </cell>
          <cell r="I154" t="e">
            <v>#N/A</v>
          </cell>
          <cell r="J154" t="e">
            <v>#N/A</v>
          </cell>
          <cell r="K154" t="e">
            <v>#N/A</v>
          </cell>
          <cell r="L154" t="e">
            <v>#N/A</v>
          </cell>
          <cell r="M154" t="e">
            <v>#N/A</v>
          </cell>
          <cell r="N154" t="e">
            <v>#N/A</v>
          </cell>
          <cell r="O154" t="e">
            <v>#N/A</v>
          </cell>
          <cell r="P154">
            <v>52.59</v>
          </cell>
          <cell r="Q154">
            <v>0.62557000000000007</v>
          </cell>
          <cell r="R154" t="e">
            <v>#N/A</v>
          </cell>
        </row>
        <row r="155">
          <cell r="A155">
            <v>39693</v>
          </cell>
          <cell r="B155">
            <v>39693</v>
          </cell>
          <cell r="C155" t="str">
            <v>Past</v>
          </cell>
          <cell r="D155">
            <v>52.94</v>
          </cell>
          <cell r="E155" t="e">
            <v>#N/A</v>
          </cell>
          <cell r="F155" t="e">
            <v>#N/A</v>
          </cell>
          <cell r="G155" t="e">
            <v>#N/A</v>
          </cell>
          <cell r="H155" t="e">
            <v>#N/A</v>
          </cell>
          <cell r="I155" t="e">
            <v>#N/A</v>
          </cell>
          <cell r="J155" t="e">
            <v>#N/A</v>
          </cell>
          <cell r="K155" t="e">
            <v>#N/A</v>
          </cell>
          <cell r="L155" t="e">
            <v>#N/A</v>
          </cell>
          <cell r="M155" t="e">
            <v>#N/A</v>
          </cell>
          <cell r="N155" t="e">
            <v>#N/A</v>
          </cell>
          <cell r="O155" t="e">
            <v>#N/A</v>
          </cell>
          <cell r="P155">
            <v>52.94</v>
          </cell>
          <cell r="Q155">
            <v>0.746313</v>
          </cell>
          <cell r="R155" t="e">
            <v>#N/A</v>
          </cell>
        </row>
        <row r="156">
          <cell r="A156">
            <v>39694</v>
          </cell>
          <cell r="B156">
            <v>39694</v>
          </cell>
          <cell r="C156" t="str">
            <v>Past</v>
          </cell>
          <cell r="D156">
            <v>52.88</v>
          </cell>
          <cell r="E156" t="e">
            <v>#N/A</v>
          </cell>
          <cell r="F156" t="e">
            <v>#N/A</v>
          </cell>
          <cell r="G156" t="e">
            <v>#N/A</v>
          </cell>
          <cell r="H156" t="e">
            <v>#N/A</v>
          </cell>
          <cell r="I156" t="e">
            <v>#N/A</v>
          </cell>
          <cell r="J156" t="e">
            <v>#N/A</v>
          </cell>
          <cell r="K156" t="e">
            <v>#N/A</v>
          </cell>
          <cell r="L156" t="e">
            <v>#N/A</v>
          </cell>
          <cell r="M156" t="e">
            <v>#N/A</v>
          </cell>
          <cell r="N156" t="e">
            <v>#N/A</v>
          </cell>
          <cell r="O156" t="e">
            <v>#N/A</v>
          </cell>
          <cell r="P156">
            <v>52.88</v>
          </cell>
          <cell r="Q156">
            <v>0.64024499999999995</v>
          </cell>
          <cell r="R156" t="e">
            <v>#N/A</v>
          </cell>
        </row>
        <row r="157">
          <cell r="A157">
            <v>39695</v>
          </cell>
          <cell r="B157">
            <v>39695</v>
          </cell>
          <cell r="C157" t="str">
            <v>Past</v>
          </cell>
          <cell r="D157">
            <v>51.73</v>
          </cell>
          <cell r="E157" t="e">
            <v>#N/A</v>
          </cell>
          <cell r="F157" t="e">
            <v>#N/A</v>
          </cell>
          <cell r="G157" t="e">
            <v>#N/A</v>
          </cell>
          <cell r="H157" t="e">
            <v>#N/A</v>
          </cell>
          <cell r="I157" t="e">
            <v>#N/A</v>
          </cell>
          <cell r="J157" t="e">
            <v>#N/A</v>
          </cell>
          <cell r="K157" t="e">
            <v>#N/A</v>
          </cell>
          <cell r="L157" t="e">
            <v>#N/A</v>
          </cell>
          <cell r="M157" t="e">
            <v>#N/A</v>
          </cell>
          <cell r="N157" t="e">
            <v>#N/A</v>
          </cell>
          <cell r="O157" t="e">
            <v>#N/A</v>
          </cell>
          <cell r="P157">
            <v>51.73</v>
          </cell>
          <cell r="Q157">
            <v>1.5427729999999999</v>
          </cell>
          <cell r="R157" t="e">
            <v>#N/A</v>
          </cell>
        </row>
        <row r="158">
          <cell r="A158">
            <v>39696</v>
          </cell>
          <cell r="B158">
            <v>39696</v>
          </cell>
          <cell r="C158" t="str">
            <v>Past</v>
          </cell>
          <cell r="D158">
            <v>51.75</v>
          </cell>
          <cell r="E158" t="e">
            <v>#N/A</v>
          </cell>
          <cell r="F158" t="e">
            <v>#N/A</v>
          </cell>
          <cell r="G158" t="e">
            <v>#N/A</v>
          </cell>
          <cell r="H158" t="e">
            <v>#N/A</v>
          </cell>
          <cell r="I158" t="e">
            <v>#N/A</v>
          </cell>
          <cell r="J158" t="e">
            <v>#N/A</v>
          </cell>
          <cell r="K158" t="e">
            <v>#N/A</v>
          </cell>
          <cell r="L158" t="e">
            <v>#N/A</v>
          </cell>
          <cell r="M158" t="e">
            <v>#N/A</v>
          </cell>
          <cell r="N158" t="e">
            <v>#N/A</v>
          </cell>
          <cell r="O158" t="e">
            <v>#N/A</v>
          </cell>
          <cell r="P158">
            <v>51.75</v>
          </cell>
          <cell r="Q158">
            <v>0.92921399999999998</v>
          </cell>
          <cell r="R158" t="e">
            <v>#N/A</v>
          </cell>
        </row>
        <row r="159">
          <cell r="A159">
            <v>39699</v>
          </cell>
          <cell r="B159">
            <v>39699</v>
          </cell>
          <cell r="C159" t="str">
            <v>Past</v>
          </cell>
          <cell r="D159">
            <v>52.24</v>
          </cell>
          <cell r="E159" t="e">
            <v>#N/A</v>
          </cell>
          <cell r="F159" t="e">
            <v>#N/A</v>
          </cell>
          <cell r="G159" t="e">
            <v>#N/A</v>
          </cell>
          <cell r="H159" t="e">
            <v>#N/A</v>
          </cell>
          <cell r="I159" t="e">
            <v>#N/A</v>
          </cell>
          <cell r="J159" t="e">
            <v>#N/A</v>
          </cell>
          <cell r="K159" t="e">
            <v>#N/A</v>
          </cell>
          <cell r="L159" t="e">
            <v>#N/A</v>
          </cell>
          <cell r="M159" t="e">
            <v>#N/A</v>
          </cell>
          <cell r="N159" t="e">
            <v>#N/A</v>
          </cell>
          <cell r="O159" t="e">
            <v>#N/A</v>
          </cell>
          <cell r="P159">
            <v>52.24</v>
          </cell>
          <cell r="Q159">
            <v>1.8556509999999999</v>
          </cell>
          <cell r="R159" t="e">
            <v>#N/A</v>
          </cell>
        </row>
        <row r="160">
          <cell r="A160">
            <v>39700</v>
          </cell>
          <cell r="B160">
            <v>39700</v>
          </cell>
          <cell r="C160" t="str">
            <v>Past</v>
          </cell>
          <cell r="D160">
            <v>51.56</v>
          </cell>
          <cell r="E160" t="e">
            <v>#N/A</v>
          </cell>
          <cell r="F160" t="e">
            <v>#N/A</v>
          </cell>
          <cell r="G160" t="e">
            <v>#N/A</v>
          </cell>
          <cell r="H160" t="e">
            <v>#N/A</v>
          </cell>
          <cell r="I160" t="e">
            <v>#N/A</v>
          </cell>
          <cell r="J160" t="e">
            <v>#N/A</v>
          </cell>
          <cell r="K160" t="e">
            <v>#N/A</v>
          </cell>
          <cell r="L160" t="e">
            <v>#N/A</v>
          </cell>
          <cell r="M160" t="e">
            <v>#N/A</v>
          </cell>
          <cell r="N160" t="e">
            <v>#N/A</v>
          </cell>
          <cell r="O160" t="e">
            <v>#N/A</v>
          </cell>
          <cell r="P160">
            <v>51.56</v>
          </cell>
          <cell r="Q160">
            <v>1.6794939999999998</v>
          </cell>
          <cell r="R160" t="e">
            <v>#N/A</v>
          </cell>
        </row>
        <row r="161">
          <cell r="A161">
            <v>39701</v>
          </cell>
          <cell r="B161">
            <v>39701</v>
          </cell>
          <cell r="C161" t="str">
            <v>Past</v>
          </cell>
          <cell r="D161">
            <v>49.7</v>
          </cell>
          <cell r="E161" t="e">
            <v>#N/A</v>
          </cell>
          <cell r="F161" t="e">
            <v>#N/A</v>
          </cell>
          <cell r="G161" t="e">
            <v>#N/A</v>
          </cell>
          <cell r="H161" t="e">
            <v>#N/A</v>
          </cell>
          <cell r="I161" t="e">
            <v>#N/A</v>
          </cell>
          <cell r="J161" t="e">
            <v>#N/A</v>
          </cell>
          <cell r="K161" t="e">
            <v>#N/A</v>
          </cell>
          <cell r="L161" t="e">
            <v>#N/A</v>
          </cell>
          <cell r="M161" t="e">
            <v>#N/A</v>
          </cell>
          <cell r="N161" t="e">
            <v>#N/A</v>
          </cell>
          <cell r="O161" t="e">
            <v>#N/A</v>
          </cell>
          <cell r="P161">
            <v>49.7</v>
          </cell>
          <cell r="Q161">
            <v>2.219163</v>
          </cell>
          <cell r="R161" t="e">
            <v>#N/A</v>
          </cell>
        </row>
        <row r="162">
          <cell r="A162">
            <v>39702</v>
          </cell>
          <cell r="B162">
            <v>39702</v>
          </cell>
          <cell r="C162" t="str">
            <v>Past</v>
          </cell>
          <cell r="D162">
            <v>51.85</v>
          </cell>
          <cell r="E162" t="e">
            <v>#N/A</v>
          </cell>
          <cell r="F162" t="e">
            <v>#N/A</v>
          </cell>
          <cell r="G162" t="e">
            <v>#N/A</v>
          </cell>
          <cell r="H162" t="e">
            <v>#N/A</v>
          </cell>
          <cell r="I162" t="e">
            <v>#N/A</v>
          </cell>
          <cell r="J162" t="e">
            <v>#N/A</v>
          </cell>
          <cell r="K162" t="e">
            <v>#N/A</v>
          </cell>
          <cell r="L162" t="e">
            <v>#N/A</v>
          </cell>
          <cell r="M162" t="e">
            <v>#N/A</v>
          </cell>
          <cell r="N162" t="e">
            <v>#N/A</v>
          </cell>
          <cell r="O162" t="e">
            <v>#N/A</v>
          </cell>
          <cell r="P162">
            <v>51.85</v>
          </cell>
          <cell r="Q162">
            <v>1.993026</v>
          </cell>
          <cell r="R162" t="e">
            <v>#N/A</v>
          </cell>
        </row>
        <row r="163">
          <cell r="A163">
            <v>39703</v>
          </cell>
          <cell r="B163">
            <v>39703</v>
          </cell>
          <cell r="C163" t="str">
            <v>Past</v>
          </cell>
          <cell r="D163">
            <v>53.02</v>
          </cell>
          <cell r="E163" t="e">
            <v>#N/A</v>
          </cell>
          <cell r="F163" t="e">
            <v>#N/A</v>
          </cell>
          <cell r="G163" t="e">
            <v>#N/A</v>
          </cell>
          <cell r="H163" t="e">
            <v>#N/A</v>
          </cell>
          <cell r="I163" t="e">
            <v>#N/A</v>
          </cell>
          <cell r="J163" t="e">
            <v>#N/A</v>
          </cell>
          <cell r="K163" t="e">
            <v>#N/A</v>
          </cell>
          <cell r="L163" t="e">
            <v>#N/A</v>
          </cell>
          <cell r="M163" t="e">
            <v>#N/A</v>
          </cell>
          <cell r="N163" t="e">
            <v>#N/A</v>
          </cell>
          <cell r="O163" t="e">
            <v>#N/A</v>
          </cell>
          <cell r="P163">
            <v>53.02</v>
          </cell>
          <cell r="Q163">
            <v>1.5557289999999999</v>
          </cell>
          <cell r="R163" t="e">
            <v>#N/A</v>
          </cell>
        </row>
        <row r="164">
          <cell r="A164">
            <v>39706</v>
          </cell>
          <cell r="B164">
            <v>39706</v>
          </cell>
          <cell r="C164" t="str">
            <v>Past</v>
          </cell>
          <cell r="D164">
            <v>51.88</v>
          </cell>
          <cell r="E164" t="e">
            <v>#N/A</v>
          </cell>
          <cell r="F164" t="e">
            <v>#N/A</v>
          </cell>
          <cell r="G164" t="e">
            <v>#N/A</v>
          </cell>
          <cell r="H164" t="e">
            <v>#N/A</v>
          </cell>
          <cell r="I164" t="e">
            <v>#N/A</v>
          </cell>
          <cell r="J164" t="e">
            <v>#N/A</v>
          </cell>
          <cell r="K164" t="e">
            <v>#N/A</v>
          </cell>
          <cell r="L164" t="e">
            <v>#N/A</v>
          </cell>
          <cell r="M164" t="e">
            <v>#N/A</v>
          </cell>
          <cell r="N164" t="e">
            <v>#N/A</v>
          </cell>
          <cell r="O164" t="e">
            <v>#N/A</v>
          </cell>
          <cell r="P164">
            <v>51.88</v>
          </cell>
          <cell r="Q164">
            <v>1.45784</v>
          </cell>
          <cell r="R164" t="e">
            <v>#N/A</v>
          </cell>
        </row>
        <row r="165">
          <cell r="A165">
            <v>39707</v>
          </cell>
          <cell r="B165">
            <v>39707</v>
          </cell>
          <cell r="C165" t="str">
            <v>Past</v>
          </cell>
          <cell r="D165">
            <v>51.16</v>
          </cell>
          <cell r="E165" t="e">
            <v>#N/A</v>
          </cell>
          <cell r="F165" t="e">
            <v>#N/A</v>
          </cell>
          <cell r="G165" t="e">
            <v>#N/A</v>
          </cell>
          <cell r="H165" t="e">
            <v>#N/A</v>
          </cell>
          <cell r="I165" t="e">
            <v>#N/A</v>
          </cell>
          <cell r="J165" t="e">
            <v>#N/A</v>
          </cell>
          <cell r="K165" t="e">
            <v>#N/A</v>
          </cell>
          <cell r="L165" t="e">
            <v>#N/A</v>
          </cell>
          <cell r="M165" t="e">
            <v>#N/A</v>
          </cell>
          <cell r="N165" t="e">
            <v>#N/A</v>
          </cell>
          <cell r="O165" t="e">
            <v>#N/A</v>
          </cell>
          <cell r="P165">
            <v>51.16</v>
          </cell>
          <cell r="Q165">
            <v>2.3069700000000002</v>
          </cell>
          <cell r="R165" t="e">
            <v>#N/A</v>
          </cell>
        </row>
        <row r="166">
          <cell r="A166">
            <v>39708</v>
          </cell>
          <cell r="B166">
            <v>39708</v>
          </cell>
          <cell r="C166" t="str">
            <v>Past</v>
          </cell>
          <cell r="D166">
            <v>48.4</v>
          </cell>
          <cell r="E166" t="e">
            <v>#N/A</v>
          </cell>
          <cell r="F166" t="e">
            <v>#N/A</v>
          </cell>
          <cell r="G166" t="e">
            <v>#N/A</v>
          </cell>
          <cell r="H166" t="e">
            <v>#N/A</v>
          </cell>
          <cell r="I166" t="e">
            <v>#N/A</v>
          </cell>
          <cell r="J166" t="e">
            <v>#N/A</v>
          </cell>
          <cell r="K166" t="e">
            <v>#N/A</v>
          </cell>
          <cell r="L166" t="e">
            <v>#N/A</v>
          </cell>
          <cell r="M166" t="e">
            <v>#N/A</v>
          </cell>
          <cell r="N166" t="e">
            <v>#N/A</v>
          </cell>
          <cell r="O166" t="e">
            <v>#N/A</v>
          </cell>
          <cell r="P166">
            <v>48.4</v>
          </cell>
          <cell r="Q166">
            <v>2.4181319999999999</v>
          </cell>
          <cell r="R166" t="e">
            <v>#N/A</v>
          </cell>
        </row>
        <row r="167">
          <cell r="A167">
            <v>39709</v>
          </cell>
          <cell r="B167">
            <v>39709</v>
          </cell>
          <cell r="C167" t="str">
            <v>Past</v>
          </cell>
          <cell r="D167">
            <v>49.14</v>
          </cell>
          <cell r="E167" t="e">
            <v>#N/A</v>
          </cell>
          <cell r="F167" t="e">
            <v>#N/A</v>
          </cell>
          <cell r="G167" t="e">
            <v>#N/A</v>
          </cell>
          <cell r="H167" t="e">
            <v>#N/A</v>
          </cell>
          <cell r="I167" t="e">
            <v>#N/A</v>
          </cell>
          <cell r="J167" t="e">
            <v>#N/A</v>
          </cell>
          <cell r="K167" t="e">
            <v>#N/A</v>
          </cell>
          <cell r="L167" t="e">
            <v>#N/A</v>
          </cell>
          <cell r="M167" t="e">
            <v>#N/A</v>
          </cell>
          <cell r="N167" t="e">
            <v>#N/A</v>
          </cell>
          <cell r="O167" t="e">
            <v>#N/A</v>
          </cell>
          <cell r="P167">
            <v>49.14</v>
          </cell>
          <cell r="Q167">
            <v>2.2509950000000001</v>
          </cell>
          <cell r="R167" t="e">
            <v>#N/A</v>
          </cell>
        </row>
        <row r="168">
          <cell r="A168">
            <v>39710</v>
          </cell>
          <cell r="B168">
            <v>39710</v>
          </cell>
          <cell r="C168" t="str">
            <v>Past</v>
          </cell>
          <cell r="D168">
            <v>50.1</v>
          </cell>
          <cell r="E168" t="e">
            <v>#N/A</v>
          </cell>
          <cell r="F168" t="e">
            <v>#N/A</v>
          </cell>
          <cell r="G168" t="e">
            <v>#N/A</v>
          </cell>
          <cell r="H168" t="e">
            <v>#N/A</v>
          </cell>
          <cell r="I168" t="e">
            <v>#N/A</v>
          </cell>
          <cell r="J168" t="e">
            <v>#N/A</v>
          </cell>
          <cell r="K168" t="e">
            <v>#N/A</v>
          </cell>
          <cell r="L168" t="e">
            <v>#N/A</v>
          </cell>
          <cell r="M168" t="e">
            <v>#N/A</v>
          </cell>
          <cell r="N168" t="e">
            <v>#N/A</v>
          </cell>
          <cell r="O168" t="e">
            <v>#N/A</v>
          </cell>
          <cell r="P168">
            <v>50.1</v>
          </cell>
          <cell r="Q168">
            <v>1.7598429999999998</v>
          </cell>
          <cell r="R168" t="e">
            <v>#N/A</v>
          </cell>
        </row>
        <row r="169">
          <cell r="A169">
            <v>39713</v>
          </cell>
          <cell r="B169">
            <v>39713</v>
          </cell>
          <cell r="C169" t="str">
            <v>Past</v>
          </cell>
          <cell r="D169">
            <v>48.59</v>
          </cell>
          <cell r="E169" t="e">
            <v>#N/A</v>
          </cell>
          <cell r="F169" t="e">
            <v>#N/A</v>
          </cell>
          <cell r="G169" t="e">
            <v>#N/A</v>
          </cell>
          <cell r="H169" t="e">
            <v>#N/A</v>
          </cell>
          <cell r="I169" t="e">
            <v>#N/A</v>
          </cell>
          <cell r="J169" t="e">
            <v>#N/A</v>
          </cell>
          <cell r="K169" t="e">
            <v>#N/A</v>
          </cell>
          <cell r="L169" t="e">
            <v>#N/A</v>
          </cell>
          <cell r="M169" t="e">
            <v>#N/A</v>
          </cell>
          <cell r="N169" t="e">
            <v>#N/A</v>
          </cell>
          <cell r="O169" t="e">
            <v>#N/A</v>
          </cell>
          <cell r="P169">
            <v>48.59</v>
          </cell>
          <cell r="Q169">
            <v>0.980792</v>
          </cell>
          <cell r="R169" t="e">
            <v>#N/A</v>
          </cell>
        </row>
        <row r="170">
          <cell r="A170">
            <v>39714</v>
          </cell>
          <cell r="B170">
            <v>39714</v>
          </cell>
          <cell r="C170" t="str">
            <v>Past</v>
          </cell>
          <cell r="D170">
            <v>47.49</v>
          </cell>
          <cell r="E170" t="e">
            <v>#N/A</v>
          </cell>
          <cell r="F170" t="e">
            <v>#N/A</v>
          </cell>
          <cell r="G170" t="e">
            <v>#N/A</v>
          </cell>
          <cell r="H170" t="e">
            <v>#N/A</v>
          </cell>
          <cell r="I170" t="e">
            <v>#N/A</v>
          </cell>
          <cell r="J170" t="e">
            <v>#N/A</v>
          </cell>
          <cell r="K170" t="e">
            <v>#N/A</v>
          </cell>
          <cell r="L170" t="e">
            <v>#N/A</v>
          </cell>
          <cell r="M170" t="e">
            <v>#N/A</v>
          </cell>
          <cell r="N170" t="e">
            <v>#N/A</v>
          </cell>
          <cell r="O170" t="e">
            <v>#N/A</v>
          </cell>
          <cell r="P170">
            <v>47.49</v>
          </cell>
          <cell r="Q170">
            <v>0.62404499999999996</v>
          </cell>
          <cell r="R170" t="e">
            <v>#N/A</v>
          </cell>
        </row>
        <row r="171">
          <cell r="A171">
            <v>39715</v>
          </cell>
          <cell r="B171">
            <v>39715</v>
          </cell>
          <cell r="C171" t="str">
            <v>Past</v>
          </cell>
          <cell r="D171">
            <v>46.67</v>
          </cell>
          <cell r="E171" t="e">
            <v>#N/A</v>
          </cell>
          <cell r="F171" t="e">
            <v>#N/A</v>
          </cell>
          <cell r="G171" t="e">
            <v>#N/A</v>
          </cell>
          <cell r="H171" t="e">
            <v>#N/A</v>
          </cell>
          <cell r="I171" t="e">
            <v>#N/A</v>
          </cell>
          <cell r="J171" t="e">
            <v>#N/A</v>
          </cell>
          <cell r="K171" t="e">
            <v>#N/A</v>
          </cell>
          <cell r="L171" t="e">
            <v>#N/A</v>
          </cell>
          <cell r="M171" t="e">
            <v>#N/A</v>
          </cell>
          <cell r="N171" t="e">
            <v>#N/A</v>
          </cell>
          <cell r="O171" t="e">
            <v>#N/A</v>
          </cell>
          <cell r="P171">
            <v>46.67</v>
          </cell>
          <cell r="Q171">
            <v>1.2227000000000001</v>
          </cell>
          <cell r="R171" t="e">
            <v>#N/A</v>
          </cell>
        </row>
        <row r="172">
          <cell r="A172">
            <v>39716</v>
          </cell>
          <cell r="B172">
            <v>39716</v>
          </cell>
          <cell r="C172" t="str">
            <v>Past</v>
          </cell>
          <cell r="D172">
            <v>46.96</v>
          </cell>
          <cell r="E172" t="e">
            <v>#N/A</v>
          </cell>
          <cell r="F172" t="e">
            <v>#N/A</v>
          </cell>
          <cell r="G172" t="e">
            <v>#N/A</v>
          </cell>
          <cell r="H172" t="e">
            <v>#N/A</v>
          </cell>
          <cell r="I172" t="e">
            <v>#N/A</v>
          </cell>
          <cell r="J172" t="e">
            <v>#N/A</v>
          </cell>
          <cell r="K172" t="e">
            <v>#N/A</v>
          </cell>
          <cell r="L172" t="e">
            <v>#N/A</v>
          </cell>
          <cell r="M172" t="e">
            <v>#N/A</v>
          </cell>
          <cell r="N172" t="e">
            <v>#N/A</v>
          </cell>
          <cell r="O172" t="e">
            <v>#N/A</v>
          </cell>
          <cell r="P172">
            <v>46.96</v>
          </cell>
          <cell r="Q172">
            <v>1.0320590000000001</v>
          </cell>
          <cell r="R172" t="e">
            <v>#N/A</v>
          </cell>
        </row>
        <row r="173">
          <cell r="A173">
            <v>39717</v>
          </cell>
          <cell r="B173">
            <v>39717</v>
          </cell>
          <cell r="C173" t="str">
            <v>Past</v>
          </cell>
          <cell r="D173">
            <v>47.65</v>
          </cell>
          <cell r="E173" t="e">
            <v>#N/A</v>
          </cell>
          <cell r="F173" t="e">
            <v>#N/A</v>
          </cell>
          <cell r="G173" t="e">
            <v>#N/A</v>
          </cell>
          <cell r="H173" t="e">
            <v>#N/A</v>
          </cell>
          <cell r="I173" t="e">
            <v>#N/A</v>
          </cell>
          <cell r="J173" t="e">
            <v>#N/A</v>
          </cell>
          <cell r="K173" t="e">
            <v>#N/A</v>
          </cell>
          <cell r="L173" t="e">
            <v>#N/A</v>
          </cell>
          <cell r="M173" t="e">
            <v>#N/A</v>
          </cell>
          <cell r="N173" t="e">
            <v>#N/A</v>
          </cell>
          <cell r="O173" t="e">
            <v>#N/A</v>
          </cell>
          <cell r="P173">
            <v>47.65</v>
          </cell>
          <cell r="Q173">
            <v>1.1378000000000001</v>
          </cell>
          <cell r="R173" t="e">
            <v>#N/A</v>
          </cell>
        </row>
        <row r="174">
          <cell r="A174">
            <v>39720</v>
          </cell>
          <cell r="B174">
            <v>39720</v>
          </cell>
          <cell r="C174" t="str">
            <v>Past</v>
          </cell>
          <cell r="D174">
            <v>46.55</v>
          </cell>
          <cell r="E174" t="e">
            <v>#N/A</v>
          </cell>
          <cell r="F174" t="e">
            <v>#N/A</v>
          </cell>
          <cell r="G174" t="e">
            <v>#N/A</v>
          </cell>
          <cell r="H174" t="e">
            <v>#N/A</v>
          </cell>
          <cell r="I174" t="e">
            <v>#N/A</v>
          </cell>
          <cell r="J174" t="e">
            <v>#N/A</v>
          </cell>
          <cell r="K174" t="e">
            <v>#N/A</v>
          </cell>
          <cell r="L174" t="e">
            <v>#N/A</v>
          </cell>
          <cell r="M174" t="e">
            <v>#N/A</v>
          </cell>
          <cell r="N174" t="e">
            <v>#N/A</v>
          </cell>
          <cell r="O174" t="e">
            <v>#N/A</v>
          </cell>
          <cell r="P174">
            <v>46.55</v>
          </cell>
          <cell r="Q174">
            <v>2.34409</v>
          </cell>
          <cell r="R174" t="e">
            <v>#N/A</v>
          </cell>
        </row>
        <row r="175">
          <cell r="A175">
            <v>39721</v>
          </cell>
          <cell r="B175">
            <v>39721</v>
          </cell>
          <cell r="C175" t="str">
            <v>Past</v>
          </cell>
          <cell r="D175">
            <v>48.09</v>
          </cell>
          <cell r="E175" t="e">
            <v>#N/A</v>
          </cell>
          <cell r="F175" t="e">
            <v>#N/A</v>
          </cell>
          <cell r="G175" t="e">
            <v>#N/A</v>
          </cell>
          <cell r="H175" t="e">
            <v>#N/A</v>
          </cell>
          <cell r="I175" t="e">
            <v>#N/A</v>
          </cell>
          <cell r="J175" t="e">
            <v>#N/A</v>
          </cell>
          <cell r="K175" t="e">
            <v>#N/A</v>
          </cell>
          <cell r="L175" t="e">
            <v>#N/A</v>
          </cell>
          <cell r="M175" t="e">
            <v>#N/A</v>
          </cell>
          <cell r="N175" t="e">
            <v>#N/A</v>
          </cell>
          <cell r="O175" t="e">
            <v>#N/A</v>
          </cell>
          <cell r="P175">
            <v>48.09</v>
          </cell>
          <cell r="Q175">
            <v>1.6793589999999998</v>
          </cell>
          <cell r="R175" t="e">
            <v>#N/A</v>
          </cell>
        </row>
        <row r="176">
          <cell r="A176">
            <v>39722</v>
          </cell>
          <cell r="B176">
            <v>39722</v>
          </cell>
          <cell r="C176" t="str">
            <v>Past</v>
          </cell>
          <cell r="D176">
            <v>47.38</v>
          </cell>
          <cell r="E176" t="e">
            <v>#N/A</v>
          </cell>
          <cell r="F176" t="e">
            <v>#N/A</v>
          </cell>
          <cell r="G176" t="e">
            <v>#N/A</v>
          </cell>
          <cell r="H176" t="e">
            <v>#N/A</v>
          </cell>
          <cell r="I176" t="e">
            <v>#N/A</v>
          </cell>
          <cell r="J176" t="e">
            <v>#N/A</v>
          </cell>
          <cell r="K176" t="e">
            <v>#N/A</v>
          </cell>
          <cell r="L176" t="e">
            <v>#N/A</v>
          </cell>
          <cell r="M176" t="e">
            <v>#N/A</v>
          </cell>
          <cell r="N176" t="e">
            <v>#N/A</v>
          </cell>
          <cell r="O176" t="e">
            <v>#N/A</v>
          </cell>
          <cell r="P176">
            <v>47.38</v>
          </cell>
          <cell r="Q176">
            <v>1.4053179999999998</v>
          </cell>
          <cell r="R176" t="e">
            <v>#N/A</v>
          </cell>
        </row>
        <row r="177">
          <cell r="A177">
            <v>39723</v>
          </cell>
          <cell r="B177">
            <v>39723</v>
          </cell>
          <cell r="C177" t="str">
            <v>Past</v>
          </cell>
          <cell r="D177">
            <v>44.69</v>
          </cell>
          <cell r="E177" t="e">
            <v>#N/A</v>
          </cell>
          <cell r="F177" t="e">
            <v>#N/A</v>
          </cell>
          <cell r="G177" t="e">
            <v>#N/A</v>
          </cell>
          <cell r="H177" t="e">
            <v>#N/A</v>
          </cell>
          <cell r="I177" t="e">
            <v>#N/A</v>
          </cell>
          <cell r="J177" t="e">
            <v>#N/A</v>
          </cell>
          <cell r="K177" t="e">
            <v>#N/A</v>
          </cell>
          <cell r="L177" t="e">
            <v>#N/A</v>
          </cell>
          <cell r="M177" t="e">
            <v>#N/A</v>
          </cell>
          <cell r="N177" t="e">
            <v>#N/A</v>
          </cell>
          <cell r="O177" t="e">
            <v>#N/A</v>
          </cell>
          <cell r="P177">
            <v>44.69</v>
          </cell>
          <cell r="Q177">
            <v>1.511835</v>
          </cell>
          <cell r="R177" t="e">
            <v>#N/A</v>
          </cell>
        </row>
        <row r="178">
          <cell r="A178">
            <v>39724</v>
          </cell>
          <cell r="B178">
            <v>39724</v>
          </cell>
          <cell r="C178" t="str">
            <v>Past</v>
          </cell>
          <cell r="D178">
            <v>43.46</v>
          </cell>
          <cell r="E178" t="e">
            <v>#N/A</v>
          </cell>
          <cell r="F178" t="e">
            <v>#N/A</v>
          </cell>
          <cell r="G178" t="e">
            <v>#N/A</v>
          </cell>
          <cell r="H178" t="e">
            <v>#N/A</v>
          </cell>
          <cell r="I178" t="e">
            <v>#N/A</v>
          </cell>
          <cell r="J178" t="e">
            <v>#N/A</v>
          </cell>
          <cell r="K178" t="e">
            <v>#N/A</v>
          </cell>
          <cell r="L178" t="e">
            <v>#N/A</v>
          </cell>
          <cell r="M178" t="e">
            <v>#N/A</v>
          </cell>
          <cell r="N178" t="e">
            <v>#N/A</v>
          </cell>
          <cell r="O178" t="e">
            <v>#N/A</v>
          </cell>
          <cell r="P178">
            <v>43.46</v>
          </cell>
          <cell r="Q178">
            <v>1.5277289999999999</v>
          </cell>
          <cell r="R178" t="e">
            <v>#N/A</v>
          </cell>
        </row>
        <row r="179">
          <cell r="A179">
            <v>39727</v>
          </cell>
          <cell r="B179">
            <v>39727</v>
          </cell>
          <cell r="C179" t="str">
            <v>Past</v>
          </cell>
          <cell r="D179">
            <v>42</v>
          </cell>
          <cell r="E179" t="e">
            <v>#N/A</v>
          </cell>
          <cell r="F179" t="e">
            <v>#N/A</v>
          </cell>
          <cell r="G179" t="e">
            <v>#N/A</v>
          </cell>
          <cell r="H179" t="e">
            <v>#N/A</v>
          </cell>
          <cell r="I179" t="e">
            <v>#N/A</v>
          </cell>
          <cell r="J179" t="e">
            <v>#N/A</v>
          </cell>
          <cell r="K179" t="e">
            <v>#N/A</v>
          </cell>
          <cell r="L179" t="e">
            <v>#N/A</v>
          </cell>
          <cell r="M179" t="e">
            <v>#N/A</v>
          </cell>
          <cell r="N179" t="e">
            <v>#N/A</v>
          </cell>
          <cell r="O179" t="e">
            <v>#N/A</v>
          </cell>
          <cell r="P179">
            <v>42</v>
          </cell>
          <cell r="Q179">
            <v>1.765822</v>
          </cell>
          <cell r="R179" t="e">
            <v>#N/A</v>
          </cell>
        </row>
        <row r="180">
          <cell r="A180">
            <v>39728</v>
          </cell>
          <cell r="B180">
            <v>39728</v>
          </cell>
          <cell r="C180" t="str">
            <v>Past</v>
          </cell>
          <cell r="D180">
            <v>41</v>
          </cell>
          <cell r="E180" t="e">
            <v>#N/A</v>
          </cell>
          <cell r="F180" t="e">
            <v>#N/A</v>
          </cell>
          <cell r="G180" t="e">
            <v>#N/A</v>
          </cell>
          <cell r="H180" t="e">
            <v>#N/A</v>
          </cell>
          <cell r="I180" t="e">
            <v>#N/A</v>
          </cell>
          <cell r="J180" t="e">
            <v>#N/A</v>
          </cell>
          <cell r="K180" t="e">
            <v>#N/A</v>
          </cell>
          <cell r="L180" t="e">
            <v>#N/A</v>
          </cell>
          <cell r="M180" t="e">
            <v>#N/A</v>
          </cell>
          <cell r="N180" t="e">
            <v>#N/A</v>
          </cell>
          <cell r="O180" t="e">
            <v>#N/A</v>
          </cell>
          <cell r="P180">
            <v>41</v>
          </cell>
          <cell r="Q180">
            <v>1.6303779999999999</v>
          </cell>
          <cell r="R180" t="e">
            <v>#N/A</v>
          </cell>
        </row>
        <row r="181">
          <cell r="A181">
            <v>39729</v>
          </cell>
          <cell r="B181">
            <v>39729</v>
          </cell>
          <cell r="C181" t="str">
            <v>Past</v>
          </cell>
          <cell r="D181">
            <v>40.380000000000003</v>
          </cell>
          <cell r="E181" t="e">
            <v>#N/A</v>
          </cell>
          <cell r="F181" t="e">
            <v>#N/A</v>
          </cell>
          <cell r="G181" t="e">
            <v>#N/A</v>
          </cell>
          <cell r="H181" t="e">
            <v>#N/A</v>
          </cell>
          <cell r="I181" t="e">
            <v>#N/A</v>
          </cell>
          <cell r="J181" t="e">
            <v>#N/A</v>
          </cell>
          <cell r="K181" t="e">
            <v>#N/A</v>
          </cell>
          <cell r="L181" t="e">
            <v>#N/A</v>
          </cell>
          <cell r="M181" t="e">
            <v>#N/A</v>
          </cell>
          <cell r="N181" t="e">
            <v>#N/A</v>
          </cell>
          <cell r="O181" t="e">
            <v>#N/A</v>
          </cell>
          <cell r="P181">
            <v>40.380000000000003</v>
          </cell>
          <cell r="Q181">
            <v>1.881213</v>
          </cell>
          <cell r="R181" t="e">
            <v>#N/A</v>
          </cell>
        </row>
        <row r="182">
          <cell r="A182">
            <v>39730</v>
          </cell>
          <cell r="B182">
            <v>39730</v>
          </cell>
          <cell r="C182" t="str">
            <v>Past</v>
          </cell>
          <cell r="D182">
            <v>37.65</v>
          </cell>
          <cell r="E182" t="e">
            <v>#N/A</v>
          </cell>
          <cell r="F182" t="e">
            <v>#N/A</v>
          </cell>
          <cell r="G182" t="e">
            <v>#N/A</v>
          </cell>
          <cell r="H182" t="e">
            <v>#N/A</v>
          </cell>
          <cell r="I182" t="e">
            <v>#N/A</v>
          </cell>
          <cell r="J182" t="e">
            <v>#N/A</v>
          </cell>
          <cell r="K182" t="e">
            <v>#N/A</v>
          </cell>
          <cell r="L182" t="e">
            <v>#N/A</v>
          </cell>
          <cell r="M182" t="e">
            <v>#N/A</v>
          </cell>
          <cell r="N182" t="e">
            <v>#N/A</v>
          </cell>
          <cell r="O182" t="e">
            <v>#N/A</v>
          </cell>
          <cell r="P182">
            <v>37.65</v>
          </cell>
          <cell r="Q182">
            <v>1.7524679999999999</v>
          </cell>
          <cell r="R182" t="e">
            <v>#N/A</v>
          </cell>
        </row>
        <row r="183">
          <cell r="A183">
            <v>39731</v>
          </cell>
          <cell r="B183">
            <v>39731</v>
          </cell>
          <cell r="C183" t="str">
            <v>Past</v>
          </cell>
          <cell r="D183">
            <v>36.229999999999997</v>
          </cell>
          <cell r="E183" t="e">
            <v>#N/A</v>
          </cell>
          <cell r="F183" t="e">
            <v>#N/A</v>
          </cell>
          <cell r="G183" t="e">
            <v>#N/A</v>
          </cell>
          <cell r="H183" t="e">
            <v>#N/A</v>
          </cell>
          <cell r="I183" t="e">
            <v>#N/A</v>
          </cell>
          <cell r="J183" t="e">
            <v>#N/A</v>
          </cell>
          <cell r="K183" t="e">
            <v>#N/A</v>
          </cell>
          <cell r="L183" t="e">
            <v>#N/A</v>
          </cell>
          <cell r="M183" t="e">
            <v>#N/A</v>
          </cell>
          <cell r="N183" t="e">
            <v>#N/A</v>
          </cell>
          <cell r="O183" t="e">
            <v>#N/A</v>
          </cell>
          <cell r="P183">
            <v>36.229999999999997</v>
          </cell>
          <cell r="Q183">
            <v>2.4158139999999997</v>
          </cell>
          <cell r="R183" t="e">
            <v>#N/A</v>
          </cell>
        </row>
        <row r="184">
          <cell r="A184">
            <v>39734</v>
          </cell>
          <cell r="B184">
            <v>39734</v>
          </cell>
          <cell r="C184" t="str">
            <v>Past</v>
          </cell>
          <cell r="D184">
            <v>39.33</v>
          </cell>
          <cell r="E184" t="e">
            <v>#N/A</v>
          </cell>
          <cell r="F184" t="e">
            <v>#N/A</v>
          </cell>
          <cell r="G184" t="e">
            <v>#N/A</v>
          </cell>
          <cell r="H184" t="e">
            <v>#N/A</v>
          </cell>
          <cell r="I184" t="e">
            <v>#N/A</v>
          </cell>
          <cell r="J184" t="e">
            <v>#N/A</v>
          </cell>
          <cell r="K184" t="e">
            <v>#N/A</v>
          </cell>
          <cell r="L184" t="e">
            <v>#N/A</v>
          </cell>
          <cell r="M184" t="e">
            <v>#N/A</v>
          </cell>
          <cell r="N184" t="e">
            <v>#N/A</v>
          </cell>
          <cell r="O184" t="e">
            <v>#N/A</v>
          </cell>
          <cell r="P184">
            <v>39.33</v>
          </cell>
          <cell r="Q184">
            <v>2.5123959999999999</v>
          </cell>
          <cell r="R184" t="e">
            <v>#N/A</v>
          </cell>
        </row>
        <row r="185">
          <cell r="A185">
            <v>39735</v>
          </cell>
          <cell r="B185">
            <v>39735</v>
          </cell>
          <cell r="C185" t="str">
            <v>Past</v>
          </cell>
          <cell r="D185">
            <v>38.54</v>
          </cell>
          <cell r="E185" t="e">
            <v>#N/A</v>
          </cell>
          <cell r="F185" t="e">
            <v>#N/A</v>
          </cell>
          <cell r="G185" t="e">
            <v>#N/A</v>
          </cell>
          <cell r="H185" t="e">
            <v>#N/A</v>
          </cell>
          <cell r="I185" t="e">
            <v>#N/A</v>
          </cell>
          <cell r="J185" t="e">
            <v>#N/A</v>
          </cell>
          <cell r="K185" t="e">
            <v>#N/A</v>
          </cell>
          <cell r="L185" t="e">
            <v>#N/A</v>
          </cell>
          <cell r="M185" t="e">
            <v>#N/A</v>
          </cell>
          <cell r="N185" t="e">
            <v>#N/A</v>
          </cell>
          <cell r="O185" t="e">
            <v>#N/A</v>
          </cell>
          <cell r="P185">
            <v>38.54</v>
          </cell>
          <cell r="Q185">
            <v>1.695813</v>
          </cell>
          <cell r="R185" t="e">
            <v>#N/A</v>
          </cell>
        </row>
        <row r="186">
          <cell r="A186">
            <v>39736</v>
          </cell>
          <cell r="B186">
            <v>39736</v>
          </cell>
          <cell r="C186" t="str">
            <v>Past</v>
          </cell>
          <cell r="D186">
            <v>35.130000000000003</v>
          </cell>
          <cell r="E186" t="e">
            <v>#N/A</v>
          </cell>
          <cell r="F186" t="e">
            <v>#N/A</v>
          </cell>
          <cell r="G186" t="e">
            <v>#N/A</v>
          </cell>
          <cell r="H186" t="e">
            <v>#N/A</v>
          </cell>
          <cell r="I186" t="e">
            <v>#N/A</v>
          </cell>
          <cell r="J186" t="e">
            <v>#N/A</v>
          </cell>
          <cell r="K186" t="e">
            <v>#N/A</v>
          </cell>
          <cell r="L186" t="e">
            <v>#N/A</v>
          </cell>
          <cell r="M186" t="e">
            <v>#N/A</v>
          </cell>
          <cell r="N186" t="e">
            <v>#N/A</v>
          </cell>
          <cell r="O186" t="e">
            <v>#N/A</v>
          </cell>
          <cell r="P186">
            <v>35.130000000000003</v>
          </cell>
          <cell r="Q186">
            <v>1.4248689999999999</v>
          </cell>
          <cell r="R186" t="e">
            <v>#N/A</v>
          </cell>
        </row>
        <row r="187">
          <cell r="A187">
            <v>39737</v>
          </cell>
          <cell r="B187">
            <v>39737</v>
          </cell>
          <cell r="C187" t="str">
            <v>Past</v>
          </cell>
          <cell r="D187">
            <v>37.380000000000003</v>
          </cell>
          <cell r="E187" t="e">
            <v>#N/A</v>
          </cell>
          <cell r="F187" t="e">
            <v>#N/A</v>
          </cell>
          <cell r="G187" t="e">
            <v>#N/A</v>
          </cell>
          <cell r="H187" t="e">
            <v>#N/A</v>
          </cell>
          <cell r="I187" t="e">
            <v>#N/A</v>
          </cell>
          <cell r="J187" t="e">
            <v>#N/A</v>
          </cell>
          <cell r="K187" t="e">
            <v>#N/A</v>
          </cell>
          <cell r="L187" t="e">
            <v>#N/A</v>
          </cell>
          <cell r="M187" t="e">
            <v>#N/A</v>
          </cell>
          <cell r="N187" t="e">
            <v>#N/A</v>
          </cell>
          <cell r="O187" t="e">
            <v>#N/A</v>
          </cell>
          <cell r="P187">
            <v>37.380000000000003</v>
          </cell>
          <cell r="Q187">
            <v>2.2855159999999999</v>
          </cell>
          <cell r="R187" t="e">
            <v>#N/A</v>
          </cell>
        </row>
        <row r="188">
          <cell r="A188">
            <v>39738</v>
          </cell>
          <cell r="B188">
            <v>39738</v>
          </cell>
          <cell r="C188" t="str">
            <v>Past</v>
          </cell>
          <cell r="D188">
            <v>35.53</v>
          </cell>
          <cell r="E188" t="e">
            <v>#N/A</v>
          </cell>
          <cell r="F188" t="e">
            <v>#N/A</v>
          </cell>
          <cell r="G188" t="e">
            <v>#N/A</v>
          </cell>
          <cell r="H188" t="e">
            <v>#N/A</v>
          </cell>
          <cell r="I188" t="e">
            <v>#N/A</v>
          </cell>
          <cell r="J188" t="e">
            <v>#N/A</v>
          </cell>
          <cell r="K188" t="e">
            <v>#N/A</v>
          </cell>
          <cell r="L188" t="e">
            <v>#N/A</v>
          </cell>
          <cell r="M188" t="e">
            <v>#N/A</v>
          </cell>
          <cell r="N188" t="e">
            <v>#N/A</v>
          </cell>
          <cell r="O188" t="e">
            <v>#N/A</v>
          </cell>
          <cell r="P188">
            <v>35.53</v>
          </cell>
          <cell r="Q188">
            <v>1.8588439999999999</v>
          </cell>
          <cell r="R188" t="e">
            <v>#N/A</v>
          </cell>
        </row>
        <row r="189">
          <cell r="A189">
            <v>39741</v>
          </cell>
          <cell r="B189">
            <v>39741</v>
          </cell>
          <cell r="C189" t="str">
            <v>Past</v>
          </cell>
          <cell r="D189">
            <v>37.19</v>
          </cell>
          <cell r="E189" t="e">
            <v>#N/A</v>
          </cell>
          <cell r="F189" t="e">
            <v>#N/A</v>
          </cell>
          <cell r="G189" t="e">
            <v>#N/A</v>
          </cell>
          <cell r="H189" t="e">
            <v>#N/A</v>
          </cell>
          <cell r="I189" t="e">
            <v>#N/A</v>
          </cell>
          <cell r="J189" t="e">
            <v>#N/A</v>
          </cell>
          <cell r="K189" t="e">
            <v>#N/A</v>
          </cell>
          <cell r="L189" t="e">
            <v>#N/A</v>
          </cell>
          <cell r="M189" t="e">
            <v>#N/A</v>
          </cell>
          <cell r="N189" t="e">
            <v>#N/A</v>
          </cell>
          <cell r="O189" t="e">
            <v>#N/A</v>
          </cell>
          <cell r="P189">
            <v>37.19</v>
          </cell>
          <cell r="Q189">
            <v>1.213749</v>
          </cell>
          <cell r="R189" t="e">
            <v>#N/A</v>
          </cell>
        </row>
        <row r="190">
          <cell r="A190">
            <v>39742</v>
          </cell>
          <cell r="B190">
            <v>39742</v>
          </cell>
          <cell r="C190" t="str">
            <v>Past</v>
          </cell>
          <cell r="D190">
            <v>35.68</v>
          </cell>
          <cell r="E190" t="e">
            <v>#N/A</v>
          </cell>
          <cell r="F190" t="e">
            <v>#N/A</v>
          </cell>
          <cell r="G190" t="e">
            <v>#N/A</v>
          </cell>
          <cell r="H190" t="e">
            <v>#N/A</v>
          </cell>
          <cell r="I190" t="e">
            <v>#N/A</v>
          </cell>
          <cell r="J190" t="e">
            <v>#N/A</v>
          </cell>
          <cell r="K190" t="e">
            <v>#N/A</v>
          </cell>
          <cell r="L190" t="e">
            <v>#N/A</v>
          </cell>
          <cell r="M190" t="e">
            <v>#N/A</v>
          </cell>
          <cell r="N190" t="e">
            <v>#N/A</v>
          </cell>
          <cell r="O190" t="e">
            <v>#N/A</v>
          </cell>
          <cell r="P190">
            <v>35.68</v>
          </cell>
          <cell r="Q190">
            <v>1.675327</v>
          </cell>
          <cell r="R190" t="e">
            <v>#N/A</v>
          </cell>
        </row>
        <row r="191">
          <cell r="A191">
            <v>39743</v>
          </cell>
          <cell r="B191">
            <v>39743</v>
          </cell>
          <cell r="C191" t="str">
            <v>Past</v>
          </cell>
          <cell r="D191">
            <v>34.159999999999997</v>
          </cell>
          <cell r="E191" t="e">
            <v>#N/A</v>
          </cell>
          <cell r="F191" t="e">
            <v>#N/A</v>
          </cell>
          <cell r="G191" t="e">
            <v>#N/A</v>
          </cell>
          <cell r="H191" t="e">
            <v>#N/A</v>
          </cell>
          <cell r="I191" t="e">
            <v>#N/A</v>
          </cell>
          <cell r="J191" t="e">
            <v>#N/A</v>
          </cell>
          <cell r="K191" t="e">
            <v>#N/A</v>
          </cell>
          <cell r="L191" t="e">
            <v>#N/A</v>
          </cell>
          <cell r="M191" t="e">
            <v>#N/A</v>
          </cell>
          <cell r="N191" t="e">
            <v>#N/A</v>
          </cell>
          <cell r="O191" t="e">
            <v>#N/A</v>
          </cell>
          <cell r="P191">
            <v>34.159999999999997</v>
          </cell>
          <cell r="Q191">
            <v>1.662995</v>
          </cell>
          <cell r="R191" t="e">
            <v>#N/A</v>
          </cell>
        </row>
        <row r="192">
          <cell r="A192">
            <v>39744</v>
          </cell>
          <cell r="B192">
            <v>39744</v>
          </cell>
          <cell r="C192" t="str">
            <v>Past</v>
          </cell>
          <cell r="D192">
            <v>34.53</v>
          </cell>
          <cell r="E192" t="e">
            <v>#N/A</v>
          </cell>
          <cell r="F192" t="e">
            <v>#N/A</v>
          </cell>
          <cell r="G192" t="e">
            <v>#N/A</v>
          </cell>
          <cell r="H192" t="e">
            <v>#N/A</v>
          </cell>
          <cell r="I192" t="e">
            <v>#N/A</v>
          </cell>
          <cell r="J192" t="e">
            <v>#N/A</v>
          </cell>
          <cell r="K192" t="e">
            <v>#N/A</v>
          </cell>
          <cell r="L192" t="e">
            <v>#N/A</v>
          </cell>
          <cell r="M192" t="e">
            <v>#N/A</v>
          </cell>
          <cell r="N192" t="e">
            <v>#N/A</v>
          </cell>
          <cell r="O192" t="e">
            <v>#N/A</v>
          </cell>
          <cell r="P192">
            <v>34.53</v>
          </cell>
          <cell r="Q192">
            <v>2.4999100000000003</v>
          </cell>
          <cell r="R192" t="e">
            <v>#N/A</v>
          </cell>
        </row>
        <row r="193">
          <cell r="A193">
            <v>39745</v>
          </cell>
          <cell r="B193">
            <v>39745</v>
          </cell>
          <cell r="C193" t="str">
            <v>Past</v>
          </cell>
          <cell r="D193">
            <v>33.54</v>
          </cell>
          <cell r="E193" t="e">
            <v>#N/A</v>
          </cell>
          <cell r="F193" t="e">
            <v>#N/A</v>
          </cell>
          <cell r="G193" t="e">
            <v>#N/A</v>
          </cell>
          <cell r="H193" t="e">
            <v>#N/A</v>
          </cell>
          <cell r="I193" t="e">
            <v>#N/A</v>
          </cell>
          <cell r="J193" t="e">
            <v>#N/A</v>
          </cell>
          <cell r="K193" t="e">
            <v>#N/A</v>
          </cell>
          <cell r="L193" t="e">
            <v>#N/A</v>
          </cell>
          <cell r="M193" t="e">
            <v>#N/A</v>
          </cell>
          <cell r="N193" t="e">
            <v>#N/A</v>
          </cell>
          <cell r="O193" t="e">
            <v>#N/A</v>
          </cell>
          <cell r="P193">
            <v>33.54</v>
          </cell>
          <cell r="Q193">
            <v>1.7542069999999998</v>
          </cell>
          <cell r="R193" t="e">
            <v>#N/A</v>
          </cell>
        </row>
        <row r="194">
          <cell r="A194">
            <v>39748</v>
          </cell>
          <cell r="B194">
            <v>39748</v>
          </cell>
          <cell r="C194" t="str">
            <v>Past</v>
          </cell>
          <cell r="D194">
            <v>31.59</v>
          </cell>
          <cell r="E194" t="e">
            <v>#N/A</v>
          </cell>
          <cell r="F194" t="e">
            <v>#N/A</v>
          </cell>
          <cell r="G194" t="e">
            <v>#N/A</v>
          </cell>
          <cell r="H194" t="e">
            <v>#N/A</v>
          </cell>
          <cell r="I194" t="e">
            <v>#N/A</v>
          </cell>
          <cell r="J194" t="e">
            <v>#N/A</v>
          </cell>
          <cell r="K194" t="e">
            <v>#N/A</v>
          </cell>
          <cell r="L194" t="e">
            <v>#N/A</v>
          </cell>
          <cell r="M194" t="e">
            <v>#N/A</v>
          </cell>
          <cell r="N194" t="e">
            <v>#N/A</v>
          </cell>
          <cell r="O194" t="e">
            <v>#N/A</v>
          </cell>
          <cell r="P194">
            <v>31.59</v>
          </cell>
          <cell r="Q194">
            <v>1.6595419999999999</v>
          </cell>
          <cell r="R194" t="e">
            <v>#N/A</v>
          </cell>
        </row>
        <row r="195">
          <cell r="A195">
            <v>39749</v>
          </cell>
          <cell r="B195">
            <v>39749</v>
          </cell>
          <cell r="C195" t="str">
            <v>Past</v>
          </cell>
          <cell r="D195">
            <v>35.54</v>
          </cell>
          <cell r="E195" t="e">
            <v>#N/A</v>
          </cell>
          <cell r="F195" t="e">
            <v>#N/A</v>
          </cell>
          <cell r="G195" t="e">
            <v>#N/A</v>
          </cell>
          <cell r="H195" t="e">
            <v>#N/A</v>
          </cell>
          <cell r="I195" t="e">
            <v>#N/A</v>
          </cell>
          <cell r="J195" t="e">
            <v>#N/A</v>
          </cell>
          <cell r="K195" t="e">
            <v>#N/A</v>
          </cell>
          <cell r="L195" t="e">
            <v>#N/A</v>
          </cell>
          <cell r="M195" t="e">
            <v>#N/A</v>
          </cell>
          <cell r="N195" t="e">
            <v>#N/A</v>
          </cell>
          <cell r="O195" t="e">
            <v>#N/A</v>
          </cell>
          <cell r="P195">
            <v>35.54</v>
          </cell>
          <cell r="Q195">
            <v>1.9081379999999999</v>
          </cell>
          <cell r="R195" t="e">
            <v>#N/A</v>
          </cell>
        </row>
        <row r="196">
          <cell r="A196">
            <v>39750</v>
          </cell>
          <cell r="B196">
            <v>39750</v>
          </cell>
          <cell r="C196" t="str">
            <v>Past</v>
          </cell>
          <cell r="D196">
            <v>35.42</v>
          </cell>
          <cell r="E196" t="e">
            <v>#N/A</v>
          </cell>
          <cell r="F196" t="e">
            <v>#N/A</v>
          </cell>
          <cell r="G196" t="e">
            <v>#N/A</v>
          </cell>
          <cell r="H196" t="e">
            <v>#N/A</v>
          </cell>
          <cell r="I196" t="e">
            <v>#N/A</v>
          </cell>
          <cell r="J196" t="e">
            <v>#N/A</v>
          </cell>
          <cell r="K196" t="e">
            <v>#N/A</v>
          </cell>
          <cell r="L196" t="e">
            <v>#N/A</v>
          </cell>
          <cell r="M196" t="e">
            <v>#N/A</v>
          </cell>
          <cell r="N196" t="e">
            <v>#N/A</v>
          </cell>
          <cell r="O196" t="e">
            <v>#N/A</v>
          </cell>
          <cell r="P196">
            <v>35.42</v>
          </cell>
          <cell r="Q196">
            <v>1.819475</v>
          </cell>
          <cell r="R196" t="e">
            <v>#N/A</v>
          </cell>
        </row>
        <row r="197">
          <cell r="A197">
            <v>39751</v>
          </cell>
          <cell r="B197">
            <v>39751</v>
          </cell>
          <cell r="C197" t="str">
            <v>Past</v>
          </cell>
          <cell r="D197">
            <v>36.07</v>
          </cell>
          <cell r="E197" t="e">
            <v>#N/A</v>
          </cell>
          <cell r="F197" t="e">
            <v>#N/A</v>
          </cell>
          <cell r="G197" t="e">
            <v>#N/A</v>
          </cell>
          <cell r="H197" t="e">
            <v>#N/A</v>
          </cell>
          <cell r="I197" t="e">
            <v>#N/A</v>
          </cell>
          <cell r="J197" t="e">
            <v>#N/A</v>
          </cell>
          <cell r="K197" t="e">
            <v>#N/A</v>
          </cell>
          <cell r="L197" t="e">
            <v>#N/A</v>
          </cell>
          <cell r="M197" t="e">
            <v>#N/A</v>
          </cell>
          <cell r="N197" t="e">
            <v>#N/A</v>
          </cell>
          <cell r="O197" t="e">
            <v>#N/A</v>
          </cell>
          <cell r="P197">
            <v>36.07</v>
          </cell>
          <cell r="Q197">
            <v>1.863904</v>
          </cell>
          <cell r="R197" t="e">
            <v>#N/A</v>
          </cell>
        </row>
        <row r="198">
          <cell r="A198">
            <v>39752</v>
          </cell>
          <cell r="B198">
            <v>39752</v>
          </cell>
          <cell r="C198" t="str">
            <v>Past</v>
          </cell>
          <cell r="D198">
            <v>37.130000000000003</v>
          </cell>
          <cell r="E198" t="e">
            <v>#N/A</v>
          </cell>
          <cell r="F198" t="e">
            <v>#N/A</v>
          </cell>
          <cell r="G198" t="e">
            <v>#N/A</v>
          </cell>
          <cell r="H198" t="e">
            <v>#N/A</v>
          </cell>
          <cell r="I198" t="e">
            <v>#N/A</v>
          </cell>
          <cell r="J198" t="e">
            <v>#N/A</v>
          </cell>
          <cell r="K198" t="e">
            <v>#N/A</v>
          </cell>
          <cell r="L198" t="e">
            <v>#N/A</v>
          </cell>
          <cell r="M198" t="e">
            <v>#N/A</v>
          </cell>
          <cell r="N198" t="e">
            <v>#N/A</v>
          </cell>
          <cell r="O198" t="e">
            <v>#N/A</v>
          </cell>
          <cell r="P198">
            <v>37.130000000000003</v>
          </cell>
          <cell r="Q198">
            <v>1.4296949999999999</v>
          </cell>
          <cell r="R198" t="e">
            <v>#N/A</v>
          </cell>
        </row>
        <row r="199">
          <cell r="A199">
            <v>39755</v>
          </cell>
          <cell r="B199">
            <v>39755</v>
          </cell>
          <cell r="C199" t="str">
            <v>Past</v>
          </cell>
          <cell r="D199">
            <v>37.83</v>
          </cell>
          <cell r="E199" t="e">
            <v>#N/A</v>
          </cell>
          <cell r="F199" t="e">
            <v>#N/A</v>
          </cell>
          <cell r="G199" t="e">
            <v>#N/A</v>
          </cell>
          <cell r="H199" t="e">
            <v>#N/A</v>
          </cell>
          <cell r="I199" t="e">
            <v>#N/A</v>
          </cell>
          <cell r="J199" t="e">
            <v>#N/A</v>
          </cell>
          <cell r="K199" t="e">
            <v>#N/A</v>
          </cell>
          <cell r="L199" t="e">
            <v>#N/A</v>
          </cell>
          <cell r="M199" t="e">
            <v>#N/A</v>
          </cell>
          <cell r="N199" t="e">
            <v>#N/A</v>
          </cell>
          <cell r="O199" t="e">
            <v>#N/A</v>
          </cell>
          <cell r="P199">
            <v>37.83</v>
          </cell>
          <cell r="Q199">
            <v>1.6037669999999999</v>
          </cell>
          <cell r="R199" t="e">
            <v>#N/A</v>
          </cell>
        </row>
        <row r="200">
          <cell r="A200">
            <v>39756</v>
          </cell>
          <cell r="B200">
            <v>39756</v>
          </cell>
          <cell r="C200" t="str">
            <v>Past</v>
          </cell>
          <cell r="D200">
            <v>38.729999999999997</v>
          </cell>
          <cell r="E200" t="e">
            <v>#N/A</v>
          </cell>
          <cell r="F200" t="e">
            <v>#N/A</v>
          </cell>
          <cell r="G200" t="e">
            <v>#N/A</v>
          </cell>
          <cell r="H200" t="e">
            <v>#N/A</v>
          </cell>
          <cell r="I200" t="e">
            <v>#N/A</v>
          </cell>
          <cell r="J200" t="e">
            <v>#N/A</v>
          </cell>
          <cell r="K200" t="e">
            <v>#N/A</v>
          </cell>
          <cell r="L200" t="e">
            <v>#N/A</v>
          </cell>
          <cell r="M200" t="e">
            <v>#N/A</v>
          </cell>
          <cell r="N200" t="e">
            <v>#N/A</v>
          </cell>
          <cell r="O200" t="e">
            <v>#N/A</v>
          </cell>
          <cell r="P200">
            <v>38.729999999999997</v>
          </cell>
          <cell r="Q200">
            <v>1.6916800000000001</v>
          </cell>
          <cell r="R200" t="e">
            <v>#N/A</v>
          </cell>
        </row>
        <row r="201">
          <cell r="A201">
            <v>39757</v>
          </cell>
          <cell r="B201">
            <v>39757</v>
          </cell>
          <cell r="C201" t="str">
            <v>Past</v>
          </cell>
          <cell r="D201">
            <v>36.36</v>
          </cell>
          <cell r="E201" t="e">
            <v>#N/A</v>
          </cell>
          <cell r="F201" t="e">
            <v>#N/A</v>
          </cell>
          <cell r="G201" t="e">
            <v>#N/A</v>
          </cell>
          <cell r="H201" t="e">
            <v>#N/A</v>
          </cell>
          <cell r="I201" t="e">
            <v>#N/A</v>
          </cell>
          <cell r="J201" t="e">
            <v>#N/A</v>
          </cell>
          <cell r="K201" t="e">
            <v>#N/A</v>
          </cell>
          <cell r="L201" t="e">
            <v>#N/A</v>
          </cell>
          <cell r="M201" t="e">
            <v>#N/A</v>
          </cell>
          <cell r="N201" t="e">
            <v>#N/A</v>
          </cell>
          <cell r="O201" t="e">
            <v>#N/A</v>
          </cell>
          <cell r="P201">
            <v>36.36</v>
          </cell>
          <cell r="Q201">
            <v>1.1687969999999999</v>
          </cell>
          <cell r="R201" t="e">
            <v>#N/A</v>
          </cell>
        </row>
        <row r="202">
          <cell r="A202">
            <v>39758</v>
          </cell>
          <cell r="B202">
            <v>39758</v>
          </cell>
          <cell r="C202" t="str">
            <v>Past</v>
          </cell>
          <cell r="D202">
            <v>33.92</v>
          </cell>
          <cell r="E202" t="e">
            <v>#N/A</v>
          </cell>
          <cell r="F202" t="e">
            <v>#N/A</v>
          </cell>
          <cell r="G202" t="e">
            <v>#N/A</v>
          </cell>
          <cell r="H202" t="e">
            <v>#N/A</v>
          </cell>
          <cell r="I202" t="e">
            <v>#N/A</v>
          </cell>
          <cell r="J202" t="e">
            <v>#N/A</v>
          </cell>
          <cell r="K202" t="e">
            <v>#N/A</v>
          </cell>
          <cell r="L202" t="e">
            <v>#N/A</v>
          </cell>
          <cell r="M202" t="e">
            <v>#N/A</v>
          </cell>
          <cell r="N202" t="e">
            <v>#N/A</v>
          </cell>
          <cell r="O202" t="e">
            <v>#N/A</v>
          </cell>
          <cell r="P202">
            <v>33.92</v>
          </cell>
          <cell r="Q202">
            <v>1.369513</v>
          </cell>
          <cell r="R202" t="e">
            <v>#N/A</v>
          </cell>
        </row>
        <row r="203">
          <cell r="A203">
            <v>39759</v>
          </cell>
          <cell r="B203">
            <v>39759</v>
          </cell>
          <cell r="C203" t="str">
            <v>Past</v>
          </cell>
          <cell r="D203">
            <v>35.090000000000003</v>
          </cell>
          <cell r="E203" t="e">
            <v>#N/A</v>
          </cell>
          <cell r="F203" t="e">
            <v>#N/A</v>
          </cell>
          <cell r="G203" t="e">
            <v>#N/A</v>
          </cell>
          <cell r="H203" t="e">
            <v>#N/A</v>
          </cell>
          <cell r="I203" t="e">
            <v>#N/A</v>
          </cell>
          <cell r="J203" t="e">
            <v>#N/A</v>
          </cell>
          <cell r="K203" t="e">
            <v>#N/A</v>
          </cell>
          <cell r="L203" t="e">
            <v>#N/A</v>
          </cell>
          <cell r="M203" t="e">
            <v>#N/A</v>
          </cell>
          <cell r="N203" t="e">
            <v>#N/A</v>
          </cell>
          <cell r="O203" t="e">
            <v>#N/A</v>
          </cell>
          <cell r="P203">
            <v>35.090000000000003</v>
          </cell>
          <cell r="Q203">
            <v>0.88411099999999998</v>
          </cell>
          <cell r="R203" t="e">
            <v>#N/A</v>
          </cell>
        </row>
        <row r="204">
          <cell r="A204">
            <v>39762</v>
          </cell>
          <cell r="B204">
            <v>39762</v>
          </cell>
          <cell r="C204" t="str">
            <v>Past</v>
          </cell>
          <cell r="D204">
            <v>34.71</v>
          </cell>
          <cell r="E204" t="e">
            <v>#N/A</v>
          </cell>
          <cell r="F204" t="e">
            <v>#N/A</v>
          </cell>
          <cell r="G204" t="e">
            <v>#N/A</v>
          </cell>
          <cell r="H204" t="e">
            <v>#N/A</v>
          </cell>
          <cell r="I204" t="e">
            <v>#N/A</v>
          </cell>
          <cell r="J204" t="e">
            <v>#N/A</v>
          </cell>
          <cell r="K204" t="e">
            <v>#N/A</v>
          </cell>
          <cell r="L204" t="e">
            <v>#N/A</v>
          </cell>
          <cell r="M204" t="e">
            <v>#N/A</v>
          </cell>
          <cell r="N204" t="e">
            <v>#N/A</v>
          </cell>
          <cell r="O204" t="e">
            <v>#N/A</v>
          </cell>
          <cell r="P204">
            <v>34.71</v>
          </cell>
          <cell r="Q204">
            <v>0.85900899999999991</v>
          </cell>
          <cell r="R204" t="e">
            <v>#N/A</v>
          </cell>
        </row>
        <row r="205">
          <cell r="A205">
            <v>39763</v>
          </cell>
          <cell r="B205">
            <v>39763</v>
          </cell>
          <cell r="C205" t="str">
            <v>Past</v>
          </cell>
          <cell r="D205">
            <v>33.549999999999997</v>
          </cell>
          <cell r="E205" t="e">
            <v>#N/A</v>
          </cell>
          <cell r="F205" t="e">
            <v>#N/A</v>
          </cell>
          <cell r="G205" t="e">
            <v>#N/A</v>
          </cell>
          <cell r="H205" t="e">
            <v>#N/A</v>
          </cell>
          <cell r="I205" t="e">
            <v>#N/A</v>
          </cell>
          <cell r="J205" t="e">
            <v>#N/A</v>
          </cell>
          <cell r="K205" t="e">
            <v>#N/A</v>
          </cell>
          <cell r="L205" t="e">
            <v>#N/A</v>
          </cell>
          <cell r="M205" t="e">
            <v>#N/A</v>
          </cell>
          <cell r="N205" t="e">
            <v>#N/A</v>
          </cell>
          <cell r="O205" t="e">
            <v>#N/A</v>
          </cell>
          <cell r="P205">
            <v>33.549999999999997</v>
          </cell>
          <cell r="Q205">
            <v>0.76389099999999999</v>
          </cell>
          <cell r="R205" t="e">
            <v>#N/A</v>
          </cell>
        </row>
        <row r="206">
          <cell r="A206">
            <v>39764</v>
          </cell>
          <cell r="B206">
            <v>39764</v>
          </cell>
          <cell r="C206" t="str">
            <v>Past</v>
          </cell>
          <cell r="D206">
            <v>32.090000000000003</v>
          </cell>
          <cell r="E206" t="e">
            <v>#N/A</v>
          </cell>
          <cell r="F206" t="e">
            <v>#N/A</v>
          </cell>
          <cell r="G206" t="e">
            <v>#N/A</v>
          </cell>
          <cell r="H206" t="e">
            <v>#N/A</v>
          </cell>
          <cell r="I206" t="e">
            <v>#N/A</v>
          </cell>
          <cell r="J206" t="e">
            <v>#N/A</v>
          </cell>
          <cell r="K206" t="e">
            <v>#N/A</v>
          </cell>
          <cell r="L206" t="e">
            <v>#N/A</v>
          </cell>
          <cell r="M206" t="e">
            <v>#N/A</v>
          </cell>
          <cell r="N206" t="e">
            <v>#N/A</v>
          </cell>
          <cell r="O206" t="e">
            <v>#N/A</v>
          </cell>
          <cell r="P206">
            <v>32.090000000000003</v>
          </cell>
          <cell r="Q206">
            <v>1.303518</v>
          </cell>
          <cell r="R206" t="e">
            <v>#N/A</v>
          </cell>
        </row>
        <row r="207">
          <cell r="A207">
            <v>39765</v>
          </cell>
          <cell r="B207">
            <v>39765</v>
          </cell>
          <cell r="C207" t="str">
            <v>Past</v>
          </cell>
          <cell r="D207">
            <v>34.17</v>
          </cell>
          <cell r="E207" t="e">
            <v>#N/A</v>
          </cell>
          <cell r="F207" t="e">
            <v>#N/A</v>
          </cell>
          <cell r="G207" t="e">
            <v>#N/A</v>
          </cell>
          <cell r="H207" t="e">
            <v>#N/A</v>
          </cell>
          <cell r="I207" t="e">
            <v>#N/A</v>
          </cell>
          <cell r="J207" t="e">
            <v>#N/A</v>
          </cell>
          <cell r="K207" t="e">
            <v>#N/A</v>
          </cell>
          <cell r="L207" t="e">
            <v>#N/A</v>
          </cell>
          <cell r="M207" t="e">
            <v>#N/A</v>
          </cell>
          <cell r="N207" t="e">
            <v>#N/A</v>
          </cell>
          <cell r="O207" t="e">
            <v>#N/A</v>
          </cell>
          <cell r="P207">
            <v>34.17</v>
          </cell>
          <cell r="Q207">
            <v>1.3944500000000002</v>
          </cell>
          <cell r="R207" t="e">
            <v>#N/A</v>
          </cell>
        </row>
        <row r="208">
          <cell r="A208">
            <v>39766</v>
          </cell>
          <cell r="B208">
            <v>39766</v>
          </cell>
          <cell r="C208" t="str">
            <v>Past</v>
          </cell>
          <cell r="D208">
            <v>33.07</v>
          </cell>
          <cell r="E208" t="e">
            <v>#N/A</v>
          </cell>
          <cell r="F208" t="e">
            <v>#N/A</v>
          </cell>
          <cell r="G208" t="e">
            <v>#N/A</v>
          </cell>
          <cell r="H208" t="e">
            <v>#N/A</v>
          </cell>
          <cell r="I208" t="e">
            <v>#N/A</v>
          </cell>
          <cell r="J208" t="e">
            <v>#N/A</v>
          </cell>
          <cell r="K208" t="e">
            <v>#N/A</v>
          </cell>
          <cell r="L208" t="e">
            <v>#N/A</v>
          </cell>
          <cell r="M208" t="e">
            <v>#N/A</v>
          </cell>
          <cell r="N208" t="e">
            <v>#N/A</v>
          </cell>
          <cell r="O208" t="e">
            <v>#N/A</v>
          </cell>
          <cell r="P208">
            <v>33.07</v>
          </cell>
          <cell r="Q208">
            <v>1.0746549999999999</v>
          </cell>
          <cell r="R208" t="e">
            <v>#N/A</v>
          </cell>
        </row>
        <row r="209">
          <cell r="A209">
            <v>39769</v>
          </cell>
          <cell r="B209">
            <v>39769</v>
          </cell>
          <cell r="C209" t="str">
            <v>Past</v>
          </cell>
          <cell r="D209">
            <v>31.52</v>
          </cell>
          <cell r="E209" t="e">
            <v>#N/A</v>
          </cell>
          <cell r="F209" t="e">
            <v>#N/A</v>
          </cell>
          <cell r="G209" t="e">
            <v>#N/A</v>
          </cell>
          <cell r="H209" t="e">
            <v>#N/A</v>
          </cell>
          <cell r="I209" t="e">
            <v>#N/A</v>
          </cell>
          <cell r="J209" t="e">
            <v>#N/A</v>
          </cell>
          <cell r="K209" t="e">
            <v>#N/A</v>
          </cell>
          <cell r="L209" t="e">
            <v>#N/A</v>
          </cell>
          <cell r="M209" t="e">
            <v>#N/A</v>
          </cell>
          <cell r="N209" t="e">
            <v>#N/A</v>
          </cell>
          <cell r="O209" t="e">
            <v>#N/A</v>
          </cell>
          <cell r="P209">
            <v>31.52</v>
          </cell>
          <cell r="Q209">
            <v>1.4629829999999999</v>
          </cell>
          <cell r="R209" t="e">
            <v>#N/A</v>
          </cell>
        </row>
        <row r="210">
          <cell r="A210">
            <v>39770</v>
          </cell>
          <cell r="B210">
            <v>39770</v>
          </cell>
          <cell r="C210" t="str">
            <v>Past</v>
          </cell>
          <cell r="D210">
            <v>31.31</v>
          </cell>
          <cell r="E210" t="e">
            <v>#N/A</v>
          </cell>
          <cell r="F210" t="e">
            <v>#N/A</v>
          </cell>
          <cell r="G210" t="e">
            <v>#N/A</v>
          </cell>
          <cell r="H210" t="e">
            <v>#N/A</v>
          </cell>
          <cell r="I210" t="e">
            <v>#N/A</v>
          </cell>
          <cell r="J210" t="e">
            <v>#N/A</v>
          </cell>
          <cell r="K210" t="e">
            <v>#N/A</v>
          </cell>
          <cell r="L210" t="e">
            <v>#N/A</v>
          </cell>
          <cell r="M210" t="e">
            <v>#N/A</v>
          </cell>
          <cell r="N210" t="e">
            <v>#N/A</v>
          </cell>
          <cell r="O210" t="e">
            <v>#N/A</v>
          </cell>
          <cell r="P210">
            <v>31.31</v>
          </cell>
          <cell r="Q210">
            <v>1.3405800000000001</v>
          </cell>
          <cell r="R210" t="e">
            <v>#N/A</v>
          </cell>
        </row>
        <row r="211">
          <cell r="A211">
            <v>39771</v>
          </cell>
          <cell r="B211">
            <v>39771</v>
          </cell>
          <cell r="C211" t="str">
            <v>Past</v>
          </cell>
          <cell r="D211">
            <v>29.32</v>
          </cell>
          <cell r="E211" t="e">
            <v>#N/A</v>
          </cell>
          <cell r="F211" t="e">
            <v>#N/A</v>
          </cell>
          <cell r="G211" t="e">
            <v>#N/A</v>
          </cell>
          <cell r="H211" t="e">
            <v>#N/A</v>
          </cell>
          <cell r="I211" t="e">
            <v>#N/A</v>
          </cell>
          <cell r="J211" t="e">
            <v>#N/A</v>
          </cell>
          <cell r="K211" t="e">
            <v>#N/A</v>
          </cell>
          <cell r="L211" t="e">
            <v>#N/A</v>
          </cell>
          <cell r="M211" t="e">
            <v>#N/A</v>
          </cell>
          <cell r="N211" t="e">
            <v>#N/A</v>
          </cell>
          <cell r="O211" t="e">
            <v>#N/A</v>
          </cell>
          <cell r="P211">
            <v>29.32</v>
          </cell>
          <cell r="Q211">
            <v>1.274114</v>
          </cell>
          <cell r="R211" t="e">
            <v>#N/A</v>
          </cell>
        </row>
        <row r="212">
          <cell r="A212">
            <v>39772</v>
          </cell>
          <cell r="B212">
            <v>39772</v>
          </cell>
          <cell r="C212" t="str">
            <v>Past</v>
          </cell>
          <cell r="D212">
            <v>28.32</v>
          </cell>
          <cell r="E212" t="e">
            <v>#N/A</v>
          </cell>
          <cell r="F212" t="e">
            <v>#N/A</v>
          </cell>
          <cell r="G212" t="e">
            <v>#N/A</v>
          </cell>
          <cell r="H212" t="e">
            <v>#N/A</v>
          </cell>
          <cell r="I212" t="e">
            <v>#N/A</v>
          </cell>
          <cell r="J212" t="e">
            <v>#N/A</v>
          </cell>
          <cell r="K212" t="e">
            <v>#N/A</v>
          </cell>
          <cell r="L212" t="e">
            <v>#N/A</v>
          </cell>
          <cell r="M212" t="e">
            <v>#N/A</v>
          </cell>
          <cell r="N212" t="e">
            <v>#N/A</v>
          </cell>
          <cell r="O212" t="e">
            <v>#N/A</v>
          </cell>
          <cell r="P212">
            <v>28.32</v>
          </cell>
          <cell r="Q212">
            <v>1.9435449999999999</v>
          </cell>
          <cell r="R212" t="e">
            <v>#N/A</v>
          </cell>
        </row>
        <row r="213">
          <cell r="A213">
            <v>39773</v>
          </cell>
          <cell r="B213">
            <v>39773</v>
          </cell>
          <cell r="C213" t="str">
            <v>Past</v>
          </cell>
          <cell r="D213">
            <v>30.39</v>
          </cell>
          <cell r="E213" t="e">
            <v>#N/A</v>
          </cell>
          <cell r="F213" t="e">
            <v>#N/A</v>
          </cell>
          <cell r="G213" t="e">
            <v>#N/A</v>
          </cell>
          <cell r="H213" t="e">
            <v>#N/A</v>
          </cell>
          <cell r="I213" t="e">
            <v>#N/A</v>
          </cell>
          <cell r="J213" t="e">
            <v>#N/A</v>
          </cell>
          <cell r="K213" t="e">
            <v>#N/A</v>
          </cell>
          <cell r="L213" t="e">
            <v>#N/A</v>
          </cell>
          <cell r="M213" t="e">
            <v>#N/A</v>
          </cell>
          <cell r="N213" t="e">
            <v>#N/A</v>
          </cell>
          <cell r="O213" t="e">
            <v>#N/A</v>
          </cell>
          <cell r="P213">
            <v>30.39</v>
          </cell>
          <cell r="Q213">
            <v>1.4824329999999999</v>
          </cell>
          <cell r="R213" t="e">
            <v>#N/A</v>
          </cell>
        </row>
        <row r="214">
          <cell r="A214">
            <v>39776</v>
          </cell>
          <cell r="B214">
            <v>39776</v>
          </cell>
          <cell r="C214" t="str">
            <v>Past</v>
          </cell>
          <cell r="D214">
            <v>31.84</v>
          </cell>
          <cell r="E214" t="e">
            <v>#N/A</v>
          </cell>
          <cell r="F214" t="e">
            <v>#N/A</v>
          </cell>
          <cell r="G214" t="e">
            <v>#N/A</v>
          </cell>
          <cell r="H214" t="e">
            <v>#N/A</v>
          </cell>
          <cell r="I214" t="e">
            <v>#N/A</v>
          </cell>
          <cell r="J214" t="e">
            <v>#N/A</v>
          </cell>
          <cell r="K214" t="e">
            <v>#N/A</v>
          </cell>
          <cell r="L214" t="e">
            <v>#N/A</v>
          </cell>
          <cell r="M214" t="e">
            <v>#N/A</v>
          </cell>
          <cell r="N214" t="e">
            <v>#N/A</v>
          </cell>
          <cell r="O214" t="e">
            <v>#N/A</v>
          </cell>
          <cell r="P214">
            <v>31.84</v>
          </cell>
          <cell r="Q214">
            <v>1.4808139999999999</v>
          </cell>
          <cell r="R214" t="e">
            <v>#N/A</v>
          </cell>
        </row>
        <row r="215">
          <cell r="A215">
            <v>39777</v>
          </cell>
          <cell r="B215">
            <v>39777</v>
          </cell>
          <cell r="C215" t="str">
            <v>Past</v>
          </cell>
          <cell r="D215">
            <v>31.97</v>
          </cell>
          <cell r="E215" t="e">
            <v>#N/A</v>
          </cell>
          <cell r="F215" t="e">
            <v>#N/A</v>
          </cell>
          <cell r="G215" t="e">
            <v>#N/A</v>
          </cell>
          <cell r="H215" t="e">
            <v>#N/A</v>
          </cell>
          <cell r="I215" t="e">
            <v>#N/A</v>
          </cell>
          <cell r="J215" t="e">
            <v>#N/A</v>
          </cell>
          <cell r="K215" t="e">
            <v>#N/A</v>
          </cell>
          <cell r="L215" t="e">
            <v>#N/A</v>
          </cell>
          <cell r="M215" t="e">
            <v>#N/A</v>
          </cell>
          <cell r="N215" t="e">
            <v>#N/A</v>
          </cell>
          <cell r="O215" t="e">
            <v>#N/A</v>
          </cell>
          <cell r="P215">
            <v>31.97</v>
          </cell>
          <cell r="Q215">
            <v>1.2708930000000001</v>
          </cell>
          <cell r="R215" t="e">
            <v>#N/A</v>
          </cell>
        </row>
        <row r="216">
          <cell r="A216">
            <v>39778</v>
          </cell>
          <cell r="B216">
            <v>39778</v>
          </cell>
          <cell r="C216" t="str">
            <v>Past</v>
          </cell>
          <cell r="D216">
            <v>33.14</v>
          </cell>
          <cell r="E216" t="e">
            <v>#N/A</v>
          </cell>
          <cell r="F216" t="e">
            <v>#N/A</v>
          </cell>
          <cell r="G216" t="e">
            <v>#N/A</v>
          </cell>
          <cell r="H216" t="e">
            <v>#N/A</v>
          </cell>
          <cell r="I216" t="e">
            <v>#N/A</v>
          </cell>
          <cell r="J216" t="e">
            <v>#N/A</v>
          </cell>
          <cell r="K216" t="e">
            <v>#N/A</v>
          </cell>
          <cell r="L216" t="e">
            <v>#N/A</v>
          </cell>
          <cell r="M216" t="e">
            <v>#N/A</v>
          </cell>
          <cell r="N216" t="e">
            <v>#N/A</v>
          </cell>
          <cell r="O216" t="e">
            <v>#N/A</v>
          </cell>
          <cell r="P216">
            <v>33.14</v>
          </cell>
          <cell r="Q216">
            <v>1.2845769999999999</v>
          </cell>
          <cell r="R216" t="e">
            <v>#N/A</v>
          </cell>
        </row>
        <row r="217">
          <cell r="A217">
            <v>39780</v>
          </cell>
          <cell r="B217">
            <v>39780</v>
          </cell>
          <cell r="C217" t="str">
            <v>Past</v>
          </cell>
          <cell r="D217">
            <v>34.08</v>
          </cell>
          <cell r="E217" t="e">
            <v>#N/A</v>
          </cell>
          <cell r="F217" t="e">
            <v>#N/A</v>
          </cell>
          <cell r="G217" t="e">
            <v>#N/A</v>
          </cell>
          <cell r="H217" t="e">
            <v>#N/A</v>
          </cell>
          <cell r="I217" t="e">
            <v>#N/A</v>
          </cell>
          <cell r="J217" t="e">
            <v>#N/A</v>
          </cell>
          <cell r="K217" t="e">
            <v>#N/A</v>
          </cell>
          <cell r="L217" t="e">
            <v>#N/A</v>
          </cell>
          <cell r="M217" t="e">
            <v>#N/A</v>
          </cell>
          <cell r="N217" t="e">
            <v>#N/A</v>
          </cell>
          <cell r="O217" t="e">
            <v>#N/A</v>
          </cell>
          <cell r="P217">
            <v>34.08</v>
          </cell>
          <cell r="Q217">
            <v>0.46989499999999995</v>
          </cell>
          <cell r="R217" t="e">
            <v>#N/A</v>
          </cell>
        </row>
        <row r="218">
          <cell r="A218">
            <v>39783</v>
          </cell>
          <cell r="B218">
            <v>39783</v>
          </cell>
          <cell r="C218" t="str">
            <v>Past</v>
          </cell>
          <cell r="D218">
            <v>31.63</v>
          </cell>
          <cell r="E218" t="e">
            <v>#N/A</v>
          </cell>
          <cell r="F218" t="e">
            <v>#N/A</v>
          </cell>
          <cell r="G218" t="e">
            <v>#N/A</v>
          </cell>
          <cell r="H218" t="e">
            <v>#N/A</v>
          </cell>
          <cell r="I218" t="e">
            <v>#N/A</v>
          </cell>
          <cell r="J218" t="e">
            <v>#N/A</v>
          </cell>
          <cell r="K218" t="e">
            <v>#N/A</v>
          </cell>
          <cell r="L218" t="e">
            <v>#N/A</v>
          </cell>
          <cell r="M218" t="e">
            <v>#N/A</v>
          </cell>
          <cell r="N218" t="e">
            <v>#N/A</v>
          </cell>
          <cell r="O218" t="e">
            <v>#N/A</v>
          </cell>
          <cell r="P218">
            <v>31.63</v>
          </cell>
          <cell r="Q218">
            <v>1.3593700000000002</v>
          </cell>
          <cell r="R218" t="e">
            <v>#N/A</v>
          </cell>
        </row>
        <row r="219">
          <cell r="A219">
            <v>39784</v>
          </cell>
          <cell r="B219">
            <v>39784</v>
          </cell>
          <cell r="C219" t="str">
            <v>Past</v>
          </cell>
          <cell r="D219">
            <v>32.75</v>
          </cell>
          <cell r="E219" t="e">
            <v>#N/A</v>
          </cell>
          <cell r="F219" t="e">
            <v>#N/A</v>
          </cell>
          <cell r="G219" t="e">
            <v>#N/A</v>
          </cell>
          <cell r="H219" t="e">
            <v>#N/A</v>
          </cell>
          <cell r="I219" t="e">
            <v>#N/A</v>
          </cell>
          <cell r="J219" t="e">
            <v>#N/A</v>
          </cell>
          <cell r="K219" t="e">
            <v>#N/A</v>
          </cell>
          <cell r="L219" t="e">
            <v>#N/A</v>
          </cell>
          <cell r="M219" t="e">
            <v>#N/A</v>
          </cell>
          <cell r="N219" t="e">
            <v>#N/A</v>
          </cell>
          <cell r="O219" t="e">
            <v>#N/A</v>
          </cell>
          <cell r="P219">
            <v>32.75</v>
          </cell>
          <cell r="Q219">
            <v>0.95006000000000013</v>
          </cell>
          <cell r="R219" t="e">
            <v>#N/A</v>
          </cell>
        </row>
        <row r="220">
          <cell r="A220">
            <v>39785</v>
          </cell>
          <cell r="B220">
            <v>39785</v>
          </cell>
          <cell r="C220" t="str">
            <v>Past</v>
          </cell>
          <cell r="D220">
            <v>33.380000000000003</v>
          </cell>
          <cell r="E220" t="e">
            <v>#N/A</v>
          </cell>
          <cell r="F220" t="e">
            <v>#N/A</v>
          </cell>
          <cell r="G220" t="e">
            <v>#N/A</v>
          </cell>
          <cell r="H220" t="e">
            <v>#N/A</v>
          </cell>
          <cell r="I220" t="e">
            <v>#N/A</v>
          </cell>
          <cell r="J220" t="e">
            <v>#N/A</v>
          </cell>
          <cell r="K220" t="e">
            <v>#N/A</v>
          </cell>
          <cell r="L220" t="e">
            <v>#N/A</v>
          </cell>
          <cell r="M220" t="e">
            <v>#N/A</v>
          </cell>
          <cell r="N220" t="e">
            <v>#N/A</v>
          </cell>
          <cell r="O220" t="e">
            <v>#N/A</v>
          </cell>
          <cell r="P220">
            <v>33.380000000000003</v>
          </cell>
          <cell r="Q220">
            <v>1.253403</v>
          </cell>
          <cell r="R220" t="e">
            <v>#N/A</v>
          </cell>
        </row>
        <row r="221">
          <cell r="A221">
            <v>39786</v>
          </cell>
          <cell r="B221">
            <v>39786</v>
          </cell>
          <cell r="C221" t="str">
            <v>Past</v>
          </cell>
          <cell r="D221">
            <v>32.08</v>
          </cell>
          <cell r="E221" t="e">
            <v>#N/A</v>
          </cell>
          <cell r="F221" t="e">
            <v>#N/A</v>
          </cell>
          <cell r="G221" t="e">
            <v>#N/A</v>
          </cell>
          <cell r="H221" t="e">
            <v>#N/A</v>
          </cell>
          <cell r="I221" t="e">
            <v>#N/A</v>
          </cell>
          <cell r="J221" t="e">
            <v>#N/A</v>
          </cell>
          <cell r="K221" t="e">
            <v>#N/A</v>
          </cell>
          <cell r="L221" t="e">
            <v>#N/A</v>
          </cell>
          <cell r="M221" t="e">
            <v>#N/A</v>
          </cell>
          <cell r="N221" t="e">
            <v>#N/A</v>
          </cell>
          <cell r="O221" t="e">
            <v>#N/A</v>
          </cell>
          <cell r="P221">
            <v>32.08</v>
          </cell>
          <cell r="Q221">
            <v>0.97640000000000005</v>
          </cell>
          <cell r="R221" t="e">
            <v>#N/A</v>
          </cell>
        </row>
        <row r="222">
          <cell r="A222">
            <v>39787</v>
          </cell>
          <cell r="B222">
            <v>39787</v>
          </cell>
          <cell r="C222" t="str">
            <v>Past</v>
          </cell>
          <cell r="D222">
            <v>33.1</v>
          </cell>
          <cell r="E222" t="e">
            <v>#N/A</v>
          </cell>
          <cell r="F222" t="e">
            <v>#N/A</v>
          </cell>
          <cell r="G222" t="e">
            <v>#N/A</v>
          </cell>
          <cell r="H222" t="e">
            <v>#N/A</v>
          </cell>
          <cell r="I222" t="e">
            <v>#N/A</v>
          </cell>
          <cell r="J222" t="e">
            <v>#N/A</v>
          </cell>
          <cell r="K222" t="e">
            <v>#N/A</v>
          </cell>
          <cell r="L222" t="e">
            <v>#N/A</v>
          </cell>
          <cell r="M222" t="e">
            <v>#N/A</v>
          </cell>
          <cell r="N222" t="e">
            <v>#N/A</v>
          </cell>
          <cell r="O222" t="e">
            <v>#N/A</v>
          </cell>
          <cell r="P222">
            <v>33.1</v>
          </cell>
          <cell r="Q222">
            <v>1.317288</v>
          </cell>
          <cell r="R222" t="e">
            <v>#N/A</v>
          </cell>
        </row>
        <row r="223">
          <cell r="A223">
            <v>39790</v>
          </cell>
          <cell r="B223">
            <v>39790</v>
          </cell>
          <cell r="C223" t="str">
            <v>Past</v>
          </cell>
          <cell r="D223">
            <v>34.880000000000003</v>
          </cell>
          <cell r="E223" t="e">
            <v>#N/A</v>
          </cell>
          <cell r="F223" t="e">
            <v>#N/A</v>
          </cell>
          <cell r="G223" t="e">
            <v>#N/A</v>
          </cell>
          <cell r="H223" t="e">
            <v>#N/A</v>
          </cell>
          <cell r="I223" t="e">
            <v>#N/A</v>
          </cell>
          <cell r="J223" t="e">
            <v>#N/A</v>
          </cell>
          <cell r="K223" t="e">
            <v>#N/A</v>
          </cell>
          <cell r="L223" t="e">
            <v>#N/A</v>
          </cell>
          <cell r="M223" t="e">
            <v>#N/A</v>
          </cell>
          <cell r="N223" t="e">
            <v>#N/A</v>
          </cell>
          <cell r="O223" t="e">
            <v>#N/A</v>
          </cell>
          <cell r="P223">
            <v>34.880000000000003</v>
          </cell>
          <cell r="Q223">
            <v>1.147405</v>
          </cell>
          <cell r="R223" t="e">
            <v>#N/A</v>
          </cell>
        </row>
        <row r="224">
          <cell r="A224">
            <v>39791</v>
          </cell>
          <cell r="B224">
            <v>39791</v>
          </cell>
          <cell r="C224" t="str">
            <v>Past</v>
          </cell>
          <cell r="D224">
            <v>34.68</v>
          </cell>
          <cell r="E224" t="e">
            <v>#N/A</v>
          </cell>
          <cell r="F224" t="e">
            <v>#N/A</v>
          </cell>
          <cell r="G224" t="e">
            <v>#N/A</v>
          </cell>
          <cell r="H224" t="e">
            <v>#N/A</v>
          </cell>
          <cell r="I224" t="e">
            <v>#N/A</v>
          </cell>
          <cell r="J224" t="e">
            <v>#N/A</v>
          </cell>
          <cell r="K224" t="e">
            <v>#N/A</v>
          </cell>
          <cell r="L224" t="e">
            <v>#N/A</v>
          </cell>
          <cell r="M224" t="e">
            <v>#N/A</v>
          </cell>
          <cell r="N224" t="e">
            <v>#N/A</v>
          </cell>
          <cell r="O224" t="e">
            <v>#N/A</v>
          </cell>
          <cell r="P224">
            <v>34.68</v>
          </cell>
          <cell r="Q224">
            <v>1.1801200000000001</v>
          </cell>
          <cell r="R224" t="e">
            <v>#N/A</v>
          </cell>
        </row>
        <row r="225">
          <cell r="A225">
            <v>39792</v>
          </cell>
          <cell r="B225">
            <v>39792</v>
          </cell>
          <cell r="C225" t="str">
            <v>Past</v>
          </cell>
          <cell r="D225">
            <v>34.93</v>
          </cell>
          <cell r="E225" t="e">
            <v>#N/A</v>
          </cell>
          <cell r="F225" t="e">
            <v>#N/A</v>
          </cell>
          <cell r="G225" t="e">
            <v>#N/A</v>
          </cell>
          <cell r="H225" t="e">
            <v>#N/A</v>
          </cell>
          <cell r="I225" t="e">
            <v>#N/A</v>
          </cell>
          <cell r="J225" t="e">
            <v>#N/A</v>
          </cell>
          <cell r="K225" t="e">
            <v>#N/A</v>
          </cell>
          <cell r="L225" t="e">
            <v>#N/A</v>
          </cell>
          <cell r="M225" t="e">
            <v>#N/A</v>
          </cell>
          <cell r="N225" t="e">
            <v>#N/A</v>
          </cell>
          <cell r="O225" t="e">
            <v>#N/A</v>
          </cell>
          <cell r="P225">
            <v>34.93</v>
          </cell>
          <cell r="Q225">
            <v>1.1749559999999999</v>
          </cell>
          <cell r="R225" t="e">
            <v>#N/A</v>
          </cell>
        </row>
        <row r="226">
          <cell r="A226">
            <v>39793</v>
          </cell>
          <cell r="B226">
            <v>39793</v>
          </cell>
          <cell r="C226" t="str">
            <v>Past</v>
          </cell>
          <cell r="D226">
            <v>34.72</v>
          </cell>
          <cell r="E226" t="e">
            <v>#N/A</v>
          </cell>
          <cell r="F226" t="e">
            <v>#N/A</v>
          </cell>
          <cell r="G226" t="e">
            <v>#N/A</v>
          </cell>
          <cell r="H226" t="e">
            <v>#N/A</v>
          </cell>
          <cell r="I226" t="e">
            <v>#N/A</v>
          </cell>
          <cell r="J226" t="e">
            <v>#N/A</v>
          </cell>
          <cell r="K226" t="e">
            <v>#N/A</v>
          </cell>
          <cell r="L226" t="e">
            <v>#N/A</v>
          </cell>
          <cell r="M226" t="e">
            <v>#N/A</v>
          </cell>
          <cell r="N226" t="e">
            <v>#N/A</v>
          </cell>
          <cell r="O226" t="e">
            <v>#N/A</v>
          </cell>
          <cell r="P226">
            <v>34.72</v>
          </cell>
          <cell r="Q226">
            <v>1.2353000000000001</v>
          </cell>
          <cell r="R226" t="e">
            <v>#N/A</v>
          </cell>
        </row>
        <row r="227">
          <cell r="A227">
            <v>39794</v>
          </cell>
          <cell r="B227">
            <v>39794</v>
          </cell>
          <cell r="C227" t="str">
            <v>Past</v>
          </cell>
          <cell r="D227">
            <v>35.29</v>
          </cell>
          <cell r="E227" t="e">
            <v>#N/A</v>
          </cell>
          <cell r="F227" t="e">
            <v>#N/A</v>
          </cell>
          <cell r="G227" t="e">
            <v>#N/A</v>
          </cell>
          <cell r="H227" t="e">
            <v>#N/A</v>
          </cell>
          <cell r="I227" t="e">
            <v>#N/A</v>
          </cell>
          <cell r="J227" t="e">
            <v>#N/A</v>
          </cell>
          <cell r="K227" t="e">
            <v>#N/A</v>
          </cell>
          <cell r="L227" t="e">
            <v>#N/A</v>
          </cell>
          <cell r="M227" t="e">
            <v>#N/A</v>
          </cell>
          <cell r="N227" t="e">
            <v>#N/A</v>
          </cell>
          <cell r="O227" t="e">
            <v>#N/A</v>
          </cell>
          <cell r="P227">
            <v>35.29</v>
          </cell>
          <cell r="Q227">
            <v>1.355864</v>
          </cell>
          <cell r="R227" t="e">
            <v>#N/A</v>
          </cell>
        </row>
        <row r="228">
          <cell r="A228">
            <v>39797</v>
          </cell>
          <cell r="B228">
            <v>39797</v>
          </cell>
          <cell r="C228" t="str">
            <v>Past</v>
          </cell>
          <cell r="D228">
            <v>35.049999999999997</v>
          </cell>
          <cell r="E228" t="e">
            <v>#N/A</v>
          </cell>
          <cell r="F228" t="e">
            <v>#N/A</v>
          </cell>
          <cell r="G228" t="e">
            <v>#N/A</v>
          </cell>
          <cell r="H228" t="e">
            <v>#N/A</v>
          </cell>
          <cell r="I228" t="e">
            <v>#N/A</v>
          </cell>
          <cell r="J228" t="e">
            <v>#N/A</v>
          </cell>
          <cell r="K228" t="e">
            <v>#N/A</v>
          </cell>
          <cell r="L228" t="e">
            <v>#N/A</v>
          </cell>
          <cell r="M228" t="e">
            <v>#N/A</v>
          </cell>
          <cell r="N228" t="e">
            <v>#N/A</v>
          </cell>
          <cell r="O228" t="e">
            <v>#N/A</v>
          </cell>
          <cell r="P228">
            <v>35.049999999999997</v>
          </cell>
          <cell r="Q228">
            <v>1.3373739999999998</v>
          </cell>
          <cell r="R228" t="e">
            <v>#N/A</v>
          </cell>
        </row>
        <row r="229">
          <cell r="A229">
            <v>39798</v>
          </cell>
          <cell r="B229">
            <v>39798</v>
          </cell>
          <cell r="C229" t="str">
            <v>Past</v>
          </cell>
          <cell r="D229">
            <v>37.82</v>
          </cell>
          <cell r="E229" t="e">
            <v>#N/A</v>
          </cell>
          <cell r="F229" t="e">
            <v>#N/A</v>
          </cell>
          <cell r="G229" t="e">
            <v>#N/A</v>
          </cell>
          <cell r="H229" t="e">
            <v>#N/A</v>
          </cell>
          <cell r="I229" t="e">
            <v>#N/A</v>
          </cell>
          <cell r="J229" t="e">
            <v>#N/A</v>
          </cell>
          <cell r="K229" t="e">
            <v>#N/A</v>
          </cell>
          <cell r="L229" t="e">
            <v>#N/A</v>
          </cell>
          <cell r="M229" t="e">
            <v>#N/A</v>
          </cell>
          <cell r="N229" t="e">
            <v>#N/A</v>
          </cell>
          <cell r="O229" t="e">
            <v>#N/A</v>
          </cell>
          <cell r="P229">
            <v>37.82</v>
          </cell>
          <cell r="Q229">
            <v>1.332317</v>
          </cell>
          <cell r="R229" t="e">
            <v>#N/A</v>
          </cell>
        </row>
        <row r="230">
          <cell r="A230">
            <v>39799</v>
          </cell>
          <cell r="B230">
            <v>39799</v>
          </cell>
          <cell r="C230" t="str">
            <v>Past</v>
          </cell>
          <cell r="D230">
            <v>37.57</v>
          </cell>
          <cell r="E230" t="e">
            <v>#N/A</v>
          </cell>
          <cell r="F230" t="e">
            <v>#N/A</v>
          </cell>
          <cell r="G230" t="e">
            <v>#N/A</v>
          </cell>
          <cell r="H230" t="e">
            <v>#N/A</v>
          </cell>
          <cell r="I230" t="e">
            <v>#N/A</v>
          </cell>
          <cell r="J230" t="e">
            <v>#N/A</v>
          </cell>
          <cell r="K230" t="e">
            <v>#N/A</v>
          </cell>
          <cell r="L230" t="e">
            <v>#N/A</v>
          </cell>
          <cell r="M230" t="e">
            <v>#N/A</v>
          </cell>
          <cell r="N230" t="e">
            <v>#N/A</v>
          </cell>
          <cell r="O230" t="e">
            <v>#N/A</v>
          </cell>
          <cell r="P230">
            <v>37.57</v>
          </cell>
          <cell r="Q230">
            <v>1.201721</v>
          </cell>
          <cell r="R230" t="e">
            <v>#N/A</v>
          </cell>
        </row>
        <row r="231">
          <cell r="A231">
            <v>39800</v>
          </cell>
          <cell r="B231">
            <v>39800</v>
          </cell>
          <cell r="C231" t="str">
            <v>Past</v>
          </cell>
          <cell r="D231">
            <v>36.96</v>
          </cell>
          <cell r="E231" t="e">
            <v>#N/A</v>
          </cell>
          <cell r="F231" t="e">
            <v>#N/A</v>
          </cell>
          <cell r="G231" t="e">
            <v>#N/A</v>
          </cell>
          <cell r="H231" t="e">
            <v>#N/A</v>
          </cell>
          <cell r="I231" t="e">
            <v>#N/A</v>
          </cell>
          <cell r="J231" t="e">
            <v>#N/A</v>
          </cell>
          <cell r="K231" t="e">
            <v>#N/A</v>
          </cell>
          <cell r="L231" t="e">
            <v>#N/A</v>
          </cell>
          <cell r="M231" t="e">
            <v>#N/A</v>
          </cell>
          <cell r="N231" t="e">
            <v>#N/A</v>
          </cell>
          <cell r="O231" t="e">
            <v>#N/A</v>
          </cell>
          <cell r="P231">
            <v>36.96</v>
          </cell>
          <cell r="Q231">
            <v>1.2798</v>
          </cell>
          <cell r="R231" t="e">
            <v>#N/A</v>
          </cell>
        </row>
        <row r="232">
          <cell r="A232">
            <v>39801</v>
          </cell>
          <cell r="B232">
            <v>39801</v>
          </cell>
          <cell r="C232" t="str">
            <v>Past</v>
          </cell>
          <cell r="D232">
            <v>37.69</v>
          </cell>
          <cell r="E232" t="e">
            <v>#N/A</v>
          </cell>
          <cell r="F232" t="e">
            <v>#N/A</v>
          </cell>
          <cell r="G232" t="e">
            <v>#N/A</v>
          </cell>
          <cell r="H232" t="e">
            <v>#N/A</v>
          </cell>
          <cell r="I232" t="e">
            <v>#N/A</v>
          </cell>
          <cell r="J232" t="e">
            <v>#N/A</v>
          </cell>
          <cell r="K232" t="e">
            <v>#N/A</v>
          </cell>
          <cell r="L232" t="e">
            <v>#N/A</v>
          </cell>
          <cell r="M232" t="e">
            <v>#N/A</v>
          </cell>
          <cell r="N232" t="e">
            <v>#N/A</v>
          </cell>
          <cell r="O232" t="e">
            <v>#N/A</v>
          </cell>
          <cell r="P232">
            <v>37.69</v>
          </cell>
          <cell r="Q232">
            <v>1.6420359999999998</v>
          </cell>
          <cell r="R232" t="e">
            <v>#N/A</v>
          </cell>
        </row>
        <row r="233">
          <cell r="A233">
            <v>39804</v>
          </cell>
          <cell r="B233">
            <v>39804</v>
          </cell>
          <cell r="C233" t="str">
            <v>Past</v>
          </cell>
          <cell r="D233">
            <v>36.96</v>
          </cell>
          <cell r="E233" t="e">
            <v>#N/A</v>
          </cell>
          <cell r="F233" t="e">
            <v>#N/A</v>
          </cell>
          <cell r="G233" t="e">
            <v>#N/A</v>
          </cell>
          <cell r="H233" t="e">
            <v>#N/A</v>
          </cell>
          <cell r="I233" t="e">
            <v>#N/A</v>
          </cell>
          <cell r="J233" t="e">
            <v>#N/A</v>
          </cell>
          <cell r="K233" t="e">
            <v>#N/A</v>
          </cell>
          <cell r="L233" t="e">
            <v>#N/A</v>
          </cell>
          <cell r="M233" t="e">
            <v>#N/A</v>
          </cell>
          <cell r="N233" t="e">
            <v>#N/A</v>
          </cell>
          <cell r="O233" t="e">
            <v>#N/A</v>
          </cell>
          <cell r="P233">
            <v>36.96</v>
          </cell>
          <cell r="Q233">
            <v>0.83622599999999991</v>
          </cell>
          <cell r="R233" t="e">
            <v>#N/A</v>
          </cell>
        </row>
        <row r="234">
          <cell r="A234">
            <v>39805</v>
          </cell>
          <cell r="B234">
            <v>39805</v>
          </cell>
          <cell r="C234" t="str">
            <v>Past</v>
          </cell>
          <cell r="D234">
            <v>36.24</v>
          </cell>
          <cell r="E234" t="e">
            <v>#N/A</v>
          </cell>
          <cell r="F234" t="e">
            <v>#N/A</v>
          </cell>
          <cell r="G234" t="e">
            <v>#N/A</v>
          </cell>
          <cell r="H234" t="e">
            <v>#N/A</v>
          </cell>
          <cell r="I234" t="e">
            <v>#N/A</v>
          </cell>
          <cell r="J234" t="e">
            <v>#N/A</v>
          </cell>
          <cell r="K234" t="e">
            <v>#N/A</v>
          </cell>
          <cell r="L234" t="e">
            <v>#N/A</v>
          </cell>
          <cell r="M234" t="e">
            <v>#N/A</v>
          </cell>
          <cell r="N234" t="e">
            <v>#N/A</v>
          </cell>
          <cell r="O234" t="e">
            <v>#N/A</v>
          </cell>
          <cell r="P234">
            <v>36.24</v>
          </cell>
          <cell r="Q234">
            <v>0.86388000000000009</v>
          </cell>
          <cell r="R234" t="e">
            <v>#N/A</v>
          </cell>
        </row>
        <row r="235">
          <cell r="A235">
            <v>39806</v>
          </cell>
          <cell r="B235">
            <v>39806</v>
          </cell>
          <cell r="C235" t="str">
            <v>Past</v>
          </cell>
          <cell r="D235">
            <v>36.06</v>
          </cell>
          <cell r="E235" t="e">
            <v>#N/A</v>
          </cell>
          <cell r="F235" t="e">
            <v>#N/A</v>
          </cell>
          <cell r="G235" t="e">
            <v>#N/A</v>
          </cell>
          <cell r="H235" t="e">
            <v>#N/A</v>
          </cell>
          <cell r="I235" t="e">
            <v>#N/A</v>
          </cell>
          <cell r="J235" t="e">
            <v>#N/A</v>
          </cell>
          <cell r="K235" t="e">
            <v>#N/A</v>
          </cell>
          <cell r="L235" t="e">
            <v>#N/A</v>
          </cell>
          <cell r="M235" t="e">
            <v>#N/A</v>
          </cell>
          <cell r="N235" t="e">
            <v>#N/A</v>
          </cell>
          <cell r="O235" t="e">
            <v>#N/A</v>
          </cell>
          <cell r="P235">
            <v>36.06</v>
          </cell>
          <cell r="Q235">
            <v>0.53962500000000002</v>
          </cell>
          <cell r="R235" t="e">
            <v>#N/A</v>
          </cell>
        </row>
        <row r="236">
          <cell r="A236">
            <v>39808</v>
          </cell>
          <cell r="B236">
            <v>39808</v>
          </cell>
          <cell r="C236" t="str">
            <v>Past</v>
          </cell>
          <cell r="D236">
            <v>36.74</v>
          </cell>
          <cell r="E236" t="e">
            <v>#N/A</v>
          </cell>
          <cell r="F236" t="e">
            <v>#N/A</v>
          </cell>
          <cell r="G236" t="e">
            <v>#N/A</v>
          </cell>
          <cell r="H236" t="e">
            <v>#N/A</v>
          </cell>
          <cell r="I236" t="e">
            <v>#N/A</v>
          </cell>
          <cell r="J236" t="e">
            <v>#N/A</v>
          </cell>
          <cell r="K236" t="e">
            <v>#N/A</v>
          </cell>
          <cell r="L236" t="e">
            <v>#N/A</v>
          </cell>
          <cell r="M236" t="e">
            <v>#N/A</v>
          </cell>
          <cell r="N236" t="e">
            <v>#N/A</v>
          </cell>
          <cell r="O236" t="e">
            <v>#N/A</v>
          </cell>
          <cell r="P236">
            <v>36.74</v>
          </cell>
          <cell r="Q236">
            <v>0.32439799999999996</v>
          </cell>
          <cell r="R236" t="e">
            <v>#N/A</v>
          </cell>
        </row>
        <row r="237">
          <cell r="A237">
            <v>39811</v>
          </cell>
          <cell r="B237">
            <v>39811</v>
          </cell>
          <cell r="C237" t="str">
            <v>Past</v>
          </cell>
          <cell r="D237">
            <v>36.729999999999997</v>
          </cell>
          <cell r="E237" t="e">
            <v>#N/A</v>
          </cell>
          <cell r="F237" t="e">
            <v>#N/A</v>
          </cell>
          <cell r="G237" t="e">
            <v>#N/A</v>
          </cell>
          <cell r="H237" t="e">
            <v>#N/A</v>
          </cell>
          <cell r="I237" t="e">
            <v>#N/A</v>
          </cell>
          <cell r="J237" t="e">
            <v>#N/A</v>
          </cell>
          <cell r="K237" t="e">
            <v>#N/A</v>
          </cell>
          <cell r="L237" t="e">
            <v>#N/A</v>
          </cell>
          <cell r="M237" t="e">
            <v>#N/A</v>
          </cell>
          <cell r="N237" t="e">
            <v>#N/A</v>
          </cell>
          <cell r="O237" t="e">
            <v>#N/A</v>
          </cell>
          <cell r="P237">
            <v>36.729999999999997</v>
          </cell>
          <cell r="Q237">
            <v>0.91232000000000002</v>
          </cell>
          <cell r="R237" t="e">
            <v>#N/A</v>
          </cell>
        </row>
        <row r="238">
          <cell r="A238">
            <v>39812</v>
          </cell>
          <cell r="B238">
            <v>39812</v>
          </cell>
          <cell r="C238" t="str">
            <v>Past</v>
          </cell>
          <cell r="D238">
            <v>38.049999999999997</v>
          </cell>
          <cell r="E238" t="e">
            <v>#N/A</v>
          </cell>
          <cell r="F238" t="e">
            <v>#N/A</v>
          </cell>
          <cell r="G238" t="e">
            <v>#N/A</v>
          </cell>
          <cell r="H238" t="e">
            <v>#N/A</v>
          </cell>
          <cell r="I238" t="e">
            <v>#N/A</v>
          </cell>
          <cell r="J238" t="e">
            <v>#N/A</v>
          </cell>
          <cell r="K238" t="e">
            <v>#N/A</v>
          </cell>
          <cell r="L238" t="e">
            <v>#N/A</v>
          </cell>
          <cell r="M238" t="e">
            <v>#N/A</v>
          </cell>
          <cell r="N238" t="e">
            <v>#N/A</v>
          </cell>
          <cell r="O238" t="e">
            <v>#N/A</v>
          </cell>
          <cell r="P238">
            <v>38.049999999999997</v>
          </cell>
          <cell r="Q238">
            <v>0.75536099999999995</v>
          </cell>
          <cell r="R238" t="e">
            <v>#N/A</v>
          </cell>
        </row>
        <row r="239">
          <cell r="A239">
            <v>39813</v>
          </cell>
          <cell r="B239">
            <v>39813</v>
          </cell>
          <cell r="C239" t="str">
            <v>Past</v>
          </cell>
          <cell r="D239">
            <v>39.090000000000003</v>
          </cell>
          <cell r="E239" t="e">
            <v>#N/A</v>
          </cell>
          <cell r="F239" t="e">
            <v>#N/A</v>
          </cell>
          <cell r="G239" t="e">
            <v>#N/A</v>
          </cell>
          <cell r="H239" t="e">
            <v>#N/A</v>
          </cell>
          <cell r="I239" t="e">
            <v>#N/A</v>
          </cell>
          <cell r="J239" t="e">
            <v>#N/A</v>
          </cell>
          <cell r="K239" t="e">
            <v>#N/A</v>
          </cell>
          <cell r="L239" t="e">
            <v>#N/A</v>
          </cell>
          <cell r="M239" t="e">
            <v>#N/A</v>
          </cell>
          <cell r="N239" t="e">
            <v>#N/A</v>
          </cell>
          <cell r="O239" t="e">
            <v>#N/A</v>
          </cell>
          <cell r="P239">
            <v>39.090000000000003</v>
          </cell>
          <cell r="Q239">
            <v>0.75335699999999994</v>
          </cell>
          <cell r="R239" t="e">
            <v>#N/A</v>
          </cell>
        </row>
        <row r="240">
          <cell r="A240">
            <v>39815</v>
          </cell>
          <cell r="B240">
            <v>39815</v>
          </cell>
          <cell r="C240" t="str">
            <v>Past</v>
          </cell>
          <cell r="D240">
            <v>40.799999999999997</v>
          </cell>
          <cell r="E240" t="e">
            <v>#N/A</v>
          </cell>
          <cell r="F240" t="e">
            <v>#N/A</v>
          </cell>
          <cell r="G240" t="e">
            <v>#N/A</v>
          </cell>
          <cell r="H240" t="e">
            <v>#N/A</v>
          </cell>
          <cell r="I240" t="e">
            <v>#N/A</v>
          </cell>
          <cell r="J240" t="e">
            <v>#N/A</v>
          </cell>
          <cell r="K240" t="e">
            <v>#N/A</v>
          </cell>
          <cell r="L240" t="e">
            <v>#N/A</v>
          </cell>
          <cell r="M240" t="e">
            <v>#N/A</v>
          </cell>
          <cell r="N240" t="e">
            <v>#N/A</v>
          </cell>
          <cell r="O240" t="e">
            <v>#N/A</v>
          </cell>
          <cell r="P240">
            <v>40.799999999999997</v>
          </cell>
          <cell r="Q240">
            <v>0.66568799999999995</v>
          </cell>
          <cell r="R240" t="e">
            <v>#N/A</v>
          </cell>
        </row>
        <row r="241">
          <cell r="A241">
            <v>39818</v>
          </cell>
          <cell r="B241">
            <v>39818</v>
          </cell>
          <cell r="C241" t="str">
            <v>Past</v>
          </cell>
          <cell r="D241">
            <v>41.09</v>
          </cell>
          <cell r="E241" t="e">
            <v>#N/A</v>
          </cell>
          <cell r="F241" t="e">
            <v>#N/A</v>
          </cell>
          <cell r="G241" t="e">
            <v>#N/A</v>
          </cell>
          <cell r="H241" t="e">
            <v>#N/A</v>
          </cell>
          <cell r="I241" t="e">
            <v>#N/A</v>
          </cell>
          <cell r="J241" t="e">
            <v>#N/A</v>
          </cell>
          <cell r="K241" t="e">
            <v>#N/A</v>
          </cell>
          <cell r="L241" t="e">
            <v>#N/A</v>
          </cell>
          <cell r="M241" t="e">
            <v>#N/A</v>
          </cell>
          <cell r="N241" t="e">
            <v>#N/A</v>
          </cell>
          <cell r="O241" t="e">
            <v>#N/A</v>
          </cell>
          <cell r="P241">
            <v>41.09</v>
          </cell>
          <cell r="Q241">
            <v>0.81101199999999996</v>
          </cell>
          <cell r="R241" t="e">
            <v>#N/A</v>
          </cell>
        </row>
        <row r="242">
          <cell r="A242">
            <v>39819</v>
          </cell>
          <cell r="B242">
            <v>39819</v>
          </cell>
          <cell r="C242" t="str">
            <v>Past</v>
          </cell>
          <cell r="D242">
            <v>41.95</v>
          </cell>
          <cell r="E242" t="e">
            <v>#N/A</v>
          </cell>
          <cell r="F242" t="e">
            <v>#N/A</v>
          </cell>
          <cell r="G242" t="e">
            <v>#N/A</v>
          </cell>
          <cell r="H242" t="e">
            <v>#N/A</v>
          </cell>
          <cell r="I242" t="e">
            <v>#N/A</v>
          </cell>
          <cell r="J242" t="e">
            <v>#N/A</v>
          </cell>
          <cell r="K242" t="e">
            <v>#N/A</v>
          </cell>
          <cell r="L242" t="e">
            <v>#N/A</v>
          </cell>
          <cell r="M242" t="e">
            <v>#N/A</v>
          </cell>
          <cell r="N242" t="e">
            <v>#N/A</v>
          </cell>
          <cell r="O242" t="e">
            <v>#N/A</v>
          </cell>
          <cell r="P242">
            <v>41.95</v>
          </cell>
          <cell r="Q242">
            <v>1.853437</v>
          </cell>
          <cell r="R242" t="e">
            <v>#N/A</v>
          </cell>
        </row>
        <row r="243">
          <cell r="A243">
            <v>39820</v>
          </cell>
          <cell r="B243">
            <v>39820</v>
          </cell>
          <cell r="C243" t="str">
            <v>Past</v>
          </cell>
          <cell r="D243">
            <v>40.299999999999997</v>
          </cell>
          <cell r="E243" t="e">
            <v>#N/A</v>
          </cell>
          <cell r="F243" t="e">
            <v>#N/A</v>
          </cell>
          <cell r="G243" t="e">
            <v>#N/A</v>
          </cell>
          <cell r="H243" t="e">
            <v>#N/A</v>
          </cell>
          <cell r="I243" t="e">
            <v>#N/A</v>
          </cell>
          <cell r="J243" t="e">
            <v>#N/A</v>
          </cell>
          <cell r="K243" t="e">
            <v>#N/A</v>
          </cell>
          <cell r="L243" t="e">
            <v>#N/A</v>
          </cell>
          <cell r="M243" t="e">
            <v>#N/A</v>
          </cell>
          <cell r="N243" t="e">
            <v>#N/A</v>
          </cell>
          <cell r="O243" t="e">
            <v>#N/A</v>
          </cell>
          <cell r="P243">
            <v>40.299999999999997</v>
          </cell>
          <cell r="Q243">
            <v>1.354182</v>
          </cell>
          <cell r="R243" t="e">
            <v>#N/A</v>
          </cell>
        </row>
        <row r="244">
          <cell r="A244">
            <v>39821</v>
          </cell>
          <cell r="B244">
            <v>39821</v>
          </cell>
          <cell r="C244" t="str">
            <v>Past</v>
          </cell>
          <cell r="D244">
            <v>39.5</v>
          </cell>
          <cell r="E244" t="e">
            <v>#N/A</v>
          </cell>
          <cell r="F244" t="e">
            <v>#N/A</v>
          </cell>
          <cell r="G244" t="e">
            <v>#N/A</v>
          </cell>
          <cell r="H244" t="e">
            <v>#N/A</v>
          </cell>
          <cell r="I244" t="e">
            <v>#N/A</v>
          </cell>
          <cell r="J244" t="e">
            <v>#N/A</v>
          </cell>
          <cell r="K244" t="e">
            <v>#N/A</v>
          </cell>
          <cell r="L244" t="e">
            <v>#N/A</v>
          </cell>
          <cell r="M244" t="e">
            <v>#N/A</v>
          </cell>
          <cell r="N244" t="e">
            <v>#N/A</v>
          </cell>
          <cell r="O244" t="e">
            <v>#N/A</v>
          </cell>
          <cell r="P244">
            <v>39.5</v>
          </cell>
          <cell r="Q244">
            <v>2.0060720000000001</v>
          </cell>
          <cell r="R244" t="e">
            <v>#N/A</v>
          </cell>
        </row>
        <row r="245">
          <cell r="A245">
            <v>39822</v>
          </cell>
          <cell r="B245">
            <v>39822</v>
          </cell>
          <cell r="C245" t="str">
            <v>Past</v>
          </cell>
          <cell r="D245">
            <v>39.04</v>
          </cell>
          <cell r="E245" t="e">
            <v>#N/A</v>
          </cell>
          <cell r="F245" t="e">
            <v>#N/A</v>
          </cell>
          <cell r="G245" t="e">
            <v>#N/A</v>
          </cell>
          <cell r="H245" t="e">
            <v>#N/A</v>
          </cell>
          <cell r="I245" t="e">
            <v>#N/A</v>
          </cell>
          <cell r="J245" t="e">
            <v>#N/A</v>
          </cell>
          <cell r="K245" t="e">
            <v>#N/A</v>
          </cell>
          <cell r="L245" t="e">
            <v>#N/A</v>
          </cell>
          <cell r="M245" t="e">
            <v>#N/A</v>
          </cell>
          <cell r="N245" t="e">
            <v>#N/A</v>
          </cell>
          <cell r="O245" t="e">
            <v>#N/A</v>
          </cell>
          <cell r="P245">
            <v>39.04</v>
          </cell>
          <cell r="Q245">
            <v>2.2234569999999998</v>
          </cell>
          <cell r="R245" t="e">
            <v>#N/A</v>
          </cell>
        </row>
        <row r="246">
          <cell r="A246">
            <v>39825</v>
          </cell>
          <cell r="B246">
            <v>39825</v>
          </cell>
          <cell r="C246" t="str">
            <v>Past</v>
          </cell>
          <cell r="D246">
            <v>38.83</v>
          </cell>
          <cell r="E246" t="e">
            <v>#N/A</v>
          </cell>
          <cell r="F246" t="e">
            <v>#N/A</v>
          </cell>
          <cell r="G246" t="e">
            <v>#N/A</v>
          </cell>
          <cell r="H246" t="e">
            <v>#N/A</v>
          </cell>
          <cell r="I246" t="e">
            <v>#N/A</v>
          </cell>
          <cell r="J246" t="e">
            <v>#N/A</v>
          </cell>
          <cell r="K246" t="e">
            <v>#N/A</v>
          </cell>
          <cell r="L246" t="e">
            <v>#N/A</v>
          </cell>
          <cell r="M246" t="e">
            <v>#N/A</v>
          </cell>
          <cell r="N246" t="e">
            <v>#N/A</v>
          </cell>
          <cell r="O246" t="e">
            <v>#N/A</v>
          </cell>
          <cell r="P246">
            <v>38.83</v>
          </cell>
          <cell r="Q246">
            <v>0.98887899999999995</v>
          </cell>
          <cell r="R246" t="e">
            <v>#N/A</v>
          </cell>
        </row>
        <row r="247">
          <cell r="A247">
            <v>39826</v>
          </cell>
          <cell r="B247">
            <v>39826</v>
          </cell>
          <cell r="C247" t="str">
            <v>Past</v>
          </cell>
          <cell r="D247">
            <v>36.99</v>
          </cell>
          <cell r="E247" t="e">
            <v>#N/A</v>
          </cell>
          <cell r="F247" t="e">
            <v>#N/A</v>
          </cell>
          <cell r="G247" t="e">
            <v>#N/A</v>
          </cell>
          <cell r="H247" t="e">
            <v>#N/A</v>
          </cell>
          <cell r="I247" t="e">
            <v>#N/A</v>
          </cell>
          <cell r="J247" t="e">
            <v>#N/A</v>
          </cell>
          <cell r="K247" t="e">
            <v>#N/A</v>
          </cell>
          <cell r="L247" t="e">
            <v>#N/A</v>
          </cell>
          <cell r="M247" t="e">
            <v>#N/A</v>
          </cell>
          <cell r="N247" t="e">
            <v>#N/A</v>
          </cell>
          <cell r="O247" t="e">
            <v>#N/A</v>
          </cell>
          <cell r="P247">
            <v>36.99</v>
          </cell>
          <cell r="Q247">
            <v>1.9892259999999999</v>
          </cell>
          <cell r="R247" t="e">
            <v>#N/A</v>
          </cell>
        </row>
        <row r="248">
          <cell r="A248">
            <v>39827</v>
          </cell>
          <cell r="B248">
            <v>39827</v>
          </cell>
          <cell r="C248" t="str">
            <v>Past</v>
          </cell>
          <cell r="D248">
            <v>36.200000000000003</v>
          </cell>
          <cell r="E248" t="e">
            <v>#N/A</v>
          </cell>
          <cell r="F248" t="e">
            <v>#N/A</v>
          </cell>
          <cell r="G248" t="e">
            <v>#N/A</v>
          </cell>
          <cell r="H248" t="e">
            <v>#N/A</v>
          </cell>
          <cell r="I248" t="e">
            <v>#N/A</v>
          </cell>
          <cell r="J248" t="e">
            <v>#N/A</v>
          </cell>
          <cell r="K248" t="e">
            <v>#N/A</v>
          </cell>
          <cell r="L248" t="e">
            <v>#N/A</v>
          </cell>
          <cell r="M248" t="e">
            <v>#N/A</v>
          </cell>
          <cell r="N248" t="e">
            <v>#N/A</v>
          </cell>
          <cell r="O248" t="e">
            <v>#N/A</v>
          </cell>
          <cell r="P248">
            <v>36.200000000000003</v>
          </cell>
          <cell r="Q248">
            <v>1.216024</v>
          </cell>
          <cell r="R248" t="e">
            <v>#N/A</v>
          </cell>
        </row>
        <row r="249">
          <cell r="A249">
            <v>39828</v>
          </cell>
          <cell r="B249">
            <v>39828</v>
          </cell>
          <cell r="C249" t="str">
            <v>Past</v>
          </cell>
          <cell r="D249">
            <v>36.5</v>
          </cell>
          <cell r="E249" t="e">
            <v>#N/A</v>
          </cell>
          <cell r="F249" t="e">
            <v>#N/A</v>
          </cell>
          <cell r="G249" t="e">
            <v>#N/A</v>
          </cell>
          <cell r="H249" t="e">
            <v>#N/A</v>
          </cell>
          <cell r="I249" t="e">
            <v>#N/A</v>
          </cell>
          <cell r="J249" t="e">
            <v>#N/A</v>
          </cell>
          <cell r="K249" t="e">
            <v>#N/A</v>
          </cell>
          <cell r="L249" t="e">
            <v>#N/A</v>
          </cell>
          <cell r="M249" t="e">
            <v>#N/A</v>
          </cell>
          <cell r="N249" t="e">
            <v>#N/A</v>
          </cell>
          <cell r="O249" t="e">
            <v>#N/A</v>
          </cell>
          <cell r="P249">
            <v>36.5</v>
          </cell>
          <cell r="Q249">
            <v>1.0569109999999999</v>
          </cell>
          <cell r="R249" t="e">
            <v>#N/A</v>
          </cell>
        </row>
        <row r="250">
          <cell r="A250">
            <v>39829</v>
          </cell>
          <cell r="B250">
            <v>39829</v>
          </cell>
          <cell r="C250" t="str">
            <v>Past</v>
          </cell>
          <cell r="D250">
            <v>37.26</v>
          </cell>
          <cell r="E250" t="e">
            <v>#N/A</v>
          </cell>
          <cell r="F250" t="e">
            <v>#N/A</v>
          </cell>
          <cell r="G250" t="e">
            <v>#N/A</v>
          </cell>
          <cell r="H250" t="e">
            <v>#N/A</v>
          </cell>
          <cell r="I250" t="e">
            <v>#N/A</v>
          </cell>
          <cell r="J250" t="e">
            <v>#N/A</v>
          </cell>
          <cell r="K250" t="e">
            <v>#N/A</v>
          </cell>
          <cell r="L250" t="e">
            <v>#N/A</v>
          </cell>
          <cell r="M250" t="e">
            <v>#N/A</v>
          </cell>
          <cell r="N250" t="e">
            <v>#N/A</v>
          </cell>
          <cell r="O250" t="e">
            <v>#N/A</v>
          </cell>
          <cell r="P250">
            <v>37.26</v>
          </cell>
          <cell r="Q250">
            <v>1.5374949999999998</v>
          </cell>
          <cell r="R250" t="e">
            <v>#N/A</v>
          </cell>
        </row>
        <row r="251">
          <cell r="A251">
            <v>39833</v>
          </cell>
          <cell r="B251">
            <v>39833</v>
          </cell>
          <cell r="C251" t="str">
            <v>Past</v>
          </cell>
          <cell r="D251">
            <v>35.630000000000003</v>
          </cell>
          <cell r="E251" t="e">
            <v>#N/A</v>
          </cell>
          <cell r="F251" t="e">
            <v>#N/A</v>
          </cell>
          <cell r="G251" t="e">
            <v>#N/A</v>
          </cell>
          <cell r="H251" t="e">
            <v>#N/A</v>
          </cell>
          <cell r="I251" t="e">
            <v>#N/A</v>
          </cell>
          <cell r="J251" t="e">
            <v>#N/A</v>
          </cell>
          <cell r="K251" t="e">
            <v>#N/A</v>
          </cell>
          <cell r="L251" t="e">
            <v>#N/A</v>
          </cell>
          <cell r="M251" t="e">
            <v>#N/A</v>
          </cell>
          <cell r="N251" t="e">
            <v>#N/A</v>
          </cell>
          <cell r="O251" t="e">
            <v>#N/A</v>
          </cell>
          <cell r="P251">
            <v>35.630000000000003</v>
          </cell>
          <cell r="Q251">
            <v>1.29857</v>
          </cell>
          <cell r="R251" t="e">
            <v>#N/A</v>
          </cell>
        </row>
        <row r="252">
          <cell r="A252">
            <v>39834</v>
          </cell>
          <cell r="B252">
            <v>39834</v>
          </cell>
          <cell r="C252" t="str">
            <v>Past</v>
          </cell>
          <cell r="D252">
            <v>36.9</v>
          </cell>
          <cell r="E252" t="e">
            <v>#N/A</v>
          </cell>
          <cell r="F252" t="e">
            <v>#N/A</v>
          </cell>
          <cell r="G252" t="e">
            <v>#N/A</v>
          </cell>
          <cell r="H252" t="e">
            <v>#N/A</v>
          </cell>
          <cell r="I252" t="e">
            <v>#N/A</v>
          </cell>
          <cell r="J252" t="e">
            <v>#N/A</v>
          </cell>
          <cell r="K252" t="e">
            <v>#N/A</v>
          </cell>
          <cell r="L252" t="e">
            <v>#N/A</v>
          </cell>
          <cell r="M252" t="e">
            <v>#N/A</v>
          </cell>
          <cell r="N252" t="e">
            <v>#N/A</v>
          </cell>
          <cell r="O252" t="e">
            <v>#N/A</v>
          </cell>
          <cell r="P252">
            <v>36.9</v>
          </cell>
          <cell r="Q252">
            <v>1.132055</v>
          </cell>
          <cell r="R252" t="e">
            <v>#N/A</v>
          </cell>
        </row>
        <row r="253">
          <cell r="A253">
            <v>39835</v>
          </cell>
          <cell r="B253">
            <v>39835</v>
          </cell>
          <cell r="C253" t="str">
            <v>Past</v>
          </cell>
          <cell r="D253">
            <v>36.85</v>
          </cell>
          <cell r="E253" t="e">
            <v>#N/A</v>
          </cell>
          <cell r="F253" t="e">
            <v>#N/A</v>
          </cell>
          <cell r="G253" t="e">
            <v>#N/A</v>
          </cell>
          <cell r="H253" t="e">
            <v>#N/A</v>
          </cell>
          <cell r="I253" t="e">
            <v>#N/A</v>
          </cell>
          <cell r="J253" t="e">
            <v>#N/A</v>
          </cell>
          <cell r="K253" t="e">
            <v>#N/A</v>
          </cell>
          <cell r="L253" t="e">
            <v>#N/A</v>
          </cell>
          <cell r="M253" t="e">
            <v>#N/A</v>
          </cell>
          <cell r="N253" t="e">
            <v>#N/A</v>
          </cell>
          <cell r="O253" t="e">
            <v>#N/A</v>
          </cell>
          <cell r="P253">
            <v>36.85</v>
          </cell>
          <cell r="Q253">
            <v>0.86424699999999999</v>
          </cell>
          <cell r="R253" t="e">
            <v>#N/A</v>
          </cell>
        </row>
        <row r="254">
          <cell r="A254">
            <v>39836</v>
          </cell>
          <cell r="B254">
            <v>39836</v>
          </cell>
          <cell r="C254" t="str">
            <v>Past</v>
          </cell>
          <cell r="D254">
            <v>36.89</v>
          </cell>
          <cell r="E254" t="e">
            <v>#N/A</v>
          </cell>
          <cell r="F254" t="e">
            <v>#N/A</v>
          </cell>
          <cell r="G254" t="e">
            <v>#N/A</v>
          </cell>
          <cell r="H254" t="e">
            <v>#N/A</v>
          </cell>
          <cell r="I254" t="e">
            <v>#N/A</v>
          </cell>
          <cell r="J254" t="e">
            <v>#N/A</v>
          </cell>
          <cell r="K254" t="e">
            <v>#N/A</v>
          </cell>
          <cell r="L254" t="e">
            <v>#N/A</v>
          </cell>
          <cell r="M254" t="e">
            <v>#N/A</v>
          </cell>
          <cell r="N254" t="e">
            <v>#N/A</v>
          </cell>
          <cell r="O254" t="e">
            <v>#N/A</v>
          </cell>
          <cell r="P254">
            <v>36.89</v>
          </cell>
          <cell r="Q254">
            <v>1.010864</v>
          </cell>
          <cell r="R254" t="e">
            <v>#N/A</v>
          </cell>
        </row>
        <row r="255">
          <cell r="A255">
            <v>39839</v>
          </cell>
          <cell r="B255">
            <v>39839</v>
          </cell>
          <cell r="C255" t="str">
            <v>Past</v>
          </cell>
          <cell r="D255">
            <v>37.65</v>
          </cell>
          <cell r="E255" t="e">
            <v>#N/A</v>
          </cell>
          <cell r="F255" t="e">
            <v>#N/A</v>
          </cell>
          <cell r="G255" t="e">
            <v>#N/A</v>
          </cell>
          <cell r="H255" t="e">
            <v>#N/A</v>
          </cell>
          <cell r="I255" t="e">
            <v>#N/A</v>
          </cell>
          <cell r="J255" t="e">
            <v>#N/A</v>
          </cell>
          <cell r="K255" t="e">
            <v>#N/A</v>
          </cell>
          <cell r="L255" t="e">
            <v>#N/A</v>
          </cell>
          <cell r="M255" t="e">
            <v>#N/A</v>
          </cell>
          <cell r="N255" t="e">
            <v>#N/A</v>
          </cell>
          <cell r="O255" t="e">
            <v>#N/A</v>
          </cell>
          <cell r="P255">
            <v>37.65</v>
          </cell>
          <cell r="Q255">
            <v>1.089332</v>
          </cell>
          <cell r="R255" t="e">
            <v>#N/A</v>
          </cell>
        </row>
        <row r="256">
          <cell r="A256">
            <v>39840</v>
          </cell>
          <cell r="B256">
            <v>39840</v>
          </cell>
          <cell r="C256" t="str">
            <v>Past</v>
          </cell>
          <cell r="D256">
            <v>38.19</v>
          </cell>
          <cell r="E256" t="e">
            <v>#N/A</v>
          </cell>
          <cell r="F256" t="e">
            <v>#N/A</v>
          </cell>
          <cell r="G256" t="e">
            <v>#N/A</v>
          </cell>
          <cell r="H256" t="e">
            <v>#N/A</v>
          </cell>
          <cell r="I256" t="e">
            <v>#N/A</v>
          </cell>
          <cell r="J256" t="e">
            <v>#N/A</v>
          </cell>
          <cell r="K256" t="e">
            <v>#N/A</v>
          </cell>
          <cell r="L256" t="e">
            <v>#N/A</v>
          </cell>
          <cell r="M256" t="e">
            <v>#N/A</v>
          </cell>
          <cell r="N256" t="e">
            <v>#N/A</v>
          </cell>
          <cell r="O256" t="e">
            <v>#N/A</v>
          </cell>
          <cell r="P256">
            <v>38.19</v>
          </cell>
          <cell r="Q256">
            <v>1.320057</v>
          </cell>
          <cell r="R256" t="e">
            <v>#N/A</v>
          </cell>
        </row>
        <row r="257">
          <cell r="A257">
            <v>39841</v>
          </cell>
          <cell r="B257">
            <v>39841</v>
          </cell>
          <cell r="C257" t="str">
            <v>Past</v>
          </cell>
          <cell r="D257">
            <v>39.79</v>
          </cell>
          <cell r="E257" t="e">
            <v>#N/A</v>
          </cell>
          <cell r="F257" t="e">
            <v>#N/A</v>
          </cell>
          <cell r="G257" t="e">
            <v>#N/A</v>
          </cell>
          <cell r="H257" t="e">
            <v>#N/A</v>
          </cell>
          <cell r="I257" t="e">
            <v>#N/A</v>
          </cell>
          <cell r="J257" t="e">
            <v>#N/A</v>
          </cell>
          <cell r="K257" t="e">
            <v>#N/A</v>
          </cell>
          <cell r="L257" t="e">
            <v>#N/A</v>
          </cell>
          <cell r="M257" t="e">
            <v>#N/A</v>
          </cell>
          <cell r="N257" t="e">
            <v>#N/A</v>
          </cell>
          <cell r="O257" t="e">
            <v>#N/A</v>
          </cell>
          <cell r="P257">
            <v>39.79</v>
          </cell>
          <cell r="Q257">
            <v>1.7482139999999999</v>
          </cell>
          <cell r="R257" t="e">
            <v>#N/A</v>
          </cell>
        </row>
        <row r="258">
          <cell r="A258">
            <v>39842</v>
          </cell>
          <cell r="B258">
            <v>39842</v>
          </cell>
          <cell r="C258" t="str">
            <v>Past</v>
          </cell>
          <cell r="D258">
            <v>37.700000000000003</v>
          </cell>
          <cell r="E258" t="e">
            <v>#N/A</v>
          </cell>
          <cell r="F258" t="e">
            <v>#N/A</v>
          </cell>
          <cell r="G258" t="e">
            <v>#N/A</v>
          </cell>
          <cell r="H258" t="e">
            <v>#N/A</v>
          </cell>
          <cell r="I258" t="e">
            <v>#N/A</v>
          </cell>
          <cell r="J258" t="e">
            <v>#N/A</v>
          </cell>
          <cell r="K258" t="e">
            <v>#N/A</v>
          </cell>
          <cell r="L258" t="e">
            <v>#N/A</v>
          </cell>
          <cell r="M258" t="e">
            <v>#N/A</v>
          </cell>
          <cell r="N258" t="e">
            <v>#N/A</v>
          </cell>
          <cell r="O258" t="e">
            <v>#N/A</v>
          </cell>
          <cell r="P258">
            <v>37.700000000000003</v>
          </cell>
          <cell r="Q258">
            <v>1.058079</v>
          </cell>
          <cell r="R258" t="e">
            <v>#N/A</v>
          </cell>
        </row>
        <row r="259">
          <cell r="A259">
            <v>39843</v>
          </cell>
          <cell r="B259">
            <v>39843</v>
          </cell>
          <cell r="C259" t="str">
            <v>Past</v>
          </cell>
          <cell r="D259">
            <v>37.68</v>
          </cell>
          <cell r="E259" t="e">
            <v>#N/A</v>
          </cell>
          <cell r="F259" t="e">
            <v>#N/A</v>
          </cell>
          <cell r="G259" t="e">
            <v>#N/A</v>
          </cell>
          <cell r="H259" t="e">
            <v>#N/A</v>
          </cell>
          <cell r="I259" t="e">
            <v>#N/A</v>
          </cell>
          <cell r="J259" t="e">
            <v>#N/A</v>
          </cell>
          <cell r="K259" t="e">
            <v>#N/A</v>
          </cell>
          <cell r="L259" t="e">
            <v>#N/A</v>
          </cell>
          <cell r="M259" t="e">
            <v>#N/A</v>
          </cell>
          <cell r="N259" t="e">
            <v>#N/A</v>
          </cell>
          <cell r="O259" t="e">
            <v>#N/A</v>
          </cell>
          <cell r="P259">
            <v>37.68</v>
          </cell>
          <cell r="Q259">
            <v>1.8226500000000001</v>
          </cell>
          <cell r="R259" t="e">
            <v>#N/A</v>
          </cell>
        </row>
        <row r="260">
          <cell r="A260">
            <v>39846</v>
          </cell>
          <cell r="B260">
            <v>39846</v>
          </cell>
          <cell r="C260" t="str">
            <v>Past</v>
          </cell>
          <cell r="D260">
            <v>35.17</v>
          </cell>
          <cell r="E260" t="e">
            <v>#N/A</v>
          </cell>
          <cell r="F260" t="e">
            <v>#N/A</v>
          </cell>
          <cell r="G260" t="e">
            <v>#N/A</v>
          </cell>
          <cell r="H260" t="e">
            <v>#N/A</v>
          </cell>
          <cell r="I260" t="e">
            <v>#N/A</v>
          </cell>
          <cell r="J260" t="e">
            <v>#N/A</v>
          </cell>
          <cell r="K260" t="e">
            <v>#N/A</v>
          </cell>
          <cell r="L260" t="e">
            <v>#N/A</v>
          </cell>
          <cell r="M260" t="e">
            <v>#N/A</v>
          </cell>
          <cell r="N260" t="e">
            <v>#N/A</v>
          </cell>
          <cell r="O260" t="e">
            <v>#N/A</v>
          </cell>
          <cell r="P260">
            <v>35.17</v>
          </cell>
          <cell r="Q260">
            <v>3.0471219999999999</v>
          </cell>
          <cell r="R260" t="e">
            <v>#N/A</v>
          </cell>
        </row>
        <row r="261">
          <cell r="A261">
            <v>39847</v>
          </cell>
          <cell r="B261">
            <v>39847</v>
          </cell>
          <cell r="C261" t="str">
            <v>Past</v>
          </cell>
          <cell r="D261">
            <v>38.94</v>
          </cell>
          <cell r="E261" t="e">
            <v>#N/A</v>
          </cell>
          <cell r="F261" t="e">
            <v>#N/A</v>
          </cell>
          <cell r="G261" t="e">
            <v>#N/A</v>
          </cell>
          <cell r="H261" t="e">
            <v>#N/A</v>
          </cell>
          <cell r="I261" t="e">
            <v>#N/A</v>
          </cell>
          <cell r="J261" t="e">
            <v>#N/A</v>
          </cell>
          <cell r="K261" t="e">
            <v>#N/A</v>
          </cell>
          <cell r="L261" t="e">
            <v>#N/A</v>
          </cell>
          <cell r="M261" t="e">
            <v>#N/A</v>
          </cell>
          <cell r="N261" t="e">
            <v>#N/A</v>
          </cell>
          <cell r="O261" t="e">
            <v>#N/A</v>
          </cell>
          <cell r="P261">
            <v>38.94</v>
          </cell>
          <cell r="Q261">
            <v>3.9511779999999996</v>
          </cell>
          <cell r="R261" t="e">
            <v>#N/A</v>
          </cell>
        </row>
        <row r="262">
          <cell r="A262">
            <v>39848</v>
          </cell>
          <cell r="B262">
            <v>39848</v>
          </cell>
          <cell r="C262" t="str">
            <v>Past</v>
          </cell>
          <cell r="D262">
            <v>37.64</v>
          </cell>
          <cell r="E262" t="e">
            <v>#N/A</v>
          </cell>
          <cell r="F262" t="e">
            <v>#N/A</v>
          </cell>
          <cell r="G262" t="e">
            <v>#N/A</v>
          </cell>
          <cell r="H262" t="e">
            <v>#N/A</v>
          </cell>
          <cell r="I262" t="e">
            <v>#N/A</v>
          </cell>
          <cell r="J262" t="e">
            <v>#N/A</v>
          </cell>
          <cell r="K262" t="e">
            <v>#N/A</v>
          </cell>
          <cell r="L262" t="e">
            <v>#N/A</v>
          </cell>
          <cell r="M262" t="e">
            <v>#N/A</v>
          </cell>
          <cell r="N262" t="e">
            <v>#N/A</v>
          </cell>
          <cell r="O262" t="e">
            <v>#N/A</v>
          </cell>
          <cell r="P262">
            <v>37.64</v>
          </cell>
          <cell r="Q262">
            <v>2.8779859999999999</v>
          </cell>
          <cell r="R262" t="e">
            <v>#N/A</v>
          </cell>
        </row>
        <row r="263">
          <cell r="A263">
            <v>39849</v>
          </cell>
          <cell r="B263">
            <v>39849</v>
          </cell>
          <cell r="C263" t="str">
            <v>Past</v>
          </cell>
          <cell r="D263">
            <v>38.11</v>
          </cell>
          <cell r="E263" t="e">
            <v>#N/A</v>
          </cell>
          <cell r="F263" t="e">
            <v>#N/A</v>
          </cell>
          <cell r="G263" t="e">
            <v>#N/A</v>
          </cell>
          <cell r="H263" t="e">
            <v>#N/A</v>
          </cell>
          <cell r="I263" t="e">
            <v>#N/A</v>
          </cell>
          <cell r="J263" t="e">
            <v>#N/A</v>
          </cell>
          <cell r="K263" t="e">
            <v>#N/A</v>
          </cell>
          <cell r="L263" t="e">
            <v>#N/A</v>
          </cell>
          <cell r="M263" t="e">
            <v>#N/A</v>
          </cell>
          <cell r="N263" t="e">
            <v>#N/A</v>
          </cell>
          <cell r="O263" t="e">
            <v>#N/A</v>
          </cell>
          <cell r="P263">
            <v>38.11</v>
          </cell>
          <cell r="Q263">
            <v>2.970567</v>
          </cell>
          <cell r="R263" t="e">
            <v>#N/A</v>
          </cell>
        </row>
        <row r="264">
          <cell r="A264">
            <v>39850</v>
          </cell>
          <cell r="B264">
            <v>39850</v>
          </cell>
          <cell r="C264" t="str">
            <v>Past</v>
          </cell>
          <cell r="D264">
            <v>38.9</v>
          </cell>
          <cell r="E264" t="e">
            <v>#N/A</v>
          </cell>
          <cell r="F264" t="e">
            <v>#N/A</v>
          </cell>
          <cell r="G264" t="e">
            <v>#N/A</v>
          </cell>
          <cell r="H264" t="e">
            <v>#N/A</v>
          </cell>
          <cell r="I264" t="e">
            <v>#N/A</v>
          </cell>
          <cell r="J264" t="e">
            <v>#N/A</v>
          </cell>
          <cell r="K264" t="e">
            <v>#N/A</v>
          </cell>
          <cell r="L264" t="e">
            <v>#N/A</v>
          </cell>
          <cell r="M264" t="e">
            <v>#N/A</v>
          </cell>
          <cell r="N264" t="e">
            <v>#N/A</v>
          </cell>
          <cell r="O264" t="e">
            <v>#N/A</v>
          </cell>
          <cell r="P264">
            <v>38.9</v>
          </cell>
          <cell r="Q264">
            <v>1.719133</v>
          </cell>
          <cell r="R264" t="e">
            <v>#N/A</v>
          </cell>
        </row>
        <row r="265">
          <cell r="A265">
            <v>39853</v>
          </cell>
          <cell r="B265">
            <v>39853</v>
          </cell>
          <cell r="C265" t="str">
            <v>Past</v>
          </cell>
          <cell r="D265">
            <v>38.99</v>
          </cell>
          <cell r="E265" t="e">
            <v>#N/A</v>
          </cell>
          <cell r="F265" t="e">
            <v>#N/A</v>
          </cell>
          <cell r="G265" t="e">
            <v>#N/A</v>
          </cell>
          <cell r="H265" t="e">
            <v>#N/A</v>
          </cell>
          <cell r="I265" t="e">
            <v>#N/A</v>
          </cell>
          <cell r="J265" t="e">
            <v>#N/A</v>
          </cell>
          <cell r="K265" t="e">
            <v>#N/A</v>
          </cell>
          <cell r="L265" t="e">
            <v>#N/A</v>
          </cell>
          <cell r="M265" t="e">
            <v>#N/A</v>
          </cell>
          <cell r="N265" t="e">
            <v>#N/A</v>
          </cell>
          <cell r="O265" t="e">
            <v>#N/A</v>
          </cell>
          <cell r="P265">
            <v>38.99</v>
          </cell>
          <cell r="Q265">
            <v>1.5008379999999999</v>
          </cell>
          <cell r="R265" t="e">
            <v>#N/A</v>
          </cell>
        </row>
        <row r="266">
          <cell r="A266">
            <v>39854</v>
          </cell>
          <cell r="B266">
            <v>39854</v>
          </cell>
          <cell r="C266" t="str">
            <v>Past</v>
          </cell>
          <cell r="D266">
            <v>37.090000000000003</v>
          </cell>
          <cell r="E266" t="e">
            <v>#N/A</v>
          </cell>
          <cell r="F266" t="e">
            <v>#N/A</v>
          </cell>
          <cell r="G266" t="e">
            <v>#N/A</v>
          </cell>
          <cell r="H266" t="e">
            <v>#N/A</v>
          </cell>
          <cell r="I266" t="e">
            <v>#N/A</v>
          </cell>
          <cell r="J266" t="e">
            <v>#N/A</v>
          </cell>
          <cell r="K266" t="e">
            <v>#N/A</v>
          </cell>
          <cell r="L266" t="e">
            <v>#N/A</v>
          </cell>
          <cell r="M266" t="e">
            <v>#N/A</v>
          </cell>
          <cell r="N266" t="e">
            <v>#N/A</v>
          </cell>
          <cell r="O266" t="e">
            <v>#N/A</v>
          </cell>
          <cell r="P266">
            <v>37.090000000000003</v>
          </cell>
          <cell r="Q266">
            <v>1.4959879999999999</v>
          </cell>
          <cell r="R266" t="e">
            <v>#N/A</v>
          </cell>
        </row>
        <row r="267">
          <cell r="A267">
            <v>39855</v>
          </cell>
          <cell r="B267">
            <v>39855</v>
          </cell>
          <cell r="C267" t="str">
            <v>Past</v>
          </cell>
          <cell r="D267">
            <v>36.770000000000003</v>
          </cell>
          <cell r="E267" t="e">
            <v>#N/A</v>
          </cell>
          <cell r="F267" t="e">
            <v>#N/A</v>
          </cell>
          <cell r="G267" t="e">
            <v>#N/A</v>
          </cell>
          <cell r="H267" t="e">
            <v>#N/A</v>
          </cell>
          <cell r="I267" t="e">
            <v>#N/A</v>
          </cell>
          <cell r="J267" t="e">
            <v>#N/A</v>
          </cell>
          <cell r="K267" t="e">
            <v>#N/A</v>
          </cell>
          <cell r="L267" t="e">
            <v>#N/A</v>
          </cell>
          <cell r="M267" t="e">
            <v>#N/A</v>
          </cell>
          <cell r="N267" t="e">
            <v>#N/A</v>
          </cell>
          <cell r="O267" t="e">
            <v>#N/A</v>
          </cell>
          <cell r="P267">
            <v>36.770000000000003</v>
          </cell>
          <cell r="Q267">
            <v>1.2877729999999998</v>
          </cell>
          <cell r="R267" t="e">
            <v>#N/A</v>
          </cell>
        </row>
        <row r="268">
          <cell r="A268">
            <v>39856</v>
          </cell>
          <cell r="B268">
            <v>39856</v>
          </cell>
          <cell r="C268" t="str">
            <v>Past</v>
          </cell>
          <cell r="D268">
            <v>36.39</v>
          </cell>
          <cell r="E268" t="e">
            <v>#N/A</v>
          </cell>
          <cell r="F268" t="e">
            <v>#N/A</v>
          </cell>
          <cell r="G268" t="e">
            <v>#N/A</v>
          </cell>
          <cell r="H268" t="e">
            <v>#N/A</v>
          </cell>
          <cell r="I268" t="e">
            <v>#N/A</v>
          </cell>
          <cell r="J268" t="e">
            <v>#N/A</v>
          </cell>
          <cell r="K268" t="e">
            <v>#N/A</v>
          </cell>
          <cell r="L268" t="e">
            <v>#N/A</v>
          </cell>
          <cell r="M268" t="e">
            <v>#N/A</v>
          </cell>
          <cell r="N268" t="e">
            <v>#N/A</v>
          </cell>
          <cell r="O268" t="e">
            <v>#N/A</v>
          </cell>
          <cell r="P268">
            <v>36.39</v>
          </cell>
          <cell r="Q268">
            <v>1.3419000000000001</v>
          </cell>
          <cell r="R268" t="e">
            <v>#N/A</v>
          </cell>
        </row>
        <row r="269">
          <cell r="A269">
            <v>39857</v>
          </cell>
          <cell r="B269">
            <v>39857</v>
          </cell>
          <cell r="C269" t="str">
            <v>Past</v>
          </cell>
          <cell r="D269">
            <v>37.159999999999997</v>
          </cell>
          <cell r="E269" t="e">
            <v>#N/A</v>
          </cell>
          <cell r="F269" t="e">
            <v>#N/A</v>
          </cell>
          <cell r="G269" t="e">
            <v>#N/A</v>
          </cell>
          <cell r="H269" t="e">
            <v>#N/A</v>
          </cell>
          <cell r="I269" t="e">
            <v>#N/A</v>
          </cell>
          <cell r="J269" t="e">
            <v>#N/A</v>
          </cell>
          <cell r="K269" t="e">
            <v>#N/A</v>
          </cell>
          <cell r="L269" t="e">
            <v>#N/A</v>
          </cell>
          <cell r="M269" t="e">
            <v>#N/A</v>
          </cell>
          <cell r="N269" t="e">
            <v>#N/A</v>
          </cell>
          <cell r="O269" t="e">
            <v>#N/A</v>
          </cell>
          <cell r="P269">
            <v>37.159999999999997</v>
          </cell>
          <cell r="Q269">
            <v>1.2079569999999999</v>
          </cell>
          <cell r="R269" t="e">
            <v>#N/A</v>
          </cell>
        </row>
        <row r="270">
          <cell r="A270">
            <v>39861</v>
          </cell>
          <cell r="B270">
            <v>39861</v>
          </cell>
          <cell r="C270" t="str">
            <v>Past</v>
          </cell>
          <cell r="D270">
            <v>35.68</v>
          </cell>
          <cell r="E270" t="e">
            <v>#N/A</v>
          </cell>
          <cell r="F270" t="e">
            <v>#N/A</v>
          </cell>
          <cell r="G270" t="e">
            <v>#N/A</v>
          </cell>
          <cell r="H270" t="e">
            <v>#N/A</v>
          </cell>
          <cell r="I270" t="e">
            <v>#N/A</v>
          </cell>
          <cell r="J270" t="e">
            <v>#N/A</v>
          </cell>
          <cell r="K270" t="e">
            <v>#N/A</v>
          </cell>
          <cell r="L270" t="e">
            <v>#N/A</v>
          </cell>
          <cell r="M270" t="e">
            <v>#N/A</v>
          </cell>
          <cell r="N270" t="e">
            <v>#N/A</v>
          </cell>
          <cell r="O270" t="e">
            <v>#N/A</v>
          </cell>
          <cell r="P270">
            <v>35.68</v>
          </cell>
          <cell r="Q270">
            <v>1.8728529999999999</v>
          </cell>
          <cell r="R270" t="e">
            <v>#N/A</v>
          </cell>
        </row>
        <row r="271">
          <cell r="A271">
            <v>39862</v>
          </cell>
          <cell r="B271">
            <v>39862</v>
          </cell>
          <cell r="C271" t="str">
            <v>Past</v>
          </cell>
          <cell r="D271">
            <v>35.82</v>
          </cell>
          <cell r="E271" t="e">
            <v>#N/A</v>
          </cell>
          <cell r="F271" t="e">
            <v>#N/A</v>
          </cell>
          <cell r="G271" t="e">
            <v>#N/A</v>
          </cell>
          <cell r="H271" t="e">
            <v>#N/A</v>
          </cell>
          <cell r="I271" t="e">
            <v>#N/A</v>
          </cell>
          <cell r="J271" t="e">
            <v>#N/A</v>
          </cell>
          <cell r="K271" t="e">
            <v>#N/A</v>
          </cell>
          <cell r="L271" t="e">
            <v>#N/A</v>
          </cell>
          <cell r="M271" t="e">
            <v>#N/A</v>
          </cell>
          <cell r="N271" t="e">
            <v>#N/A</v>
          </cell>
          <cell r="O271" t="e">
            <v>#N/A</v>
          </cell>
          <cell r="P271">
            <v>35.82</v>
          </cell>
          <cell r="Q271">
            <v>1.7947139999999999</v>
          </cell>
          <cell r="R271" t="e">
            <v>#N/A</v>
          </cell>
        </row>
        <row r="272">
          <cell r="A272">
            <v>39863</v>
          </cell>
          <cell r="B272">
            <v>39863</v>
          </cell>
          <cell r="C272" t="str">
            <v>Past</v>
          </cell>
          <cell r="D272">
            <v>35.83</v>
          </cell>
          <cell r="E272" t="e">
            <v>#N/A</v>
          </cell>
          <cell r="F272" t="e">
            <v>#N/A</v>
          </cell>
          <cell r="G272" t="e">
            <v>#N/A</v>
          </cell>
          <cell r="H272" t="e">
            <v>#N/A</v>
          </cell>
          <cell r="I272" t="e">
            <v>#N/A</v>
          </cell>
          <cell r="J272" t="e">
            <v>#N/A</v>
          </cell>
          <cell r="K272" t="e">
            <v>#N/A</v>
          </cell>
          <cell r="L272" t="e">
            <v>#N/A</v>
          </cell>
          <cell r="M272" t="e">
            <v>#N/A</v>
          </cell>
          <cell r="N272" t="e">
            <v>#N/A</v>
          </cell>
          <cell r="O272" t="e">
            <v>#N/A</v>
          </cell>
          <cell r="P272">
            <v>35.83</v>
          </cell>
          <cell r="Q272">
            <v>1.442469</v>
          </cell>
          <cell r="R272" t="e">
            <v>#N/A</v>
          </cell>
        </row>
        <row r="273">
          <cell r="A273">
            <v>39864</v>
          </cell>
          <cell r="B273">
            <v>39864</v>
          </cell>
          <cell r="C273" t="str">
            <v>Past</v>
          </cell>
          <cell r="D273">
            <v>35.049999999999997</v>
          </cell>
          <cell r="E273" t="e">
            <v>#N/A</v>
          </cell>
          <cell r="F273" t="e">
            <v>#N/A</v>
          </cell>
          <cell r="G273" t="e">
            <v>#N/A</v>
          </cell>
          <cell r="H273" t="e">
            <v>#N/A</v>
          </cell>
          <cell r="I273" t="e">
            <v>#N/A</v>
          </cell>
          <cell r="J273" t="e">
            <v>#N/A</v>
          </cell>
          <cell r="K273" t="e">
            <v>#N/A</v>
          </cell>
          <cell r="L273" t="e">
            <v>#N/A</v>
          </cell>
          <cell r="M273" t="e">
            <v>#N/A</v>
          </cell>
          <cell r="N273" t="e">
            <v>#N/A</v>
          </cell>
          <cell r="O273" t="e">
            <v>#N/A</v>
          </cell>
          <cell r="P273">
            <v>35.049999999999997</v>
          </cell>
          <cell r="Q273">
            <v>2.6777120000000001</v>
          </cell>
          <cell r="R273" t="e">
            <v>#N/A</v>
          </cell>
        </row>
        <row r="274">
          <cell r="A274">
            <v>39867</v>
          </cell>
          <cell r="B274">
            <v>39867</v>
          </cell>
          <cell r="C274" t="str">
            <v>Past</v>
          </cell>
          <cell r="D274">
            <v>33.880000000000003</v>
          </cell>
          <cell r="E274" t="e">
            <v>#N/A</v>
          </cell>
          <cell r="F274" t="e">
            <v>#N/A</v>
          </cell>
          <cell r="G274" t="e">
            <v>#N/A</v>
          </cell>
          <cell r="H274" t="e">
            <v>#N/A</v>
          </cell>
          <cell r="I274" t="e">
            <v>#N/A</v>
          </cell>
          <cell r="J274" t="e">
            <v>#N/A</v>
          </cell>
          <cell r="K274" t="e">
            <v>#N/A</v>
          </cell>
          <cell r="L274" t="e">
            <v>#N/A</v>
          </cell>
          <cell r="M274" t="e">
            <v>#N/A</v>
          </cell>
          <cell r="N274" t="e">
            <v>#N/A</v>
          </cell>
          <cell r="O274" t="e">
            <v>#N/A</v>
          </cell>
          <cell r="P274">
            <v>33.880000000000003</v>
          </cell>
          <cell r="Q274">
            <v>2.025531</v>
          </cell>
          <cell r="R274" t="e">
            <v>#N/A</v>
          </cell>
        </row>
        <row r="275">
          <cell r="A275">
            <v>39868</v>
          </cell>
          <cell r="B275">
            <v>39868</v>
          </cell>
          <cell r="C275" t="str">
            <v>Past</v>
          </cell>
          <cell r="D275">
            <v>34.549999999999997</v>
          </cell>
          <cell r="E275" t="e">
            <v>#N/A</v>
          </cell>
          <cell r="F275" t="e">
            <v>#N/A</v>
          </cell>
          <cell r="G275" t="e">
            <v>#N/A</v>
          </cell>
          <cell r="H275" t="e">
            <v>#N/A</v>
          </cell>
          <cell r="I275" t="e">
            <v>#N/A</v>
          </cell>
          <cell r="J275" t="e">
            <v>#N/A</v>
          </cell>
          <cell r="K275" t="e">
            <v>#N/A</v>
          </cell>
          <cell r="L275" t="e">
            <v>#N/A</v>
          </cell>
          <cell r="M275" t="e">
            <v>#N/A</v>
          </cell>
          <cell r="N275" t="e">
            <v>#N/A</v>
          </cell>
          <cell r="O275" t="e">
            <v>#N/A</v>
          </cell>
          <cell r="P275">
            <v>34.549999999999997</v>
          </cell>
          <cell r="Q275">
            <v>1.599594</v>
          </cell>
          <cell r="R275" t="e">
            <v>#N/A</v>
          </cell>
        </row>
        <row r="276">
          <cell r="A276">
            <v>39869</v>
          </cell>
          <cell r="B276">
            <v>39869</v>
          </cell>
          <cell r="C276" t="str">
            <v>Past</v>
          </cell>
          <cell r="D276">
            <v>33.18</v>
          </cell>
          <cell r="E276" t="e">
            <v>#N/A</v>
          </cell>
          <cell r="F276" t="e">
            <v>#N/A</v>
          </cell>
          <cell r="G276" t="e">
            <v>#N/A</v>
          </cell>
          <cell r="H276" t="e">
            <v>#N/A</v>
          </cell>
          <cell r="I276" t="e">
            <v>#N/A</v>
          </cell>
          <cell r="J276" t="e">
            <v>#N/A</v>
          </cell>
          <cell r="K276" t="e">
            <v>#N/A</v>
          </cell>
          <cell r="L276" t="e">
            <v>#N/A</v>
          </cell>
          <cell r="M276" t="e">
            <v>#N/A</v>
          </cell>
          <cell r="N276" t="e">
            <v>#N/A</v>
          </cell>
          <cell r="O276" t="e">
            <v>#N/A</v>
          </cell>
          <cell r="P276">
            <v>33.18</v>
          </cell>
          <cell r="Q276">
            <v>1.4807700000000001</v>
          </cell>
          <cell r="R276" t="e">
            <v>#N/A</v>
          </cell>
        </row>
        <row r="277">
          <cell r="A277">
            <v>39870</v>
          </cell>
          <cell r="B277">
            <v>39870</v>
          </cell>
          <cell r="C277" t="str">
            <v>Past</v>
          </cell>
          <cell r="D277">
            <v>32.229999999999997</v>
          </cell>
          <cell r="E277" t="e">
            <v>#N/A</v>
          </cell>
          <cell r="F277" t="e">
            <v>#N/A</v>
          </cell>
          <cell r="G277" t="e">
            <v>#N/A</v>
          </cell>
          <cell r="H277" t="e">
            <v>#N/A</v>
          </cell>
          <cell r="I277" t="e">
            <v>#N/A</v>
          </cell>
          <cell r="J277" t="e">
            <v>#N/A</v>
          </cell>
          <cell r="K277" t="e">
            <v>#N/A</v>
          </cell>
          <cell r="L277" t="e">
            <v>#N/A</v>
          </cell>
          <cell r="M277" t="e">
            <v>#N/A</v>
          </cell>
          <cell r="N277" t="e">
            <v>#N/A</v>
          </cell>
          <cell r="O277" t="e">
            <v>#N/A</v>
          </cell>
          <cell r="P277">
            <v>32.229999999999997</v>
          </cell>
          <cell r="Q277">
            <v>1.687538</v>
          </cell>
          <cell r="R277" t="e">
            <v>#N/A</v>
          </cell>
        </row>
        <row r="278">
          <cell r="A278">
            <v>39871</v>
          </cell>
          <cell r="B278">
            <v>39871</v>
          </cell>
          <cell r="C278" t="str">
            <v>Past</v>
          </cell>
          <cell r="D278">
            <v>31.2</v>
          </cell>
          <cell r="E278" t="e">
            <v>#N/A</v>
          </cell>
          <cell r="F278" t="e">
            <v>#N/A</v>
          </cell>
          <cell r="G278" t="e">
            <v>#N/A</v>
          </cell>
          <cell r="H278" t="e">
            <v>#N/A</v>
          </cell>
          <cell r="I278" t="e">
            <v>#N/A</v>
          </cell>
          <cell r="J278" t="e">
            <v>#N/A</v>
          </cell>
          <cell r="K278" t="e">
            <v>#N/A</v>
          </cell>
          <cell r="L278" t="e">
            <v>#N/A</v>
          </cell>
          <cell r="M278" t="e">
            <v>#N/A</v>
          </cell>
          <cell r="N278" t="e">
            <v>#N/A</v>
          </cell>
          <cell r="O278" t="e">
            <v>#N/A</v>
          </cell>
          <cell r="P278">
            <v>31.2</v>
          </cell>
          <cell r="Q278">
            <v>1.685773</v>
          </cell>
          <cell r="R278" t="e">
            <v>#N/A</v>
          </cell>
        </row>
        <row r="279">
          <cell r="A279">
            <v>39874</v>
          </cell>
          <cell r="B279">
            <v>39874</v>
          </cell>
          <cell r="C279" t="str">
            <v>Past</v>
          </cell>
          <cell r="D279">
            <v>29.01</v>
          </cell>
          <cell r="E279" t="e">
            <v>#N/A</v>
          </cell>
          <cell r="F279" t="e">
            <v>#N/A</v>
          </cell>
          <cell r="G279" t="e">
            <v>#N/A</v>
          </cell>
          <cell r="H279" t="e">
            <v>#N/A</v>
          </cell>
          <cell r="I279" t="e">
            <v>#N/A</v>
          </cell>
          <cell r="J279" t="e">
            <v>#N/A</v>
          </cell>
          <cell r="K279" t="e">
            <v>#N/A</v>
          </cell>
          <cell r="L279" t="e">
            <v>#N/A</v>
          </cell>
          <cell r="M279" t="e">
            <v>#N/A</v>
          </cell>
          <cell r="N279" t="e">
            <v>#N/A</v>
          </cell>
          <cell r="O279" t="e">
            <v>#N/A</v>
          </cell>
          <cell r="P279">
            <v>29.01</v>
          </cell>
          <cell r="Q279">
            <v>2.231986</v>
          </cell>
          <cell r="R279" t="e">
            <v>#N/A</v>
          </cell>
        </row>
        <row r="280">
          <cell r="A280">
            <v>39875</v>
          </cell>
          <cell r="B280">
            <v>39875</v>
          </cell>
          <cell r="C280" t="str">
            <v>Past</v>
          </cell>
          <cell r="D280">
            <v>28.76</v>
          </cell>
          <cell r="E280" t="e">
            <v>#N/A</v>
          </cell>
          <cell r="F280" t="e">
            <v>#N/A</v>
          </cell>
          <cell r="G280" t="e">
            <v>#N/A</v>
          </cell>
          <cell r="H280" t="e">
            <v>#N/A</v>
          </cell>
          <cell r="I280" t="e">
            <v>#N/A</v>
          </cell>
          <cell r="J280" t="e">
            <v>#N/A</v>
          </cell>
          <cell r="K280" t="e">
            <v>#N/A</v>
          </cell>
          <cell r="L280" t="e">
            <v>#N/A</v>
          </cell>
          <cell r="M280" t="e">
            <v>#N/A</v>
          </cell>
          <cell r="N280" t="e">
            <v>#N/A</v>
          </cell>
          <cell r="O280" t="e">
            <v>#N/A</v>
          </cell>
          <cell r="P280">
            <v>28.76</v>
          </cell>
          <cell r="Q280">
            <v>2.2519549999999997</v>
          </cell>
          <cell r="R280" t="e">
            <v>#N/A</v>
          </cell>
        </row>
        <row r="281">
          <cell r="A281">
            <v>39876</v>
          </cell>
          <cell r="B281">
            <v>39876</v>
          </cell>
          <cell r="C281" t="str">
            <v>Past</v>
          </cell>
          <cell r="D281">
            <v>29.63</v>
          </cell>
          <cell r="E281" t="e">
            <v>#N/A</v>
          </cell>
          <cell r="F281" t="e">
            <v>#N/A</v>
          </cell>
          <cell r="G281" t="e">
            <v>#N/A</v>
          </cell>
          <cell r="H281" t="e">
            <v>#N/A</v>
          </cell>
          <cell r="I281" t="e">
            <v>#N/A</v>
          </cell>
          <cell r="J281" t="e">
            <v>#N/A</v>
          </cell>
          <cell r="K281" t="e">
            <v>#N/A</v>
          </cell>
          <cell r="L281" t="e">
            <v>#N/A</v>
          </cell>
          <cell r="M281" t="e">
            <v>#N/A</v>
          </cell>
          <cell r="N281" t="e">
            <v>#N/A</v>
          </cell>
          <cell r="O281" t="e">
            <v>#N/A</v>
          </cell>
          <cell r="P281">
            <v>29.63</v>
          </cell>
          <cell r="Q281">
            <v>1.6556869999999999</v>
          </cell>
          <cell r="R281" t="e">
            <v>#N/A</v>
          </cell>
        </row>
        <row r="282">
          <cell r="A282">
            <v>39877</v>
          </cell>
          <cell r="B282">
            <v>39877</v>
          </cell>
          <cell r="C282" t="str">
            <v>Past</v>
          </cell>
          <cell r="D282">
            <v>27.97</v>
          </cell>
          <cell r="E282" t="e">
            <v>#N/A</v>
          </cell>
          <cell r="F282" t="e">
            <v>#N/A</v>
          </cell>
          <cell r="G282" t="e">
            <v>#N/A</v>
          </cell>
          <cell r="H282" t="e">
            <v>#N/A</v>
          </cell>
          <cell r="I282" t="e">
            <v>#N/A</v>
          </cell>
          <cell r="J282" t="e">
            <v>#N/A</v>
          </cell>
          <cell r="K282" t="e">
            <v>#N/A</v>
          </cell>
          <cell r="L282" t="e">
            <v>#N/A</v>
          </cell>
          <cell r="M282" t="e">
            <v>#N/A</v>
          </cell>
          <cell r="N282" t="e">
            <v>#N/A</v>
          </cell>
          <cell r="O282" t="e">
            <v>#N/A</v>
          </cell>
          <cell r="P282">
            <v>27.97</v>
          </cell>
          <cell r="Q282">
            <v>1.9948900000000003</v>
          </cell>
          <cell r="R282" t="e">
            <v>#N/A</v>
          </cell>
        </row>
        <row r="283">
          <cell r="A283">
            <v>39878</v>
          </cell>
          <cell r="B283">
            <v>39878</v>
          </cell>
          <cell r="C283" t="str">
            <v>Past</v>
          </cell>
          <cell r="D283">
            <v>28.35</v>
          </cell>
          <cell r="E283" t="e">
            <v>#N/A</v>
          </cell>
          <cell r="F283" t="e">
            <v>#N/A</v>
          </cell>
          <cell r="G283" t="e">
            <v>#N/A</v>
          </cell>
          <cell r="H283" t="e">
            <v>#N/A</v>
          </cell>
          <cell r="I283" t="e">
            <v>#N/A</v>
          </cell>
          <cell r="J283" t="e">
            <v>#N/A</v>
          </cell>
          <cell r="K283" t="e">
            <v>#N/A</v>
          </cell>
          <cell r="L283" t="e">
            <v>#N/A</v>
          </cell>
          <cell r="M283" t="e">
            <v>#N/A</v>
          </cell>
          <cell r="N283" t="e">
            <v>#N/A</v>
          </cell>
          <cell r="O283" t="e">
            <v>#N/A</v>
          </cell>
          <cell r="P283">
            <v>28.35</v>
          </cell>
          <cell r="Q283">
            <v>2.2119</v>
          </cell>
          <cell r="R283" t="e">
            <v>#N/A</v>
          </cell>
        </row>
        <row r="284">
          <cell r="A284">
            <v>39881</v>
          </cell>
          <cell r="B284">
            <v>39881</v>
          </cell>
          <cell r="C284" t="str">
            <v>Past</v>
          </cell>
          <cell r="D284">
            <v>27.85</v>
          </cell>
          <cell r="E284" t="e">
            <v>#N/A</v>
          </cell>
          <cell r="F284" t="e">
            <v>#N/A</v>
          </cell>
          <cell r="G284" t="e">
            <v>#N/A</v>
          </cell>
          <cell r="H284" t="e">
            <v>#N/A</v>
          </cell>
          <cell r="I284" t="e">
            <v>#N/A</v>
          </cell>
          <cell r="J284" t="e">
            <v>#N/A</v>
          </cell>
          <cell r="K284" t="e">
            <v>#N/A</v>
          </cell>
          <cell r="L284" t="e">
            <v>#N/A</v>
          </cell>
          <cell r="M284" t="e">
            <v>#N/A</v>
          </cell>
          <cell r="N284" t="e">
            <v>#N/A</v>
          </cell>
          <cell r="O284" t="e">
            <v>#N/A</v>
          </cell>
          <cell r="P284">
            <v>27.85</v>
          </cell>
          <cell r="Q284">
            <v>1.2486159999999999</v>
          </cell>
          <cell r="R284" t="e">
            <v>#N/A</v>
          </cell>
        </row>
        <row r="285">
          <cell r="A285">
            <v>39882</v>
          </cell>
          <cell r="B285">
            <v>39882</v>
          </cell>
          <cell r="C285" t="str">
            <v>Past</v>
          </cell>
          <cell r="D285">
            <v>29.83</v>
          </cell>
          <cell r="E285" t="e">
            <v>#N/A</v>
          </cell>
          <cell r="F285" t="e">
            <v>#N/A</v>
          </cell>
          <cell r="G285" t="e">
            <v>#N/A</v>
          </cell>
          <cell r="H285" t="e">
            <v>#N/A</v>
          </cell>
          <cell r="I285" t="e">
            <v>#N/A</v>
          </cell>
          <cell r="J285" t="e">
            <v>#N/A</v>
          </cell>
          <cell r="K285" t="e">
            <v>#N/A</v>
          </cell>
          <cell r="L285" t="e">
            <v>#N/A</v>
          </cell>
          <cell r="M285" t="e">
            <v>#N/A</v>
          </cell>
          <cell r="N285" t="e">
            <v>#N/A</v>
          </cell>
          <cell r="O285" t="e">
            <v>#N/A</v>
          </cell>
          <cell r="P285">
            <v>29.83</v>
          </cell>
          <cell r="Q285">
            <v>2.1134109999999997</v>
          </cell>
          <cell r="R285" t="e">
            <v>#N/A</v>
          </cell>
        </row>
        <row r="286">
          <cell r="A286">
            <v>39883</v>
          </cell>
          <cell r="B286">
            <v>39883</v>
          </cell>
          <cell r="C286" t="str">
            <v>Past</v>
          </cell>
          <cell r="D286">
            <v>30.2</v>
          </cell>
          <cell r="E286" t="e">
            <v>#N/A</v>
          </cell>
          <cell r="F286" t="e">
            <v>#N/A</v>
          </cell>
          <cell r="G286" t="e">
            <v>#N/A</v>
          </cell>
          <cell r="H286" t="e">
            <v>#N/A</v>
          </cell>
          <cell r="I286" t="e">
            <v>#N/A</v>
          </cell>
          <cell r="J286" t="e">
            <v>#N/A</v>
          </cell>
          <cell r="K286" t="e">
            <v>#N/A</v>
          </cell>
          <cell r="L286" t="e">
            <v>#N/A</v>
          </cell>
          <cell r="M286" t="e">
            <v>#N/A</v>
          </cell>
          <cell r="N286" t="e">
            <v>#N/A</v>
          </cell>
          <cell r="O286" t="e">
            <v>#N/A</v>
          </cell>
          <cell r="P286">
            <v>30.2</v>
          </cell>
          <cell r="Q286">
            <v>1.464324</v>
          </cell>
          <cell r="R286" t="e">
            <v>#N/A</v>
          </cell>
        </row>
        <row r="287">
          <cell r="A287">
            <v>39884</v>
          </cell>
          <cell r="B287">
            <v>39884</v>
          </cell>
          <cell r="C287" t="str">
            <v>Past</v>
          </cell>
          <cell r="D287">
            <v>30.72</v>
          </cell>
          <cell r="E287" t="e">
            <v>#N/A</v>
          </cell>
          <cell r="F287" t="e">
            <v>#N/A</v>
          </cell>
          <cell r="G287" t="e">
            <v>#N/A</v>
          </cell>
          <cell r="H287" t="e">
            <v>#N/A</v>
          </cell>
          <cell r="I287" t="e">
            <v>#N/A</v>
          </cell>
          <cell r="J287" t="e">
            <v>#N/A</v>
          </cell>
          <cell r="K287" t="e">
            <v>#N/A</v>
          </cell>
          <cell r="L287" t="e">
            <v>#N/A</v>
          </cell>
          <cell r="M287" t="e">
            <v>#N/A</v>
          </cell>
          <cell r="N287" t="e">
            <v>#N/A</v>
          </cell>
          <cell r="O287" t="e">
            <v>#N/A</v>
          </cell>
          <cell r="P287">
            <v>30.72</v>
          </cell>
          <cell r="Q287">
            <v>1.5964179999999999</v>
          </cell>
          <cell r="R287" t="e">
            <v>#N/A</v>
          </cell>
        </row>
        <row r="288">
          <cell r="A288">
            <v>39885</v>
          </cell>
          <cell r="B288">
            <v>39885</v>
          </cell>
          <cell r="C288" t="str">
            <v>Past</v>
          </cell>
          <cell r="D288">
            <v>30.39</v>
          </cell>
          <cell r="E288" t="e">
            <v>#N/A</v>
          </cell>
          <cell r="F288" t="e">
            <v>#N/A</v>
          </cell>
          <cell r="G288" t="e">
            <v>#N/A</v>
          </cell>
          <cell r="H288" t="e">
            <v>#N/A</v>
          </cell>
          <cell r="I288" t="e">
            <v>#N/A</v>
          </cell>
          <cell r="J288" t="e">
            <v>#N/A</v>
          </cell>
          <cell r="K288" t="e">
            <v>#N/A</v>
          </cell>
          <cell r="L288" t="e">
            <v>#N/A</v>
          </cell>
          <cell r="M288" t="e">
            <v>#N/A</v>
          </cell>
          <cell r="N288" t="e">
            <v>#N/A</v>
          </cell>
          <cell r="O288" t="e">
            <v>#N/A</v>
          </cell>
          <cell r="P288">
            <v>30.39</v>
          </cell>
          <cell r="Q288">
            <v>1.23434</v>
          </cell>
          <cell r="R288" t="e">
            <v>#N/A</v>
          </cell>
        </row>
        <row r="289">
          <cell r="A289">
            <v>39888</v>
          </cell>
          <cell r="B289">
            <v>39888</v>
          </cell>
          <cell r="C289" t="str">
            <v>Past</v>
          </cell>
          <cell r="D289">
            <v>31.06</v>
          </cell>
          <cell r="E289" t="e">
            <v>#N/A</v>
          </cell>
          <cell r="F289" t="e">
            <v>#N/A</v>
          </cell>
          <cell r="G289" t="e">
            <v>#N/A</v>
          </cell>
          <cell r="H289" t="e">
            <v>#N/A</v>
          </cell>
          <cell r="I289" t="e">
            <v>#N/A</v>
          </cell>
          <cell r="J289" t="e">
            <v>#N/A</v>
          </cell>
          <cell r="K289" t="e">
            <v>#N/A</v>
          </cell>
          <cell r="L289" t="e">
            <v>#N/A</v>
          </cell>
          <cell r="M289" t="e">
            <v>#N/A</v>
          </cell>
          <cell r="N289" t="e">
            <v>#N/A</v>
          </cell>
          <cell r="O289" t="e">
            <v>#N/A</v>
          </cell>
          <cell r="P289">
            <v>31.06</v>
          </cell>
          <cell r="Q289">
            <v>2.469805</v>
          </cell>
          <cell r="R289" t="e">
            <v>#N/A</v>
          </cell>
        </row>
        <row r="290">
          <cell r="A290">
            <v>39889</v>
          </cell>
          <cell r="B290">
            <v>39889</v>
          </cell>
          <cell r="C290" t="str">
            <v>Past</v>
          </cell>
          <cell r="D290">
            <v>31.79</v>
          </cell>
          <cell r="E290" t="e">
            <v>#N/A</v>
          </cell>
          <cell r="F290" t="e">
            <v>#N/A</v>
          </cell>
          <cell r="G290" t="e">
            <v>#N/A</v>
          </cell>
          <cell r="H290" t="e">
            <v>#N/A</v>
          </cell>
          <cell r="I290" t="e">
            <v>#N/A</v>
          </cell>
          <cell r="J290" t="e">
            <v>#N/A</v>
          </cell>
          <cell r="K290" t="e">
            <v>#N/A</v>
          </cell>
          <cell r="L290" t="e">
            <v>#N/A</v>
          </cell>
          <cell r="M290" t="e">
            <v>#N/A</v>
          </cell>
          <cell r="N290" t="e">
            <v>#N/A</v>
          </cell>
          <cell r="O290" t="e">
            <v>#N/A</v>
          </cell>
          <cell r="P290">
            <v>31.79</v>
          </cell>
          <cell r="Q290">
            <v>1.6148359999999999</v>
          </cell>
          <cell r="R290" t="e">
            <v>#N/A</v>
          </cell>
        </row>
        <row r="291">
          <cell r="A291">
            <v>39890</v>
          </cell>
          <cell r="B291">
            <v>39890</v>
          </cell>
          <cell r="C291" t="str">
            <v>Past</v>
          </cell>
          <cell r="D291">
            <v>32.72</v>
          </cell>
          <cell r="E291" t="e">
            <v>#N/A</v>
          </cell>
          <cell r="F291" t="e">
            <v>#N/A</v>
          </cell>
          <cell r="G291" t="e">
            <v>#N/A</v>
          </cell>
          <cell r="H291" t="e">
            <v>#N/A</v>
          </cell>
          <cell r="I291" t="e">
            <v>#N/A</v>
          </cell>
          <cell r="J291" t="e">
            <v>#N/A</v>
          </cell>
          <cell r="K291" t="e">
            <v>#N/A</v>
          </cell>
          <cell r="L291" t="e">
            <v>#N/A</v>
          </cell>
          <cell r="M291" t="e">
            <v>#N/A</v>
          </cell>
          <cell r="N291" t="e">
            <v>#N/A</v>
          </cell>
          <cell r="O291" t="e">
            <v>#N/A</v>
          </cell>
          <cell r="P291">
            <v>32.72</v>
          </cell>
          <cell r="Q291">
            <v>1.9616849999999999</v>
          </cell>
          <cell r="R291" t="e">
            <v>#N/A</v>
          </cell>
        </row>
        <row r="292">
          <cell r="A292">
            <v>39891</v>
          </cell>
          <cell r="B292">
            <v>39891</v>
          </cell>
          <cell r="C292" t="str">
            <v>Past</v>
          </cell>
          <cell r="D292">
            <v>31.96</v>
          </cell>
          <cell r="E292" t="e">
            <v>#N/A</v>
          </cell>
          <cell r="F292" t="e">
            <v>#N/A</v>
          </cell>
          <cell r="G292" t="e">
            <v>#N/A</v>
          </cell>
          <cell r="H292" t="e">
            <v>#N/A</v>
          </cell>
          <cell r="I292" t="e">
            <v>#N/A</v>
          </cell>
          <cell r="J292" t="e">
            <v>#N/A</v>
          </cell>
          <cell r="K292" t="e">
            <v>#N/A</v>
          </cell>
          <cell r="L292" t="e">
            <v>#N/A</v>
          </cell>
          <cell r="M292" t="e">
            <v>#N/A</v>
          </cell>
          <cell r="N292" t="e">
            <v>#N/A</v>
          </cell>
          <cell r="O292" t="e">
            <v>#N/A</v>
          </cell>
          <cell r="P292">
            <v>31.96</v>
          </cell>
          <cell r="Q292">
            <v>1.6182200000000002</v>
          </cell>
          <cell r="R292" t="e">
            <v>#N/A</v>
          </cell>
        </row>
        <row r="293">
          <cell r="A293">
            <v>39892</v>
          </cell>
          <cell r="B293">
            <v>39892</v>
          </cell>
          <cell r="C293" t="str">
            <v>Past</v>
          </cell>
          <cell r="D293">
            <v>31.41</v>
          </cell>
          <cell r="E293" t="e">
            <v>#N/A</v>
          </cell>
          <cell r="F293" t="e">
            <v>#N/A</v>
          </cell>
          <cell r="G293" t="e">
            <v>#N/A</v>
          </cell>
          <cell r="H293" t="e">
            <v>#N/A</v>
          </cell>
          <cell r="I293" t="e">
            <v>#N/A</v>
          </cell>
          <cell r="J293" t="e">
            <v>#N/A</v>
          </cell>
          <cell r="K293" t="e">
            <v>#N/A</v>
          </cell>
          <cell r="L293" t="e">
            <v>#N/A</v>
          </cell>
          <cell r="M293" t="e">
            <v>#N/A</v>
          </cell>
          <cell r="N293" t="e">
            <v>#N/A</v>
          </cell>
          <cell r="O293" t="e">
            <v>#N/A</v>
          </cell>
          <cell r="P293">
            <v>31.41</v>
          </cell>
          <cell r="Q293">
            <v>2.0985969999999998</v>
          </cell>
          <cell r="R293" t="e">
            <v>#N/A</v>
          </cell>
        </row>
        <row r="294">
          <cell r="A294">
            <v>39895</v>
          </cell>
          <cell r="B294">
            <v>39895</v>
          </cell>
          <cell r="C294" t="str">
            <v>Past</v>
          </cell>
          <cell r="D294">
            <v>33.28</v>
          </cell>
          <cell r="E294" t="e">
            <v>#N/A</v>
          </cell>
          <cell r="F294" t="e">
            <v>#N/A</v>
          </cell>
          <cell r="G294" t="e">
            <v>#N/A</v>
          </cell>
          <cell r="H294" t="e">
            <v>#N/A</v>
          </cell>
          <cell r="I294" t="e">
            <v>#N/A</v>
          </cell>
          <cell r="J294" t="e">
            <v>#N/A</v>
          </cell>
          <cell r="K294" t="e">
            <v>#N/A</v>
          </cell>
          <cell r="L294" t="e">
            <v>#N/A</v>
          </cell>
          <cell r="M294" t="e">
            <v>#N/A</v>
          </cell>
          <cell r="N294" t="e">
            <v>#N/A</v>
          </cell>
          <cell r="O294" t="e">
            <v>#N/A</v>
          </cell>
          <cell r="P294">
            <v>33.28</v>
          </cell>
          <cell r="Q294">
            <v>1.4488939999999999</v>
          </cell>
          <cell r="R294" t="e">
            <v>#N/A</v>
          </cell>
        </row>
        <row r="295">
          <cell r="A295">
            <v>39896</v>
          </cell>
          <cell r="B295">
            <v>39896</v>
          </cell>
          <cell r="C295" t="str">
            <v>Past</v>
          </cell>
          <cell r="D295">
            <v>33.119999999999997</v>
          </cell>
          <cell r="E295" t="e">
            <v>#N/A</v>
          </cell>
          <cell r="F295" t="e">
            <v>#N/A</v>
          </cell>
          <cell r="G295" t="e">
            <v>#N/A</v>
          </cell>
          <cell r="H295" t="e">
            <v>#N/A</v>
          </cell>
          <cell r="I295" t="e">
            <v>#N/A</v>
          </cell>
          <cell r="J295" t="e">
            <v>#N/A</v>
          </cell>
          <cell r="K295" t="e">
            <v>#N/A</v>
          </cell>
          <cell r="L295" t="e">
            <v>#N/A</v>
          </cell>
          <cell r="M295" t="e">
            <v>#N/A</v>
          </cell>
          <cell r="N295" t="e">
            <v>#N/A</v>
          </cell>
          <cell r="O295" t="e">
            <v>#N/A</v>
          </cell>
          <cell r="P295">
            <v>33.119999999999997</v>
          </cell>
          <cell r="Q295">
            <v>1.1372449999999998</v>
          </cell>
          <cell r="R295" t="e">
            <v>#N/A</v>
          </cell>
        </row>
        <row r="296">
          <cell r="A296">
            <v>39897</v>
          </cell>
          <cell r="B296">
            <v>39897</v>
          </cell>
          <cell r="C296" t="str">
            <v>Past</v>
          </cell>
          <cell r="D296">
            <v>33.69</v>
          </cell>
          <cell r="E296" t="e">
            <v>#N/A</v>
          </cell>
          <cell r="F296" t="e">
            <v>#N/A</v>
          </cell>
          <cell r="G296" t="e">
            <v>#N/A</v>
          </cell>
          <cell r="H296" t="e">
            <v>#N/A</v>
          </cell>
          <cell r="I296" t="e">
            <v>#N/A</v>
          </cell>
          <cell r="J296" t="e">
            <v>#N/A</v>
          </cell>
          <cell r="K296" t="e">
            <v>#N/A</v>
          </cell>
          <cell r="L296" t="e">
            <v>#N/A</v>
          </cell>
          <cell r="M296" t="e">
            <v>#N/A</v>
          </cell>
          <cell r="N296" t="e">
            <v>#N/A</v>
          </cell>
          <cell r="O296" t="e">
            <v>#N/A</v>
          </cell>
          <cell r="P296">
            <v>33.69</v>
          </cell>
          <cell r="Q296">
            <v>1.103453</v>
          </cell>
          <cell r="R296" t="e">
            <v>#N/A</v>
          </cell>
        </row>
        <row r="297">
          <cell r="A297">
            <v>39898</v>
          </cell>
          <cell r="B297">
            <v>39898</v>
          </cell>
          <cell r="C297" t="str">
            <v>Past</v>
          </cell>
          <cell r="D297">
            <v>35.049999999999997</v>
          </cell>
          <cell r="E297" t="e">
            <v>#N/A</v>
          </cell>
          <cell r="F297" t="e">
            <v>#N/A</v>
          </cell>
          <cell r="G297" t="e">
            <v>#N/A</v>
          </cell>
          <cell r="H297" t="e">
            <v>#N/A</v>
          </cell>
          <cell r="I297" t="e">
            <v>#N/A</v>
          </cell>
          <cell r="J297" t="e">
            <v>#N/A</v>
          </cell>
          <cell r="K297" t="e">
            <v>#N/A</v>
          </cell>
          <cell r="L297" t="e">
            <v>#N/A</v>
          </cell>
          <cell r="M297" t="e">
            <v>#N/A</v>
          </cell>
          <cell r="N297" t="e">
            <v>#N/A</v>
          </cell>
          <cell r="O297" t="e">
            <v>#N/A</v>
          </cell>
          <cell r="P297">
            <v>35.049999999999997</v>
          </cell>
          <cell r="Q297">
            <v>1.1910049999999999</v>
          </cell>
          <cell r="R297" t="e">
            <v>#N/A</v>
          </cell>
        </row>
        <row r="298">
          <cell r="A298">
            <v>39899</v>
          </cell>
          <cell r="B298">
            <v>39899</v>
          </cell>
          <cell r="C298" t="str">
            <v>Past</v>
          </cell>
          <cell r="D298">
            <v>33.96</v>
          </cell>
          <cell r="E298" t="e">
            <v>#N/A</v>
          </cell>
          <cell r="F298" t="e">
            <v>#N/A</v>
          </cell>
          <cell r="G298" t="e">
            <v>#N/A</v>
          </cell>
          <cell r="H298" t="e">
            <v>#N/A</v>
          </cell>
          <cell r="I298" t="e">
            <v>#N/A</v>
          </cell>
          <cell r="J298" t="e">
            <v>#N/A</v>
          </cell>
          <cell r="K298" t="e">
            <v>#N/A</v>
          </cell>
          <cell r="L298" t="e">
            <v>#N/A</v>
          </cell>
          <cell r="M298" t="e">
            <v>#N/A</v>
          </cell>
          <cell r="N298" t="e">
            <v>#N/A</v>
          </cell>
          <cell r="O298" t="e">
            <v>#N/A</v>
          </cell>
          <cell r="P298">
            <v>33.96</v>
          </cell>
          <cell r="Q298">
            <v>1.0635029999999999</v>
          </cell>
          <cell r="R298" t="e">
            <v>#N/A</v>
          </cell>
        </row>
        <row r="299">
          <cell r="A299">
            <v>39902</v>
          </cell>
          <cell r="B299">
            <v>39902</v>
          </cell>
          <cell r="C299" t="str">
            <v>Past</v>
          </cell>
          <cell r="D299">
            <v>32.409999999999997</v>
          </cell>
          <cell r="E299" t="e">
            <v>#N/A</v>
          </cell>
          <cell r="F299" t="e">
            <v>#N/A</v>
          </cell>
          <cell r="G299" t="e">
            <v>#N/A</v>
          </cell>
          <cell r="H299" t="e">
            <v>#N/A</v>
          </cell>
          <cell r="I299" t="e">
            <v>#N/A</v>
          </cell>
          <cell r="J299" t="e">
            <v>#N/A</v>
          </cell>
          <cell r="K299" t="e">
            <v>#N/A</v>
          </cell>
          <cell r="L299" t="e">
            <v>#N/A</v>
          </cell>
          <cell r="M299" t="e">
            <v>#N/A</v>
          </cell>
          <cell r="N299" t="e">
            <v>#N/A</v>
          </cell>
          <cell r="O299" t="e">
            <v>#N/A</v>
          </cell>
          <cell r="P299">
            <v>32.409999999999997</v>
          </cell>
          <cell r="Q299">
            <v>1.3020419999999999</v>
          </cell>
          <cell r="R299" t="e">
            <v>#N/A</v>
          </cell>
        </row>
        <row r="300">
          <cell r="A300">
            <v>39903</v>
          </cell>
          <cell r="B300">
            <v>39903</v>
          </cell>
          <cell r="C300" t="str">
            <v>Past</v>
          </cell>
          <cell r="D300">
            <v>32.64</v>
          </cell>
          <cell r="E300" t="e">
            <v>#N/A</v>
          </cell>
          <cell r="F300" t="e">
            <v>#N/A</v>
          </cell>
          <cell r="G300" t="e">
            <v>#N/A</v>
          </cell>
          <cell r="H300" t="e">
            <v>#N/A</v>
          </cell>
          <cell r="I300" t="e">
            <v>#N/A</v>
          </cell>
          <cell r="J300" t="e">
            <v>#N/A</v>
          </cell>
          <cell r="K300" t="e">
            <v>#N/A</v>
          </cell>
          <cell r="L300" t="e">
            <v>#N/A</v>
          </cell>
          <cell r="M300" t="e">
            <v>#N/A</v>
          </cell>
          <cell r="N300" t="e">
            <v>#N/A</v>
          </cell>
          <cell r="O300" t="e">
            <v>#N/A</v>
          </cell>
          <cell r="P300">
            <v>32.64</v>
          </cell>
          <cell r="Q300">
            <v>1.0424640000000001</v>
          </cell>
          <cell r="R300" t="e">
            <v>#N/A</v>
          </cell>
        </row>
        <row r="301">
          <cell r="A301">
            <v>39904</v>
          </cell>
          <cell r="B301">
            <v>39904</v>
          </cell>
          <cell r="C301" t="str">
            <v>Past</v>
          </cell>
          <cell r="D301">
            <v>33.049999999999997</v>
          </cell>
          <cell r="E301" t="e">
            <v>#N/A</v>
          </cell>
          <cell r="F301" t="e">
            <v>#N/A</v>
          </cell>
          <cell r="G301" t="e">
            <v>#N/A</v>
          </cell>
          <cell r="H301" t="e">
            <v>#N/A</v>
          </cell>
          <cell r="I301" t="e">
            <v>#N/A</v>
          </cell>
          <cell r="J301" t="e">
            <v>#N/A</v>
          </cell>
          <cell r="K301" t="e">
            <v>#N/A</v>
          </cell>
          <cell r="L301" t="e">
            <v>#N/A</v>
          </cell>
          <cell r="M301" t="e">
            <v>#N/A</v>
          </cell>
          <cell r="N301" t="e">
            <v>#N/A</v>
          </cell>
          <cell r="O301" t="e">
            <v>#N/A</v>
          </cell>
          <cell r="P301">
            <v>33.049999999999997</v>
          </cell>
          <cell r="Q301">
            <v>0.68434799999999996</v>
          </cell>
          <cell r="R301" t="e">
            <v>#N/A</v>
          </cell>
        </row>
        <row r="302">
          <cell r="A302">
            <v>39905</v>
          </cell>
          <cell r="B302">
            <v>39905</v>
          </cell>
          <cell r="C302" t="str">
            <v>Past</v>
          </cell>
          <cell r="D302">
            <v>34.46</v>
          </cell>
          <cell r="E302" t="e">
            <v>#N/A</v>
          </cell>
          <cell r="F302" t="e">
            <v>#N/A</v>
          </cell>
          <cell r="G302" t="e">
            <v>#N/A</v>
          </cell>
          <cell r="H302" t="e">
            <v>#N/A</v>
          </cell>
          <cell r="I302" t="e">
            <v>#N/A</v>
          </cell>
          <cell r="J302" t="e">
            <v>#N/A</v>
          </cell>
          <cell r="K302" t="e">
            <v>#N/A</v>
          </cell>
          <cell r="L302" t="e">
            <v>#N/A</v>
          </cell>
          <cell r="M302" t="e">
            <v>#N/A</v>
          </cell>
          <cell r="N302" t="e">
            <v>#N/A</v>
          </cell>
          <cell r="O302" t="e">
            <v>#N/A</v>
          </cell>
          <cell r="P302">
            <v>34.46</v>
          </cell>
          <cell r="Q302">
            <v>1.1556789999999999</v>
          </cell>
          <cell r="R302" t="e">
            <v>#N/A</v>
          </cell>
        </row>
        <row r="303">
          <cell r="A303">
            <v>39906</v>
          </cell>
          <cell r="B303">
            <v>39906</v>
          </cell>
          <cell r="C303" t="str">
            <v>Past</v>
          </cell>
          <cell r="D303">
            <v>33.630000000000003</v>
          </cell>
          <cell r="E303" t="e">
            <v>#N/A</v>
          </cell>
          <cell r="F303" t="e">
            <v>#N/A</v>
          </cell>
          <cell r="G303" t="e">
            <v>#N/A</v>
          </cell>
          <cell r="H303" t="e">
            <v>#N/A</v>
          </cell>
          <cell r="I303" t="e">
            <v>#N/A</v>
          </cell>
          <cell r="J303" t="e">
            <v>#N/A</v>
          </cell>
          <cell r="K303" t="e">
            <v>#N/A</v>
          </cell>
          <cell r="L303" t="e">
            <v>#N/A</v>
          </cell>
          <cell r="M303" t="e">
            <v>#N/A</v>
          </cell>
          <cell r="N303" t="e">
            <v>#N/A</v>
          </cell>
          <cell r="O303" t="e">
            <v>#N/A</v>
          </cell>
          <cell r="P303">
            <v>33.630000000000003</v>
          </cell>
          <cell r="Q303">
            <v>1.321304</v>
          </cell>
          <cell r="R303" t="e">
            <v>#N/A</v>
          </cell>
        </row>
        <row r="304">
          <cell r="A304">
            <v>39909</v>
          </cell>
          <cell r="B304">
            <v>39909</v>
          </cell>
          <cell r="C304" t="str">
            <v>Past</v>
          </cell>
          <cell r="D304">
            <v>34.14</v>
          </cell>
          <cell r="E304" t="e">
            <v>#N/A</v>
          </cell>
          <cell r="F304" t="e">
            <v>#N/A</v>
          </cell>
          <cell r="G304" t="e">
            <v>#N/A</v>
          </cell>
          <cell r="H304" t="e">
            <v>#N/A</v>
          </cell>
          <cell r="I304" t="e">
            <v>#N/A</v>
          </cell>
          <cell r="J304" t="e">
            <v>#N/A</v>
          </cell>
          <cell r="K304" t="e">
            <v>#N/A</v>
          </cell>
          <cell r="L304" t="e">
            <v>#N/A</v>
          </cell>
          <cell r="M304" t="e">
            <v>#N/A</v>
          </cell>
          <cell r="N304" t="e">
            <v>#N/A</v>
          </cell>
          <cell r="O304" t="e">
            <v>#N/A</v>
          </cell>
          <cell r="P304">
            <v>34.14</v>
          </cell>
          <cell r="Q304">
            <v>1.3123769999999999</v>
          </cell>
          <cell r="R304" t="e">
            <v>#N/A</v>
          </cell>
        </row>
        <row r="305">
          <cell r="A305">
            <v>39910</v>
          </cell>
          <cell r="B305">
            <v>39910</v>
          </cell>
          <cell r="C305" t="str">
            <v>Past</v>
          </cell>
          <cell r="D305">
            <v>33.39</v>
          </cell>
          <cell r="E305" t="e">
            <v>#N/A</v>
          </cell>
          <cell r="F305" t="e">
            <v>#N/A</v>
          </cell>
          <cell r="G305" t="e">
            <v>#N/A</v>
          </cell>
          <cell r="H305" t="e">
            <v>#N/A</v>
          </cell>
          <cell r="I305" t="e">
            <v>#N/A</v>
          </cell>
          <cell r="J305" t="e">
            <v>#N/A</v>
          </cell>
          <cell r="K305" t="e">
            <v>#N/A</v>
          </cell>
          <cell r="L305" t="e">
            <v>#N/A</v>
          </cell>
          <cell r="M305" t="e">
            <v>#N/A</v>
          </cell>
          <cell r="N305" t="e">
            <v>#N/A</v>
          </cell>
          <cell r="O305" t="e">
            <v>#N/A</v>
          </cell>
          <cell r="P305">
            <v>33.39</v>
          </cell>
          <cell r="Q305">
            <v>1.3610609999999999</v>
          </cell>
          <cell r="R305" t="e">
            <v>#N/A</v>
          </cell>
        </row>
        <row r="306">
          <cell r="A306">
            <v>39911</v>
          </cell>
          <cell r="B306">
            <v>39911</v>
          </cell>
          <cell r="C306" t="str">
            <v>Past</v>
          </cell>
          <cell r="D306">
            <v>33.72</v>
          </cell>
          <cell r="E306" t="e">
            <v>#N/A</v>
          </cell>
          <cell r="F306" t="e">
            <v>#N/A</v>
          </cell>
          <cell r="G306" t="e">
            <v>#N/A</v>
          </cell>
          <cell r="H306" t="e">
            <v>#N/A</v>
          </cell>
          <cell r="I306" t="e">
            <v>#N/A</v>
          </cell>
          <cell r="J306" t="e">
            <v>#N/A</v>
          </cell>
          <cell r="K306" t="e">
            <v>#N/A</v>
          </cell>
          <cell r="L306" t="e">
            <v>#N/A</v>
          </cell>
          <cell r="M306" t="e">
            <v>#N/A</v>
          </cell>
          <cell r="N306" t="e">
            <v>#N/A</v>
          </cell>
          <cell r="O306" t="e">
            <v>#N/A</v>
          </cell>
          <cell r="P306">
            <v>33.72</v>
          </cell>
          <cell r="Q306">
            <v>0.8842000000000001</v>
          </cell>
          <cell r="R306" t="e">
            <v>#N/A</v>
          </cell>
        </row>
        <row r="307">
          <cell r="A307">
            <v>39912</v>
          </cell>
          <cell r="B307">
            <v>39912</v>
          </cell>
          <cell r="C307" t="str">
            <v>Past</v>
          </cell>
          <cell r="D307">
            <v>35.159999999999997</v>
          </cell>
          <cell r="E307" t="e">
            <v>#N/A</v>
          </cell>
          <cell r="F307" t="e">
            <v>#N/A</v>
          </cell>
          <cell r="G307" t="e">
            <v>#N/A</v>
          </cell>
          <cell r="H307" t="e">
            <v>#N/A</v>
          </cell>
          <cell r="I307" t="e">
            <v>#N/A</v>
          </cell>
          <cell r="J307" t="e">
            <v>#N/A</v>
          </cell>
          <cell r="K307" t="e">
            <v>#N/A</v>
          </cell>
          <cell r="L307" t="e">
            <v>#N/A</v>
          </cell>
          <cell r="M307" t="e">
            <v>#N/A</v>
          </cell>
          <cell r="N307" t="e">
            <v>#N/A</v>
          </cell>
          <cell r="O307" t="e">
            <v>#N/A</v>
          </cell>
          <cell r="P307">
            <v>35.159999999999997</v>
          </cell>
          <cell r="Q307">
            <v>1.1407659999999999</v>
          </cell>
          <cell r="R307" t="e">
            <v>#N/A</v>
          </cell>
        </row>
        <row r="308">
          <cell r="A308">
            <v>39916</v>
          </cell>
          <cell r="B308">
            <v>39916</v>
          </cell>
          <cell r="C308" t="str">
            <v>Past</v>
          </cell>
          <cell r="D308">
            <v>34.15</v>
          </cell>
          <cell r="E308" t="e">
            <v>#N/A</v>
          </cell>
          <cell r="F308" t="e">
            <v>#N/A</v>
          </cell>
          <cell r="G308" t="e">
            <v>#N/A</v>
          </cell>
          <cell r="H308" t="e">
            <v>#N/A</v>
          </cell>
          <cell r="I308" t="e">
            <v>#N/A</v>
          </cell>
          <cell r="J308" t="e">
            <v>#N/A</v>
          </cell>
          <cell r="K308" t="e">
            <v>#N/A</v>
          </cell>
          <cell r="L308" t="e">
            <v>#N/A</v>
          </cell>
          <cell r="M308" t="e">
            <v>#N/A</v>
          </cell>
          <cell r="N308" t="e">
            <v>#N/A</v>
          </cell>
          <cell r="O308" t="e">
            <v>#N/A</v>
          </cell>
          <cell r="P308">
            <v>34.15</v>
          </cell>
          <cell r="Q308">
            <v>1.8393459999999999</v>
          </cell>
          <cell r="R308" t="e">
            <v>#N/A</v>
          </cell>
        </row>
        <row r="309">
          <cell r="A309">
            <v>39917</v>
          </cell>
          <cell r="B309">
            <v>39917</v>
          </cell>
          <cell r="C309" t="str">
            <v>Past</v>
          </cell>
          <cell r="D309">
            <v>34</v>
          </cell>
          <cell r="E309" t="e">
            <v>#N/A</v>
          </cell>
          <cell r="F309" t="e">
            <v>#N/A</v>
          </cell>
          <cell r="G309" t="e">
            <v>#N/A</v>
          </cell>
          <cell r="H309" t="e">
            <v>#N/A</v>
          </cell>
          <cell r="I309" t="e">
            <v>#N/A</v>
          </cell>
          <cell r="J309" t="e">
            <v>#N/A</v>
          </cell>
          <cell r="K309" t="e">
            <v>#N/A</v>
          </cell>
          <cell r="L309" t="e">
            <v>#N/A</v>
          </cell>
          <cell r="M309" t="e">
            <v>#N/A</v>
          </cell>
          <cell r="N309" t="e">
            <v>#N/A</v>
          </cell>
          <cell r="O309" t="e">
            <v>#N/A</v>
          </cell>
          <cell r="P309">
            <v>34</v>
          </cell>
          <cell r="Q309">
            <v>1.405413</v>
          </cell>
          <cell r="R309" t="e">
            <v>#N/A</v>
          </cell>
        </row>
        <row r="310">
          <cell r="A310">
            <v>39918</v>
          </cell>
          <cell r="B310">
            <v>39918</v>
          </cell>
          <cell r="C310" t="str">
            <v>Past</v>
          </cell>
          <cell r="D310">
            <v>34.26</v>
          </cell>
          <cell r="E310" t="e">
            <v>#N/A</v>
          </cell>
          <cell r="F310" t="e">
            <v>#N/A</v>
          </cell>
          <cell r="G310" t="e">
            <v>#N/A</v>
          </cell>
          <cell r="H310" t="e">
            <v>#N/A</v>
          </cell>
          <cell r="I310" t="e">
            <v>#N/A</v>
          </cell>
          <cell r="J310" t="e">
            <v>#N/A</v>
          </cell>
          <cell r="K310" t="e">
            <v>#N/A</v>
          </cell>
          <cell r="L310" t="e">
            <v>#N/A</v>
          </cell>
          <cell r="M310" t="e">
            <v>#N/A</v>
          </cell>
          <cell r="N310" t="e">
            <v>#N/A</v>
          </cell>
          <cell r="O310" t="e">
            <v>#N/A</v>
          </cell>
          <cell r="P310">
            <v>34.26</v>
          </cell>
          <cell r="Q310">
            <v>1.5141179999999999</v>
          </cell>
          <cell r="R310" t="e">
            <v>#N/A</v>
          </cell>
        </row>
        <row r="311">
          <cell r="A311">
            <v>39919</v>
          </cell>
          <cell r="B311">
            <v>39919</v>
          </cell>
          <cell r="C311" t="str">
            <v>Past</v>
          </cell>
          <cell r="D311">
            <v>35.76</v>
          </cell>
          <cell r="E311" t="e">
            <v>#N/A</v>
          </cell>
          <cell r="F311" t="e">
            <v>#N/A</v>
          </cell>
          <cell r="G311" t="e">
            <v>#N/A</v>
          </cell>
          <cell r="H311" t="e">
            <v>#N/A</v>
          </cell>
          <cell r="I311" t="e">
            <v>#N/A</v>
          </cell>
          <cell r="J311" t="e">
            <v>#N/A</v>
          </cell>
          <cell r="K311" t="e">
            <v>#N/A</v>
          </cell>
          <cell r="L311" t="e">
            <v>#N/A</v>
          </cell>
          <cell r="M311" t="e">
            <v>#N/A</v>
          </cell>
          <cell r="N311" t="e">
            <v>#N/A</v>
          </cell>
          <cell r="O311" t="e">
            <v>#N/A</v>
          </cell>
          <cell r="P311">
            <v>35.76</v>
          </cell>
          <cell r="Q311">
            <v>1.5302479999999998</v>
          </cell>
          <cell r="R311" t="e">
            <v>#N/A</v>
          </cell>
        </row>
        <row r="312">
          <cell r="A312">
            <v>39920</v>
          </cell>
          <cell r="B312">
            <v>39920</v>
          </cell>
          <cell r="C312" t="str">
            <v>Past</v>
          </cell>
          <cell r="D312">
            <v>36.44</v>
          </cell>
          <cell r="E312" t="e">
            <v>#N/A</v>
          </cell>
          <cell r="F312" t="e">
            <v>#N/A</v>
          </cell>
          <cell r="G312" t="e">
            <v>#N/A</v>
          </cell>
          <cell r="H312" t="e">
            <v>#N/A</v>
          </cell>
          <cell r="I312" t="e">
            <v>#N/A</v>
          </cell>
          <cell r="J312" t="e">
            <v>#N/A</v>
          </cell>
          <cell r="K312" t="e">
            <v>#N/A</v>
          </cell>
          <cell r="L312" t="e">
            <v>#N/A</v>
          </cell>
          <cell r="M312" t="e">
            <v>#N/A</v>
          </cell>
          <cell r="N312" t="e">
            <v>#N/A</v>
          </cell>
          <cell r="O312" t="e">
            <v>#N/A</v>
          </cell>
          <cell r="P312">
            <v>36.44</v>
          </cell>
          <cell r="Q312">
            <v>2.4616400000000001</v>
          </cell>
          <cell r="R312" t="e">
            <v>#N/A</v>
          </cell>
        </row>
        <row r="313">
          <cell r="A313">
            <v>39923</v>
          </cell>
          <cell r="B313">
            <v>39923</v>
          </cell>
          <cell r="C313" t="str">
            <v>Past</v>
          </cell>
          <cell r="D313">
            <v>35.549999999999997</v>
          </cell>
          <cell r="E313" t="e">
            <v>#N/A</v>
          </cell>
          <cell r="F313" t="e">
            <v>#N/A</v>
          </cell>
          <cell r="G313" t="e">
            <v>#N/A</v>
          </cell>
          <cell r="H313" t="e">
            <v>#N/A</v>
          </cell>
          <cell r="I313" t="e">
            <v>#N/A</v>
          </cell>
          <cell r="J313" t="e">
            <v>#N/A</v>
          </cell>
          <cell r="K313" t="e">
            <v>#N/A</v>
          </cell>
          <cell r="L313" t="e">
            <v>#N/A</v>
          </cell>
          <cell r="M313" t="e">
            <v>#N/A</v>
          </cell>
          <cell r="N313" t="e">
            <v>#N/A</v>
          </cell>
          <cell r="O313" t="e">
            <v>#N/A</v>
          </cell>
          <cell r="P313">
            <v>35.549999999999997</v>
          </cell>
          <cell r="Q313">
            <v>1.6513719999999998</v>
          </cell>
          <cell r="R313" t="e">
            <v>#N/A</v>
          </cell>
        </row>
        <row r="314">
          <cell r="A314">
            <v>39924</v>
          </cell>
          <cell r="B314">
            <v>39924</v>
          </cell>
          <cell r="C314" t="str">
            <v>Past</v>
          </cell>
          <cell r="D314">
            <v>36.11</v>
          </cell>
          <cell r="E314" t="e">
            <v>#N/A</v>
          </cell>
          <cell r="F314" t="e">
            <v>#N/A</v>
          </cell>
          <cell r="G314" t="e">
            <v>#N/A</v>
          </cell>
          <cell r="H314" t="e">
            <v>#N/A</v>
          </cell>
          <cell r="I314" t="e">
            <v>#N/A</v>
          </cell>
          <cell r="J314" t="e">
            <v>#N/A</v>
          </cell>
          <cell r="K314" t="e">
            <v>#N/A</v>
          </cell>
          <cell r="L314" t="e">
            <v>#N/A</v>
          </cell>
          <cell r="M314" t="e">
            <v>#N/A</v>
          </cell>
          <cell r="N314" t="e">
            <v>#N/A</v>
          </cell>
          <cell r="O314" t="e">
            <v>#N/A</v>
          </cell>
          <cell r="P314">
            <v>36.11</v>
          </cell>
          <cell r="Q314">
            <v>1.690744</v>
          </cell>
          <cell r="R314" t="e">
            <v>#N/A</v>
          </cell>
        </row>
        <row r="315">
          <cell r="A315">
            <v>39925</v>
          </cell>
          <cell r="B315">
            <v>39925</v>
          </cell>
          <cell r="C315" t="str">
            <v>Past</v>
          </cell>
          <cell r="D315">
            <v>36.200000000000003</v>
          </cell>
          <cell r="E315" t="e">
            <v>#N/A</v>
          </cell>
          <cell r="F315" t="e">
            <v>#N/A</v>
          </cell>
          <cell r="G315" t="e">
            <v>#N/A</v>
          </cell>
          <cell r="H315" t="e">
            <v>#N/A</v>
          </cell>
          <cell r="I315" t="e">
            <v>#N/A</v>
          </cell>
          <cell r="J315" t="e">
            <v>#N/A</v>
          </cell>
          <cell r="K315" t="e">
            <v>#N/A</v>
          </cell>
          <cell r="L315" t="e">
            <v>#N/A</v>
          </cell>
          <cell r="M315" t="e">
            <v>#N/A</v>
          </cell>
          <cell r="N315" t="e">
            <v>#N/A</v>
          </cell>
          <cell r="O315" t="e">
            <v>#N/A</v>
          </cell>
          <cell r="P315">
            <v>36.200000000000003</v>
          </cell>
          <cell r="Q315">
            <v>2.058144</v>
          </cell>
          <cell r="R315" t="e">
            <v>#N/A</v>
          </cell>
        </row>
        <row r="316">
          <cell r="A316">
            <v>39926</v>
          </cell>
          <cell r="B316">
            <v>39926</v>
          </cell>
          <cell r="C316" t="str">
            <v>Past</v>
          </cell>
          <cell r="D316">
            <v>36.69</v>
          </cell>
          <cell r="E316" t="e">
            <v>#N/A</v>
          </cell>
          <cell r="F316" t="e">
            <v>#N/A</v>
          </cell>
          <cell r="G316" t="e">
            <v>#N/A</v>
          </cell>
          <cell r="H316" t="e">
            <v>#N/A</v>
          </cell>
          <cell r="I316" t="e">
            <v>#N/A</v>
          </cell>
          <cell r="J316" t="e">
            <v>#N/A</v>
          </cell>
          <cell r="K316" t="e">
            <v>#N/A</v>
          </cell>
          <cell r="L316" t="e">
            <v>#N/A</v>
          </cell>
          <cell r="M316" t="e">
            <v>#N/A</v>
          </cell>
          <cell r="N316" t="e">
            <v>#N/A</v>
          </cell>
          <cell r="O316" t="e">
            <v>#N/A</v>
          </cell>
          <cell r="P316">
            <v>36.69</v>
          </cell>
          <cell r="Q316">
            <v>2.1060140000000001</v>
          </cell>
          <cell r="R316" t="e">
            <v>#N/A</v>
          </cell>
        </row>
        <row r="317">
          <cell r="A317">
            <v>39927</v>
          </cell>
          <cell r="B317">
            <v>39927</v>
          </cell>
          <cell r="C317" t="str">
            <v>Past</v>
          </cell>
          <cell r="D317">
            <v>36.54</v>
          </cell>
          <cell r="E317" t="e">
            <v>#N/A</v>
          </cell>
          <cell r="F317" t="e">
            <v>#N/A</v>
          </cell>
          <cell r="G317" t="e">
            <v>#N/A</v>
          </cell>
          <cell r="H317" t="e">
            <v>#N/A</v>
          </cell>
          <cell r="I317" t="e">
            <v>#N/A</v>
          </cell>
          <cell r="J317" t="e">
            <v>#N/A</v>
          </cell>
          <cell r="K317" t="e">
            <v>#N/A</v>
          </cell>
          <cell r="L317" t="e">
            <v>#N/A</v>
          </cell>
          <cell r="M317" t="e">
            <v>#N/A</v>
          </cell>
          <cell r="N317" t="e">
            <v>#N/A</v>
          </cell>
          <cell r="O317" t="e">
            <v>#N/A</v>
          </cell>
          <cell r="P317">
            <v>36.54</v>
          </cell>
          <cell r="Q317">
            <v>2.521862</v>
          </cell>
          <cell r="R317" t="e">
            <v>#N/A</v>
          </cell>
        </row>
        <row r="318">
          <cell r="A318">
            <v>39930</v>
          </cell>
          <cell r="B318">
            <v>39930</v>
          </cell>
          <cell r="C318" t="str">
            <v>Past</v>
          </cell>
          <cell r="D318">
            <v>37.26</v>
          </cell>
          <cell r="E318" t="e">
            <v>#N/A</v>
          </cell>
          <cell r="F318" t="e">
            <v>#N/A</v>
          </cell>
          <cell r="G318" t="e">
            <v>#N/A</v>
          </cell>
          <cell r="H318" t="e">
            <v>#N/A</v>
          </cell>
          <cell r="I318" t="e">
            <v>#N/A</v>
          </cell>
          <cell r="J318" t="e">
            <v>#N/A</v>
          </cell>
          <cell r="K318" t="e">
            <v>#N/A</v>
          </cell>
          <cell r="L318" t="e">
            <v>#N/A</v>
          </cell>
          <cell r="M318" t="e">
            <v>#N/A</v>
          </cell>
          <cell r="N318" t="e">
            <v>#N/A</v>
          </cell>
          <cell r="O318" t="e">
            <v>#N/A</v>
          </cell>
          <cell r="P318">
            <v>37.26</v>
          </cell>
          <cell r="Q318">
            <v>1.7961969999999998</v>
          </cell>
          <cell r="R318" t="e">
            <v>#N/A</v>
          </cell>
        </row>
        <row r="319">
          <cell r="A319">
            <v>39931</v>
          </cell>
          <cell r="B319">
            <v>39931</v>
          </cell>
          <cell r="C319" t="str">
            <v>Past</v>
          </cell>
          <cell r="D319">
            <v>37.299999999999997</v>
          </cell>
          <cell r="E319" t="e">
            <v>#N/A</v>
          </cell>
          <cell r="F319" t="e">
            <v>#N/A</v>
          </cell>
          <cell r="G319" t="e">
            <v>#N/A</v>
          </cell>
          <cell r="H319" t="e">
            <v>#N/A</v>
          </cell>
          <cell r="I319" t="e">
            <v>#N/A</v>
          </cell>
          <cell r="J319" t="e">
            <v>#N/A</v>
          </cell>
          <cell r="K319" t="e">
            <v>#N/A</v>
          </cell>
          <cell r="L319" t="e">
            <v>#N/A</v>
          </cell>
          <cell r="M319" t="e">
            <v>#N/A</v>
          </cell>
          <cell r="N319" t="e">
            <v>#N/A</v>
          </cell>
          <cell r="O319" t="e">
            <v>#N/A</v>
          </cell>
          <cell r="P319">
            <v>37.299999999999997</v>
          </cell>
          <cell r="Q319">
            <v>2.2748569999999999</v>
          </cell>
          <cell r="R319" t="e">
            <v>#N/A</v>
          </cell>
        </row>
        <row r="320">
          <cell r="A320">
            <v>39932</v>
          </cell>
          <cell r="B320">
            <v>39932</v>
          </cell>
          <cell r="C320" t="str">
            <v>Past</v>
          </cell>
          <cell r="D320">
            <v>38.880000000000003</v>
          </cell>
          <cell r="E320" t="e">
            <v>#N/A</v>
          </cell>
          <cell r="F320" t="e">
            <v>#N/A</v>
          </cell>
          <cell r="G320" t="e">
            <v>#N/A</v>
          </cell>
          <cell r="H320" t="e">
            <v>#N/A</v>
          </cell>
          <cell r="I320" t="e">
            <v>#N/A</v>
          </cell>
          <cell r="J320" t="e">
            <v>#N/A</v>
          </cell>
          <cell r="K320" t="e">
            <v>#N/A</v>
          </cell>
          <cell r="L320" t="e">
            <v>#N/A</v>
          </cell>
          <cell r="M320" t="e">
            <v>#N/A</v>
          </cell>
          <cell r="N320" t="e">
            <v>#N/A</v>
          </cell>
          <cell r="O320" t="e">
            <v>#N/A</v>
          </cell>
          <cell r="P320">
            <v>38.880000000000003</v>
          </cell>
          <cell r="Q320">
            <v>1.2563600000000001</v>
          </cell>
          <cell r="R320" t="e">
            <v>#N/A</v>
          </cell>
        </row>
        <row r="321">
          <cell r="A321">
            <v>39933</v>
          </cell>
          <cell r="B321">
            <v>39933</v>
          </cell>
          <cell r="C321" t="str">
            <v>Past</v>
          </cell>
          <cell r="D321">
            <v>38.35</v>
          </cell>
          <cell r="E321" t="e">
            <v>#N/A</v>
          </cell>
          <cell r="F321" t="e">
            <v>#N/A</v>
          </cell>
          <cell r="G321" t="e">
            <v>#N/A</v>
          </cell>
          <cell r="H321" t="e">
            <v>#N/A</v>
          </cell>
          <cell r="I321" t="e">
            <v>#N/A</v>
          </cell>
          <cell r="J321" t="e">
            <v>#N/A</v>
          </cell>
          <cell r="K321" t="e">
            <v>#N/A</v>
          </cell>
          <cell r="L321" t="e">
            <v>#N/A</v>
          </cell>
          <cell r="M321" t="e">
            <v>#N/A</v>
          </cell>
          <cell r="N321" t="e">
            <v>#N/A</v>
          </cell>
          <cell r="O321" t="e">
            <v>#N/A</v>
          </cell>
          <cell r="P321">
            <v>38.35</v>
          </cell>
          <cell r="Q321">
            <v>1.4778179999999999</v>
          </cell>
          <cell r="R321" t="e">
            <v>#N/A</v>
          </cell>
        </row>
        <row r="322">
          <cell r="A322">
            <v>39934</v>
          </cell>
          <cell r="B322">
            <v>39934</v>
          </cell>
          <cell r="C322" t="str">
            <v>Past</v>
          </cell>
          <cell r="D322">
            <v>38.33</v>
          </cell>
          <cell r="E322" t="e">
            <v>#N/A</v>
          </cell>
          <cell r="F322" t="e">
            <v>#N/A</v>
          </cell>
          <cell r="G322" t="e">
            <v>#N/A</v>
          </cell>
          <cell r="H322" t="e">
            <v>#N/A</v>
          </cell>
          <cell r="I322" t="e">
            <v>#N/A</v>
          </cell>
          <cell r="J322" t="e">
            <v>#N/A</v>
          </cell>
          <cell r="K322" t="e">
            <v>#N/A</v>
          </cell>
          <cell r="L322" t="e">
            <v>#N/A</v>
          </cell>
          <cell r="M322" t="e">
            <v>#N/A</v>
          </cell>
          <cell r="N322" t="e">
            <v>#N/A</v>
          </cell>
          <cell r="O322" t="e">
            <v>#N/A</v>
          </cell>
          <cell r="P322">
            <v>38.33</v>
          </cell>
          <cell r="Q322">
            <v>1.0110779999999999</v>
          </cell>
          <cell r="R322" t="e">
            <v>#N/A</v>
          </cell>
        </row>
        <row r="323">
          <cell r="A323">
            <v>39937</v>
          </cell>
          <cell r="B323">
            <v>39937</v>
          </cell>
          <cell r="C323" t="str">
            <v>Past</v>
          </cell>
          <cell r="D323">
            <v>38.26</v>
          </cell>
          <cell r="E323" t="e">
            <v>#N/A</v>
          </cell>
          <cell r="F323" t="e">
            <v>#N/A</v>
          </cell>
          <cell r="G323" t="e">
            <v>#N/A</v>
          </cell>
          <cell r="H323" t="e">
            <v>#N/A</v>
          </cell>
          <cell r="I323" t="e">
            <v>#N/A</v>
          </cell>
          <cell r="J323" t="e">
            <v>#N/A</v>
          </cell>
          <cell r="K323" t="e">
            <v>#N/A</v>
          </cell>
          <cell r="L323" t="e">
            <v>#N/A</v>
          </cell>
          <cell r="M323" t="e">
            <v>#N/A</v>
          </cell>
          <cell r="N323" t="e">
            <v>#N/A</v>
          </cell>
          <cell r="O323" t="e">
            <v>#N/A</v>
          </cell>
          <cell r="P323">
            <v>38.26</v>
          </cell>
          <cell r="Q323">
            <v>1.5605389999999999</v>
          </cell>
          <cell r="R323" t="e">
            <v>#N/A</v>
          </cell>
        </row>
        <row r="324">
          <cell r="A324">
            <v>39938</v>
          </cell>
          <cell r="B324">
            <v>39938</v>
          </cell>
          <cell r="C324" t="str">
            <v>Past</v>
          </cell>
          <cell r="D324">
            <v>38.619999999999997</v>
          </cell>
          <cell r="E324" t="e">
            <v>#N/A</v>
          </cell>
          <cell r="F324" t="e">
            <v>#N/A</v>
          </cell>
          <cell r="G324" t="e">
            <v>#N/A</v>
          </cell>
          <cell r="H324" t="e">
            <v>#N/A</v>
          </cell>
          <cell r="I324" t="e">
            <v>#N/A</v>
          </cell>
          <cell r="J324" t="e">
            <v>#N/A</v>
          </cell>
          <cell r="K324" t="e">
            <v>#N/A</v>
          </cell>
          <cell r="L324" t="e">
            <v>#N/A</v>
          </cell>
          <cell r="M324" t="e">
            <v>#N/A</v>
          </cell>
          <cell r="N324" t="e">
            <v>#N/A</v>
          </cell>
          <cell r="O324" t="e">
            <v>#N/A</v>
          </cell>
          <cell r="P324">
            <v>38.619999999999997</v>
          </cell>
          <cell r="Q324">
            <v>1.1764219999999999</v>
          </cell>
          <cell r="R324" t="e">
            <v>#N/A</v>
          </cell>
        </row>
        <row r="325">
          <cell r="A325">
            <v>39939</v>
          </cell>
          <cell r="B325">
            <v>39939</v>
          </cell>
          <cell r="C325" t="str">
            <v>Past</v>
          </cell>
          <cell r="D325">
            <v>38.78</v>
          </cell>
          <cell r="E325" t="e">
            <v>#N/A</v>
          </cell>
          <cell r="F325" t="e">
            <v>#N/A</v>
          </cell>
          <cell r="G325" t="e">
            <v>#N/A</v>
          </cell>
          <cell r="H325" t="e">
            <v>#N/A</v>
          </cell>
          <cell r="I325" t="e">
            <v>#N/A</v>
          </cell>
          <cell r="J325" t="e">
            <v>#N/A</v>
          </cell>
          <cell r="K325" t="e">
            <v>#N/A</v>
          </cell>
          <cell r="L325" t="e">
            <v>#N/A</v>
          </cell>
          <cell r="M325" t="e">
            <v>#N/A</v>
          </cell>
          <cell r="N325" t="e">
            <v>#N/A</v>
          </cell>
          <cell r="O325" t="e">
            <v>#N/A</v>
          </cell>
          <cell r="P325">
            <v>38.78</v>
          </cell>
          <cell r="Q325">
            <v>1.124679</v>
          </cell>
          <cell r="R325" t="e">
            <v>#N/A</v>
          </cell>
        </row>
        <row r="326">
          <cell r="A326">
            <v>39940</v>
          </cell>
          <cell r="B326">
            <v>39940</v>
          </cell>
          <cell r="C326" t="str">
            <v>Past</v>
          </cell>
          <cell r="D326">
            <v>37.950000000000003</v>
          </cell>
          <cell r="E326" t="e">
            <v>#N/A</v>
          </cell>
          <cell r="F326" t="e">
            <v>#N/A</v>
          </cell>
          <cell r="G326" t="e">
            <v>#N/A</v>
          </cell>
          <cell r="H326" t="e">
            <v>#N/A</v>
          </cell>
          <cell r="I326" t="e">
            <v>#N/A</v>
          </cell>
          <cell r="J326" t="e">
            <v>#N/A</v>
          </cell>
          <cell r="K326" t="e">
            <v>#N/A</v>
          </cell>
          <cell r="L326" t="e">
            <v>#N/A</v>
          </cell>
          <cell r="M326" t="e">
            <v>#N/A</v>
          </cell>
          <cell r="N326" t="e">
            <v>#N/A</v>
          </cell>
          <cell r="O326" t="e">
            <v>#N/A</v>
          </cell>
          <cell r="P326">
            <v>37.950000000000003</v>
          </cell>
          <cell r="Q326">
            <v>1.402852</v>
          </cell>
          <cell r="R326" t="e">
            <v>#N/A</v>
          </cell>
        </row>
        <row r="327">
          <cell r="A327">
            <v>39941</v>
          </cell>
          <cell r="B327">
            <v>39941</v>
          </cell>
          <cell r="C327" t="str">
            <v>Past</v>
          </cell>
          <cell r="D327">
            <v>39.93</v>
          </cell>
          <cell r="E327" t="e">
            <v>#N/A</v>
          </cell>
          <cell r="F327" t="e">
            <v>#N/A</v>
          </cell>
          <cell r="G327" t="e">
            <v>#N/A</v>
          </cell>
          <cell r="H327" t="e">
            <v>#N/A</v>
          </cell>
          <cell r="I327" t="e">
            <v>#N/A</v>
          </cell>
          <cell r="J327" t="e">
            <v>#N/A</v>
          </cell>
          <cell r="K327" t="e">
            <v>#N/A</v>
          </cell>
          <cell r="L327" t="e">
            <v>#N/A</v>
          </cell>
          <cell r="M327" t="e">
            <v>#N/A</v>
          </cell>
          <cell r="N327" t="e">
            <v>#N/A</v>
          </cell>
          <cell r="O327" t="e">
            <v>#N/A</v>
          </cell>
          <cell r="P327">
            <v>39.93</v>
          </cell>
          <cell r="Q327">
            <v>1.6159059999999998</v>
          </cell>
          <cell r="R327" t="e">
            <v>#N/A</v>
          </cell>
        </row>
        <row r="328">
          <cell r="A328">
            <v>39944</v>
          </cell>
          <cell r="B328">
            <v>39944</v>
          </cell>
          <cell r="C328" t="str">
            <v>Past</v>
          </cell>
          <cell r="D328">
            <v>38.9</v>
          </cell>
          <cell r="E328" t="e">
            <v>#N/A</v>
          </cell>
          <cell r="F328" t="e">
            <v>#N/A</v>
          </cell>
          <cell r="G328" t="e">
            <v>#N/A</v>
          </cell>
          <cell r="H328" t="e">
            <v>#N/A</v>
          </cell>
          <cell r="I328" t="e">
            <v>#N/A</v>
          </cell>
          <cell r="J328" t="e">
            <v>#N/A</v>
          </cell>
          <cell r="K328" t="e">
            <v>#N/A</v>
          </cell>
          <cell r="L328" t="e">
            <v>#N/A</v>
          </cell>
          <cell r="M328" t="e">
            <v>#N/A</v>
          </cell>
          <cell r="N328" t="e">
            <v>#N/A</v>
          </cell>
          <cell r="O328" t="e">
            <v>#N/A</v>
          </cell>
          <cell r="P328">
            <v>38.9</v>
          </cell>
          <cell r="Q328">
            <v>0.92390399999999995</v>
          </cell>
          <cell r="R328" t="e">
            <v>#N/A</v>
          </cell>
        </row>
        <row r="329">
          <cell r="A329">
            <v>39945</v>
          </cell>
          <cell r="B329">
            <v>39945</v>
          </cell>
          <cell r="C329" t="str">
            <v>Past</v>
          </cell>
          <cell r="D329">
            <v>38.630000000000003</v>
          </cell>
          <cell r="E329" t="e">
            <v>#N/A</v>
          </cell>
          <cell r="F329" t="e">
            <v>#N/A</v>
          </cell>
          <cell r="G329" t="e">
            <v>#N/A</v>
          </cell>
          <cell r="H329" t="e">
            <v>#N/A</v>
          </cell>
          <cell r="I329" t="e">
            <v>#N/A</v>
          </cell>
          <cell r="J329" t="e">
            <v>#N/A</v>
          </cell>
          <cell r="K329" t="e">
            <v>#N/A</v>
          </cell>
          <cell r="L329" t="e">
            <v>#N/A</v>
          </cell>
          <cell r="M329" t="e">
            <v>#N/A</v>
          </cell>
          <cell r="N329" t="e">
            <v>#N/A</v>
          </cell>
          <cell r="O329" t="e">
            <v>#N/A</v>
          </cell>
          <cell r="P329">
            <v>38.630000000000003</v>
          </cell>
          <cell r="Q329">
            <v>0.8756600000000001</v>
          </cell>
          <cell r="R329" t="e">
            <v>#N/A</v>
          </cell>
        </row>
        <row r="330">
          <cell r="A330">
            <v>39946</v>
          </cell>
          <cell r="B330">
            <v>39946</v>
          </cell>
          <cell r="C330" t="str">
            <v>Past</v>
          </cell>
          <cell r="D330">
            <v>37.590000000000003</v>
          </cell>
          <cell r="E330" t="e">
            <v>#N/A</v>
          </cell>
          <cell r="F330" t="e">
            <v>#N/A</v>
          </cell>
          <cell r="G330" t="e">
            <v>#N/A</v>
          </cell>
          <cell r="H330" t="e">
            <v>#N/A</v>
          </cell>
          <cell r="I330" t="e">
            <v>#N/A</v>
          </cell>
          <cell r="J330" t="e">
            <v>#N/A</v>
          </cell>
          <cell r="K330" t="e">
            <v>#N/A</v>
          </cell>
          <cell r="L330" t="e">
            <v>#N/A</v>
          </cell>
          <cell r="M330" t="e">
            <v>#N/A</v>
          </cell>
          <cell r="N330" t="e">
            <v>#N/A</v>
          </cell>
          <cell r="O330" t="e">
            <v>#N/A</v>
          </cell>
          <cell r="P330">
            <v>37.590000000000003</v>
          </cell>
          <cell r="Q330">
            <v>0.73119000000000001</v>
          </cell>
          <cell r="R330" t="e">
            <v>#N/A</v>
          </cell>
        </row>
        <row r="331">
          <cell r="A331">
            <v>39947</v>
          </cell>
          <cell r="B331">
            <v>39947</v>
          </cell>
          <cell r="C331" t="str">
            <v>Past</v>
          </cell>
          <cell r="D331">
            <v>37.58</v>
          </cell>
          <cell r="E331" t="e">
            <v>#N/A</v>
          </cell>
          <cell r="F331" t="e">
            <v>#N/A</v>
          </cell>
          <cell r="G331" t="e">
            <v>#N/A</v>
          </cell>
          <cell r="H331" t="e">
            <v>#N/A</v>
          </cell>
          <cell r="I331" t="e">
            <v>#N/A</v>
          </cell>
          <cell r="J331" t="e">
            <v>#N/A</v>
          </cell>
          <cell r="K331" t="e">
            <v>#N/A</v>
          </cell>
          <cell r="L331" t="e">
            <v>#N/A</v>
          </cell>
          <cell r="M331" t="e">
            <v>#N/A</v>
          </cell>
          <cell r="N331" t="e">
            <v>#N/A</v>
          </cell>
          <cell r="O331" t="e">
            <v>#N/A</v>
          </cell>
          <cell r="P331">
            <v>37.58</v>
          </cell>
          <cell r="Q331">
            <v>1.111156</v>
          </cell>
          <cell r="R331" t="e">
            <v>#N/A</v>
          </cell>
        </row>
        <row r="332">
          <cell r="A332">
            <v>39948</v>
          </cell>
          <cell r="B332">
            <v>39948</v>
          </cell>
          <cell r="C332" t="str">
            <v>Past</v>
          </cell>
          <cell r="D332">
            <v>38.22</v>
          </cell>
          <cell r="E332" t="e">
            <v>#N/A</v>
          </cell>
          <cell r="F332" t="e">
            <v>#N/A</v>
          </cell>
          <cell r="G332" t="e">
            <v>#N/A</v>
          </cell>
          <cell r="H332" t="e">
            <v>#N/A</v>
          </cell>
          <cell r="I332" t="e">
            <v>#N/A</v>
          </cell>
          <cell r="J332" t="e">
            <v>#N/A</v>
          </cell>
          <cell r="K332" t="e">
            <v>#N/A</v>
          </cell>
          <cell r="L332" t="e">
            <v>#N/A</v>
          </cell>
          <cell r="M332" t="e">
            <v>#N/A</v>
          </cell>
          <cell r="N332" t="e">
            <v>#N/A</v>
          </cell>
          <cell r="O332" t="e">
            <v>#N/A</v>
          </cell>
          <cell r="P332">
            <v>38.22</v>
          </cell>
          <cell r="Q332">
            <v>1.6577000000000002</v>
          </cell>
          <cell r="R332" t="e">
            <v>#N/A</v>
          </cell>
        </row>
        <row r="333">
          <cell r="A333">
            <v>39951</v>
          </cell>
          <cell r="B333">
            <v>39951</v>
          </cell>
          <cell r="C333" t="str">
            <v>Past</v>
          </cell>
          <cell r="D333">
            <v>40.1</v>
          </cell>
          <cell r="E333" t="e">
            <v>#N/A</v>
          </cell>
          <cell r="F333" t="e">
            <v>#N/A</v>
          </cell>
          <cell r="G333" t="e">
            <v>#N/A</v>
          </cell>
          <cell r="H333" t="e">
            <v>#N/A</v>
          </cell>
          <cell r="I333" t="e">
            <v>#N/A</v>
          </cell>
          <cell r="J333" t="e">
            <v>#N/A</v>
          </cell>
          <cell r="K333" t="e">
            <v>#N/A</v>
          </cell>
          <cell r="L333" t="e">
            <v>#N/A</v>
          </cell>
          <cell r="M333" t="e">
            <v>#N/A</v>
          </cell>
          <cell r="N333" t="e">
            <v>#N/A</v>
          </cell>
          <cell r="O333" t="e">
            <v>#N/A</v>
          </cell>
          <cell r="P333">
            <v>40.1</v>
          </cell>
          <cell r="Q333">
            <v>1.5387000000000002</v>
          </cell>
          <cell r="R333" t="e">
            <v>#N/A</v>
          </cell>
        </row>
        <row r="334">
          <cell r="A334">
            <v>39952</v>
          </cell>
          <cell r="B334">
            <v>39952</v>
          </cell>
          <cell r="C334" t="str">
            <v>Past</v>
          </cell>
          <cell r="D334">
            <v>40.83</v>
          </cell>
          <cell r="E334" t="e">
            <v>#N/A</v>
          </cell>
          <cell r="F334" t="e">
            <v>#N/A</v>
          </cell>
          <cell r="G334" t="e">
            <v>#N/A</v>
          </cell>
          <cell r="H334" t="e">
            <v>#N/A</v>
          </cell>
          <cell r="I334" t="e">
            <v>#N/A</v>
          </cell>
          <cell r="J334" t="e">
            <v>#N/A</v>
          </cell>
          <cell r="K334" t="e">
            <v>#N/A</v>
          </cell>
          <cell r="L334" t="e">
            <v>#N/A</v>
          </cell>
          <cell r="M334" t="e">
            <v>#N/A</v>
          </cell>
          <cell r="N334" t="e">
            <v>#N/A</v>
          </cell>
          <cell r="O334" t="e">
            <v>#N/A</v>
          </cell>
          <cell r="P334">
            <v>40.83</v>
          </cell>
          <cell r="Q334">
            <v>1.719884</v>
          </cell>
          <cell r="R334" t="e">
            <v>#N/A</v>
          </cell>
        </row>
        <row r="335">
          <cell r="A335">
            <v>39953</v>
          </cell>
          <cell r="B335">
            <v>39953</v>
          </cell>
          <cell r="C335" t="str">
            <v>Past</v>
          </cell>
          <cell r="D335">
            <v>40.79</v>
          </cell>
          <cell r="E335" t="e">
            <v>#N/A</v>
          </cell>
          <cell r="F335" t="e">
            <v>#N/A</v>
          </cell>
          <cell r="G335" t="e">
            <v>#N/A</v>
          </cell>
          <cell r="H335" t="e">
            <v>#N/A</v>
          </cell>
          <cell r="I335" t="e">
            <v>#N/A</v>
          </cell>
          <cell r="J335" t="e">
            <v>#N/A</v>
          </cell>
          <cell r="K335" t="e">
            <v>#N/A</v>
          </cell>
          <cell r="L335" t="e">
            <v>#N/A</v>
          </cell>
          <cell r="M335" t="e">
            <v>#N/A</v>
          </cell>
          <cell r="N335" t="e">
            <v>#N/A</v>
          </cell>
          <cell r="O335" t="e">
            <v>#N/A</v>
          </cell>
          <cell r="P335">
            <v>40.79</v>
          </cell>
          <cell r="Q335">
            <v>1.304443</v>
          </cell>
          <cell r="R335" t="e">
            <v>#N/A</v>
          </cell>
        </row>
        <row r="336">
          <cell r="A336">
            <v>39954</v>
          </cell>
          <cell r="B336">
            <v>39954</v>
          </cell>
          <cell r="C336" t="str">
            <v>Past</v>
          </cell>
          <cell r="D336">
            <v>39.78</v>
          </cell>
          <cell r="E336" t="e">
            <v>#N/A</v>
          </cell>
          <cell r="F336" t="e">
            <v>#N/A</v>
          </cell>
          <cell r="G336" t="e">
            <v>#N/A</v>
          </cell>
          <cell r="H336" t="e">
            <v>#N/A</v>
          </cell>
          <cell r="I336" t="e">
            <v>#N/A</v>
          </cell>
          <cell r="J336" t="e">
            <v>#N/A</v>
          </cell>
          <cell r="K336" t="e">
            <v>#N/A</v>
          </cell>
          <cell r="L336" t="e">
            <v>#N/A</v>
          </cell>
          <cell r="M336" t="e">
            <v>#N/A</v>
          </cell>
          <cell r="N336" t="e">
            <v>#N/A</v>
          </cell>
          <cell r="O336" t="e">
            <v>#N/A</v>
          </cell>
          <cell r="P336">
            <v>39.78</v>
          </cell>
          <cell r="Q336">
            <v>0.92161000000000004</v>
          </cell>
          <cell r="R336" t="e">
            <v>#N/A</v>
          </cell>
        </row>
        <row r="337">
          <cell r="A337">
            <v>39955</v>
          </cell>
          <cell r="B337">
            <v>39955</v>
          </cell>
          <cell r="C337" t="str">
            <v>Past</v>
          </cell>
          <cell r="D337">
            <v>40.42</v>
          </cell>
          <cell r="E337" t="e">
            <v>#N/A</v>
          </cell>
          <cell r="F337" t="e">
            <v>#N/A</v>
          </cell>
          <cell r="G337" t="e">
            <v>#N/A</v>
          </cell>
          <cell r="H337" t="e">
            <v>#N/A</v>
          </cell>
          <cell r="I337" t="e">
            <v>#N/A</v>
          </cell>
          <cell r="J337" t="e">
            <v>#N/A</v>
          </cell>
          <cell r="K337" t="e">
            <v>#N/A</v>
          </cell>
          <cell r="L337" t="e">
            <v>#N/A</v>
          </cell>
          <cell r="M337" t="e">
            <v>#N/A</v>
          </cell>
          <cell r="N337" t="e">
            <v>#N/A</v>
          </cell>
          <cell r="O337" t="e">
            <v>#N/A</v>
          </cell>
          <cell r="P337">
            <v>40.42</v>
          </cell>
          <cell r="Q337">
            <v>1.098255</v>
          </cell>
          <cell r="R337" t="e">
            <v>#N/A</v>
          </cell>
        </row>
        <row r="338">
          <cell r="A338">
            <v>39959</v>
          </cell>
          <cell r="B338">
            <v>39959</v>
          </cell>
          <cell r="C338" t="str">
            <v>Past</v>
          </cell>
          <cell r="D338">
            <v>41.57</v>
          </cell>
          <cell r="E338" t="e">
            <v>#N/A</v>
          </cell>
          <cell r="F338" t="e">
            <v>#N/A</v>
          </cell>
          <cell r="G338" t="e">
            <v>#N/A</v>
          </cell>
          <cell r="H338" t="e">
            <v>#N/A</v>
          </cell>
          <cell r="I338" t="e">
            <v>#N/A</v>
          </cell>
          <cell r="J338" t="e">
            <v>#N/A</v>
          </cell>
          <cell r="K338" t="e">
            <v>#N/A</v>
          </cell>
          <cell r="L338" t="e">
            <v>#N/A</v>
          </cell>
          <cell r="M338" t="e">
            <v>#N/A</v>
          </cell>
          <cell r="N338" t="e">
            <v>#N/A</v>
          </cell>
          <cell r="O338" t="e">
            <v>#N/A</v>
          </cell>
          <cell r="P338">
            <v>41.57</v>
          </cell>
          <cell r="Q338">
            <v>0.89943799999999996</v>
          </cell>
          <cell r="R338" t="e">
            <v>#N/A</v>
          </cell>
        </row>
        <row r="339">
          <cell r="A339">
            <v>39960</v>
          </cell>
          <cell r="B339">
            <v>39960</v>
          </cell>
          <cell r="C339" t="str">
            <v>Past</v>
          </cell>
          <cell r="D339">
            <v>41.36</v>
          </cell>
          <cell r="E339" t="e">
            <v>#N/A</v>
          </cell>
          <cell r="F339" t="e">
            <v>#N/A</v>
          </cell>
          <cell r="G339" t="e">
            <v>#N/A</v>
          </cell>
          <cell r="H339" t="e">
            <v>#N/A</v>
          </cell>
          <cell r="I339" t="e">
            <v>#N/A</v>
          </cell>
          <cell r="J339" t="e">
            <v>#N/A</v>
          </cell>
          <cell r="K339" t="e">
            <v>#N/A</v>
          </cell>
          <cell r="L339" t="e">
            <v>#N/A</v>
          </cell>
          <cell r="M339" t="e">
            <v>#N/A</v>
          </cell>
          <cell r="N339" t="e">
            <v>#N/A</v>
          </cell>
          <cell r="O339" t="e">
            <v>#N/A</v>
          </cell>
          <cell r="P339">
            <v>41.36</v>
          </cell>
          <cell r="Q339">
            <v>1.173627</v>
          </cell>
          <cell r="R339" t="e">
            <v>#N/A</v>
          </cell>
        </row>
        <row r="340">
          <cell r="A340">
            <v>39961</v>
          </cell>
          <cell r="B340">
            <v>39961</v>
          </cell>
          <cell r="C340" t="str">
            <v>Past</v>
          </cell>
          <cell r="D340">
            <v>42.33</v>
          </cell>
          <cell r="E340" t="e">
            <v>#N/A</v>
          </cell>
          <cell r="F340" t="e">
            <v>#N/A</v>
          </cell>
          <cell r="G340" t="e">
            <v>#N/A</v>
          </cell>
          <cell r="H340" t="e">
            <v>#N/A</v>
          </cell>
          <cell r="I340" t="e">
            <v>#N/A</v>
          </cell>
          <cell r="J340" t="e">
            <v>#N/A</v>
          </cell>
          <cell r="K340" t="e">
            <v>#N/A</v>
          </cell>
          <cell r="L340" t="e">
            <v>#N/A</v>
          </cell>
          <cell r="M340" t="e">
            <v>#N/A</v>
          </cell>
          <cell r="N340" t="e">
            <v>#N/A</v>
          </cell>
          <cell r="O340" t="e">
            <v>#N/A</v>
          </cell>
          <cell r="P340">
            <v>42.33</v>
          </cell>
          <cell r="Q340">
            <v>1.292362</v>
          </cell>
          <cell r="R340" t="e">
            <v>#N/A</v>
          </cell>
        </row>
        <row r="341">
          <cell r="A341">
            <v>39962</v>
          </cell>
          <cell r="B341">
            <v>39962</v>
          </cell>
          <cell r="C341" t="str">
            <v>Past</v>
          </cell>
          <cell r="D341">
            <v>42.42</v>
          </cell>
          <cell r="E341" t="e">
            <v>#N/A</v>
          </cell>
          <cell r="F341" t="e">
            <v>#N/A</v>
          </cell>
          <cell r="G341" t="e">
            <v>#N/A</v>
          </cell>
          <cell r="H341" t="e">
            <v>#N/A</v>
          </cell>
          <cell r="I341" t="e">
            <v>#N/A</v>
          </cell>
          <cell r="J341" t="e">
            <v>#N/A</v>
          </cell>
          <cell r="K341" t="e">
            <v>#N/A</v>
          </cell>
          <cell r="L341" t="e">
            <v>#N/A</v>
          </cell>
          <cell r="M341" t="e">
            <v>#N/A</v>
          </cell>
          <cell r="N341" t="e">
            <v>#N/A</v>
          </cell>
          <cell r="O341" t="e">
            <v>#N/A</v>
          </cell>
          <cell r="P341">
            <v>42.42</v>
          </cell>
          <cell r="Q341">
            <v>1.1732819999999999</v>
          </cell>
          <cell r="R341" t="e">
            <v>#N/A</v>
          </cell>
        </row>
        <row r="342">
          <cell r="A342">
            <v>39965</v>
          </cell>
          <cell r="B342">
            <v>39965</v>
          </cell>
          <cell r="C342" t="str">
            <v>Past</v>
          </cell>
          <cell r="D342">
            <v>44.98</v>
          </cell>
          <cell r="E342" t="e">
            <v>#N/A</v>
          </cell>
          <cell r="F342" t="e">
            <v>#N/A</v>
          </cell>
          <cell r="G342" t="e">
            <v>#N/A</v>
          </cell>
          <cell r="H342" t="e">
            <v>#N/A</v>
          </cell>
          <cell r="I342" t="e">
            <v>#N/A</v>
          </cell>
          <cell r="J342" t="e">
            <v>#N/A</v>
          </cell>
          <cell r="K342" t="e">
            <v>#N/A</v>
          </cell>
          <cell r="L342" t="e">
            <v>#N/A</v>
          </cell>
          <cell r="M342" t="e">
            <v>#N/A</v>
          </cell>
          <cell r="N342" t="e">
            <v>#N/A</v>
          </cell>
          <cell r="O342" t="e">
            <v>#N/A</v>
          </cell>
          <cell r="P342">
            <v>44.98</v>
          </cell>
          <cell r="Q342">
            <v>1.5959100000000002</v>
          </cell>
          <cell r="R342" t="e">
            <v>#N/A</v>
          </cell>
        </row>
        <row r="343">
          <cell r="A343">
            <v>39966</v>
          </cell>
          <cell r="B343">
            <v>39966</v>
          </cell>
          <cell r="C343" t="str">
            <v>Past</v>
          </cell>
          <cell r="D343">
            <v>46.28</v>
          </cell>
          <cell r="E343" t="e">
            <v>#N/A</v>
          </cell>
          <cell r="F343" t="e">
            <v>#N/A</v>
          </cell>
          <cell r="G343" t="e">
            <v>#N/A</v>
          </cell>
          <cell r="H343" t="e">
            <v>#N/A</v>
          </cell>
          <cell r="I343" t="e">
            <v>#N/A</v>
          </cell>
          <cell r="J343" t="e">
            <v>#N/A</v>
          </cell>
          <cell r="K343" t="e">
            <v>#N/A</v>
          </cell>
          <cell r="L343" t="e">
            <v>#N/A</v>
          </cell>
          <cell r="M343" t="e">
            <v>#N/A</v>
          </cell>
          <cell r="N343" t="e">
            <v>#N/A</v>
          </cell>
          <cell r="O343" t="e">
            <v>#N/A</v>
          </cell>
          <cell r="P343">
            <v>46.28</v>
          </cell>
          <cell r="Q343">
            <v>1.9716179999999999</v>
          </cell>
          <cell r="R343" t="e">
            <v>#N/A</v>
          </cell>
        </row>
        <row r="344">
          <cell r="A344">
            <v>39967</v>
          </cell>
          <cell r="B344">
            <v>39967</v>
          </cell>
          <cell r="C344" t="str">
            <v>Past</v>
          </cell>
          <cell r="D344">
            <v>45.55</v>
          </cell>
          <cell r="E344" t="e">
            <v>#N/A</v>
          </cell>
          <cell r="F344" t="e">
            <v>#N/A</v>
          </cell>
          <cell r="G344" t="e">
            <v>#N/A</v>
          </cell>
          <cell r="H344" t="e">
            <v>#N/A</v>
          </cell>
          <cell r="I344" t="e">
            <v>#N/A</v>
          </cell>
          <cell r="J344" t="e">
            <v>#N/A</v>
          </cell>
          <cell r="K344" t="e">
            <v>#N/A</v>
          </cell>
          <cell r="L344" t="e">
            <v>#N/A</v>
          </cell>
          <cell r="M344" t="e">
            <v>#N/A</v>
          </cell>
          <cell r="N344" t="e">
            <v>#N/A</v>
          </cell>
          <cell r="O344" t="e">
            <v>#N/A</v>
          </cell>
          <cell r="P344">
            <v>45.55</v>
          </cell>
          <cell r="Q344">
            <v>1.652676</v>
          </cell>
          <cell r="R344" t="e">
            <v>#N/A</v>
          </cell>
        </row>
        <row r="345">
          <cell r="A345">
            <v>39968</v>
          </cell>
          <cell r="B345">
            <v>39968</v>
          </cell>
          <cell r="C345" t="str">
            <v>Past</v>
          </cell>
          <cell r="D345">
            <v>47.69</v>
          </cell>
          <cell r="E345" t="e">
            <v>#N/A</v>
          </cell>
          <cell r="F345" t="e">
            <v>#N/A</v>
          </cell>
          <cell r="G345" t="e">
            <v>#N/A</v>
          </cell>
          <cell r="H345" t="e">
            <v>#N/A</v>
          </cell>
          <cell r="I345" t="e">
            <v>#N/A</v>
          </cell>
          <cell r="J345" t="e">
            <v>#N/A</v>
          </cell>
          <cell r="K345" t="e">
            <v>#N/A</v>
          </cell>
          <cell r="L345" t="e">
            <v>#N/A</v>
          </cell>
          <cell r="M345" t="e">
            <v>#N/A</v>
          </cell>
          <cell r="N345" t="e">
            <v>#N/A</v>
          </cell>
          <cell r="O345" t="e">
            <v>#N/A</v>
          </cell>
          <cell r="P345">
            <v>47.69</v>
          </cell>
          <cell r="Q345">
            <v>2.692161</v>
          </cell>
          <cell r="R345" t="e">
            <v>#N/A</v>
          </cell>
        </row>
        <row r="346">
          <cell r="A346">
            <v>39969</v>
          </cell>
          <cell r="B346">
            <v>39969</v>
          </cell>
          <cell r="C346" t="str">
            <v>Past</v>
          </cell>
          <cell r="D346">
            <v>48.08</v>
          </cell>
          <cell r="E346" t="e">
            <v>#N/A</v>
          </cell>
          <cell r="F346" t="e">
            <v>#N/A</v>
          </cell>
          <cell r="G346" t="e">
            <v>#N/A</v>
          </cell>
          <cell r="H346" t="e">
            <v>#N/A</v>
          </cell>
          <cell r="I346" t="e">
            <v>#N/A</v>
          </cell>
          <cell r="J346" t="e">
            <v>#N/A</v>
          </cell>
          <cell r="K346" t="e">
            <v>#N/A</v>
          </cell>
          <cell r="L346" t="e">
            <v>#N/A</v>
          </cell>
          <cell r="M346" t="e">
            <v>#N/A</v>
          </cell>
          <cell r="N346" t="e">
            <v>#N/A</v>
          </cell>
          <cell r="O346" t="e">
            <v>#N/A</v>
          </cell>
          <cell r="P346">
            <v>48.08</v>
          </cell>
          <cell r="Q346">
            <v>1.7954300000000001</v>
          </cell>
          <cell r="R346" t="e">
            <v>#N/A</v>
          </cell>
        </row>
        <row r="347">
          <cell r="A347">
            <v>39972</v>
          </cell>
          <cell r="B347">
            <v>39972</v>
          </cell>
          <cell r="C347" t="str">
            <v>Past</v>
          </cell>
          <cell r="D347">
            <v>46.45</v>
          </cell>
          <cell r="E347" t="e">
            <v>#N/A</v>
          </cell>
          <cell r="F347" t="e">
            <v>#N/A</v>
          </cell>
          <cell r="G347" t="e">
            <v>#N/A</v>
          </cell>
          <cell r="H347" t="e">
            <v>#N/A</v>
          </cell>
          <cell r="I347" t="e">
            <v>#N/A</v>
          </cell>
          <cell r="J347" t="e">
            <v>#N/A</v>
          </cell>
          <cell r="K347" t="e">
            <v>#N/A</v>
          </cell>
          <cell r="L347" t="e">
            <v>#N/A</v>
          </cell>
          <cell r="M347" t="e">
            <v>#N/A</v>
          </cell>
          <cell r="N347" t="e">
            <v>#N/A</v>
          </cell>
          <cell r="O347" t="e">
            <v>#N/A</v>
          </cell>
          <cell r="P347">
            <v>46.45</v>
          </cell>
          <cell r="Q347">
            <v>2.6454109999999997</v>
          </cell>
          <cell r="R347" t="e">
            <v>#N/A</v>
          </cell>
        </row>
        <row r="348">
          <cell r="A348">
            <v>39973</v>
          </cell>
          <cell r="B348">
            <v>39973</v>
          </cell>
          <cell r="C348" t="str">
            <v>Past</v>
          </cell>
          <cell r="D348">
            <v>45.94</v>
          </cell>
          <cell r="E348" t="e">
            <v>#N/A</v>
          </cell>
          <cell r="F348" t="e">
            <v>#N/A</v>
          </cell>
          <cell r="G348" t="e">
            <v>#N/A</v>
          </cell>
          <cell r="H348" t="e">
            <v>#N/A</v>
          </cell>
          <cell r="I348" t="e">
            <v>#N/A</v>
          </cell>
          <cell r="J348" t="e">
            <v>#N/A</v>
          </cell>
          <cell r="K348" t="e">
            <v>#N/A</v>
          </cell>
          <cell r="L348" t="e">
            <v>#N/A</v>
          </cell>
          <cell r="M348" t="e">
            <v>#N/A</v>
          </cell>
          <cell r="N348" t="e">
            <v>#N/A</v>
          </cell>
          <cell r="O348" t="e">
            <v>#N/A</v>
          </cell>
          <cell r="P348">
            <v>45.94</v>
          </cell>
          <cell r="Q348">
            <v>1.8177559999999999</v>
          </cell>
          <cell r="R348" t="e">
            <v>#N/A</v>
          </cell>
        </row>
        <row r="349">
          <cell r="A349">
            <v>39974</v>
          </cell>
          <cell r="B349">
            <v>39974</v>
          </cell>
          <cell r="C349" t="str">
            <v>Past</v>
          </cell>
          <cell r="D349">
            <v>45.56</v>
          </cell>
          <cell r="E349" t="e">
            <v>#N/A</v>
          </cell>
          <cell r="F349" t="e">
            <v>#N/A</v>
          </cell>
          <cell r="G349" t="e">
            <v>#N/A</v>
          </cell>
          <cell r="H349" t="e">
            <v>#N/A</v>
          </cell>
          <cell r="I349" t="e">
            <v>#N/A</v>
          </cell>
          <cell r="J349" t="e">
            <v>#N/A</v>
          </cell>
          <cell r="K349" t="e">
            <v>#N/A</v>
          </cell>
          <cell r="L349" t="e">
            <v>#N/A</v>
          </cell>
          <cell r="M349" t="e">
            <v>#N/A</v>
          </cell>
          <cell r="N349" t="e">
            <v>#N/A</v>
          </cell>
          <cell r="O349" t="e">
            <v>#N/A</v>
          </cell>
          <cell r="P349">
            <v>45.56</v>
          </cell>
          <cell r="Q349">
            <v>1.5304300000000002</v>
          </cell>
          <cell r="R349" t="e">
            <v>#N/A</v>
          </cell>
        </row>
        <row r="350">
          <cell r="A350">
            <v>39975</v>
          </cell>
          <cell r="B350">
            <v>39975</v>
          </cell>
          <cell r="C350" t="str">
            <v>Past</v>
          </cell>
          <cell r="D350">
            <v>44.67</v>
          </cell>
          <cell r="E350" t="e">
            <v>#N/A</v>
          </cell>
          <cell r="F350" t="e">
            <v>#N/A</v>
          </cell>
          <cell r="G350" t="e">
            <v>#N/A</v>
          </cell>
          <cell r="H350" t="e">
            <v>#N/A</v>
          </cell>
          <cell r="I350" t="e">
            <v>#N/A</v>
          </cell>
          <cell r="J350" t="e">
            <v>#N/A</v>
          </cell>
          <cell r="K350" t="e">
            <v>#N/A</v>
          </cell>
          <cell r="L350" t="e">
            <v>#N/A</v>
          </cell>
          <cell r="M350" t="e">
            <v>#N/A</v>
          </cell>
          <cell r="N350" t="e">
            <v>#N/A</v>
          </cell>
          <cell r="O350" t="e">
            <v>#N/A</v>
          </cell>
          <cell r="P350">
            <v>44.67</v>
          </cell>
          <cell r="Q350">
            <v>1.7533529999999999</v>
          </cell>
          <cell r="R350" t="e">
            <v>#N/A</v>
          </cell>
        </row>
        <row r="351">
          <cell r="A351">
            <v>39976</v>
          </cell>
          <cell r="B351">
            <v>39976</v>
          </cell>
          <cell r="C351" t="str">
            <v>Past</v>
          </cell>
          <cell r="D351">
            <v>45.3</v>
          </cell>
          <cell r="E351" t="e">
            <v>#N/A</v>
          </cell>
          <cell r="F351" t="e">
            <v>#N/A</v>
          </cell>
          <cell r="G351" t="e">
            <v>#N/A</v>
          </cell>
          <cell r="H351" t="e">
            <v>#N/A</v>
          </cell>
          <cell r="I351" t="e">
            <v>#N/A</v>
          </cell>
          <cell r="J351" t="e">
            <v>#N/A</v>
          </cell>
          <cell r="K351" t="e">
            <v>#N/A</v>
          </cell>
          <cell r="L351" t="e">
            <v>#N/A</v>
          </cell>
          <cell r="M351" t="e">
            <v>#N/A</v>
          </cell>
          <cell r="N351" t="e">
            <v>#N/A</v>
          </cell>
          <cell r="O351" t="e">
            <v>#N/A</v>
          </cell>
          <cell r="P351">
            <v>45.3</v>
          </cell>
          <cell r="Q351">
            <v>1.3559779999999999</v>
          </cell>
          <cell r="R351" t="e">
            <v>#N/A</v>
          </cell>
        </row>
        <row r="352">
          <cell r="A352">
            <v>39979</v>
          </cell>
          <cell r="B352">
            <v>39979</v>
          </cell>
          <cell r="C352" t="str">
            <v>Past</v>
          </cell>
          <cell r="D352">
            <v>44.01</v>
          </cell>
          <cell r="E352" t="e">
            <v>#N/A</v>
          </cell>
          <cell r="F352" t="e">
            <v>#N/A</v>
          </cell>
          <cell r="G352" t="e">
            <v>#N/A</v>
          </cell>
          <cell r="H352" t="e">
            <v>#N/A</v>
          </cell>
          <cell r="I352" t="e">
            <v>#N/A</v>
          </cell>
          <cell r="J352" t="e">
            <v>#N/A</v>
          </cell>
          <cell r="K352" t="e">
            <v>#N/A</v>
          </cell>
          <cell r="L352" t="e">
            <v>#N/A</v>
          </cell>
          <cell r="M352" t="e">
            <v>#N/A</v>
          </cell>
          <cell r="N352" t="e">
            <v>#N/A</v>
          </cell>
          <cell r="O352" t="e">
            <v>#N/A</v>
          </cell>
          <cell r="P352">
            <v>44.01</v>
          </cell>
          <cell r="Q352">
            <v>1.2862959999999999</v>
          </cell>
          <cell r="R352" t="e">
            <v>#N/A</v>
          </cell>
        </row>
        <row r="353">
          <cell r="A353">
            <v>39980</v>
          </cell>
          <cell r="B353">
            <v>39980</v>
          </cell>
          <cell r="C353" t="str">
            <v>Past</v>
          </cell>
          <cell r="D353">
            <v>43.51</v>
          </cell>
          <cell r="E353" t="e">
            <v>#N/A</v>
          </cell>
          <cell r="F353" t="e">
            <v>#N/A</v>
          </cell>
          <cell r="G353" t="e">
            <v>#N/A</v>
          </cell>
          <cell r="H353" t="e">
            <v>#N/A</v>
          </cell>
          <cell r="I353" t="e">
            <v>#N/A</v>
          </cell>
          <cell r="J353" t="e">
            <v>#N/A</v>
          </cell>
          <cell r="K353" t="e">
            <v>#N/A</v>
          </cell>
          <cell r="L353" t="e">
            <v>#N/A</v>
          </cell>
          <cell r="M353" t="e">
            <v>#N/A</v>
          </cell>
          <cell r="N353" t="e">
            <v>#N/A</v>
          </cell>
          <cell r="O353" t="e">
            <v>#N/A</v>
          </cell>
          <cell r="P353">
            <v>43.51</v>
          </cell>
          <cell r="Q353">
            <v>1.0004150000000001</v>
          </cell>
          <cell r="R353" t="e">
            <v>#N/A</v>
          </cell>
        </row>
        <row r="354">
          <cell r="A354">
            <v>39981</v>
          </cell>
          <cell r="B354">
            <v>39981</v>
          </cell>
          <cell r="C354" t="str">
            <v>Past</v>
          </cell>
          <cell r="D354">
            <v>43.74</v>
          </cell>
          <cell r="E354" t="e">
            <v>#N/A</v>
          </cell>
          <cell r="F354" t="e">
            <v>#N/A</v>
          </cell>
          <cell r="G354" t="e">
            <v>#N/A</v>
          </cell>
          <cell r="H354" t="e">
            <v>#N/A</v>
          </cell>
          <cell r="I354" t="e">
            <v>#N/A</v>
          </cell>
          <cell r="J354" t="e">
            <v>#N/A</v>
          </cell>
          <cell r="K354" t="e">
            <v>#N/A</v>
          </cell>
          <cell r="L354" t="e">
            <v>#N/A</v>
          </cell>
          <cell r="M354" t="e">
            <v>#N/A</v>
          </cell>
          <cell r="N354" t="e">
            <v>#N/A</v>
          </cell>
          <cell r="O354" t="e">
            <v>#N/A</v>
          </cell>
          <cell r="P354">
            <v>43.74</v>
          </cell>
          <cell r="Q354">
            <v>0.87782299999999991</v>
          </cell>
          <cell r="R354" t="e">
            <v>#N/A</v>
          </cell>
        </row>
        <row r="355">
          <cell r="A355">
            <v>39982</v>
          </cell>
          <cell r="B355">
            <v>39982</v>
          </cell>
          <cell r="C355" t="str">
            <v>Past</v>
          </cell>
          <cell r="D355">
            <v>43.79</v>
          </cell>
          <cell r="E355" t="e">
            <v>#N/A</v>
          </cell>
          <cell r="F355" t="e">
            <v>#N/A</v>
          </cell>
          <cell r="G355" t="e">
            <v>#N/A</v>
          </cell>
          <cell r="H355" t="e">
            <v>#N/A</v>
          </cell>
          <cell r="I355" t="e">
            <v>#N/A</v>
          </cell>
          <cell r="J355" t="e">
            <v>#N/A</v>
          </cell>
          <cell r="K355" t="e">
            <v>#N/A</v>
          </cell>
          <cell r="L355" t="e">
            <v>#N/A</v>
          </cell>
          <cell r="M355" t="e">
            <v>#N/A</v>
          </cell>
          <cell r="N355" t="e">
            <v>#N/A</v>
          </cell>
          <cell r="O355" t="e">
            <v>#N/A</v>
          </cell>
          <cell r="P355">
            <v>43.79</v>
          </cell>
          <cell r="Q355">
            <v>1.0064279999999999</v>
          </cell>
          <cell r="R355" t="e">
            <v>#N/A</v>
          </cell>
        </row>
        <row r="356">
          <cell r="A356">
            <v>39983</v>
          </cell>
          <cell r="B356">
            <v>39983</v>
          </cell>
          <cell r="C356" t="str">
            <v>Past</v>
          </cell>
          <cell r="D356">
            <v>43.69</v>
          </cell>
          <cell r="E356" t="e">
            <v>#N/A</v>
          </cell>
          <cell r="F356" t="e">
            <v>#N/A</v>
          </cell>
          <cell r="G356" t="e">
            <v>#N/A</v>
          </cell>
          <cell r="H356" t="e">
            <v>#N/A</v>
          </cell>
          <cell r="I356" t="e">
            <v>#N/A</v>
          </cell>
          <cell r="J356" t="e">
            <v>#N/A</v>
          </cell>
          <cell r="K356" t="e">
            <v>#N/A</v>
          </cell>
          <cell r="L356" t="e">
            <v>#N/A</v>
          </cell>
          <cell r="M356" t="e">
            <v>#N/A</v>
          </cell>
          <cell r="N356" t="e">
            <v>#N/A</v>
          </cell>
          <cell r="O356" t="e">
            <v>#N/A</v>
          </cell>
          <cell r="P356">
            <v>43.69</v>
          </cell>
          <cell r="Q356">
            <v>1.3082579999999999</v>
          </cell>
          <cell r="R356" t="e">
            <v>#N/A</v>
          </cell>
        </row>
        <row r="357">
          <cell r="A357">
            <v>39986</v>
          </cell>
          <cell r="B357">
            <v>39986</v>
          </cell>
          <cell r="C357" t="str">
            <v>Past</v>
          </cell>
          <cell r="D357">
            <v>42.43</v>
          </cell>
          <cell r="E357" t="e">
            <v>#N/A</v>
          </cell>
          <cell r="F357" t="e">
            <v>#N/A</v>
          </cell>
          <cell r="G357" t="e">
            <v>#N/A</v>
          </cell>
          <cell r="H357" t="e">
            <v>#N/A</v>
          </cell>
          <cell r="I357" t="e">
            <v>#N/A</v>
          </cell>
          <cell r="J357" t="e">
            <v>#N/A</v>
          </cell>
          <cell r="K357" t="e">
            <v>#N/A</v>
          </cell>
          <cell r="L357" t="e">
            <v>#N/A</v>
          </cell>
          <cell r="M357" t="e">
            <v>#N/A</v>
          </cell>
          <cell r="N357" t="e">
            <v>#N/A</v>
          </cell>
          <cell r="O357" t="e">
            <v>#N/A</v>
          </cell>
          <cell r="P357">
            <v>42.43</v>
          </cell>
          <cell r="Q357">
            <v>1.622252</v>
          </cell>
          <cell r="R357" t="e">
            <v>#N/A</v>
          </cell>
        </row>
        <row r="358">
          <cell r="A358">
            <v>39987</v>
          </cell>
          <cell r="B358">
            <v>39987</v>
          </cell>
          <cell r="C358" t="str">
            <v>Past</v>
          </cell>
          <cell r="D358">
            <v>41.91</v>
          </cell>
          <cell r="E358" t="e">
            <v>#N/A</v>
          </cell>
          <cell r="F358" t="e">
            <v>#N/A</v>
          </cell>
          <cell r="G358" t="e">
            <v>#N/A</v>
          </cell>
          <cell r="H358" t="e">
            <v>#N/A</v>
          </cell>
          <cell r="I358" t="e">
            <v>#N/A</v>
          </cell>
          <cell r="J358" t="e">
            <v>#N/A</v>
          </cell>
          <cell r="K358" t="e">
            <v>#N/A</v>
          </cell>
          <cell r="L358" t="e">
            <v>#N/A</v>
          </cell>
          <cell r="M358" t="e">
            <v>#N/A</v>
          </cell>
          <cell r="N358" t="e">
            <v>#N/A</v>
          </cell>
          <cell r="O358" t="e">
            <v>#N/A</v>
          </cell>
          <cell r="P358">
            <v>41.91</v>
          </cell>
          <cell r="Q358">
            <v>1.3651789999999999</v>
          </cell>
          <cell r="R358" t="e">
            <v>#N/A</v>
          </cell>
        </row>
        <row r="359">
          <cell r="A359">
            <v>39988</v>
          </cell>
          <cell r="B359">
            <v>39988</v>
          </cell>
          <cell r="C359" t="str">
            <v>Past</v>
          </cell>
          <cell r="D359">
            <v>41.6</v>
          </cell>
          <cell r="E359" t="e">
            <v>#N/A</v>
          </cell>
          <cell r="F359" t="e">
            <v>#N/A</v>
          </cell>
          <cell r="G359" t="e">
            <v>#N/A</v>
          </cell>
          <cell r="H359" t="e">
            <v>#N/A</v>
          </cell>
          <cell r="I359" t="e">
            <v>#N/A</v>
          </cell>
          <cell r="J359" t="e">
            <v>#N/A</v>
          </cell>
          <cell r="K359" t="e">
            <v>#N/A</v>
          </cell>
          <cell r="L359" t="e">
            <v>#N/A</v>
          </cell>
          <cell r="M359" t="e">
            <v>#N/A</v>
          </cell>
          <cell r="N359" t="e">
            <v>#N/A</v>
          </cell>
          <cell r="O359" t="e">
            <v>#N/A</v>
          </cell>
          <cell r="P359">
            <v>41.6</v>
          </cell>
          <cell r="Q359">
            <v>1.0306999999999999</v>
          </cell>
          <cell r="R359" t="e">
            <v>#N/A</v>
          </cell>
        </row>
        <row r="360">
          <cell r="A360">
            <v>39989</v>
          </cell>
          <cell r="B360">
            <v>39989</v>
          </cell>
          <cell r="C360" t="str">
            <v>Past</v>
          </cell>
          <cell r="D360">
            <v>42.18</v>
          </cell>
          <cell r="E360" t="e">
            <v>#N/A</v>
          </cell>
          <cell r="F360" t="e">
            <v>#N/A</v>
          </cell>
          <cell r="G360" t="e">
            <v>#N/A</v>
          </cell>
          <cell r="H360" t="e">
            <v>#N/A</v>
          </cell>
          <cell r="I360" t="e">
            <v>#N/A</v>
          </cell>
          <cell r="J360" t="e">
            <v>#N/A</v>
          </cell>
          <cell r="K360" t="e">
            <v>#N/A</v>
          </cell>
          <cell r="L360" t="e">
            <v>#N/A</v>
          </cell>
          <cell r="M360" t="e">
            <v>#N/A</v>
          </cell>
          <cell r="N360" t="e">
            <v>#N/A</v>
          </cell>
          <cell r="O360" t="e">
            <v>#N/A</v>
          </cell>
          <cell r="P360">
            <v>42.18</v>
          </cell>
          <cell r="Q360">
            <v>1.2519279999999999</v>
          </cell>
          <cell r="R360" t="e">
            <v>#N/A</v>
          </cell>
        </row>
        <row r="361">
          <cell r="A361">
            <v>39990</v>
          </cell>
          <cell r="B361">
            <v>39990</v>
          </cell>
          <cell r="C361" t="str">
            <v>Past</v>
          </cell>
          <cell r="D361">
            <v>41.55</v>
          </cell>
          <cell r="E361" t="e">
            <v>#N/A</v>
          </cell>
          <cell r="F361" t="e">
            <v>#N/A</v>
          </cell>
          <cell r="G361" t="e">
            <v>#N/A</v>
          </cell>
          <cell r="H361" t="e">
            <v>#N/A</v>
          </cell>
          <cell r="I361" t="e">
            <v>#N/A</v>
          </cell>
          <cell r="J361" t="e">
            <v>#N/A</v>
          </cell>
          <cell r="K361" t="e">
            <v>#N/A</v>
          </cell>
          <cell r="L361" t="e">
            <v>#N/A</v>
          </cell>
          <cell r="M361" t="e">
            <v>#N/A</v>
          </cell>
          <cell r="N361" t="e">
            <v>#N/A</v>
          </cell>
          <cell r="O361" t="e">
            <v>#N/A</v>
          </cell>
          <cell r="P361">
            <v>41.55</v>
          </cell>
          <cell r="Q361">
            <v>0.99302599999999996</v>
          </cell>
          <cell r="R361" t="e">
            <v>#N/A</v>
          </cell>
        </row>
        <row r="362">
          <cell r="A362">
            <v>39993</v>
          </cell>
          <cell r="B362">
            <v>39993</v>
          </cell>
          <cell r="C362" t="str">
            <v>Past</v>
          </cell>
          <cell r="D362">
            <v>42.2</v>
          </cell>
          <cell r="E362" t="e">
            <v>#N/A</v>
          </cell>
          <cell r="F362" t="e">
            <v>#N/A</v>
          </cell>
          <cell r="G362" t="e">
            <v>#N/A</v>
          </cell>
          <cell r="H362" t="e">
            <v>#N/A</v>
          </cell>
          <cell r="I362" t="e">
            <v>#N/A</v>
          </cell>
          <cell r="J362" t="e">
            <v>#N/A</v>
          </cell>
          <cell r="K362" t="e">
            <v>#N/A</v>
          </cell>
          <cell r="L362" t="e">
            <v>#N/A</v>
          </cell>
          <cell r="M362" t="e">
            <v>#N/A</v>
          </cell>
          <cell r="N362" t="e">
            <v>#N/A</v>
          </cell>
          <cell r="O362" t="e">
            <v>#N/A</v>
          </cell>
          <cell r="P362">
            <v>42.2</v>
          </cell>
          <cell r="Q362">
            <v>0.83581899999999998</v>
          </cell>
          <cell r="R362" t="e">
            <v>#N/A</v>
          </cell>
        </row>
        <row r="363">
          <cell r="A363">
            <v>39994</v>
          </cell>
          <cell r="B363">
            <v>39994</v>
          </cell>
          <cell r="C363" t="str">
            <v>Past</v>
          </cell>
          <cell r="D363">
            <v>41.73</v>
          </cell>
          <cell r="E363" t="e">
            <v>#N/A</v>
          </cell>
          <cell r="F363" t="e">
            <v>#N/A</v>
          </cell>
          <cell r="G363" t="e">
            <v>#N/A</v>
          </cell>
          <cell r="H363" t="e">
            <v>#N/A</v>
          </cell>
          <cell r="I363" t="e">
            <v>#N/A</v>
          </cell>
          <cell r="J363" t="e">
            <v>#N/A</v>
          </cell>
          <cell r="K363" t="e">
            <v>#N/A</v>
          </cell>
          <cell r="L363" t="e">
            <v>#N/A</v>
          </cell>
          <cell r="M363" t="e">
            <v>#N/A</v>
          </cell>
          <cell r="N363" t="e">
            <v>#N/A</v>
          </cell>
          <cell r="O363" t="e">
            <v>#N/A</v>
          </cell>
          <cell r="P363">
            <v>41.73</v>
          </cell>
          <cell r="Q363">
            <v>0.82126599999999994</v>
          </cell>
          <cell r="R363" t="e">
            <v>#N/A</v>
          </cell>
        </row>
        <row r="364">
          <cell r="A364">
            <v>39995</v>
          </cell>
          <cell r="B364">
            <v>39995</v>
          </cell>
          <cell r="C364" t="str">
            <v>Past</v>
          </cell>
          <cell r="D364">
            <v>42.05</v>
          </cell>
          <cell r="E364" t="e">
            <v>#N/A</v>
          </cell>
          <cell r="F364" t="e">
            <v>#N/A</v>
          </cell>
          <cell r="G364" t="e">
            <v>#N/A</v>
          </cell>
          <cell r="H364" t="e">
            <v>#N/A</v>
          </cell>
          <cell r="I364" t="e">
            <v>#N/A</v>
          </cell>
          <cell r="J364" t="e">
            <v>#N/A</v>
          </cell>
          <cell r="K364" t="e">
            <v>#N/A</v>
          </cell>
          <cell r="L364" t="e">
            <v>#N/A</v>
          </cell>
          <cell r="M364" t="e">
            <v>#N/A</v>
          </cell>
          <cell r="N364" t="e">
            <v>#N/A</v>
          </cell>
          <cell r="O364" t="e">
            <v>#N/A</v>
          </cell>
          <cell r="P364">
            <v>42.05</v>
          </cell>
          <cell r="Q364">
            <v>0.84606599999999998</v>
          </cell>
          <cell r="R364" t="e">
            <v>#N/A</v>
          </cell>
        </row>
        <row r="365">
          <cell r="A365">
            <v>39996</v>
          </cell>
          <cell r="B365">
            <v>39996</v>
          </cell>
          <cell r="C365" t="str">
            <v>Past</v>
          </cell>
          <cell r="D365">
            <v>40.200000000000003</v>
          </cell>
          <cell r="E365" t="e">
            <v>#N/A</v>
          </cell>
          <cell r="F365" t="e">
            <v>#N/A</v>
          </cell>
          <cell r="G365" t="e">
            <v>#N/A</v>
          </cell>
          <cell r="H365" t="e">
            <v>#N/A</v>
          </cell>
          <cell r="I365" t="e">
            <v>#N/A</v>
          </cell>
          <cell r="J365" t="e">
            <v>#N/A</v>
          </cell>
          <cell r="K365" t="e">
            <v>#N/A</v>
          </cell>
          <cell r="L365" t="e">
            <v>#N/A</v>
          </cell>
          <cell r="M365" t="e">
            <v>#N/A</v>
          </cell>
          <cell r="N365" t="e">
            <v>#N/A</v>
          </cell>
          <cell r="O365" t="e">
            <v>#N/A</v>
          </cell>
          <cell r="P365">
            <v>40.200000000000003</v>
          </cell>
          <cell r="Q365">
            <v>1.123769</v>
          </cell>
          <cell r="R365" t="e">
            <v>#N/A</v>
          </cell>
        </row>
        <row r="366">
          <cell r="A366">
            <v>40000</v>
          </cell>
          <cell r="B366">
            <v>40000</v>
          </cell>
          <cell r="C366" t="str">
            <v>Past</v>
          </cell>
          <cell r="D366">
            <v>40.33</v>
          </cell>
          <cell r="E366" t="e">
            <v>#N/A</v>
          </cell>
          <cell r="F366" t="e">
            <v>#N/A</v>
          </cell>
          <cell r="G366" t="e">
            <v>#N/A</v>
          </cell>
          <cell r="H366" t="e">
            <v>#N/A</v>
          </cell>
          <cell r="I366" t="e">
            <v>#N/A</v>
          </cell>
          <cell r="J366" t="e">
            <v>#N/A</v>
          </cell>
          <cell r="K366" t="e">
            <v>#N/A</v>
          </cell>
          <cell r="L366" t="e">
            <v>#N/A</v>
          </cell>
          <cell r="M366" t="e">
            <v>#N/A</v>
          </cell>
          <cell r="N366" t="e">
            <v>#N/A</v>
          </cell>
          <cell r="O366" t="e">
            <v>#N/A</v>
          </cell>
          <cell r="P366">
            <v>40.33</v>
          </cell>
          <cell r="Q366">
            <v>0.94517299999999993</v>
          </cell>
          <cell r="R366" t="e">
            <v>#N/A</v>
          </cell>
        </row>
        <row r="367">
          <cell r="A367">
            <v>40001</v>
          </cell>
          <cell r="B367">
            <v>40001</v>
          </cell>
          <cell r="C367" t="str">
            <v>Past</v>
          </cell>
          <cell r="D367">
            <v>38.42</v>
          </cell>
          <cell r="E367" t="e">
            <v>#N/A</v>
          </cell>
          <cell r="F367" t="e">
            <v>#N/A</v>
          </cell>
          <cell r="G367" t="e">
            <v>#N/A</v>
          </cell>
          <cell r="H367" t="e">
            <v>#N/A</v>
          </cell>
          <cell r="I367" t="e">
            <v>#N/A</v>
          </cell>
          <cell r="J367" t="e">
            <v>#N/A</v>
          </cell>
          <cell r="K367" t="e">
            <v>#N/A</v>
          </cell>
          <cell r="L367" t="e">
            <v>#N/A</v>
          </cell>
          <cell r="M367" t="e">
            <v>#N/A</v>
          </cell>
          <cell r="N367" t="e">
            <v>#N/A</v>
          </cell>
          <cell r="O367" t="e">
            <v>#N/A</v>
          </cell>
          <cell r="P367">
            <v>38.42</v>
          </cell>
          <cell r="Q367">
            <v>2.7292100000000001</v>
          </cell>
          <cell r="R367" t="e">
            <v>#N/A</v>
          </cell>
        </row>
        <row r="368">
          <cell r="A368">
            <v>40002</v>
          </cell>
          <cell r="B368">
            <v>40002</v>
          </cell>
          <cell r="C368" t="str">
            <v>Past</v>
          </cell>
          <cell r="D368">
            <v>39.090000000000003</v>
          </cell>
          <cell r="E368" t="e">
            <v>#N/A</v>
          </cell>
          <cell r="F368" t="e">
            <v>#N/A</v>
          </cell>
          <cell r="G368" t="e">
            <v>#N/A</v>
          </cell>
          <cell r="H368" t="e">
            <v>#N/A</v>
          </cell>
          <cell r="I368" t="e">
            <v>#N/A</v>
          </cell>
          <cell r="J368" t="e">
            <v>#N/A</v>
          </cell>
          <cell r="K368" t="e">
            <v>#N/A</v>
          </cell>
          <cell r="L368" t="e">
            <v>#N/A</v>
          </cell>
          <cell r="M368" t="e">
            <v>#N/A</v>
          </cell>
          <cell r="N368" t="e">
            <v>#N/A</v>
          </cell>
          <cell r="O368" t="e">
            <v>#N/A</v>
          </cell>
          <cell r="P368">
            <v>39.090000000000003</v>
          </cell>
          <cell r="Q368">
            <v>1.366736</v>
          </cell>
          <cell r="R368" t="e">
            <v>#N/A</v>
          </cell>
        </row>
        <row r="369">
          <cell r="A369">
            <v>40003</v>
          </cell>
          <cell r="B369">
            <v>40003</v>
          </cell>
          <cell r="C369" t="str">
            <v>Past</v>
          </cell>
          <cell r="D369">
            <v>38.81</v>
          </cell>
          <cell r="E369" t="e">
            <v>#N/A</v>
          </cell>
          <cell r="F369" t="e">
            <v>#N/A</v>
          </cell>
          <cell r="G369" t="e">
            <v>#N/A</v>
          </cell>
          <cell r="H369" t="e">
            <v>#N/A</v>
          </cell>
          <cell r="I369" t="e">
            <v>#N/A</v>
          </cell>
          <cell r="J369" t="e">
            <v>#N/A</v>
          </cell>
          <cell r="K369" t="e">
            <v>#N/A</v>
          </cell>
          <cell r="L369" t="e">
            <v>#N/A</v>
          </cell>
          <cell r="M369" t="e">
            <v>#N/A</v>
          </cell>
          <cell r="N369" t="e">
            <v>#N/A</v>
          </cell>
          <cell r="O369" t="e">
            <v>#N/A</v>
          </cell>
          <cell r="P369">
            <v>38.81</v>
          </cell>
          <cell r="Q369">
            <v>0.72730699999999993</v>
          </cell>
          <cell r="R369" t="e">
            <v>#N/A</v>
          </cell>
        </row>
        <row r="370">
          <cell r="A370">
            <v>40004</v>
          </cell>
          <cell r="B370">
            <v>40004</v>
          </cell>
          <cell r="C370" t="str">
            <v>Past</v>
          </cell>
          <cell r="D370">
            <v>38.81</v>
          </cell>
          <cell r="E370" t="e">
            <v>#N/A</v>
          </cell>
          <cell r="F370" t="e">
            <v>#N/A</v>
          </cell>
          <cell r="G370" t="e">
            <v>#N/A</v>
          </cell>
          <cell r="H370" t="e">
            <v>#N/A</v>
          </cell>
          <cell r="I370" t="e">
            <v>#N/A</v>
          </cell>
          <cell r="J370" t="e">
            <v>#N/A</v>
          </cell>
          <cell r="K370" t="e">
            <v>#N/A</v>
          </cell>
          <cell r="L370" t="e">
            <v>#N/A</v>
          </cell>
          <cell r="M370" t="e">
            <v>#N/A</v>
          </cell>
          <cell r="N370" t="e">
            <v>#N/A</v>
          </cell>
          <cell r="O370" t="e">
            <v>#N/A</v>
          </cell>
          <cell r="P370">
            <v>38.81</v>
          </cell>
          <cell r="Q370">
            <v>0.78500199999999998</v>
          </cell>
          <cell r="R370" t="e">
            <v>#N/A</v>
          </cell>
        </row>
        <row r="371">
          <cell r="A371">
            <v>40007</v>
          </cell>
          <cell r="B371">
            <v>40007</v>
          </cell>
          <cell r="C371" t="str">
            <v>Past</v>
          </cell>
          <cell r="D371">
            <v>39.97</v>
          </cell>
          <cell r="E371" t="e">
            <v>#N/A</v>
          </cell>
          <cell r="F371" t="e">
            <v>#N/A</v>
          </cell>
          <cell r="G371" t="e">
            <v>#N/A</v>
          </cell>
          <cell r="H371" t="e">
            <v>#N/A</v>
          </cell>
          <cell r="I371" t="e">
            <v>#N/A</v>
          </cell>
          <cell r="J371" t="e">
            <v>#N/A</v>
          </cell>
          <cell r="K371" t="e">
            <v>#N/A</v>
          </cell>
          <cell r="L371" t="e">
            <v>#N/A</v>
          </cell>
          <cell r="M371" t="e">
            <v>#N/A</v>
          </cell>
          <cell r="N371" t="e">
            <v>#N/A</v>
          </cell>
          <cell r="O371" t="e">
            <v>#N/A</v>
          </cell>
          <cell r="P371">
            <v>39.97</v>
          </cell>
          <cell r="Q371">
            <v>0.86119299999999999</v>
          </cell>
          <cell r="R371" t="e">
            <v>#N/A</v>
          </cell>
        </row>
        <row r="372">
          <cell r="A372">
            <v>40008</v>
          </cell>
          <cell r="B372">
            <v>40008</v>
          </cell>
          <cell r="C372" t="str">
            <v>Past</v>
          </cell>
          <cell r="D372">
            <v>40.68</v>
          </cell>
          <cell r="E372" t="e">
            <v>#N/A</v>
          </cell>
          <cell r="F372" t="e">
            <v>#N/A</v>
          </cell>
          <cell r="G372" t="e">
            <v>#N/A</v>
          </cell>
          <cell r="H372" t="e">
            <v>#N/A</v>
          </cell>
          <cell r="I372" t="e">
            <v>#N/A</v>
          </cell>
          <cell r="J372" t="e">
            <v>#N/A</v>
          </cell>
          <cell r="K372" t="e">
            <v>#N/A</v>
          </cell>
          <cell r="L372" t="e">
            <v>#N/A</v>
          </cell>
          <cell r="M372" t="e">
            <v>#N/A</v>
          </cell>
          <cell r="N372" t="e">
            <v>#N/A</v>
          </cell>
          <cell r="O372" t="e">
            <v>#N/A</v>
          </cell>
          <cell r="P372">
            <v>40.68</v>
          </cell>
          <cell r="Q372">
            <v>1.0273759999999998</v>
          </cell>
          <cell r="R372" t="e">
            <v>#N/A</v>
          </cell>
        </row>
        <row r="373">
          <cell r="A373">
            <v>40009</v>
          </cell>
          <cell r="B373">
            <v>40009</v>
          </cell>
          <cell r="C373" t="str">
            <v>Past</v>
          </cell>
          <cell r="D373">
            <v>41.13</v>
          </cell>
          <cell r="E373" t="e">
            <v>#N/A</v>
          </cell>
          <cell r="F373" t="e">
            <v>#N/A</v>
          </cell>
          <cell r="G373" t="e">
            <v>#N/A</v>
          </cell>
          <cell r="H373" t="e">
            <v>#N/A</v>
          </cell>
          <cell r="I373" t="e">
            <v>#N/A</v>
          </cell>
          <cell r="J373" t="e">
            <v>#N/A</v>
          </cell>
          <cell r="K373" t="e">
            <v>#N/A</v>
          </cell>
          <cell r="L373" t="e">
            <v>#N/A</v>
          </cell>
          <cell r="M373" t="e">
            <v>#N/A</v>
          </cell>
          <cell r="N373" t="e">
            <v>#N/A</v>
          </cell>
          <cell r="O373" t="e">
            <v>#N/A</v>
          </cell>
          <cell r="P373">
            <v>41.13</v>
          </cell>
          <cell r="Q373">
            <v>1.0150400000000002</v>
          </cell>
          <cell r="R373" t="e">
            <v>#N/A</v>
          </cell>
        </row>
        <row r="374">
          <cell r="A374">
            <v>40010</v>
          </cell>
          <cell r="B374">
            <v>40010</v>
          </cell>
          <cell r="C374" t="str">
            <v>Past</v>
          </cell>
          <cell r="D374">
            <v>41.31</v>
          </cell>
          <cell r="E374" t="e">
            <v>#N/A</v>
          </cell>
          <cell r="F374" t="e">
            <v>#N/A</v>
          </cell>
          <cell r="G374" t="e">
            <v>#N/A</v>
          </cell>
          <cell r="H374" t="e">
            <v>#N/A</v>
          </cell>
          <cell r="I374" t="e">
            <v>#N/A</v>
          </cell>
          <cell r="J374" t="e">
            <v>#N/A</v>
          </cell>
          <cell r="K374" t="e">
            <v>#N/A</v>
          </cell>
          <cell r="L374" t="e">
            <v>#N/A</v>
          </cell>
          <cell r="M374" t="e">
            <v>#N/A</v>
          </cell>
          <cell r="N374" t="e">
            <v>#N/A</v>
          </cell>
          <cell r="O374" t="e">
            <v>#N/A</v>
          </cell>
          <cell r="P374">
            <v>41.31</v>
          </cell>
          <cell r="Q374">
            <v>1.206189</v>
          </cell>
          <cell r="R374" t="e">
            <v>#N/A</v>
          </cell>
        </row>
        <row r="375">
          <cell r="A375">
            <v>40011</v>
          </cell>
          <cell r="B375">
            <v>40011</v>
          </cell>
          <cell r="C375" t="str">
            <v>Past</v>
          </cell>
          <cell r="D375">
            <v>40.94</v>
          </cell>
          <cell r="E375" t="e">
            <v>#N/A</v>
          </cell>
          <cell r="F375" t="e">
            <v>#N/A</v>
          </cell>
          <cell r="G375" t="e">
            <v>#N/A</v>
          </cell>
          <cell r="H375" t="e">
            <v>#N/A</v>
          </cell>
          <cell r="I375" t="e">
            <v>#N/A</v>
          </cell>
          <cell r="J375" t="e">
            <v>#N/A</v>
          </cell>
          <cell r="K375" t="e">
            <v>#N/A</v>
          </cell>
          <cell r="L375" t="e">
            <v>#N/A</v>
          </cell>
          <cell r="M375" t="e">
            <v>#N/A</v>
          </cell>
          <cell r="N375" t="e">
            <v>#N/A</v>
          </cell>
          <cell r="O375" t="e">
            <v>#N/A</v>
          </cell>
          <cell r="P375">
            <v>40.94</v>
          </cell>
          <cell r="Q375">
            <v>1.6902139999999999</v>
          </cell>
          <cell r="R375" t="e">
            <v>#N/A</v>
          </cell>
        </row>
        <row r="376">
          <cell r="A376">
            <v>40014</v>
          </cell>
          <cell r="B376">
            <v>40014</v>
          </cell>
          <cell r="C376" t="str">
            <v>Past</v>
          </cell>
          <cell r="D376">
            <v>41.41</v>
          </cell>
          <cell r="E376" t="e">
            <v>#N/A</v>
          </cell>
          <cell r="F376" t="e">
            <v>#N/A</v>
          </cell>
          <cell r="G376" t="e">
            <v>#N/A</v>
          </cell>
          <cell r="H376" t="e">
            <v>#N/A</v>
          </cell>
          <cell r="I376" t="e">
            <v>#N/A</v>
          </cell>
          <cell r="J376" t="e">
            <v>#N/A</v>
          </cell>
          <cell r="K376" t="e">
            <v>#N/A</v>
          </cell>
          <cell r="L376" t="e">
            <v>#N/A</v>
          </cell>
          <cell r="M376" t="e">
            <v>#N/A</v>
          </cell>
          <cell r="N376" t="e">
            <v>#N/A</v>
          </cell>
          <cell r="O376" t="e">
            <v>#N/A</v>
          </cell>
          <cell r="P376">
            <v>41.41</v>
          </cell>
          <cell r="Q376">
            <v>1.037147</v>
          </cell>
          <cell r="R376" t="e">
            <v>#N/A</v>
          </cell>
        </row>
        <row r="377">
          <cell r="A377">
            <v>40015</v>
          </cell>
          <cell r="B377">
            <v>40015</v>
          </cell>
          <cell r="C377" t="str">
            <v>Past</v>
          </cell>
          <cell r="D377">
            <v>41.91</v>
          </cell>
          <cell r="E377" t="e">
            <v>#N/A</v>
          </cell>
          <cell r="F377" t="e">
            <v>#N/A</v>
          </cell>
          <cell r="G377" t="e">
            <v>#N/A</v>
          </cell>
          <cell r="H377" t="e">
            <v>#N/A</v>
          </cell>
          <cell r="I377" t="e">
            <v>#N/A</v>
          </cell>
          <cell r="J377" t="e">
            <v>#N/A</v>
          </cell>
          <cell r="K377" t="e">
            <v>#N/A</v>
          </cell>
          <cell r="L377" t="e">
            <v>#N/A</v>
          </cell>
          <cell r="M377" t="e">
            <v>#N/A</v>
          </cell>
          <cell r="N377" t="e">
            <v>#N/A</v>
          </cell>
          <cell r="O377" t="e">
            <v>#N/A</v>
          </cell>
          <cell r="P377">
            <v>41.91</v>
          </cell>
          <cell r="Q377">
            <v>0.808396</v>
          </cell>
          <cell r="R377" t="e">
            <v>#N/A</v>
          </cell>
        </row>
        <row r="378">
          <cell r="A378">
            <v>40016</v>
          </cell>
          <cell r="B378">
            <v>40016</v>
          </cell>
          <cell r="C378" t="str">
            <v>Past</v>
          </cell>
          <cell r="D378">
            <v>41.87</v>
          </cell>
          <cell r="E378" t="e">
            <v>#N/A</v>
          </cell>
          <cell r="F378" t="e">
            <v>#N/A</v>
          </cell>
          <cell r="G378" t="e">
            <v>#N/A</v>
          </cell>
          <cell r="H378" t="e">
            <v>#N/A</v>
          </cell>
          <cell r="I378" t="e">
            <v>#N/A</v>
          </cell>
          <cell r="J378" t="e">
            <v>#N/A</v>
          </cell>
          <cell r="K378" t="e">
            <v>#N/A</v>
          </cell>
          <cell r="L378" t="e">
            <v>#N/A</v>
          </cell>
          <cell r="M378" t="e">
            <v>#N/A</v>
          </cell>
          <cell r="N378" t="e">
            <v>#N/A</v>
          </cell>
          <cell r="O378" t="e">
            <v>#N/A</v>
          </cell>
          <cell r="P378">
            <v>41.87</v>
          </cell>
          <cell r="Q378">
            <v>0.72513000000000005</v>
          </cell>
          <cell r="R378" t="e">
            <v>#N/A</v>
          </cell>
        </row>
        <row r="379">
          <cell r="A379">
            <v>40017</v>
          </cell>
          <cell r="B379">
            <v>40017</v>
          </cell>
          <cell r="C379" t="str">
            <v>Past</v>
          </cell>
          <cell r="D379">
            <v>41.85</v>
          </cell>
          <cell r="E379" t="e">
            <v>#N/A</v>
          </cell>
          <cell r="F379" t="e">
            <v>#N/A</v>
          </cell>
          <cell r="G379" t="e">
            <v>#N/A</v>
          </cell>
          <cell r="H379" t="e">
            <v>#N/A</v>
          </cell>
          <cell r="I379" t="e">
            <v>#N/A</v>
          </cell>
          <cell r="J379" t="e">
            <v>#N/A</v>
          </cell>
          <cell r="K379" t="e">
            <v>#N/A</v>
          </cell>
          <cell r="L379" t="e">
            <v>#N/A</v>
          </cell>
          <cell r="M379" t="e">
            <v>#N/A</v>
          </cell>
          <cell r="N379" t="e">
            <v>#N/A</v>
          </cell>
          <cell r="O379" t="e">
            <v>#N/A</v>
          </cell>
          <cell r="P379">
            <v>41.85</v>
          </cell>
          <cell r="Q379">
            <v>1.383923</v>
          </cell>
          <cell r="R379" t="e">
            <v>#N/A</v>
          </cell>
        </row>
        <row r="380">
          <cell r="A380">
            <v>40018</v>
          </cell>
          <cell r="B380">
            <v>40018</v>
          </cell>
          <cell r="C380" t="str">
            <v>Past</v>
          </cell>
          <cell r="D380">
            <v>40.74</v>
          </cell>
          <cell r="E380" t="e">
            <v>#N/A</v>
          </cell>
          <cell r="F380" t="e">
            <v>#N/A</v>
          </cell>
          <cell r="G380" t="e">
            <v>#N/A</v>
          </cell>
          <cell r="H380" t="e">
            <v>#N/A</v>
          </cell>
          <cell r="I380" t="e">
            <v>#N/A</v>
          </cell>
          <cell r="J380" t="e">
            <v>#N/A</v>
          </cell>
          <cell r="K380" t="e">
            <v>#N/A</v>
          </cell>
          <cell r="L380" t="e">
            <v>#N/A</v>
          </cell>
          <cell r="M380" t="e">
            <v>#N/A</v>
          </cell>
          <cell r="N380" t="e">
            <v>#N/A</v>
          </cell>
          <cell r="O380" t="e">
            <v>#N/A</v>
          </cell>
          <cell r="P380">
            <v>40.74</v>
          </cell>
          <cell r="Q380">
            <v>2.0377860000000001</v>
          </cell>
          <cell r="R380" t="e">
            <v>#N/A</v>
          </cell>
        </row>
        <row r="381">
          <cell r="A381">
            <v>40021</v>
          </cell>
          <cell r="B381">
            <v>40021</v>
          </cell>
          <cell r="C381" t="str">
            <v>Past</v>
          </cell>
          <cell r="D381">
            <v>39.590000000000003</v>
          </cell>
          <cell r="E381" t="e">
            <v>#N/A</v>
          </cell>
          <cell r="F381" t="e">
            <v>#N/A</v>
          </cell>
          <cell r="G381" t="e">
            <v>#N/A</v>
          </cell>
          <cell r="H381" t="e">
            <v>#N/A</v>
          </cell>
          <cell r="I381" t="e">
            <v>#N/A</v>
          </cell>
          <cell r="J381" t="e">
            <v>#N/A</v>
          </cell>
          <cell r="K381" t="e">
            <v>#N/A</v>
          </cell>
          <cell r="L381" t="e">
            <v>#N/A</v>
          </cell>
          <cell r="M381" t="e">
            <v>#N/A</v>
          </cell>
          <cell r="N381" t="e">
            <v>#N/A</v>
          </cell>
          <cell r="O381" t="e">
            <v>#N/A</v>
          </cell>
          <cell r="P381">
            <v>39.590000000000003</v>
          </cell>
          <cell r="Q381">
            <v>3.343461</v>
          </cell>
          <cell r="R381" t="e">
            <v>#N/A</v>
          </cell>
        </row>
        <row r="382">
          <cell r="A382">
            <v>40022</v>
          </cell>
          <cell r="B382">
            <v>40022</v>
          </cell>
          <cell r="C382" t="str">
            <v>Past</v>
          </cell>
          <cell r="D382">
            <v>39.61</v>
          </cell>
          <cell r="E382" t="e">
            <v>#N/A</v>
          </cell>
          <cell r="F382" t="e">
            <v>#N/A</v>
          </cell>
          <cell r="G382" t="e">
            <v>#N/A</v>
          </cell>
          <cell r="H382" t="e">
            <v>#N/A</v>
          </cell>
          <cell r="I382" t="e">
            <v>#N/A</v>
          </cell>
          <cell r="J382" t="e">
            <v>#N/A</v>
          </cell>
          <cell r="K382" t="e">
            <v>#N/A</v>
          </cell>
          <cell r="L382" t="e">
            <v>#N/A</v>
          </cell>
          <cell r="M382" t="e">
            <v>#N/A</v>
          </cell>
          <cell r="N382" t="e">
            <v>#N/A</v>
          </cell>
          <cell r="O382" t="e">
            <v>#N/A</v>
          </cell>
          <cell r="P382">
            <v>39.61</v>
          </cell>
          <cell r="Q382">
            <v>2.416506</v>
          </cell>
          <cell r="R382" t="e">
            <v>#N/A</v>
          </cell>
        </row>
        <row r="383">
          <cell r="A383">
            <v>40023</v>
          </cell>
          <cell r="B383">
            <v>40023</v>
          </cell>
          <cell r="C383" t="str">
            <v>Past</v>
          </cell>
          <cell r="D383">
            <v>40.26</v>
          </cell>
          <cell r="E383" t="e">
            <v>#N/A</v>
          </cell>
          <cell r="F383" t="e">
            <v>#N/A</v>
          </cell>
          <cell r="G383" t="e">
            <v>#N/A</v>
          </cell>
          <cell r="H383" t="e">
            <v>#N/A</v>
          </cell>
          <cell r="I383" t="e">
            <v>#N/A</v>
          </cell>
          <cell r="J383" t="e">
            <v>#N/A</v>
          </cell>
          <cell r="K383" t="e">
            <v>#N/A</v>
          </cell>
          <cell r="L383" t="e">
            <v>#N/A</v>
          </cell>
          <cell r="M383" t="e">
            <v>#N/A</v>
          </cell>
          <cell r="N383" t="e">
            <v>#N/A</v>
          </cell>
          <cell r="O383" t="e">
            <v>#N/A</v>
          </cell>
          <cell r="P383">
            <v>40.26</v>
          </cell>
          <cell r="Q383">
            <v>2.0140000000000002</v>
          </cell>
          <cell r="R383" t="e">
            <v>#N/A</v>
          </cell>
        </row>
        <row r="384">
          <cell r="A384">
            <v>40024</v>
          </cell>
          <cell r="B384">
            <v>40024</v>
          </cell>
          <cell r="C384" t="str">
            <v>Past</v>
          </cell>
          <cell r="D384">
            <v>42.52</v>
          </cell>
          <cell r="E384" t="e">
            <v>#N/A</v>
          </cell>
          <cell r="F384" t="e">
            <v>#N/A</v>
          </cell>
          <cell r="G384" t="e">
            <v>#N/A</v>
          </cell>
          <cell r="H384" t="e">
            <v>#N/A</v>
          </cell>
          <cell r="I384" t="e">
            <v>#N/A</v>
          </cell>
          <cell r="J384" t="e">
            <v>#N/A</v>
          </cell>
          <cell r="K384" t="e">
            <v>#N/A</v>
          </cell>
          <cell r="L384" t="e">
            <v>#N/A</v>
          </cell>
          <cell r="M384" t="e">
            <v>#N/A</v>
          </cell>
          <cell r="N384" t="e">
            <v>#N/A</v>
          </cell>
          <cell r="O384" t="e">
            <v>#N/A</v>
          </cell>
          <cell r="P384">
            <v>42.52</v>
          </cell>
          <cell r="Q384">
            <v>2.125607</v>
          </cell>
          <cell r="R384" t="e">
            <v>#N/A</v>
          </cell>
        </row>
        <row r="385">
          <cell r="A385">
            <v>40025</v>
          </cell>
          <cell r="B385">
            <v>40025</v>
          </cell>
          <cell r="C385" t="str">
            <v>Past</v>
          </cell>
          <cell r="D385">
            <v>42.2</v>
          </cell>
          <cell r="E385" t="e">
            <v>#N/A</v>
          </cell>
          <cell r="F385" t="e">
            <v>#N/A</v>
          </cell>
          <cell r="G385" t="e">
            <v>#N/A</v>
          </cell>
          <cell r="H385" t="e">
            <v>#N/A</v>
          </cell>
          <cell r="I385" t="e">
            <v>#N/A</v>
          </cell>
          <cell r="J385" t="e">
            <v>#N/A</v>
          </cell>
          <cell r="K385" t="e">
            <v>#N/A</v>
          </cell>
          <cell r="L385" t="e">
            <v>#N/A</v>
          </cell>
          <cell r="M385" t="e">
            <v>#N/A</v>
          </cell>
          <cell r="N385" t="e">
            <v>#N/A</v>
          </cell>
          <cell r="O385" t="e">
            <v>#N/A</v>
          </cell>
          <cell r="P385">
            <v>42.2</v>
          </cell>
          <cell r="Q385">
            <v>1.4255369999999998</v>
          </cell>
          <cell r="R385" t="e">
            <v>#N/A</v>
          </cell>
        </row>
        <row r="386">
          <cell r="A386">
            <v>40028</v>
          </cell>
          <cell r="B386">
            <v>40028</v>
          </cell>
          <cell r="C386" t="str">
            <v>Past</v>
          </cell>
          <cell r="D386">
            <v>43.29</v>
          </cell>
          <cell r="E386" t="e">
            <v>#N/A</v>
          </cell>
          <cell r="F386" t="e">
            <v>#N/A</v>
          </cell>
          <cell r="G386" t="e">
            <v>#N/A</v>
          </cell>
          <cell r="H386" t="e">
            <v>#N/A</v>
          </cell>
          <cell r="I386" t="e">
            <v>#N/A</v>
          </cell>
          <cell r="J386" t="e">
            <v>#N/A</v>
          </cell>
          <cell r="K386" t="e">
            <v>#N/A</v>
          </cell>
          <cell r="L386" t="e">
            <v>#N/A</v>
          </cell>
          <cell r="M386" t="e">
            <v>#N/A</v>
          </cell>
          <cell r="N386" t="e">
            <v>#N/A</v>
          </cell>
          <cell r="O386" t="e">
            <v>#N/A</v>
          </cell>
          <cell r="P386">
            <v>43.29</v>
          </cell>
          <cell r="Q386">
            <v>1.339715</v>
          </cell>
          <cell r="R386" t="e">
            <v>#N/A</v>
          </cell>
        </row>
        <row r="387">
          <cell r="A387">
            <v>40029</v>
          </cell>
          <cell r="B387">
            <v>40029</v>
          </cell>
          <cell r="C387" t="str">
            <v>Past</v>
          </cell>
          <cell r="D387">
            <v>43.77</v>
          </cell>
          <cell r="E387" t="e">
            <v>#N/A</v>
          </cell>
          <cell r="F387" t="e">
            <v>#N/A</v>
          </cell>
          <cell r="G387" t="e">
            <v>#N/A</v>
          </cell>
          <cell r="H387" t="e">
            <v>#N/A</v>
          </cell>
          <cell r="I387" t="e">
            <v>#N/A</v>
          </cell>
          <cell r="J387" t="e">
            <v>#N/A</v>
          </cell>
          <cell r="K387" t="e">
            <v>#N/A</v>
          </cell>
          <cell r="L387" t="e">
            <v>#N/A</v>
          </cell>
          <cell r="M387" t="e">
            <v>#N/A</v>
          </cell>
          <cell r="N387" t="e">
            <v>#N/A</v>
          </cell>
          <cell r="O387" t="e">
            <v>#N/A</v>
          </cell>
          <cell r="P387">
            <v>43.77</v>
          </cell>
          <cell r="Q387">
            <v>1.4680709999999999</v>
          </cell>
          <cell r="R387" t="e">
            <v>#N/A</v>
          </cell>
        </row>
        <row r="388">
          <cell r="A388">
            <v>40030</v>
          </cell>
          <cell r="B388">
            <v>40030</v>
          </cell>
          <cell r="C388" t="str">
            <v>Past</v>
          </cell>
          <cell r="D388">
            <v>43.65</v>
          </cell>
          <cell r="E388" t="e">
            <v>#N/A</v>
          </cell>
          <cell r="F388" t="e">
            <v>#N/A</v>
          </cell>
          <cell r="G388" t="e">
            <v>#N/A</v>
          </cell>
          <cell r="H388" t="e">
            <v>#N/A</v>
          </cell>
          <cell r="I388" t="e">
            <v>#N/A</v>
          </cell>
          <cell r="J388" t="e">
            <v>#N/A</v>
          </cell>
          <cell r="K388" t="e">
            <v>#N/A</v>
          </cell>
          <cell r="L388" t="e">
            <v>#N/A</v>
          </cell>
          <cell r="M388" t="e">
            <v>#N/A</v>
          </cell>
          <cell r="N388" t="e">
            <v>#N/A</v>
          </cell>
          <cell r="O388" t="e">
            <v>#N/A</v>
          </cell>
          <cell r="P388">
            <v>43.65</v>
          </cell>
          <cell r="Q388">
            <v>0.83979300000000001</v>
          </cell>
          <cell r="R388" t="e">
            <v>#N/A</v>
          </cell>
        </row>
        <row r="389">
          <cell r="A389">
            <v>40031</v>
          </cell>
          <cell r="B389">
            <v>40031</v>
          </cell>
          <cell r="C389" t="str">
            <v>Past</v>
          </cell>
          <cell r="D389">
            <v>44.09</v>
          </cell>
          <cell r="E389" t="e">
            <v>#N/A</v>
          </cell>
          <cell r="F389" t="e">
            <v>#N/A</v>
          </cell>
          <cell r="G389" t="e">
            <v>#N/A</v>
          </cell>
          <cell r="H389" t="e">
            <v>#N/A</v>
          </cell>
          <cell r="I389" t="e">
            <v>#N/A</v>
          </cell>
          <cell r="J389" t="e">
            <v>#N/A</v>
          </cell>
          <cell r="K389" t="e">
            <v>#N/A</v>
          </cell>
          <cell r="L389" t="e">
            <v>#N/A</v>
          </cell>
          <cell r="M389" t="e">
            <v>#N/A</v>
          </cell>
          <cell r="N389" t="e">
            <v>#N/A</v>
          </cell>
          <cell r="O389" t="e">
            <v>#N/A</v>
          </cell>
          <cell r="P389">
            <v>44.09</v>
          </cell>
          <cell r="Q389">
            <v>1.4793509999999999</v>
          </cell>
          <cell r="R389" t="e">
            <v>#N/A</v>
          </cell>
        </row>
        <row r="390">
          <cell r="A390">
            <v>40032</v>
          </cell>
          <cell r="B390">
            <v>40032</v>
          </cell>
          <cell r="C390" t="str">
            <v>Past</v>
          </cell>
          <cell r="D390">
            <v>45.23</v>
          </cell>
          <cell r="E390" t="e">
            <v>#N/A</v>
          </cell>
          <cell r="F390" t="e">
            <v>#N/A</v>
          </cell>
          <cell r="G390" t="e">
            <v>#N/A</v>
          </cell>
          <cell r="H390" t="e">
            <v>#N/A</v>
          </cell>
          <cell r="I390" t="e">
            <v>#N/A</v>
          </cell>
          <cell r="J390" t="e">
            <v>#N/A</v>
          </cell>
          <cell r="K390" t="e">
            <v>#N/A</v>
          </cell>
          <cell r="L390" t="e">
            <v>#N/A</v>
          </cell>
          <cell r="M390" t="e">
            <v>#N/A</v>
          </cell>
          <cell r="N390" t="e">
            <v>#N/A</v>
          </cell>
          <cell r="O390" t="e">
            <v>#N/A</v>
          </cell>
          <cell r="P390">
            <v>45.23</v>
          </cell>
          <cell r="Q390">
            <v>0.87159599999999993</v>
          </cell>
          <cell r="R390" t="e">
            <v>#N/A</v>
          </cell>
        </row>
        <row r="391">
          <cell r="A391">
            <v>40035</v>
          </cell>
          <cell r="B391">
            <v>40035</v>
          </cell>
          <cell r="C391" t="str">
            <v>Past</v>
          </cell>
          <cell r="D391">
            <v>44.55</v>
          </cell>
          <cell r="E391" t="e">
            <v>#N/A</v>
          </cell>
          <cell r="F391" t="e">
            <v>#N/A</v>
          </cell>
          <cell r="G391" t="e">
            <v>#N/A</v>
          </cell>
          <cell r="H391" t="e">
            <v>#N/A</v>
          </cell>
          <cell r="I391" t="e">
            <v>#N/A</v>
          </cell>
          <cell r="J391" t="e">
            <v>#N/A</v>
          </cell>
          <cell r="K391" t="e">
            <v>#N/A</v>
          </cell>
          <cell r="L391" t="e">
            <v>#N/A</v>
          </cell>
          <cell r="M391" t="e">
            <v>#N/A</v>
          </cell>
          <cell r="N391" t="e">
            <v>#N/A</v>
          </cell>
          <cell r="O391" t="e">
            <v>#N/A</v>
          </cell>
          <cell r="P391">
            <v>44.55</v>
          </cell>
          <cell r="Q391">
            <v>0.62007000000000001</v>
          </cell>
          <cell r="R391" t="e">
            <v>#N/A</v>
          </cell>
        </row>
        <row r="392">
          <cell r="A392">
            <v>40036</v>
          </cell>
          <cell r="B392">
            <v>40036</v>
          </cell>
          <cell r="C392" t="str">
            <v>Past</v>
          </cell>
          <cell r="D392">
            <v>43.89</v>
          </cell>
          <cell r="E392" t="e">
            <v>#N/A</v>
          </cell>
          <cell r="F392" t="e">
            <v>#N/A</v>
          </cell>
          <cell r="G392" t="e">
            <v>#N/A</v>
          </cell>
          <cell r="H392" t="e">
            <v>#N/A</v>
          </cell>
          <cell r="I392" t="e">
            <v>#N/A</v>
          </cell>
          <cell r="J392" t="e">
            <v>#N/A</v>
          </cell>
          <cell r="K392" t="e">
            <v>#N/A</v>
          </cell>
          <cell r="L392" t="e">
            <v>#N/A</v>
          </cell>
          <cell r="M392" t="e">
            <v>#N/A</v>
          </cell>
          <cell r="N392" t="e">
            <v>#N/A</v>
          </cell>
          <cell r="O392" t="e">
            <v>#N/A</v>
          </cell>
          <cell r="P392">
            <v>43.89</v>
          </cell>
          <cell r="Q392">
            <v>0.93275199999999991</v>
          </cell>
          <cell r="R392" t="e">
            <v>#N/A</v>
          </cell>
        </row>
        <row r="393">
          <cell r="A393">
            <v>40037</v>
          </cell>
          <cell r="B393">
            <v>40037</v>
          </cell>
          <cell r="C393" t="str">
            <v>Past</v>
          </cell>
          <cell r="D393">
            <v>45.32</v>
          </cell>
          <cell r="E393" t="e">
            <v>#N/A</v>
          </cell>
          <cell r="F393" t="e">
            <v>#N/A</v>
          </cell>
          <cell r="G393" t="e">
            <v>#N/A</v>
          </cell>
          <cell r="H393" t="e">
            <v>#N/A</v>
          </cell>
          <cell r="I393" t="e">
            <v>#N/A</v>
          </cell>
          <cell r="J393" t="e">
            <v>#N/A</v>
          </cell>
          <cell r="K393" t="e">
            <v>#N/A</v>
          </cell>
          <cell r="L393" t="e">
            <v>#N/A</v>
          </cell>
          <cell r="M393" t="e">
            <v>#N/A</v>
          </cell>
          <cell r="N393" t="e">
            <v>#N/A</v>
          </cell>
          <cell r="O393" t="e">
            <v>#N/A</v>
          </cell>
          <cell r="P393">
            <v>45.32</v>
          </cell>
          <cell r="Q393">
            <v>0.89216699999999993</v>
          </cell>
          <cell r="R393" t="e">
            <v>#N/A</v>
          </cell>
        </row>
        <row r="394">
          <cell r="A394">
            <v>40038</v>
          </cell>
          <cell r="B394">
            <v>40038</v>
          </cell>
          <cell r="C394" t="str">
            <v>Past</v>
          </cell>
          <cell r="D394">
            <v>44.24</v>
          </cell>
          <cell r="E394" t="e">
            <v>#N/A</v>
          </cell>
          <cell r="F394" t="e">
            <v>#N/A</v>
          </cell>
          <cell r="G394" t="e">
            <v>#N/A</v>
          </cell>
          <cell r="H394" t="e">
            <v>#N/A</v>
          </cell>
          <cell r="I394" t="e">
            <v>#N/A</v>
          </cell>
          <cell r="J394" t="e">
            <v>#N/A</v>
          </cell>
          <cell r="K394" t="e">
            <v>#N/A</v>
          </cell>
          <cell r="L394" t="e">
            <v>#N/A</v>
          </cell>
          <cell r="M394" t="e">
            <v>#N/A</v>
          </cell>
          <cell r="N394" t="e">
            <v>#N/A</v>
          </cell>
          <cell r="O394" t="e">
            <v>#N/A</v>
          </cell>
          <cell r="P394">
            <v>44.24</v>
          </cell>
          <cell r="Q394">
            <v>1.1771879999999999</v>
          </cell>
          <cell r="R394" t="e">
            <v>#N/A</v>
          </cell>
        </row>
        <row r="395">
          <cell r="A395">
            <v>40039</v>
          </cell>
          <cell r="B395">
            <v>40039</v>
          </cell>
          <cell r="C395" t="str">
            <v>Past</v>
          </cell>
          <cell r="D395">
            <v>43.76</v>
          </cell>
          <cell r="E395" t="e">
            <v>#N/A</v>
          </cell>
          <cell r="F395" t="e">
            <v>#N/A</v>
          </cell>
          <cell r="G395" t="e">
            <v>#N/A</v>
          </cell>
          <cell r="H395" t="e">
            <v>#N/A</v>
          </cell>
          <cell r="I395" t="e">
            <v>#N/A</v>
          </cell>
          <cell r="J395" t="e">
            <v>#N/A</v>
          </cell>
          <cell r="K395" t="e">
            <v>#N/A</v>
          </cell>
          <cell r="L395" t="e">
            <v>#N/A</v>
          </cell>
          <cell r="M395" t="e">
            <v>#N/A</v>
          </cell>
          <cell r="N395" t="e">
            <v>#N/A</v>
          </cell>
          <cell r="O395" t="e">
            <v>#N/A</v>
          </cell>
          <cell r="P395">
            <v>43.76</v>
          </cell>
          <cell r="Q395">
            <v>1.6624969999999999</v>
          </cell>
          <cell r="R395" t="e">
            <v>#N/A</v>
          </cell>
        </row>
        <row r="396">
          <cell r="A396">
            <v>40042</v>
          </cell>
          <cell r="B396">
            <v>40042</v>
          </cell>
          <cell r="C396" t="str">
            <v>Past</v>
          </cell>
          <cell r="D396">
            <v>42.69</v>
          </cell>
          <cell r="E396" t="e">
            <v>#N/A</v>
          </cell>
          <cell r="F396" t="e">
            <v>#N/A</v>
          </cell>
          <cell r="G396" t="e">
            <v>#N/A</v>
          </cell>
          <cell r="H396" t="e">
            <v>#N/A</v>
          </cell>
          <cell r="I396" t="e">
            <v>#N/A</v>
          </cell>
          <cell r="J396" t="e">
            <v>#N/A</v>
          </cell>
          <cell r="K396" t="e">
            <v>#N/A</v>
          </cell>
          <cell r="L396" t="e">
            <v>#N/A</v>
          </cell>
          <cell r="M396" t="e">
            <v>#N/A</v>
          </cell>
          <cell r="N396" t="e">
            <v>#N/A</v>
          </cell>
          <cell r="O396" t="e">
            <v>#N/A</v>
          </cell>
          <cell r="P396">
            <v>42.69</v>
          </cell>
          <cell r="Q396">
            <v>0.94399000000000011</v>
          </cell>
          <cell r="R396" t="e">
            <v>#N/A</v>
          </cell>
        </row>
        <row r="397">
          <cell r="A397">
            <v>40043</v>
          </cell>
          <cell r="B397">
            <v>40043</v>
          </cell>
          <cell r="C397" t="str">
            <v>Past</v>
          </cell>
          <cell r="D397">
            <v>42.98</v>
          </cell>
          <cell r="E397" t="e">
            <v>#N/A</v>
          </cell>
          <cell r="F397" t="e">
            <v>#N/A</v>
          </cell>
          <cell r="G397" t="e">
            <v>#N/A</v>
          </cell>
          <cell r="H397" t="e">
            <v>#N/A</v>
          </cell>
          <cell r="I397" t="e">
            <v>#N/A</v>
          </cell>
          <cell r="J397" t="e">
            <v>#N/A</v>
          </cell>
          <cell r="K397" t="e">
            <v>#N/A</v>
          </cell>
          <cell r="L397" t="e">
            <v>#N/A</v>
          </cell>
          <cell r="M397" t="e">
            <v>#N/A</v>
          </cell>
          <cell r="N397" t="e">
            <v>#N/A</v>
          </cell>
          <cell r="O397" t="e">
            <v>#N/A</v>
          </cell>
          <cell r="P397">
            <v>42.98</v>
          </cell>
          <cell r="Q397">
            <v>0.75176799999999999</v>
          </cell>
          <cell r="R397" t="e">
            <v>#N/A</v>
          </cell>
        </row>
        <row r="398">
          <cell r="A398">
            <v>40044</v>
          </cell>
          <cell r="B398">
            <v>40044</v>
          </cell>
          <cell r="C398" t="str">
            <v>Past</v>
          </cell>
          <cell r="D398">
            <v>42.6</v>
          </cell>
          <cell r="E398" t="e">
            <v>#N/A</v>
          </cell>
          <cell r="F398" t="e">
            <v>#N/A</v>
          </cell>
          <cell r="G398" t="e">
            <v>#N/A</v>
          </cell>
          <cell r="H398" t="e">
            <v>#N/A</v>
          </cell>
          <cell r="I398" t="e">
            <v>#N/A</v>
          </cell>
          <cell r="J398" t="e">
            <v>#N/A</v>
          </cell>
          <cell r="K398" t="e">
            <v>#N/A</v>
          </cell>
          <cell r="L398" t="e">
            <v>#N/A</v>
          </cell>
          <cell r="M398" t="e">
            <v>#N/A</v>
          </cell>
          <cell r="N398" t="e">
            <v>#N/A</v>
          </cell>
          <cell r="O398" t="e">
            <v>#N/A</v>
          </cell>
          <cell r="P398">
            <v>42.6</v>
          </cell>
          <cell r="Q398">
            <v>1.1943000000000001</v>
          </cell>
          <cell r="R398" t="e">
            <v>#N/A</v>
          </cell>
        </row>
        <row r="399">
          <cell r="A399">
            <v>40045</v>
          </cell>
          <cell r="B399">
            <v>40045</v>
          </cell>
          <cell r="C399" t="str">
            <v>Past</v>
          </cell>
          <cell r="D399">
            <v>43.21</v>
          </cell>
          <cell r="E399" t="e">
            <v>#N/A</v>
          </cell>
          <cell r="F399" t="e">
            <v>#N/A</v>
          </cell>
          <cell r="G399" t="e">
            <v>#N/A</v>
          </cell>
          <cell r="H399" t="e">
            <v>#N/A</v>
          </cell>
          <cell r="I399" t="e">
            <v>#N/A</v>
          </cell>
          <cell r="J399" t="e">
            <v>#N/A</v>
          </cell>
          <cell r="K399" t="e">
            <v>#N/A</v>
          </cell>
          <cell r="L399" t="e">
            <v>#N/A</v>
          </cell>
          <cell r="M399" t="e">
            <v>#N/A</v>
          </cell>
          <cell r="N399" t="e">
            <v>#N/A</v>
          </cell>
          <cell r="O399" t="e">
            <v>#N/A</v>
          </cell>
          <cell r="P399">
            <v>43.21</v>
          </cell>
          <cell r="Q399">
            <v>1.0741369999999999</v>
          </cell>
          <cell r="R399" t="e">
            <v>#N/A</v>
          </cell>
        </row>
        <row r="400">
          <cell r="A400">
            <v>40046</v>
          </cell>
          <cell r="B400">
            <v>40046</v>
          </cell>
          <cell r="C400" t="str">
            <v>Past</v>
          </cell>
          <cell r="D400">
            <v>44.4</v>
          </cell>
          <cell r="E400" t="e">
            <v>#N/A</v>
          </cell>
          <cell r="F400" t="e">
            <v>#N/A</v>
          </cell>
          <cell r="G400" t="e">
            <v>#N/A</v>
          </cell>
          <cell r="H400" t="e">
            <v>#N/A</v>
          </cell>
          <cell r="I400" t="e">
            <v>#N/A</v>
          </cell>
          <cell r="J400" t="e">
            <v>#N/A</v>
          </cell>
          <cell r="K400" t="e">
            <v>#N/A</v>
          </cell>
          <cell r="L400" t="e">
            <v>#N/A</v>
          </cell>
          <cell r="M400" t="e">
            <v>#N/A</v>
          </cell>
          <cell r="N400" t="e">
            <v>#N/A</v>
          </cell>
          <cell r="O400" t="e">
            <v>#N/A</v>
          </cell>
          <cell r="P400">
            <v>44.4</v>
          </cell>
          <cell r="Q400">
            <v>0.76256099999999993</v>
          </cell>
          <cell r="R400" t="e">
            <v>#N/A</v>
          </cell>
        </row>
        <row r="401">
          <cell r="A401">
            <v>40049</v>
          </cell>
          <cell r="B401">
            <v>40049</v>
          </cell>
          <cell r="C401" t="str">
            <v>Past</v>
          </cell>
          <cell r="D401">
            <v>44.76</v>
          </cell>
          <cell r="E401" t="e">
            <v>#N/A</v>
          </cell>
          <cell r="F401" t="e">
            <v>#N/A</v>
          </cell>
          <cell r="G401" t="e">
            <v>#N/A</v>
          </cell>
          <cell r="H401" t="e">
            <v>#N/A</v>
          </cell>
          <cell r="I401" t="e">
            <v>#N/A</v>
          </cell>
          <cell r="J401" t="e">
            <v>#N/A</v>
          </cell>
          <cell r="K401" t="e">
            <v>#N/A</v>
          </cell>
          <cell r="L401" t="e">
            <v>#N/A</v>
          </cell>
          <cell r="M401" t="e">
            <v>#N/A</v>
          </cell>
          <cell r="N401" t="e">
            <v>#N/A</v>
          </cell>
          <cell r="O401" t="e">
            <v>#N/A</v>
          </cell>
          <cell r="P401">
            <v>44.76</v>
          </cell>
          <cell r="Q401">
            <v>1.1344159999999999</v>
          </cell>
          <cell r="R401" t="e">
            <v>#N/A</v>
          </cell>
        </row>
        <row r="402">
          <cell r="A402">
            <v>40050</v>
          </cell>
          <cell r="B402">
            <v>40050</v>
          </cell>
          <cell r="C402" t="str">
            <v>Past</v>
          </cell>
          <cell r="D402">
            <v>45.06</v>
          </cell>
          <cell r="E402" t="e">
            <v>#N/A</v>
          </cell>
          <cell r="F402" t="e">
            <v>#N/A</v>
          </cell>
          <cell r="G402" t="e">
            <v>#N/A</v>
          </cell>
          <cell r="H402" t="e">
            <v>#N/A</v>
          </cell>
          <cell r="I402" t="e">
            <v>#N/A</v>
          </cell>
          <cell r="J402" t="e">
            <v>#N/A</v>
          </cell>
          <cell r="K402" t="e">
            <v>#N/A</v>
          </cell>
          <cell r="L402" t="e">
            <v>#N/A</v>
          </cell>
          <cell r="M402" t="e">
            <v>#N/A</v>
          </cell>
          <cell r="N402" t="e">
            <v>#N/A</v>
          </cell>
          <cell r="O402" t="e">
            <v>#N/A</v>
          </cell>
          <cell r="P402">
            <v>45.06</v>
          </cell>
          <cell r="Q402">
            <v>1.2374669999999999</v>
          </cell>
          <cell r="R402" t="e">
            <v>#N/A</v>
          </cell>
        </row>
        <row r="403">
          <cell r="A403">
            <v>40051</v>
          </cell>
          <cell r="B403">
            <v>40051</v>
          </cell>
          <cell r="C403" t="str">
            <v>Past</v>
          </cell>
          <cell r="D403">
            <v>44.99</v>
          </cell>
          <cell r="E403" t="e">
            <v>#N/A</v>
          </cell>
          <cell r="F403" t="e">
            <v>#N/A</v>
          </cell>
          <cell r="G403" t="e">
            <v>#N/A</v>
          </cell>
          <cell r="H403" t="e">
            <v>#N/A</v>
          </cell>
          <cell r="I403" t="e">
            <v>#N/A</v>
          </cell>
          <cell r="J403" t="e">
            <v>#N/A</v>
          </cell>
          <cell r="K403" t="e">
            <v>#N/A</v>
          </cell>
          <cell r="L403" t="e">
            <v>#N/A</v>
          </cell>
          <cell r="M403" t="e">
            <v>#N/A</v>
          </cell>
          <cell r="N403" t="e">
            <v>#N/A</v>
          </cell>
          <cell r="O403" t="e">
            <v>#N/A</v>
          </cell>
          <cell r="P403">
            <v>44.99</v>
          </cell>
          <cell r="Q403">
            <v>0.85366599999999992</v>
          </cell>
          <cell r="R403" t="e">
            <v>#N/A</v>
          </cell>
        </row>
        <row r="404">
          <cell r="A404">
            <v>40052</v>
          </cell>
          <cell r="B404">
            <v>40052</v>
          </cell>
          <cell r="C404" t="str">
            <v>Past</v>
          </cell>
          <cell r="D404">
            <v>46.53</v>
          </cell>
          <cell r="E404" t="e">
            <v>#N/A</v>
          </cell>
          <cell r="F404" t="e">
            <v>#N/A</v>
          </cell>
          <cell r="G404" t="e">
            <v>#N/A</v>
          </cell>
          <cell r="H404" t="e">
            <v>#N/A</v>
          </cell>
          <cell r="I404" t="e">
            <v>#N/A</v>
          </cell>
          <cell r="J404" t="e">
            <v>#N/A</v>
          </cell>
          <cell r="K404" t="e">
            <v>#N/A</v>
          </cell>
          <cell r="L404" t="e">
            <v>#N/A</v>
          </cell>
          <cell r="M404" t="e">
            <v>#N/A</v>
          </cell>
          <cell r="N404" t="e">
            <v>#N/A</v>
          </cell>
          <cell r="O404" t="e">
            <v>#N/A</v>
          </cell>
          <cell r="P404">
            <v>46.53</v>
          </cell>
          <cell r="Q404">
            <v>1.4525800000000002</v>
          </cell>
          <cell r="R404" t="e">
            <v>#N/A</v>
          </cell>
        </row>
        <row r="405">
          <cell r="A405">
            <v>40053</v>
          </cell>
          <cell r="B405">
            <v>40053</v>
          </cell>
          <cell r="C405" t="str">
            <v>Past</v>
          </cell>
          <cell r="D405">
            <v>46.3</v>
          </cell>
          <cell r="E405" t="e">
            <v>#N/A</v>
          </cell>
          <cell r="F405" t="e">
            <v>#N/A</v>
          </cell>
          <cell r="G405" t="e">
            <v>#N/A</v>
          </cell>
          <cell r="H405" t="e">
            <v>#N/A</v>
          </cell>
          <cell r="I405" t="e">
            <v>#N/A</v>
          </cell>
          <cell r="J405" t="e">
            <v>#N/A</v>
          </cell>
          <cell r="K405" t="e">
            <v>#N/A</v>
          </cell>
          <cell r="L405" t="e">
            <v>#N/A</v>
          </cell>
          <cell r="M405" t="e">
            <v>#N/A</v>
          </cell>
          <cell r="N405" t="e">
            <v>#N/A</v>
          </cell>
          <cell r="O405" t="e">
            <v>#N/A</v>
          </cell>
          <cell r="P405">
            <v>46.3</v>
          </cell>
          <cell r="Q405">
            <v>0.83061200000000002</v>
          </cell>
          <cell r="R405" t="e">
            <v>#N/A</v>
          </cell>
        </row>
        <row r="406">
          <cell r="A406">
            <v>40056</v>
          </cell>
          <cell r="B406">
            <v>40056</v>
          </cell>
          <cell r="C406" t="str">
            <v>Past</v>
          </cell>
          <cell r="D406">
            <v>46.04</v>
          </cell>
          <cell r="E406" t="e">
            <v>#N/A</v>
          </cell>
          <cell r="F406" t="e">
            <v>#N/A</v>
          </cell>
          <cell r="G406" t="e">
            <v>#N/A</v>
          </cell>
          <cell r="H406" t="e">
            <v>#N/A</v>
          </cell>
          <cell r="I406" t="e">
            <v>#N/A</v>
          </cell>
          <cell r="J406" t="e">
            <v>#N/A</v>
          </cell>
          <cell r="K406" t="e">
            <v>#N/A</v>
          </cell>
          <cell r="L406" t="e">
            <v>#N/A</v>
          </cell>
          <cell r="M406" t="e">
            <v>#N/A</v>
          </cell>
          <cell r="N406" t="e">
            <v>#N/A</v>
          </cell>
          <cell r="O406" t="e">
            <v>#N/A</v>
          </cell>
          <cell r="P406">
            <v>46.04</v>
          </cell>
          <cell r="Q406">
            <v>0.78754399999999991</v>
          </cell>
          <cell r="R406" t="e">
            <v>#N/A</v>
          </cell>
        </row>
        <row r="407">
          <cell r="A407">
            <v>40057</v>
          </cell>
          <cell r="B407">
            <v>40057</v>
          </cell>
          <cell r="C407" t="str">
            <v>Past</v>
          </cell>
          <cell r="D407">
            <v>45.7</v>
          </cell>
          <cell r="E407" t="e">
            <v>#N/A</v>
          </cell>
          <cell r="F407" t="e">
            <v>#N/A</v>
          </cell>
          <cell r="G407" t="e">
            <v>#N/A</v>
          </cell>
          <cell r="H407" t="e">
            <v>#N/A</v>
          </cell>
          <cell r="I407" t="e">
            <v>#N/A</v>
          </cell>
          <cell r="J407" t="e">
            <v>#N/A</v>
          </cell>
          <cell r="K407" t="e">
            <v>#N/A</v>
          </cell>
          <cell r="L407" t="e">
            <v>#N/A</v>
          </cell>
          <cell r="M407" t="e">
            <v>#N/A</v>
          </cell>
          <cell r="N407" t="e">
            <v>#N/A</v>
          </cell>
          <cell r="O407" t="e">
            <v>#N/A</v>
          </cell>
          <cell r="P407">
            <v>45.7</v>
          </cell>
          <cell r="Q407">
            <v>1.3501859999999999</v>
          </cell>
          <cell r="R407" t="e">
            <v>#N/A</v>
          </cell>
        </row>
        <row r="408">
          <cell r="A408">
            <v>40058</v>
          </cell>
          <cell r="B408">
            <v>40058</v>
          </cell>
          <cell r="C408" t="str">
            <v>Past</v>
          </cell>
          <cell r="D408">
            <v>45.46</v>
          </cell>
          <cell r="E408" t="e">
            <v>#N/A</v>
          </cell>
          <cell r="F408" t="e">
            <v>#N/A</v>
          </cell>
          <cell r="G408" t="e">
            <v>#N/A</v>
          </cell>
          <cell r="H408" t="e">
            <v>#N/A</v>
          </cell>
          <cell r="I408" t="e">
            <v>#N/A</v>
          </cell>
          <cell r="J408" t="e">
            <v>#N/A</v>
          </cell>
          <cell r="K408" t="e">
            <v>#N/A</v>
          </cell>
          <cell r="L408" t="e">
            <v>#N/A</v>
          </cell>
          <cell r="M408" t="e">
            <v>#N/A</v>
          </cell>
          <cell r="N408" t="e">
            <v>#N/A</v>
          </cell>
          <cell r="O408" t="e">
            <v>#N/A</v>
          </cell>
          <cell r="P408">
            <v>45.46</v>
          </cell>
          <cell r="Q408">
            <v>1.899551</v>
          </cell>
          <cell r="R408" t="e">
            <v>#N/A</v>
          </cell>
        </row>
        <row r="409">
          <cell r="A409">
            <v>40059</v>
          </cell>
          <cell r="B409">
            <v>40059</v>
          </cell>
          <cell r="C409" t="str">
            <v>Past</v>
          </cell>
          <cell r="D409">
            <v>45.21</v>
          </cell>
          <cell r="E409" t="e">
            <v>#N/A</v>
          </cell>
          <cell r="F409" t="e">
            <v>#N/A</v>
          </cell>
          <cell r="G409" t="e">
            <v>#N/A</v>
          </cell>
          <cell r="H409" t="e">
            <v>#N/A</v>
          </cell>
          <cell r="I409" t="e">
            <v>#N/A</v>
          </cell>
          <cell r="J409" t="e">
            <v>#N/A</v>
          </cell>
          <cell r="K409" t="e">
            <v>#N/A</v>
          </cell>
          <cell r="L409" t="e">
            <v>#N/A</v>
          </cell>
          <cell r="M409" t="e">
            <v>#N/A</v>
          </cell>
          <cell r="N409" t="e">
            <v>#N/A</v>
          </cell>
          <cell r="O409" t="e">
            <v>#N/A</v>
          </cell>
          <cell r="P409">
            <v>45.21</v>
          </cell>
          <cell r="Q409">
            <v>1.3078259999999999</v>
          </cell>
          <cell r="R409" t="e">
            <v>#N/A</v>
          </cell>
        </row>
        <row r="410">
          <cell r="A410">
            <v>40060</v>
          </cell>
          <cell r="B410">
            <v>40060</v>
          </cell>
          <cell r="C410" t="str">
            <v>Past</v>
          </cell>
          <cell r="D410">
            <v>46.25</v>
          </cell>
          <cell r="E410" t="e">
            <v>#N/A</v>
          </cell>
          <cell r="F410" t="e">
            <v>#N/A</v>
          </cell>
          <cell r="G410" t="e">
            <v>#N/A</v>
          </cell>
          <cell r="H410" t="e">
            <v>#N/A</v>
          </cell>
          <cell r="I410" t="e">
            <v>#N/A</v>
          </cell>
          <cell r="J410" t="e">
            <v>#N/A</v>
          </cell>
          <cell r="K410" t="e">
            <v>#N/A</v>
          </cell>
          <cell r="L410" t="e">
            <v>#N/A</v>
          </cell>
          <cell r="M410" t="e">
            <v>#N/A</v>
          </cell>
          <cell r="N410" t="e">
            <v>#N/A</v>
          </cell>
          <cell r="O410" t="e">
            <v>#N/A</v>
          </cell>
          <cell r="P410">
            <v>46.25</v>
          </cell>
          <cell r="Q410">
            <v>1.049628</v>
          </cell>
          <cell r="R410" t="e">
            <v>#N/A</v>
          </cell>
        </row>
        <row r="411">
          <cell r="A411">
            <v>40064</v>
          </cell>
          <cell r="B411">
            <v>40064</v>
          </cell>
          <cell r="C411" t="str">
            <v>Past</v>
          </cell>
          <cell r="D411">
            <v>46.98</v>
          </cell>
          <cell r="E411" t="e">
            <v>#N/A</v>
          </cell>
          <cell r="F411" t="e">
            <v>#N/A</v>
          </cell>
          <cell r="G411" t="e">
            <v>#N/A</v>
          </cell>
          <cell r="H411" t="e">
            <v>#N/A</v>
          </cell>
          <cell r="I411" t="e">
            <v>#N/A</v>
          </cell>
          <cell r="J411" t="e">
            <v>#N/A</v>
          </cell>
          <cell r="K411" t="e">
            <v>#N/A</v>
          </cell>
          <cell r="L411" t="e">
            <v>#N/A</v>
          </cell>
          <cell r="M411" t="e">
            <v>#N/A</v>
          </cell>
          <cell r="N411" t="e">
            <v>#N/A</v>
          </cell>
          <cell r="O411" t="e">
            <v>#N/A</v>
          </cell>
          <cell r="P411">
            <v>46.98</v>
          </cell>
          <cell r="Q411">
            <v>1.187295</v>
          </cell>
          <cell r="R411" t="e">
            <v>#N/A</v>
          </cell>
        </row>
        <row r="412">
          <cell r="A412">
            <v>40065</v>
          </cell>
          <cell r="B412">
            <v>40065</v>
          </cell>
          <cell r="C412" t="str">
            <v>Past</v>
          </cell>
          <cell r="D412">
            <v>47.3</v>
          </cell>
          <cell r="E412" t="e">
            <v>#N/A</v>
          </cell>
          <cell r="F412" t="e">
            <v>#N/A</v>
          </cell>
          <cell r="G412" t="e">
            <v>#N/A</v>
          </cell>
          <cell r="H412" t="e">
            <v>#N/A</v>
          </cell>
          <cell r="I412" t="e">
            <v>#N/A</v>
          </cell>
          <cell r="J412" t="e">
            <v>#N/A</v>
          </cell>
          <cell r="K412" t="e">
            <v>#N/A</v>
          </cell>
          <cell r="L412" t="e">
            <v>#N/A</v>
          </cell>
          <cell r="M412" t="e">
            <v>#N/A</v>
          </cell>
          <cell r="N412" t="e">
            <v>#N/A</v>
          </cell>
          <cell r="O412" t="e">
            <v>#N/A</v>
          </cell>
          <cell r="P412">
            <v>47.3</v>
          </cell>
          <cell r="Q412">
            <v>0.80767199999999995</v>
          </cell>
          <cell r="R412" t="e">
            <v>#N/A</v>
          </cell>
        </row>
        <row r="413">
          <cell r="A413">
            <v>40066</v>
          </cell>
          <cell r="B413">
            <v>40066</v>
          </cell>
          <cell r="C413" t="str">
            <v>Past</v>
          </cell>
          <cell r="D413">
            <v>48</v>
          </cell>
          <cell r="E413" t="e">
            <v>#N/A</v>
          </cell>
          <cell r="F413" t="e">
            <v>#N/A</v>
          </cell>
          <cell r="G413" t="e">
            <v>#N/A</v>
          </cell>
          <cell r="H413" t="e">
            <v>#N/A</v>
          </cell>
          <cell r="I413" t="e">
            <v>#N/A</v>
          </cell>
          <cell r="J413" t="e">
            <v>#N/A</v>
          </cell>
          <cell r="K413" t="e">
            <v>#N/A</v>
          </cell>
          <cell r="L413" t="e">
            <v>#N/A</v>
          </cell>
          <cell r="M413" t="e">
            <v>#N/A</v>
          </cell>
          <cell r="N413" t="e">
            <v>#N/A</v>
          </cell>
          <cell r="O413" t="e">
            <v>#N/A</v>
          </cell>
          <cell r="P413">
            <v>48</v>
          </cell>
          <cell r="Q413">
            <v>1.0735440000000001</v>
          </cell>
          <cell r="R413" t="e">
            <v>#N/A</v>
          </cell>
        </row>
        <row r="414">
          <cell r="A414">
            <v>40067</v>
          </cell>
          <cell r="B414">
            <v>40067</v>
          </cell>
          <cell r="C414" t="str">
            <v>Past</v>
          </cell>
          <cell r="D414">
            <v>48.57</v>
          </cell>
          <cell r="E414" t="e">
            <v>#N/A</v>
          </cell>
          <cell r="F414" t="e">
            <v>#N/A</v>
          </cell>
          <cell r="G414" t="e">
            <v>#N/A</v>
          </cell>
          <cell r="H414" t="e">
            <v>#N/A</v>
          </cell>
          <cell r="I414" t="e">
            <v>#N/A</v>
          </cell>
          <cell r="J414" t="e">
            <v>#N/A</v>
          </cell>
          <cell r="K414" t="e">
            <v>#N/A</v>
          </cell>
          <cell r="L414" t="e">
            <v>#N/A</v>
          </cell>
          <cell r="M414" t="e">
            <v>#N/A</v>
          </cell>
          <cell r="N414" t="e">
            <v>#N/A</v>
          </cell>
          <cell r="O414" t="e">
            <v>#N/A</v>
          </cell>
          <cell r="P414">
            <v>48.57</v>
          </cell>
          <cell r="Q414">
            <v>1.183524</v>
          </cell>
          <cell r="R414" t="e">
            <v>#N/A</v>
          </cell>
        </row>
        <row r="415">
          <cell r="A415">
            <v>40070</v>
          </cell>
          <cell r="B415">
            <v>40070</v>
          </cell>
          <cell r="C415" t="str">
            <v>Past</v>
          </cell>
          <cell r="D415">
            <v>48.52</v>
          </cell>
          <cell r="E415" t="e">
            <v>#N/A</v>
          </cell>
          <cell r="F415" t="e">
            <v>#N/A</v>
          </cell>
          <cell r="G415" t="e">
            <v>#N/A</v>
          </cell>
          <cell r="H415" t="e">
            <v>#N/A</v>
          </cell>
          <cell r="I415" t="e">
            <v>#N/A</v>
          </cell>
          <cell r="J415" t="e">
            <v>#N/A</v>
          </cell>
          <cell r="K415" t="e">
            <v>#N/A</v>
          </cell>
          <cell r="L415" t="e">
            <v>#N/A</v>
          </cell>
          <cell r="M415" t="e">
            <v>#N/A</v>
          </cell>
          <cell r="N415" t="e">
            <v>#N/A</v>
          </cell>
          <cell r="O415" t="e">
            <v>#N/A</v>
          </cell>
          <cell r="P415">
            <v>48.52</v>
          </cell>
          <cell r="Q415">
            <v>1.076317</v>
          </cell>
          <cell r="R415" t="e">
            <v>#N/A</v>
          </cell>
        </row>
        <row r="416">
          <cell r="A416">
            <v>40071</v>
          </cell>
          <cell r="B416">
            <v>40071</v>
          </cell>
          <cell r="C416" t="str">
            <v>Past</v>
          </cell>
          <cell r="D416">
            <v>48.62</v>
          </cell>
          <cell r="E416" t="e">
            <v>#N/A</v>
          </cell>
          <cell r="F416" t="e">
            <v>#N/A</v>
          </cell>
          <cell r="G416" t="e">
            <v>#N/A</v>
          </cell>
          <cell r="H416" t="e">
            <v>#N/A</v>
          </cell>
          <cell r="I416" t="e">
            <v>#N/A</v>
          </cell>
          <cell r="J416" t="e">
            <v>#N/A</v>
          </cell>
          <cell r="K416" t="e">
            <v>#N/A</v>
          </cell>
          <cell r="L416" t="e">
            <v>#N/A</v>
          </cell>
          <cell r="M416" t="e">
            <v>#N/A</v>
          </cell>
          <cell r="N416" t="e">
            <v>#N/A</v>
          </cell>
          <cell r="O416" t="e">
            <v>#N/A</v>
          </cell>
          <cell r="P416">
            <v>48.62</v>
          </cell>
          <cell r="Q416">
            <v>1.2912509999999999</v>
          </cell>
          <cell r="R416" t="e">
            <v>#N/A</v>
          </cell>
        </row>
        <row r="417">
          <cell r="A417">
            <v>40072</v>
          </cell>
          <cell r="B417">
            <v>40072</v>
          </cell>
          <cell r="C417" t="str">
            <v>Past</v>
          </cell>
          <cell r="D417">
            <v>48.74</v>
          </cell>
          <cell r="E417" t="e">
            <v>#N/A</v>
          </cell>
          <cell r="F417" t="e">
            <v>#N/A</v>
          </cell>
          <cell r="G417" t="e">
            <v>#N/A</v>
          </cell>
          <cell r="H417" t="e">
            <v>#N/A</v>
          </cell>
          <cell r="I417" t="e">
            <v>#N/A</v>
          </cell>
          <cell r="J417" t="e">
            <v>#N/A</v>
          </cell>
          <cell r="K417" t="e">
            <v>#N/A</v>
          </cell>
          <cell r="L417" t="e">
            <v>#N/A</v>
          </cell>
          <cell r="M417" t="e">
            <v>#N/A</v>
          </cell>
          <cell r="N417" t="e">
            <v>#N/A</v>
          </cell>
          <cell r="O417" t="e">
            <v>#N/A</v>
          </cell>
          <cell r="P417">
            <v>48.74</v>
          </cell>
          <cell r="Q417">
            <v>1.2986169999999999</v>
          </cell>
          <cell r="R417" t="e">
            <v>#N/A</v>
          </cell>
        </row>
        <row r="418">
          <cell r="A418">
            <v>40073</v>
          </cell>
          <cell r="B418">
            <v>40073</v>
          </cell>
          <cell r="C418" t="str">
            <v>Past</v>
          </cell>
          <cell r="D418">
            <v>50.58</v>
          </cell>
          <cell r="E418" t="e">
            <v>#N/A</v>
          </cell>
          <cell r="F418" t="e">
            <v>#N/A</v>
          </cell>
          <cell r="G418" t="e">
            <v>#N/A</v>
          </cell>
          <cell r="H418" t="e">
            <v>#N/A</v>
          </cell>
          <cell r="I418" t="e">
            <v>#N/A</v>
          </cell>
          <cell r="J418" t="e">
            <v>#N/A</v>
          </cell>
          <cell r="K418" t="e">
            <v>#N/A</v>
          </cell>
          <cell r="L418" t="e">
            <v>#N/A</v>
          </cell>
          <cell r="M418" t="e">
            <v>#N/A</v>
          </cell>
          <cell r="N418" t="e">
            <v>#N/A</v>
          </cell>
          <cell r="O418" t="e">
            <v>#N/A</v>
          </cell>
          <cell r="P418">
            <v>50.58</v>
          </cell>
          <cell r="Q418">
            <v>2.638166</v>
          </cell>
          <cell r="R418" t="e">
            <v>#N/A</v>
          </cell>
        </row>
        <row r="419">
          <cell r="A419">
            <v>40074</v>
          </cell>
          <cell r="B419">
            <v>40074</v>
          </cell>
          <cell r="C419" t="str">
            <v>Past</v>
          </cell>
          <cell r="D419">
            <v>51.1</v>
          </cell>
          <cell r="E419" t="e">
            <v>#N/A</v>
          </cell>
          <cell r="F419" t="e">
            <v>#N/A</v>
          </cell>
          <cell r="G419" t="e">
            <v>#N/A</v>
          </cell>
          <cell r="H419" t="e">
            <v>#N/A</v>
          </cell>
          <cell r="I419" t="e">
            <v>#N/A</v>
          </cell>
          <cell r="J419" t="e">
            <v>#N/A</v>
          </cell>
          <cell r="K419" t="e">
            <v>#N/A</v>
          </cell>
          <cell r="L419" t="e">
            <v>#N/A</v>
          </cell>
          <cell r="M419" t="e">
            <v>#N/A</v>
          </cell>
          <cell r="N419" t="e">
            <v>#N/A</v>
          </cell>
          <cell r="O419" t="e">
            <v>#N/A</v>
          </cell>
          <cell r="P419">
            <v>51.1</v>
          </cell>
          <cell r="Q419">
            <v>1.7797829999999999</v>
          </cell>
          <cell r="R419" t="e">
            <v>#N/A</v>
          </cell>
        </row>
        <row r="420">
          <cell r="A420">
            <v>40077</v>
          </cell>
          <cell r="B420">
            <v>40077</v>
          </cell>
          <cell r="C420" t="str">
            <v>Past</v>
          </cell>
          <cell r="D420">
            <v>50.7</v>
          </cell>
          <cell r="E420" t="e">
            <v>#N/A</v>
          </cell>
          <cell r="F420" t="e">
            <v>#N/A</v>
          </cell>
          <cell r="G420" t="e">
            <v>#N/A</v>
          </cell>
          <cell r="H420" t="e">
            <v>#N/A</v>
          </cell>
          <cell r="I420" t="e">
            <v>#N/A</v>
          </cell>
          <cell r="J420" t="e">
            <v>#N/A</v>
          </cell>
          <cell r="K420" t="e">
            <v>#N/A</v>
          </cell>
          <cell r="L420" t="e">
            <v>#N/A</v>
          </cell>
          <cell r="M420" t="e">
            <v>#N/A</v>
          </cell>
          <cell r="N420" t="e">
            <v>#N/A</v>
          </cell>
          <cell r="O420" t="e">
            <v>#N/A</v>
          </cell>
          <cell r="P420">
            <v>50.7</v>
          </cell>
          <cell r="Q420">
            <v>0.85854699999999995</v>
          </cell>
          <cell r="R420" t="e">
            <v>#N/A</v>
          </cell>
        </row>
        <row r="421">
          <cell r="A421">
            <v>40078</v>
          </cell>
          <cell r="B421">
            <v>40078</v>
          </cell>
          <cell r="C421" t="str">
            <v>Past</v>
          </cell>
          <cell r="D421">
            <v>51.14</v>
          </cell>
          <cell r="E421" t="e">
            <v>#N/A</v>
          </cell>
          <cell r="F421" t="e">
            <v>#N/A</v>
          </cell>
          <cell r="G421" t="e">
            <v>#N/A</v>
          </cell>
          <cell r="H421" t="e">
            <v>#N/A</v>
          </cell>
          <cell r="I421" t="e">
            <v>#N/A</v>
          </cell>
          <cell r="J421" t="e">
            <v>#N/A</v>
          </cell>
          <cell r="K421" t="e">
            <v>#N/A</v>
          </cell>
          <cell r="L421" t="e">
            <v>#N/A</v>
          </cell>
          <cell r="M421" t="e">
            <v>#N/A</v>
          </cell>
          <cell r="N421" t="e">
            <v>#N/A</v>
          </cell>
          <cell r="O421" t="e">
            <v>#N/A</v>
          </cell>
          <cell r="P421">
            <v>51.14</v>
          </cell>
          <cell r="Q421">
            <v>0.74488599999999994</v>
          </cell>
          <cell r="R421" t="e">
            <v>#N/A</v>
          </cell>
        </row>
        <row r="422">
          <cell r="A422">
            <v>40079</v>
          </cell>
          <cell r="B422">
            <v>40079</v>
          </cell>
          <cell r="C422" t="str">
            <v>Past</v>
          </cell>
          <cell r="D422">
            <v>50.38</v>
          </cell>
          <cell r="E422" t="e">
            <v>#N/A</v>
          </cell>
          <cell r="F422" t="e">
            <v>#N/A</v>
          </cell>
          <cell r="G422" t="e">
            <v>#N/A</v>
          </cell>
          <cell r="H422" t="e">
            <v>#N/A</v>
          </cell>
          <cell r="I422" t="e">
            <v>#N/A</v>
          </cell>
          <cell r="J422" t="e">
            <v>#N/A</v>
          </cell>
          <cell r="K422" t="e">
            <v>#N/A</v>
          </cell>
          <cell r="L422" t="e">
            <v>#N/A</v>
          </cell>
          <cell r="M422" t="e">
            <v>#N/A</v>
          </cell>
          <cell r="N422" t="e">
            <v>#N/A</v>
          </cell>
          <cell r="O422" t="e">
            <v>#N/A</v>
          </cell>
          <cell r="P422">
            <v>50.38</v>
          </cell>
          <cell r="Q422">
            <v>0.68732499999999996</v>
          </cell>
          <cell r="R422" t="e">
            <v>#N/A</v>
          </cell>
        </row>
        <row r="423">
          <cell r="A423">
            <v>40080</v>
          </cell>
          <cell r="B423">
            <v>40080</v>
          </cell>
          <cell r="C423" t="str">
            <v>Past</v>
          </cell>
          <cell r="D423">
            <v>49.79</v>
          </cell>
          <cell r="E423" t="e">
            <v>#N/A</v>
          </cell>
          <cell r="F423" t="e">
            <v>#N/A</v>
          </cell>
          <cell r="G423" t="e">
            <v>#N/A</v>
          </cell>
          <cell r="H423" t="e">
            <v>#N/A</v>
          </cell>
          <cell r="I423" t="e">
            <v>#N/A</v>
          </cell>
          <cell r="J423" t="e">
            <v>#N/A</v>
          </cell>
          <cell r="K423" t="e">
            <v>#N/A</v>
          </cell>
          <cell r="L423" t="e">
            <v>#N/A</v>
          </cell>
          <cell r="M423" t="e">
            <v>#N/A</v>
          </cell>
          <cell r="N423" t="e">
            <v>#N/A</v>
          </cell>
          <cell r="O423" t="e">
            <v>#N/A</v>
          </cell>
          <cell r="P423">
            <v>49.79</v>
          </cell>
          <cell r="Q423">
            <v>0.85015000000000007</v>
          </cell>
          <cell r="R423" t="e">
            <v>#N/A</v>
          </cell>
        </row>
        <row r="424">
          <cell r="A424">
            <v>40081</v>
          </cell>
          <cell r="B424">
            <v>40081</v>
          </cell>
          <cell r="C424" t="str">
            <v>Past</v>
          </cell>
          <cell r="D424">
            <v>49.34</v>
          </cell>
          <cell r="E424" t="e">
            <v>#N/A</v>
          </cell>
          <cell r="F424" t="e">
            <v>#N/A</v>
          </cell>
          <cell r="G424" t="e">
            <v>#N/A</v>
          </cell>
          <cell r="H424" t="e">
            <v>#N/A</v>
          </cell>
          <cell r="I424" t="e">
            <v>#N/A</v>
          </cell>
          <cell r="J424" t="e">
            <v>#N/A</v>
          </cell>
          <cell r="K424" t="e">
            <v>#N/A</v>
          </cell>
          <cell r="L424" t="e">
            <v>#N/A</v>
          </cell>
          <cell r="M424" t="e">
            <v>#N/A</v>
          </cell>
          <cell r="N424" t="e">
            <v>#N/A</v>
          </cell>
          <cell r="O424" t="e">
            <v>#N/A</v>
          </cell>
          <cell r="P424">
            <v>49.34</v>
          </cell>
          <cell r="Q424">
            <v>1.657</v>
          </cell>
          <cell r="R424" t="e">
            <v>#N/A</v>
          </cell>
        </row>
        <row r="425">
          <cell r="A425">
            <v>40084</v>
          </cell>
          <cell r="B425">
            <v>40084</v>
          </cell>
          <cell r="C425" t="str">
            <v>Past</v>
          </cell>
          <cell r="D425">
            <v>50.46</v>
          </cell>
          <cell r="E425" t="e">
            <v>#N/A</v>
          </cell>
          <cell r="F425" t="e">
            <v>#N/A</v>
          </cell>
          <cell r="G425" t="e">
            <v>#N/A</v>
          </cell>
          <cell r="H425" t="e">
            <v>#N/A</v>
          </cell>
          <cell r="I425" t="e">
            <v>#N/A</v>
          </cell>
          <cell r="J425" t="e">
            <v>#N/A</v>
          </cell>
          <cell r="K425" t="e">
            <v>#N/A</v>
          </cell>
          <cell r="L425" t="e">
            <v>#N/A</v>
          </cell>
          <cell r="M425" t="e">
            <v>#N/A</v>
          </cell>
          <cell r="N425" t="e">
            <v>#N/A</v>
          </cell>
          <cell r="O425" t="e">
            <v>#N/A</v>
          </cell>
          <cell r="P425">
            <v>50.46</v>
          </cell>
          <cell r="Q425">
            <v>1.054549</v>
          </cell>
          <cell r="R425" t="e">
            <v>#N/A</v>
          </cell>
        </row>
        <row r="426">
          <cell r="A426">
            <v>40085</v>
          </cell>
          <cell r="B426">
            <v>40085</v>
          </cell>
          <cell r="C426" t="str">
            <v>Past</v>
          </cell>
          <cell r="D426">
            <v>50.63</v>
          </cell>
          <cell r="E426" t="e">
            <v>#N/A</v>
          </cell>
          <cell r="F426" t="e">
            <v>#N/A</v>
          </cell>
          <cell r="G426" t="e">
            <v>#N/A</v>
          </cell>
          <cell r="H426" t="e">
            <v>#N/A</v>
          </cell>
          <cell r="I426" t="e">
            <v>#N/A</v>
          </cell>
          <cell r="J426" t="e">
            <v>#N/A</v>
          </cell>
          <cell r="K426" t="e">
            <v>#N/A</v>
          </cell>
          <cell r="L426" t="e">
            <v>#N/A</v>
          </cell>
          <cell r="M426" t="e">
            <v>#N/A</v>
          </cell>
          <cell r="N426" t="e">
            <v>#N/A</v>
          </cell>
          <cell r="O426" t="e">
            <v>#N/A</v>
          </cell>
          <cell r="P426">
            <v>50.63</v>
          </cell>
          <cell r="Q426">
            <v>0.90181499999999992</v>
          </cell>
          <cell r="R426" t="e">
            <v>#N/A</v>
          </cell>
        </row>
        <row r="427">
          <cell r="A427">
            <v>40086</v>
          </cell>
          <cell r="B427">
            <v>40086</v>
          </cell>
          <cell r="C427" t="str">
            <v>Past</v>
          </cell>
          <cell r="D427">
            <v>50.8</v>
          </cell>
          <cell r="E427" t="e">
            <v>#N/A</v>
          </cell>
          <cell r="F427" t="e">
            <v>#N/A</v>
          </cell>
          <cell r="G427" t="e">
            <v>#N/A</v>
          </cell>
          <cell r="H427" t="e">
            <v>#N/A</v>
          </cell>
          <cell r="I427" t="e">
            <v>#N/A</v>
          </cell>
          <cell r="J427" t="e">
            <v>#N/A</v>
          </cell>
          <cell r="K427" t="e">
            <v>#N/A</v>
          </cell>
          <cell r="L427" t="e">
            <v>#N/A</v>
          </cell>
          <cell r="M427" t="e">
            <v>#N/A</v>
          </cell>
          <cell r="N427" t="e">
            <v>#N/A</v>
          </cell>
          <cell r="O427" t="e">
            <v>#N/A</v>
          </cell>
          <cell r="P427">
            <v>50.8</v>
          </cell>
          <cell r="Q427">
            <v>0.98253599999999996</v>
          </cell>
          <cell r="R427" t="e">
            <v>#N/A</v>
          </cell>
        </row>
        <row r="428">
          <cell r="A428">
            <v>40087</v>
          </cell>
          <cell r="B428">
            <v>40087</v>
          </cell>
          <cell r="C428" t="str">
            <v>Past</v>
          </cell>
          <cell r="D428">
            <v>49</v>
          </cell>
          <cell r="E428" t="e">
            <v>#N/A</v>
          </cell>
          <cell r="F428" t="e">
            <v>#N/A</v>
          </cell>
          <cell r="G428" t="e">
            <v>#N/A</v>
          </cell>
          <cell r="H428" t="e">
            <v>#N/A</v>
          </cell>
          <cell r="I428" t="e">
            <v>#N/A</v>
          </cell>
          <cell r="J428" t="e">
            <v>#N/A</v>
          </cell>
          <cell r="K428" t="e">
            <v>#N/A</v>
          </cell>
          <cell r="L428" t="e">
            <v>#N/A</v>
          </cell>
          <cell r="M428" t="e">
            <v>#N/A</v>
          </cell>
          <cell r="N428" t="e">
            <v>#N/A</v>
          </cell>
          <cell r="O428" t="e">
            <v>#N/A</v>
          </cell>
          <cell r="P428">
            <v>49</v>
          </cell>
          <cell r="Q428">
            <v>0.82640799999999992</v>
          </cell>
          <cell r="R428" t="e">
            <v>#N/A</v>
          </cell>
        </row>
        <row r="429">
          <cell r="A429">
            <v>40088</v>
          </cell>
          <cell r="B429">
            <v>40088</v>
          </cell>
          <cell r="C429" t="str">
            <v>Past</v>
          </cell>
          <cell r="D429">
            <v>48.15</v>
          </cell>
          <cell r="E429" t="e">
            <v>#N/A</v>
          </cell>
          <cell r="F429" t="e">
            <v>#N/A</v>
          </cell>
          <cell r="G429" t="e">
            <v>#N/A</v>
          </cell>
          <cell r="H429" t="e">
            <v>#N/A</v>
          </cell>
          <cell r="I429" t="e">
            <v>#N/A</v>
          </cell>
          <cell r="J429" t="e">
            <v>#N/A</v>
          </cell>
          <cell r="K429" t="e">
            <v>#N/A</v>
          </cell>
          <cell r="L429" t="e">
            <v>#N/A</v>
          </cell>
          <cell r="M429" t="e">
            <v>#N/A</v>
          </cell>
          <cell r="N429" t="e">
            <v>#N/A</v>
          </cell>
          <cell r="O429" t="e">
            <v>#N/A</v>
          </cell>
          <cell r="P429">
            <v>48.15</v>
          </cell>
          <cell r="Q429">
            <v>0.98199700000000001</v>
          </cell>
          <cell r="R429" t="e">
            <v>#N/A</v>
          </cell>
        </row>
        <row r="430">
          <cell r="A430">
            <v>40091</v>
          </cell>
          <cell r="B430">
            <v>40091</v>
          </cell>
          <cell r="C430" t="str">
            <v>Past</v>
          </cell>
          <cell r="D430">
            <v>48.81</v>
          </cell>
          <cell r="E430" t="e">
            <v>#N/A</v>
          </cell>
          <cell r="F430" t="e">
            <v>#N/A</v>
          </cell>
          <cell r="G430" t="e">
            <v>#N/A</v>
          </cell>
          <cell r="H430" t="e">
            <v>#N/A</v>
          </cell>
          <cell r="I430" t="e">
            <v>#N/A</v>
          </cell>
          <cell r="J430" t="e">
            <v>#N/A</v>
          </cell>
          <cell r="K430" t="e">
            <v>#N/A</v>
          </cell>
          <cell r="L430" t="e">
            <v>#N/A</v>
          </cell>
          <cell r="M430" t="e">
            <v>#N/A</v>
          </cell>
          <cell r="N430" t="e">
            <v>#N/A</v>
          </cell>
          <cell r="O430" t="e">
            <v>#N/A</v>
          </cell>
          <cell r="P430">
            <v>48.81</v>
          </cell>
          <cell r="Q430">
            <v>0.73605699999999996</v>
          </cell>
          <cell r="R430" t="e">
            <v>#N/A</v>
          </cell>
        </row>
        <row r="431">
          <cell r="A431">
            <v>40092</v>
          </cell>
          <cell r="B431">
            <v>40092</v>
          </cell>
          <cell r="C431" t="str">
            <v>Past</v>
          </cell>
          <cell r="D431">
            <v>49.99</v>
          </cell>
          <cell r="E431" t="e">
            <v>#N/A</v>
          </cell>
          <cell r="F431" t="e">
            <v>#N/A</v>
          </cell>
          <cell r="G431" t="e">
            <v>#N/A</v>
          </cell>
          <cell r="H431" t="e">
            <v>#N/A</v>
          </cell>
          <cell r="I431" t="e">
            <v>#N/A</v>
          </cell>
          <cell r="J431" t="e">
            <v>#N/A</v>
          </cell>
          <cell r="K431" t="e">
            <v>#N/A</v>
          </cell>
          <cell r="L431" t="e">
            <v>#N/A</v>
          </cell>
          <cell r="M431" t="e">
            <v>#N/A</v>
          </cell>
          <cell r="N431" t="e">
            <v>#N/A</v>
          </cell>
          <cell r="O431" t="e">
            <v>#N/A</v>
          </cell>
          <cell r="P431">
            <v>49.99</v>
          </cell>
          <cell r="Q431">
            <v>1.0131239999999999</v>
          </cell>
          <cell r="R431" t="e">
            <v>#N/A</v>
          </cell>
        </row>
        <row r="432">
          <cell r="A432">
            <v>40093</v>
          </cell>
          <cell r="B432">
            <v>40093</v>
          </cell>
          <cell r="C432" t="str">
            <v>Past</v>
          </cell>
          <cell r="D432">
            <v>49.9</v>
          </cell>
          <cell r="E432" t="e">
            <v>#N/A</v>
          </cell>
          <cell r="F432" t="e">
            <v>#N/A</v>
          </cell>
          <cell r="G432" t="e">
            <v>#N/A</v>
          </cell>
          <cell r="H432" t="e">
            <v>#N/A</v>
          </cell>
          <cell r="I432" t="e">
            <v>#N/A</v>
          </cell>
          <cell r="J432" t="e">
            <v>#N/A</v>
          </cell>
          <cell r="K432" t="e">
            <v>#N/A</v>
          </cell>
          <cell r="L432" t="e">
            <v>#N/A</v>
          </cell>
          <cell r="M432" t="e">
            <v>#N/A</v>
          </cell>
          <cell r="N432" t="e">
            <v>#N/A</v>
          </cell>
          <cell r="O432" t="e">
            <v>#N/A</v>
          </cell>
          <cell r="P432">
            <v>49.9</v>
          </cell>
          <cell r="Q432">
            <v>0.78963499999999998</v>
          </cell>
          <cell r="R432" t="e">
            <v>#N/A</v>
          </cell>
        </row>
        <row r="433">
          <cell r="A433">
            <v>40094</v>
          </cell>
          <cell r="B433">
            <v>40094</v>
          </cell>
          <cell r="C433" t="str">
            <v>Past</v>
          </cell>
          <cell r="D433">
            <v>50.5</v>
          </cell>
          <cell r="E433" t="e">
            <v>#N/A</v>
          </cell>
          <cell r="F433" t="e">
            <v>#N/A</v>
          </cell>
          <cell r="G433" t="e">
            <v>#N/A</v>
          </cell>
          <cell r="H433" t="e">
            <v>#N/A</v>
          </cell>
          <cell r="I433" t="e">
            <v>#N/A</v>
          </cell>
          <cell r="J433" t="e">
            <v>#N/A</v>
          </cell>
          <cell r="K433" t="e">
            <v>#N/A</v>
          </cell>
          <cell r="L433" t="e">
            <v>#N/A</v>
          </cell>
          <cell r="M433" t="e">
            <v>#N/A</v>
          </cell>
          <cell r="N433" t="e">
            <v>#N/A</v>
          </cell>
          <cell r="O433" t="e">
            <v>#N/A</v>
          </cell>
          <cell r="P433">
            <v>50.5</v>
          </cell>
          <cell r="Q433">
            <v>1.1762509999999999</v>
          </cell>
          <cell r="R433" t="e">
            <v>#N/A</v>
          </cell>
        </row>
        <row r="434">
          <cell r="A434">
            <v>40095</v>
          </cell>
          <cell r="B434">
            <v>40095</v>
          </cell>
          <cell r="C434" t="str">
            <v>Past</v>
          </cell>
          <cell r="D434">
            <v>50.99</v>
          </cell>
          <cell r="E434" t="e">
            <v>#N/A</v>
          </cell>
          <cell r="F434" t="e">
            <v>#N/A</v>
          </cell>
          <cell r="G434" t="e">
            <v>#N/A</v>
          </cell>
          <cell r="H434" t="e">
            <v>#N/A</v>
          </cell>
          <cell r="I434" t="e">
            <v>#N/A</v>
          </cell>
          <cell r="J434" t="e">
            <v>#N/A</v>
          </cell>
          <cell r="K434" t="e">
            <v>#N/A</v>
          </cell>
          <cell r="L434" t="e">
            <v>#N/A</v>
          </cell>
          <cell r="M434" t="e">
            <v>#N/A</v>
          </cell>
          <cell r="N434" t="e">
            <v>#N/A</v>
          </cell>
          <cell r="O434" t="e">
            <v>#N/A</v>
          </cell>
          <cell r="P434">
            <v>50.99</v>
          </cell>
          <cell r="Q434">
            <v>0.84274399999999994</v>
          </cell>
          <cell r="R434" t="e">
            <v>#N/A</v>
          </cell>
        </row>
        <row r="435">
          <cell r="A435">
            <v>40098</v>
          </cell>
          <cell r="B435">
            <v>40098</v>
          </cell>
          <cell r="C435" t="str">
            <v>Past</v>
          </cell>
          <cell r="D435">
            <v>51.22</v>
          </cell>
          <cell r="E435" t="e">
            <v>#N/A</v>
          </cell>
          <cell r="F435" t="e">
            <v>#N/A</v>
          </cell>
          <cell r="G435" t="e">
            <v>#N/A</v>
          </cell>
          <cell r="H435" t="e">
            <v>#N/A</v>
          </cell>
          <cell r="I435" t="e">
            <v>#N/A</v>
          </cell>
          <cell r="J435" t="e">
            <v>#N/A</v>
          </cell>
          <cell r="K435" t="e">
            <v>#N/A</v>
          </cell>
          <cell r="L435" t="e">
            <v>#N/A</v>
          </cell>
          <cell r="M435" t="e">
            <v>#N/A</v>
          </cell>
          <cell r="N435" t="e">
            <v>#N/A</v>
          </cell>
          <cell r="O435" t="e">
            <v>#N/A</v>
          </cell>
          <cell r="P435">
            <v>51.22</v>
          </cell>
          <cell r="Q435">
            <v>0.63445099999999999</v>
          </cell>
          <cell r="R435" t="e">
            <v>#N/A</v>
          </cell>
        </row>
        <row r="436">
          <cell r="A436">
            <v>40099</v>
          </cell>
          <cell r="B436">
            <v>40099</v>
          </cell>
          <cell r="C436" t="str">
            <v>Past</v>
          </cell>
          <cell r="D436">
            <v>51.26</v>
          </cell>
          <cell r="E436" t="e">
            <v>#N/A</v>
          </cell>
          <cell r="F436" t="e">
            <v>#N/A</v>
          </cell>
          <cell r="G436" t="e">
            <v>#N/A</v>
          </cell>
          <cell r="H436" t="e">
            <v>#N/A</v>
          </cell>
          <cell r="I436" t="e">
            <v>#N/A</v>
          </cell>
          <cell r="J436" t="e">
            <v>#N/A</v>
          </cell>
          <cell r="K436" t="e">
            <v>#N/A</v>
          </cell>
          <cell r="L436" t="e">
            <v>#N/A</v>
          </cell>
          <cell r="M436" t="e">
            <v>#N/A</v>
          </cell>
          <cell r="N436" t="e">
            <v>#N/A</v>
          </cell>
          <cell r="O436" t="e">
            <v>#N/A</v>
          </cell>
          <cell r="P436">
            <v>51.26</v>
          </cell>
          <cell r="Q436">
            <v>0.80652899999999994</v>
          </cell>
          <cell r="R436" t="e">
            <v>#N/A</v>
          </cell>
        </row>
        <row r="437">
          <cell r="A437">
            <v>40100</v>
          </cell>
          <cell r="B437">
            <v>40100</v>
          </cell>
          <cell r="C437" t="str">
            <v>Past</v>
          </cell>
          <cell r="D437">
            <v>52.28</v>
          </cell>
          <cell r="E437" t="e">
            <v>#N/A</v>
          </cell>
          <cell r="F437" t="e">
            <v>#N/A</v>
          </cell>
          <cell r="G437" t="e">
            <v>#N/A</v>
          </cell>
          <cell r="H437" t="e">
            <v>#N/A</v>
          </cell>
          <cell r="I437" t="e">
            <v>#N/A</v>
          </cell>
          <cell r="J437" t="e">
            <v>#N/A</v>
          </cell>
          <cell r="K437" t="e">
            <v>#N/A</v>
          </cell>
          <cell r="L437" t="e">
            <v>#N/A</v>
          </cell>
          <cell r="M437" t="e">
            <v>#N/A</v>
          </cell>
          <cell r="N437" t="e">
            <v>#N/A</v>
          </cell>
          <cell r="O437" t="e">
            <v>#N/A</v>
          </cell>
          <cell r="P437">
            <v>52.28</v>
          </cell>
          <cell r="Q437">
            <v>0.71342499999999998</v>
          </cell>
          <cell r="R437" t="e">
            <v>#N/A</v>
          </cell>
        </row>
        <row r="438">
          <cell r="A438">
            <v>40101</v>
          </cell>
          <cell r="B438">
            <v>40101</v>
          </cell>
          <cell r="C438" t="str">
            <v>Past</v>
          </cell>
          <cell r="D438">
            <v>52.05</v>
          </cell>
          <cell r="E438" t="e">
            <v>#N/A</v>
          </cell>
          <cell r="F438" t="e">
            <v>#N/A</v>
          </cell>
          <cell r="G438" t="e">
            <v>#N/A</v>
          </cell>
          <cell r="H438" t="e">
            <v>#N/A</v>
          </cell>
          <cell r="I438" t="e">
            <v>#N/A</v>
          </cell>
          <cell r="J438" t="e">
            <v>#N/A</v>
          </cell>
          <cell r="K438" t="e">
            <v>#N/A</v>
          </cell>
          <cell r="L438" t="e">
            <v>#N/A</v>
          </cell>
          <cell r="M438" t="e">
            <v>#N/A</v>
          </cell>
          <cell r="N438" t="e">
            <v>#N/A</v>
          </cell>
          <cell r="O438" t="e">
            <v>#N/A</v>
          </cell>
          <cell r="P438">
            <v>52.05</v>
          </cell>
          <cell r="Q438">
            <v>0.74092599999999997</v>
          </cell>
          <cell r="R438" t="e">
            <v>#N/A</v>
          </cell>
        </row>
        <row r="439">
          <cell r="A439">
            <v>40102</v>
          </cell>
          <cell r="B439">
            <v>40102</v>
          </cell>
          <cell r="C439" t="str">
            <v>Past</v>
          </cell>
          <cell r="D439">
            <v>52.22</v>
          </cell>
          <cell r="E439" t="e">
            <v>#N/A</v>
          </cell>
          <cell r="F439" t="e">
            <v>#N/A</v>
          </cell>
          <cell r="G439" t="e">
            <v>#N/A</v>
          </cell>
          <cell r="H439" t="e">
            <v>#N/A</v>
          </cell>
          <cell r="I439" t="e">
            <v>#N/A</v>
          </cell>
          <cell r="J439" t="e">
            <v>#N/A</v>
          </cell>
          <cell r="K439" t="e">
            <v>#N/A</v>
          </cell>
          <cell r="L439" t="e">
            <v>#N/A</v>
          </cell>
          <cell r="M439" t="e">
            <v>#N/A</v>
          </cell>
          <cell r="N439" t="e">
            <v>#N/A</v>
          </cell>
          <cell r="O439" t="e">
            <v>#N/A</v>
          </cell>
          <cell r="P439">
            <v>52.22</v>
          </cell>
          <cell r="Q439">
            <v>0.60876000000000008</v>
          </cell>
          <cell r="R439" t="e">
            <v>#N/A</v>
          </cell>
        </row>
        <row r="440">
          <cell r="A440">
            <v>40105</v>
          </cell>
          <cell r="B440">
            <v>40105</v>
          </cell>
          <cell r="C440" t="str">
            <v>Past</v>
          </cell>
          <cell r="D440">
            <v>52.87</v>
          </cell>
          <cell r="E440" t="e">
            <v>#N/A</v>
          </cell>
          <cell r="F440" t="e">
            <v>#N/A</v>
          </cell>
          <cell r="G440" t="e">
            <v>#N/A</v>
          </cell>
          <cell r="H440" t="e">
            <v>#N/A</v>
          </cell>
          <cell r="I440" t="e">
            <v>#N/A</v>
          </cell>
          <cell r="J440" t="e">
            <v>#N/A</v>
          </cell>
          <cell r="K440" t="e">
            <v>#N/A</v>
          </cell>
          <cell r="L440" t="e">
            <v>#N/A</v>
          </cell>
          <cell r="M440" t="e">
            <v>#N/A</v>
          </cell>
          <cell r="N440" t="e">
            <v>#N/A</v>
          </cell>
          <cell r="O440" t="e">
            <v>#N/A</v>
          </cell>
          <cell r="P440">
            <v>52.87</v>
          </cell>
          <cell r="Q440">
            <v>0.48363000000000006</v>
          </cell>
          <cell r="R440" t="e">
            <v>#N/A</v>
          </cell>
        </row>
        <row r="441">
          <cell r="A441">
            <v>40106</v>
          </cell>
          <cell r="B441">
            <v>40106</v>
          </cell>
          <cell r="C441" t="str">
            <v>Past</v>
          </cell>
          <cell r="D441">
            <v>51.52</v>
          </cell>
          <cell r="E441" t="e">
            <v>#N/A</v>
          </cell>
          <cell r="F441" t="e">
            <v>#N/A</v>
          </cell>
          <cell r="G441" t="e">
            <v>#N/A</v>
          </cell>
          <cell r="H441" t="e">
            <v>#N/A</v>
          </cell>
          <cell r="I441" t="e">
            <v>#N/A</v>
          </cell>
          <cell r="J441" t="e">
            <v>#N/A</v>
          </cell>
          <cell r="K441" t="e">
            <v>#N/A</v>
          </cell>
          <cell r="L441" t="e">
            <v>#N/A</v>
          </cell>
          <cell r="M441" t="e">
            <v>#N/A</v>
          </cell>
          <cell r="N441" t="e">
            <v>#N/A</v>
          </cell>
          <cell r="O441" t="e">
            <v>#N/A</v>
          </cell>
          <cell r="P441">
            <v>51.52</v>
          </cell>
          <cell r="Q441">
            <v>0.797709</v>
          </cell>
          <cell r="R441" t="e">
            <v>#N/A</v>
          </cell>
        </row>
        <row r="442">
          <cell r="A442">
            <v>40107</v>
          </cell>
          <cell r="B442">
            <v>40107</v>
          </cell>
          <cell r="C442" t="str">
            <v>Past</v>
          </cell>
          <cell r="D442">
            <v>51.33</v>
          </cell>
          <cell r="E442" t="e">
            <v>#N/A</v>
          </cell>
          <cell r="F442" t="e">
            <v>#N/A</v>
          </cell>
          <cell r="G442" t="e">
            <v>#N/A</v>
          </cell>
          <cell r="H442" t="e">
            <v>#N/A</v>
          </cell>
          <cell r="I442" t="e">
            <v>#N/A</v>
          </cell>
          <cell r="J442" t="e">
            <v>#N/A</v>
          </cell>
          <cell r="K442" t="e">
            <v>#N/A</v>
          </cell>
          <cell r="L442" t="e">
            <v>#N/A</v>
          </cell>
          <cell r="M442" t="e">
            <v>#N/A</v>
          </cell>
          <cell r="N442" t="e">
            <v>#N/A</v>
          </cell>
          <cell r="O442" t="e">
            <v>#N/A</v>
          </cell>
          <cell r="P442">
            <v>51.33</v>
          </cell>
          <cell r="Q442">
            <v>0.95174399999999992</v>
          </cell>
          <cell r="R442" t="e">
            <v>#N/A</v>
          </cell>
        </row>
        <row r="443">
          <cell r="A443">
            <v>40108</v>
          </cell>
          <cell r="B443">
            <v>40108</v>
          </cell>
          <cell r="C443" t="str">
            <v>Past</v>
          </cell>
          <cell r="D443">
            <v>52</v>
          </cell>
          <cell r="E443" t="e">
            <v>#N/A</v>
          </cell>
          <cell r="F443" t="e">
            <v>#N/A</v>
          </cell>
          <cell r="G443" t="e">
            <v>#N/A</v>
          </cell>
          <cell r="H443" t="e">
            <v>#N/A</v>
          </cell>
          <cell r="I443" t="e">
            <v>#N/A</v>
          </cell>
          <cell r="J443" t="e">
            <v>#N/A</v>
          </cell>
          <cell r="K443" t="e">
            <v>#N/A</v>
          </cell>
          <cell r="L443" t="e">
            <v>#N/A</v>
          </cell>
          <cell r="M443" t="e">
            <v>#N/A</v>
          </cell>
          <cell r="N443" t="e">
            <v>#N/A</v>
          </cell>
          <cell r="O443" t="e">
            <v>#N/A</v>
          </cell>
          <cell r="P443">
            <v>52</v>
          </cell>
          <cell r="Q443">
            <v>0.86326700000000001</v>
          </cell>
          <cell r="R443" t="e">
            <v>#N/A</v>
          </cell>
        </row>
        <row r="444">
          <cell r="A444">
            <v>40109</v>
          </cell>
          <cell r="B444">
            <v>40109</v>
          </cell>
          <cell r="C444" t="str">
            <v>Past</v>
          </cell>
          <cell r="D444">
            <v>51.54</v>
          </cell>
          <cell r="E444" t="e">
            <v>#N/A</v>
          </cell>
          <cell r="F444" t="e">
            <v>#N/A</v>
          </cell>
          <cell r="G444" t="e">
            <v>#N/A</v>
          </cell>
          <cell r="H444" t="e">
            <v>#N/A</v>
          </cell>
          <cell r="I444" t="e">
            <v>#N/A</v>
          </cell>
          <cell r="J444" t="e">
            <v>#N/A</v>
          </cell>
          <cell r="K444" t="e">
            <v>#N/A</v>
          </cell>
          <cell r="L444" t="e">
            <v>#N/A</v>
          </cell>
          <cell r="M444" t="e">
            <v>#N/A</v>
          </cell>
          <cell r="N444" t="e">
            <v>#N/A</v>
          </cell>
          <cell r="O444" t="e">
            <v>#N/A</v>
          </cell>
          <cell r="P444">
            <v>51.54</v>
          </cell>
          <cell r="Q444">
            <v>0.66813299999999998</v>
          </cell>
          <cell r="R444" t="e">
            <v>#N/A</v>
          </cell>
        </row>
        <row r="445">
          <cell r="A445">
            <v>40112</v>
          </cell>
          <cell r="B445">
            <v>40112</v>
          </cell>
          <cell r="C445" t="str">
            <v>Past</v>
          </cell>
          <cell r="D445">
            <v>51.06</v>
          </cell>
          <cell r="E445" t="e">
            <v>#N/A</v>
          </cell>
          <cell r="F445" t="e">
            <v>#N/A</v>
          </cell>
          <cell r="G445" t="e">
            <v>#N/A</v>
          </cell>
          <cell r="H445" t="e">
            <v>#N/A</v>
          </cell>
          <cell r="I445" t="e">
            <v>#N/A</v>
          </cell>
          <cell r="J445" t="e">
            <v>#N/A</v>
          </cell>
          <cell r="K445" t="e">
            <v>#N/A</v>
          </cell>
          <cell r="L445" t="e">
            <v>#N/A</v>
          </cell>
          <cell r="M445" t="e">
            <v>#N/A</v>
          </cell>
          <cell r="N445" t="e">
            <v>#N/A</v>
          </cell>
          <cell r="O445" t="e">
            <v>#N/A</v>
          </cell>
          <cell r="P445">
            <v>51.06</v>
          </cell>
          <cell r="Q445">
            <v>0.73483100000000001</v>
          </cell>
          <cell r="R445" t="e">
            <v>#N/A</v>
          </cell>
        </row>
        <row r="446">
          <cell r="A446">
            <v>40113</v>
          </cell>
          <cell r="B446">
            <v>40113</v>
          </cell>
          <cell r="C446" t="str">
            <v>Past</v>
          </cell>
          <cell r="D446">
            <v>50.94</v>
          </cell>
          <cell r="E446" t="e">
            <v>#N/A</v>
          </cell>
          <cell r="F446" t="e">
            <v>#N/A</v>
          </cell>
          <cell r="G446" t="e">
            <v>#N/A</v>
          </cell>
          <cell r="H446" t="e">
            <v>#N/A</v>
          </cell>
          <cell r="I446" t="e">
            <v>#N/A</v>
          </cell>
          <cell r="J446" t="e">
            <v>#N/A</v>
          </cell>
          <cell r="K446" t="e">
            <v>#N/A</v>
          </cell>
          <cell r="L446" t="e">
            <v>#N/A</v>
          </cell>
          <cell r="M446" t="e">
            <v>#N/A</v>
          </cell>
          <cell r="N446" t="e">
            <v>#N/A</v>
          </cell>
          <cell r="O446" t="e">
            <v>#N/A</v>
          </cell>
          <cell r="P446">
            <v>50.94</v>
          </cell>
          <cell r="Q446">
            <v>1.0331429999999999</v>
          </cell>
          <cell r="R446" t="e">
            <v>#N/A</v>
          </cell>
        </row>
        <row r="447">
          <cell r="A447">
            <v>40114</v>
          </cell>
          <cell r="B447">
            <v>40114</v>
          </cell>
          <cell r="C447" t="str">
            <v>Past</v>
          </cell>
          <cell r="D447">
            <v>50.24</v>
          </cell>
          <cell r="E447" t="e">
            <v>#N/A</v>
          </cell>
          <cell r="F447" t="e">
            <v>#N/A</v>
          </cell>
          <cell r="G447" t="e">
            <v>#N/A</v>
          </cell>
          <cell r="H447" t="e">
            <v>#N/A</v>
          </cell>
          <cell r="I447" t="e">
            <v>#N/A</v>
          </cell>
          <cell r="J447" t="e">
            <v>#N/A</v>
          </cell>
          <cell r="K447" t="e">
            <v>#N/A</v>
          </cell>
          <cell r="L447" t="e">
            <v>#N/A</v>
          </cell>
          <cell r="M447" t="e">
            <v>#N/A</v>
          </cell>
          <cell r="N447" t="e">
            <v>#N/A</v>
          </cell>
          <cell r="O447" t="e">
            <v>#N/A</v>
          </cell>
          <cell r="P447">
            <v>50.24</v>
          </cell>
          <cell r="Q447">
            <v>1.9372469999999999</v>
          </cell>
          <cell r="R447" t="e">
            <v>#N/A</v>
          </cell>
        </row>
        <row r="448">
          <cell r="A448">
            <v>40115</v>
          </cell>
          <cell r="B448">
            <v>40115</v>
          </cell>
          <cell r="C448" t="str">
            <v>Past</v>
          </cell>
          <cell r="D448">
            <v>51.56</v>
          </cell>
          <cell r="E448" t="e">
            <v>#N/A</v>
          </cell>
          <cell r="F448" t="e">
            <v>#N/A</v>
          </cell>
          <cell r="G448" t="e">
            <v>#N/A</v>
          </cell>
          <cell r="H448" t="e">
            <v>#N/A</v>
          </cell>
          <cell r="I448" t="e">
            <v>#N/A</v>
          </cell>
          <cell r="J448" t="e">
            <v>#N/A</v>
          </cell>
          <cell r="K448" t="e">
            <v>#N/A</v>
          </cell>
          <cell r="L448" t="e">
            <v>#N/A</v>
          </cell>
          <cell r="M448" t="e">
            <v>#N/A</v>
          </cell>
          <cell r="N448" t="e">
            <v>#N/A</v>
          </cell>
          <cell r="O448" t="e">
            <v>#N/A</v>
          </cell>
          <cell r="P448">
            <v>51.56</v>
          </cell>
          <cell r="Q448">
            <v>1.9594319999999998</v>
          </cell>
          <cell r="R448" t="e">
            <v>#N/A</v>
          </cell>
        </row>
        <row r="449">
          <cell r="A449">
            <v>40116</v>
          </cell>
          <cell r="B449">
            <v>40116</v>
          </cell>
          <cell r="C449" t="str">
            <v>Past</v>
          </cell>
          <cell r="D449">
            <v>50.38</v>
          </cell>
          <cell r="E449" t="e">
            <v>#N/A</v>
          </cell>
          <cell r="F449" t="e">
            <v>#N/A</v>
          </cell>
          <cell r="G449" t="e">
            <v>#N/A</v>
          </cell>
          <cell r="H449" t="e">
            <v>#N/A</v>
          </cell>
          <cell r="I449" t="e">
            <v>#N/A</v>
          </cell>
          <cell r="J449" t="e">
            <v>#N/A</v>
          </cell>
          <cell r="K449" t="e">
            <v>#N/A</v>
          </cell>
          <cell r="L449" t="e">
            <v>#N/A</v>
          </cell>
          <cell r="M449" t="e">
            <v>#N/A</v>
          </cell>
          <cell r="N449" t="e">
            <v>#N/A</v>
          </cell>
          <cell r="O449" t="e">
            <v>#N/A</v>
          </cell>
          <cell r="P449">
            <v>50.38</v>
          </cell>
          <cell r="Q449">
            <v>1.9160649999999999</v>
          </cell>
          <cell r="R449" t="e">
            <v>#N/A</v>
          </cell>
        </row>
        <row r="450">
          <cell r="A450">
            <v>40119</v>
          </cell>
          <cell r="B450">
            <v>40119</v>
          </cell>
          <cell r="C450" t="str">
            <v>Past</v>
          </cell>
          <cell r="D450">
            <v>50.78</v>
          </cell>
          <cell r="E450" t="e">
            <v>#N/A</v>
          </cell>
          <cell r="F450" t="e">
            <v>#N/A</v>
          </cell>
          <cell r="G450" t="e">
            <v>#N/A</v>
          </cell>
          <cell r="H450" t="e">
            <v>#N/A</v>
          </cell>
          <cell r="I450" t="e">
            <v>#N/A</v>
          </cell>
          <cell r="J450" t="e">
            <v>#N/A</v>
          </cell>
          <cell r="K450" t="e">
            <v>#N/A</v>
          </cell>
          <cell r="L450" t="e">
            <v>#N/A</v>
          </cell>
          <cell r="M450" t="e">
            <v>#N/A</v>
          </cell>
          <cell r="N450" t="e">
            <v>#N/A</v>
          </cell>
          <cell r="O450" t="e">
            <v>#N/A</v>
          </cell>
          <cell r="P450">
            <v>50.78</v>
          </cell>
          <cell r="Q450">
            <v>1.4602200000000001</v>
          </cell>
          <cell r="R450" t="e">
            <v>#N/A</v>
          </cell>
        </row>
        <row r="451">
          <cell r="A451">
            <v>40120</v>
          </cell>
          <cell r="B451">
            <v>40120</v>
          </cell>
          <cell r="C451" t="str">
            <v>Past</v>
          </cell>
          <cell r="D451">
            <v>49.24</v>
          </cell>
          <cell r="E451" t="e">
            <v>#N/A</v>
          </cell>
          <cell r="F451" t="e">
            <v>#N/A</v>
          </cell>
          <cell r="G451" t="e">
            <v>#N/A</v>
          </cell>
          <cell r="H451" t="e">
            <v>#N/A</v>
          </cell>
          <cell r="I451" t="e">
            <v>#N/A</v>
          </cell>
          <cell r="J451" t="e">
            <v>#N/A</v>
          </cell>
          <cell r="K451" t="e">
            <v>#N/A</v>
          </cell>
          <cell r="L451" t="e">
            <v>#N/A</v>
          </cell>
          <cell r="M451" t="e">
            <v>#N/A</v>
          </cell>
          <cell r="N451" t="e">
            <v>#N/A</v>
          </cell>
          <cell r="O451" t="e">
            <v>#N/A</v>
          </cell>
          <cell r="P451">
            <v>49.24</v>
          </cell>
          <cell r="Q451">
            <v>2.3001649999999998</v>
          </cell>
          <cell r="R451" t="e">
            <v>#N/A</v>
          </cell>
        </row>
        <row r="452">
          <cell r="A452">
            <v>40121</v>
          </cell>
          <cell r="B452">
            <v>40121</v>
          </cell>
          <cell r="C452" t="str">
            <v>Past</v>
          </cell>
          <cell r="D452">
            <v>49.63</v>
          </cell>
          <cell r="E452" t="e">
            <v>#N/A</v>
          </cell>
          <cell r="F452" t="e">
            <v>#N/A</v>
          </cell>
          <cell r="G452" t="e">
            <v>#N/A</v>
          </cell>
          <cell r="H452" t="e">
            <v>#N/A</v>
          </cell>
          <cell r="I452" t="e">
            <v>#N/A</v>
          </cell>
          <cell r="J452" t="e">
            <v>#N/A</v>
          </cell>
          <cell r="K452" t="e">
            <v>#N/A</v>
          </cell>
          <cell r="L452" t="e">
            <v>#N/A</v>
          </cell>
          <cell r="M452" t="e">
            <v>#N/A</v>
          </cell>
          <cell r="N452" t="e">
            <v>#N/A</v>
          </cell>
          <cell r="O452" t="e">
            <v>#N/A</v>
          </cell>
          <cell r="P452">
            <v>49.63</v>
          </cell>
          <cell r="Q452">
            <v>1.014732</v>
          </cell>
          <cell r="R452" t="e">
            <v>#N/A</v>
          </cell>
        </row>
        <row r="453">
          <cell r="A453">
            <v>40122</v>
          </cell>
          <cell r="B453">
            <v>40122</v>
          </cell>
          <cell r="C453" t="str">
            <v>Past</v>
          </cell>
          <cell r="D453">
            <v>51.83</v>
          </cell>
          <cell r="E453" t="e">
            <v>#N/A</v>
          </cell>
          <cell r="F453" t="e">
            <v>#N/A</v>
          </cell>
          <cell r="G453" t="e">
            <v>#N/A</v>
          </cell>
          <cell r="H453" t="e">
            <v>#N/A</v>
          </cell>
          <cell r="I453" t="e">
            <v>#N/A</v>
          </cell>
          <cell r="J453" t="e">
            <v>#N/A</v>
          </cell>
          <cell r="K453" t="e">
            <v>#N/A</v>
          </cell>
          <cell r="L453" t="e">
            <v>#N/A</v>
          </cell>
          <cell r="M453" t="e">
            <v>#N/A</v>
          </cell>
          <cell r="N453" t="e">
            <v>#N/A</v>
          </cell>
          <cell r="O453" t="e">
            <v>#N/A</v>
          </cell>
          <cell r="P453">
            <v>51.83</v>
          </cell>
          <cell r="Q453">
            <v>2.1875149999999999</v>
          </cell>
          <cell r="R453" t="e">
            <v>#N/A</v>
          </cell>
        </row>
        <row r="454">
          <cell r="A454">
            <v>40123</v>
          </cell>
          <cell r="B454">
            <v>40123</v>
          </cell>
          <cell r="C454" t="str">
            <v>Past</v>
          </cell>
          <cell r="D454">
            <v>51.51</v>
          </cell>
          <cell r="E454" t="e">
            <v>#N/A</v>
          </cell>
          <cell r="F454" t="e">
            <v>#N/A</v>
          </cell>
          <cell r="G454" t="e">
            <v>#N/A</v>
          </cell>
          <cell r="H454" t="e">
            <v>#N/A</v>
          </cell>
          <cell r="I454" t="e">
            <v>#N/A</v>
          </cell>
          <cell r="J454" t="e">
            <v>#N/A</v>
          </cell>
          <cell r="K454" t="e">
            <v>#N/A</v>
          </cell>
          <cell r="L454" t="e">
            <v>#N/A</v>
          </cell>
          <cell r="M454" t="e">
            <v>#N/A</v>
          </cell>
          <cell r="N454" t="e">
            <v>#N/A</v>
          </cell>
          <cell r="O454" t="e">
            <v>#N/A</v>
          </cell>
          <cell r="P454">
            <v>51.51</v>
          </cell>
          <cell r="Q454">
            <v>1.1632069999999999</v>
          </cell>
          <cell r="R454" t="e">
            <v>#N/A</v>
          </cell>
        </row>
        <row r="455">
          <cell r="A455">
            <v>40126</v>
          </cell>
          <cell r="B455">
            <v>40126</v>
          </cell>
          <cell r="C455" t="str">
            <v>Past</v>
          </cell>
          <cell r="D455">
            <v>52.85</v>
          </cell>
          <cell r="E455" t="e">
            <v>#N/A</v>
          </cell>
          <cell r="F455" t="e">
            <v>#N/A</v>
          </cell>
          <cell r="G455" t="e">
            <v>#N/A</v>
          </cell>
          <cell r="H455" t="e">
            <v>#N/A</v>
          </cell>
          <cell r="I455" t="e">
            <v>#N/A</v>
          </cell>
          <cell r="J455" t="e">
            <v>#N/A</v>
          </cell>
          <cell r="K455" t="e">
            <v>#N/A</v>
          </cell>
          <cell r="L455" t="e">
            <v>#N/A</v>
          </cell>
          <cell r="M455" t="e">
            <v>#N/A</v>
          </cell>
          <cell r="N455" t="e">
            <v>#N/A</v>
          </cell>
          <cell r="O455" t="e">
            <v>#N/A</v>
          </cell>
          <cell r="P455">
            <v>52.85</v>
          </cell>
          <cell r="Q455">
            <v>0.84079099999999996</v>
          </cell>
          <cell r="R455" t="e">
            <v>#N/A</v>
          </cell>
        </row>
        <row r="456">
          <cell r="A456">
            <v>40127</v>
          </cell>
          <cell r="B456">
            <v>40127</v>
          </cell>
          <cell r="C456" t="str">
            <v>Past</v>
          </cell>
          <cell r="D456">
            <v>52.21</v>
          </cell>
          <cell r="E456" t="e">
            <v>#N/A</v>
          </cell>
          <cell r="F456" t="e">
            <v>#N/A</v>
          </cell>
          <cell r="G456" t="e">
            <v>#N/A</v>
          </cell>
          <cell r="H456" t="e">
            <v>#N/A</v>
          </cell>
          <cell r="I456" t="e">
            <v>#N/A</v>
          </cell>
          <cell r="J456" t="e">
            <v>#N/A</v>
          </cell>
          <cell r="K456" t="e">
            <v>#N/A</v>
          </cell>
          <cell r="L456" t="e">
            <v>#N/A</v>
          </cell>
          <cell r="M456" t="e">
            <v>#N/A</v>
          </cell>
          <cell r="N456" t="e">
            <v>#N/A</v>
          </cell>
          <cell r="O456" t="e">
            <v>#N/A</v>
          </cell>
          <cell r="P456">
            <v>52.21</v>
          </cell>
          <cell r="Q456">
            <v>0.694272</v>
          </cell>
          <cell r="R456" t="e">
            <v>#N/A</v>
          </cell>
        </row>
        <row r="457">
          <cell r="A457">
            <v>40128</v>
          </cell>
          <cell r="B457">
            <v>40128</v>
          </cell>
          <cell r="C457" t="str">
            <v>Past</v>
          </cell>
          <cell r="D457">
            <v>52.6</v>
          </cell>
          <cell r="E457" t="e">
            <v>#N/A</v>
          </cell>
          <cell r="F457" t="e">
            <v>#N/A</v>
          </cell>
          <cell r="G457" t="e">
            <v>#N/A</v>
          </cell>
          <cell r="H457" t="e">
            <v>#N/A</v>
          </cell>
          <cell r="I457" t="e">
            <v>#N/A</v>
          </cell>
          <cell r="J457" t="e">
            <v>#N/A</v>
          </cell>
          <cell r="K457" t="e">
            <v>#N/A</v>
          </cell>
          <cell r="L457" t="e">
            <v>#N/A</v>
          </cell>
          <cell r="M457" t="e">
            <v>#N/A</v>
          </cell>
          <cell r="N457" t="e">
            <v>#N/A</v>
          </cell>
          <cell r="O457" t="e">
            <v>#N/A</v>
          </cell>
          <cell r="P457">
            <v>52.6</v>
          </cell>
          <cell r="Q457">
            <v>0.58015799999999995</v>
          </cell>
          <cell r="R457" t="e">
            <v>#N/A</v>
          </cell>
        </row>
        <row r="458">
          <cell r="A458">
            <v>40129</v>
          </cell>
          <cell r="B458">
            <v>40129</v>
          </cell>
          <cell r="C458" t="str">
            <v>Past</v>
          </cell>
          <cell r="D458">
            <v>52.09</v>
          </cell>
          <cell r="E458" t="e">
            <v>#N/A</v>
          </cell>
          <cell r="F458" t="e">
            <v>#N/A</v>
          </cell>
          <cell r="G458" t="e">
            <v>#N/A</v>
          </cell>
          <cell r="H458" t="e">
            <v>#N/A</v>
          </cell>
          <cell r="I458" t="e">
            <v>#N/A</v>
          </cell>
          <cell r="J458" t="e">
            <v>#N/A</v>
          </cell>
          <cell r="K458" t="e">
            <v>#N/A</v>
          </cell>
          <cell r="L458" t="e">
            <v>#N/A</v>
          </cell>
          <cell r="M458" t="e">
            <v>#N/A</v>
          </cell>
          <cell r="N458" t="e">
            <v>#N/A</v>
          </cell>
          <cell r="O458" t="e">
            <v>#N/A</v>
          </cell>
          <cell r="P458">
            <v>52.09</v>
          </cell>
          <cell r="Q458">
            <v>0.49426799999999999</v>
          </cell>
          <cell r="R458" t="e">
            <v>#N/A</v>
          </cell>
        </row>
        <row r="459">
          <cell r="A459">
            <v>40130</v>
          </cell>
          <cell r="B459">
            <v>40130</v>
          </cell>
          <cell r="C459" t="str">
            <v>Past</v>
          </cell>
          <cell r="D459">
            <v>52.92</v>
          </cell>
          <cell r="E459" t="e">
            <v>#N/A</v>
          </cell>
          <cell r="F459" t="e">
            <v>#N/A</v>
          </cell>
          <cell r="G459" t="e">
            <v>#N/A</v>
          </cell>
          <cell r="H459" t="e">
            <v>#N/A</v>
          </cell>
          <cell r="I459" t="e">
            <v>#N/A</v>
          </cell>
          <cell r="J459" t="e">
            <v>#N/A</v>
          </cell>
          <cell r="K459" t="e">
            <v>#N/A</v>
          </cell>
          <cell r="L459" t="e">
            <v>#N/A</v>
          </cell>
          <cell r="M459" t="e">
            <v>#N/A</v>
          </cell>
          <cell r="N459" t="e">
            <v>#N/A</v>
          </cell>
          <cell r="O459" t="e">
            <v>#N/A</v>
          </cell>
          <cell r="P459">
            <v>52.92</v>
          </cell>
          <cell r="Q459">
            <v>0.79573299999999991</v>
          </cell>
          <cell r="R459" t="e">
            <v>#N/A</v>
          </cell>
        </row>
        <row r="460">
          <cell r="A460">
            <v>40133</v>
          </cell>
          <cell r="B460">
            <v>40133</v>
          </cell>
          <cell r="C460" t="str">
            <v>Past</v>
          </cell>
          <cell r="D460">
            <v>53.72</v>
          </cell>
          <cell r="E460" t="e">
            <v>#N/A</v>
          </cell>
          <cell r="F460" t="e">
            <v>#N/A</v>
          </cell>
          <cell r="G460" t="e">
            <v>#N/A</v>
          </cell>
          <cell r="H460" t="e">
            <v>#N/A</v>
          </cell>
          <cell r="I460" t="e">
            <v>#N/A</v>
          </cell>
          <cell r="J460" t="e">
            <v>#N/A</v>
          </cell>
          <cell r="K460" t="e">
            <v>#N/A</v>
          </cell>
          <cell r="L460" t="e">
            <v>#N/A</v>
          </cell>
          <cell r="M460" t="e">
            <v>#N/A</v>
          </cell>
          <cell r="N460" t="e">
            <v>#N/A</v>
          </cell>
          <cell r="O460" t="e">
            <v>#N/A</v>
          </cell>
          <cell r="P460">
            <v>53.72</v>
          </cell>
          <cell r="Q460">
            <v>0.62946199999999997</v>
          </cell>
          <cell r="R460" t="e">
            <v>#N/A</v>
          </cell>
        </row>
        <row r="461">
          <cell r="A461">
            <v>40134</v>
          </cell>
          <cell r="B461">
            <v>40134</v>
          </cell>
          <cell r="C461" t="str">
            <v>Past</v>
          </cell>
          <cell r="D461">
            <v>53.75</v>
          </cell>
          <cell r="E461" t="e">
            <v>#N/A</v>
          </cell>
          <cell r="F461" t="e">
            <v>#N/A</v>
          </cell>
          <cell r="G461" t="e">
            <v>#N/A</v>
          </cell>
          <cell r="H461" t="e">
            <v>#N/A</v>
          </cell>
          <cell r="I461" t="e">
            <v>#N/A</v>
          </cell>
          <cell r="J461" t="e">
            <v>#N/A</v>
          </cell>
          <cell r="K461" t="e">
            <v>#N/A</v>
          </cell>
          <cell r="L461" t="e">
            <v>#N/A</v>
          </cell>
          <cell r="M461" t="e">
            <v>#N/A</v>
          </cell>
          <cell r="N461" t="e">
            <v>#N/A</v>
          </cell>
          <cell r="O461" t="e">
            <v>#N/A</v>
          </cell>
          <cell r="P461">
            <v>53.75</v>
          </cell>
          <cell r="Q461">
            <v>0.72533499999999995</v>
          </cell>
          <cell r="R461" t="e">
            <v>#N/A</v>
          </cell>
        </row>
        <row r="462">
          <cell r="A462">
            <v>40135</v>
          </cell>
          <cell r="B462">
            <v>40135</v>
          </cell>
          <cell r="C462" t="str">
            <v>Past</v>
          </cell>
          <cell r="D462">
            <v>53.34</v>
          </cell>
          <cell r="E462" t="e">
            <v>#N/A</v>
          </cell>
          <cell r="F462" t="e">
            <v>#N/A</v>
          </cell>
          <cell r="G462" t="e">
            <v>#N/A</v>
          </cell>
          <cell r="H462" t="e">
            <v>#N/A</v>
          </cell>
          <cell r="I462" t="e">
            <v>#N/A</v>
          </cell>
          <cell r="J462" t="e">
            <v>#N/A</v>
          </cell>
          <cell r="K462" t="e">
            <v>#N/A</v>
          </cell>
          <cell r="L462" t="e">
            <v>#N/A</v>
          </cell>
          <cell r="M462" t="e">
            <v>#N/A</v>
          </cell>
          <cell r="N462" t="e">
            <v>#N/A</v>
          </cell>
          <cell r="O462" t="e">
            <v>#N/A</v>
          </cell>
          <cell r="P462">
            <v>53.34</v>
          </cell>
          <cell r="Q462">
            <v>1.0979619999999999</v>
          </cell>
          <cell r="R462" t="e">
            <v>#N/A</v>
          </cell>
        </row>
        <row r="463">
          <cell r="A463">
            <v>40136</v>
          </cell>
          <cell r="B463">
            <v>40136</v>
          </cell>
          <cell r="C463" t="str">
            <v>Past</v>
          </cell>
          <cell r="D463">
            <v>52.34</v>
          </cell>
          <cell r="E463" t="e">
            <v>#N/A</v>
          </cell>
          <cell r="F463" t="e">
            <v>#N/A</v>
          </cell>
          <cell r="G463" t="e">
            <v>#N/A</v>
          </cell>
          <cell r="H463" t="e">
            <v>#N/A</v>
          </cell>
          <cell r="I463" t="e">
            <v>#N/A</v>
          </cell>
          <cell r="J463" t="e">
            <v>#N/A</v>
          </cell>
          <cell r="K463" t="e">
            <v>#N/A</v>
          </cell>
          <cell r="L463" t="e">
            <v>#N/A</v>
          </cell>
          <cell r="M463" t="e">
            <v>#N/A</v>
          </cell>
          <cell r="N463" t="e">
            <v>#N/A</v>
          </cell>
          <cell r="O463" t="e">
            <v>#N/A</v>
          </cell>
          <cell r="P463">
            <v>52.34</v>
          </cell>
          <cell r="Q463">
            <v>0.83560800000000002</v>
          </cell>
          <cell r="R463" t="e">
            <v>#N/A</v>
          </cell>
        </row>
        <row r="464">
          <cell r="A464">
            <v>40137</v>
          </cell>
          <cell r="B464">
            <v>40137</v>
          </cell>
          <cell r="C464" t="str">
            <v>Past</v>
          </cell>
          <cell r="D464">
            <v>53.08</v>
          </cell>
          <cell r="E464" t="e">
            <v>#N/A</v>
          </cell>
          <cell r="F464" t="e">
            <v>#N/A</v>
          </cell>
          <cell r="G464" t="e">
            <v>#N/A</v>
          </cell>
          <cell r="H464" t="e">
            <v>#N/A</v>
          </cell>
          <cell r="I464" t="e">
            <v>#N/A</v>
          </cell>
          <cell r="J464" t="e">
            <v>#N/A</v>
          </cell>
          <cell r="K464" t="e">
            <v>#N/A</v>
          </cell>
          <cell r="L464" t="e">
            <v>#N/A</v>
          </cell>
          <cell r="M464" t="e">
            <v>#N/A</v>
          </cell>
          <cell r="N464" t="e">
            <v>#N/A</v>
          </cell>
          <cell r="O464" t="e">
            <v>#N/A</v>
          </cell>
          <cell r="P464">
            <v>53.08</v>
          </cell>
          <cell r="Q464">
            <v>1.199255</v>
          </cell>
          <cell r="R464" t="e">
            <v>#N/A</v>
          </cell>
        </row>
        <row r="465">
          <cell r="A465">
            <v>40140</v>
          </cell>
          <cell r="B465">
            <v>40140</v>
          </cell>
          <cell r="C465" t="str">
            <v>Past</v>
          </cell>
          <cell r="D465">
            <v>54.13</v>
          </cell>
          <cell r="E465" t="e">
            <v>#N/A</v>
          </cell>
          <cell r="F465" t="e">
            <v>#N/A</v>
          </cell>
          <cell r="G465" t="e">
            <v>#N/A</v>
          </cell>
          <cell r="H465" t="e">
            <v>#N/A</v>
          </cell>
          <cell r="I465" t="e">
            <v>#N/A</v>
          </cell>
          <cell r="J465" t="e">
            <v>#N/A</v>
          </cell>
          <cell r="K465" t="e">
            <v>#N/A</v>
          </cell>
          <cell r="L465" t="e">
            <v>#N/A</v>
          </cell>
          <cell r="M465" t="e">
            <v>#N/A</v>
          </cell>
          <cell r="N465" t="e">
            <v>#N/A</v>
          </cell>
          <cell r="O465" t="e">
            <v>#N/A</v>
          </cell>
          <cell r="P465">
            <v>54.13</v>
          </cell>
          <cell r="Q465">
            <v>1.0304679999999999</v>
          </cell>
          <cell r="R465" t="e">
            <v>#N/A</v>
          </cell>
        </row>
        <row r="466">
          <cell r="A466">
            <v>40141</v>
          </cell>
          <cell r="B466">
            <v>40141</v>
          </cell>
          <cell r="C466" t="str">
            <v>Past</v>
          </cell>
          <cell r="D466">
            <v>54.01</v>
          </cell>
          <cell r="E466" t="e">
            <v>#N/A</v>
          </cell>
          <cell r="F466" t="e">
            <v>#N/A</v>
          </cell>
          <cell r="G466" t="e">
            <v>#N/A</v>
          </cell>
          <cell r="H466" t="e">
            <v>#N/A</v>
          </cell>
          <cell r="I466" t="e">
            <v>#N/A</v>
          </cell>
          <cell r="J466" t="e">
            <v>#N/A</v>
          </cell>
          <cell r="K466" t="e">
            <v>#N/A</v>
          </cell>
          <cell r="L466" t="e">
            <v>#N/A</v>
          </cell>
          <cell r="M466" t="e">
            <v>#N/A</v>
          </cell>
          <cell r="N466" t="e">
            <v>#N/A</v>
          </cell>
          <cell r="O466" t="e">
            <v>#N/A</v>
          </cell>
          <cell r="P466">
            <v>54.01</v>
          </cell>
          <cell r="Q466">
            <v>0.98047299999999993</v>
          </cell>
          <cell r="R466" t="e">
            <v>#N/A</v>
          </cell>
        </row>
        <row r="467">
          <cell r="A467">
            <v>40142</v>
          </cell>
          <cell r="B467">
            <v>40142</v>
          </cell>
          <cell r="C467" t="str">
            <v>Past</v>
          </cell>
          <cell r="D467">
            <v>54.5</v>
          </cell>
          <cell r="E467" t="e">
            <v>#N/A</v>
          </cell>
          <cell r="F467" t="e">
            <v>#N/A</v>
          </cell>
          <cell r="G467" t="e">
            <v>#N/A</v>
          </cell>
          <cell r="H467" t="e">
            <v>#N/A</v>
          </cell>
          <cell r="I467" t="e">
            <v>#N/A</v>
          </cell>
          <cell r="J467" t="e">
            <v>#N/A</v>
          </cell>
          <cell r="K467" t="e">
            <v>#N/A</v>
          </cell>
          <cell r="L467" t="e">
            <v>#N/A</v>
          </cell>
          <cell r="M467" t="e">
            <v>#N/A</v>
          </cell>
          <cell r="N467" t="e">
            <v>#N/A</v>
          </cell>
          <cell r="O467" t="e">
            <v>#N/A</v>
          </cell>
          <cell r="P467">
            <v>54.5</v>
          </cell>
          <cell r="Q467">
            <v>0.62567000000000006</v>
          </cell>
          <cell r="R467" t="e">
            <v>#N/A</v>
          </cell>
        </row>
        <row r="468">
          <cell r="A468">
            <v>40144</v>
          </cell>
          <cell r="B468">
            <v>40144</v>
          </cell>
          <cell r="C468" t="str">
            <v>Past</v>
          </cell>
          <cell r="D468">
            <v>53.7</v>
          </cell>
          <cell r="E468" t="e">
            <v>#N/A</v>
          </cell>
          <cell r="F468" t="e">
            <v>#N/A</v>
          </cell>
          <cell r="G468" t="e">
            <v>#N/A</v>
          </cell>
          <cell r="H468" t="e">
            <v>#N/A</v>
          </cell>
          <cell r="I468" t="e">
            <v>#N/A</v>
          </cell>
          <cell r="J468" t="e">
            <v>#N/A</v>
          </cell>
          <cell r="K468" t="e">
            <v>#N/A</v>
          </cell>
          <cell r="L468" t="e">
            <v>#N/A</v>
          </cell>
          <cell r="M468" t="e">
            <v>#N/A</v>
          </cell>
          <cell r="N468" t="e">
            <v>#N/A</v>
          </cell>
          <cell r="O468" t="e">
            <v>#N/A</v>
          </cell>
          <cell r="P468">
            <v>53.7</v>
          </cell>
          <cell r="Q468">
            <v>0.37877499999999997</v>
          </cell>
          <cell r="R468" t="e">
            <v>#N/A</v>
          </cell>
        </row>
        <row r="469">
          <cell r="A469">
            <v>40147</v>
          </cell>
          <cell r="B469">
            <v>40147</v>
          </cell>
          <cell r="C469" t="str">
            <v>Past</v>
          </cell>
          <cell r="D469">
            <v>53.46</v>
          </cell>
          <cell r="E469" t="e">
            <v>#N/A</v>
          </cell>
          <cell r="F469" t="e">
            <v>#N/A</v>
          </cell>
          <cell r="G469" t="e">
            <v>#N/A</v>
          </cell>
          <cell r="H469" t="e">
            <v>#N/A</v>
          </cell>
          <cell r="I469" t="e">
            <v>#N/A</v>
          </cell>
          <cell r="J469" t="e">
            <v>#N/A</v>
          </cell>
          <cell r="K469" t="e">
            <v>#N/A</v>
          </cell>
          <cell r="L469" t="e">
            <v>#N/A</v>
          </cell>
          <cell r="M469" t="e">
            <v>#N/A</v>
          </cell>
          <cell r="N469" t="e">
            <v>#N/A</v>
          </cell>
          <cell r="O469" t="e">
            <v>#N/A</v>
          </cell>
          <cell r="P469">
            <v>53.46</v>
          </cell>
          <cell r="Q469">
            <v>0.77588400000000002</v>
          </cell>
          <cell r="R469" t="e">
            <v>#N/A</v>
          </cell>
        </row>
        <row r="470">
          <cell r="A470">
            <v>40148</v>
          </cell>
          <cell r="B470">
            <v>40148</v>
          </cell>
          <cell r="C470" t="str">
            <v>Past</v>
          </cell>
          <cell r="D470">
            <v>54.43</v>
          </cell>
          <cell r="E470" t="e">
            <v>#N/A</v>
          </cell>
          <cell r="F470" t="e">
            <v>#N/A</v>
          </cell>
          <cell r="G470" t="e">
            <v>#N/A</v>
          </cell>
          <cell r="H470" t="e">
            <v>#N/A</v>
          </cell>
          <cell r="I470" t="e">
            <v>#N/A</v>
          </cell>
          <cell r="J470" t="e">
            <v>#N/A</v>
          </cell>
          <cell r="K470" t="e">
            <v>#N/A</v>
          </cell>
          <cell r="L470" t="e">
            <v>#N/A</v>
          </cell>
          <cell r="M470" t="e">
            <v>#N/A</v>
          </cell>
          <cell r="N470" t="e">
            <v>#N/A</v>
          </cell>
          <cell r="O470" t="e">
            <v>#N/A</v>
          </cell>
          <cell r="P470">
            <v>54.43</v>
          </cell>
          <cell r="Q470">
            <v>0.91150399999999998</v>
          </cell>
          <cell r="R470" t="e">
            <v>#N/A</v>
          </cell>
        </row>
        <row r="471">
          <cell r="A471">
            <v>40149</v>
          </cell>
          <cell r="B471">
            <v>40149</v>
          </cell>
          <cell r="C471" t="str">
            <v>Past</v>
          </cell>
          <cell r="D471">
            <v>54.92</v>
          </cell>
          <cell r="E471" t="e">
            <v>#N/A</v>
          </cell>
          <cell r="F471" t="e">
            <v>#N/A</v>
          </cell>
          <cell r="G471" t="e">
            <v>#N/A</v>
          </cell>
          <cell r="H471" t="e">
            <v>#N/A</v>
          </cell>
          <cell r="I471" t="e">
            <v>#N/A</v>
          </cell>
          <cell r="J471" t="e">
            <v>#N/A</v>
          </cell>
          <cell r="K471" t="e">
            <v>#N/A</v>
          </cell>
          <cell r="L471" t="e">
            <v>#N/A</v>
          </cell>
          <cell r="M471" t="e">
            <v>#N/A</v>
          </cell>
          <cell r="N471" t="e">
            <v>#N/A</v>
          </cell>
          <cell r="O471" t="e">
            <v>#N/A</v>
          </cell>
          <cell r="P471">
            <v>54.92</v>
          </cell>
          <cell r="Q471">
            <v>0.69361499999999998</v>
          </cell>
          <cell r="R471" t="e">
            <v>#N/A</v>
          </cell>
        </row>
        <row r="472">
          <cell r="A472">
            <v>40150</v>
          </cell>
          <cell r="B472">
            <v>40150</v>
          </cell>
          <cell r="C472" t="str">
            <v>Past</v>
          </cell>
          <cell r="D472">
            <v>54.8</v>
          </cell>
          <cell r="E472" t="e">
            <v>#N/A</v>
          </cell>
          <cell r="F472" t="e">
            <v>#N/A</v>
          </cell>
          <cell r="G472" t="e">
            <v>#N/A</v>
          </cell>
          <cell r="H472" t="e">
            <v>#N/A</v>
          </cell>
          <cell r="I472" t="e">
            <v>#N/A</v>
          </cell>
          <cell r="J472" t="e">
            <v>#N/A</v>
          </cell>
          <cell r="K472" t="e">
            <v>#N/A</v>
          </cell>
          <cell r="L472" t="e">
            <v>#N/A</v>
          </cell>
          <cell r="M472" t="e">
            <v>#N/A</v>
          </cell>
          <cell r="N472" t="e">
            <v>#N/A</v>
          </cell>
          <cell r="O472" t="e">
            <v>#N/A</v>
          </cell>
          <cell r="P472">
            <v>54.8</v>
          </cell>
          <cell r="Q472">
            <v>0.95516599999999996</v>
          </cell>
          <cell r="R472" t="e">
            <v>#N/A</v>
          </cell>
        </row>
        <row r="473">
          <cell r="A473">
            <v>40151</v>
          </cell>
          <cell r="B473">
            <v>40151</v>
          </cell>
          <cell r="C473" t="str">
            <v>Past</v>
          </cell>
          <cell r="D473">
            <v>54.7</v>
          </cell>
          <cell r="E473" t="e">
            <v>#N/A</v>
          </cell>
          <cell r="F473" t="e">
            <v>#N/A</v>
          </cell>
          <cell r="G473" t="e">
            <v>#N/A</v>
          </cell>
          <cell r="H473" t="e">
            <v>#N/A</v>
          </cell>
          <cell r="I473" t="e">
            <v>#N/A</v>
          </cell>
          <cell r="J473" t="e">
            <v>#N/A</v>
          </cell>
          <cell r="K473" t="e">
            <v>#N/A</v>
          </cell>
          <cell r="L473" t="e">
            <v>#N/A</v>
          </cell>
          <cell r="M473" t="e">
            <v>#N/A</v>
          </cell>
          <cell r="N473" t="e">
            <v>#N/A</v>
          </cell>
          <cell r="O473" t="e">
            <v>#N/A</v>
          </cell>
          <cell r="P473">
            <v>54.7</v>
          </cell>
          <cell r="Q473">
            <v>2.4204239999999997</v>
          </cell>
          <cell r="R473" t="e">
            <v>#N/A</v>
          </cell>
        </row>
        <row r="474">
          <cell r="A474">
            <v>40154</v>
          </cell>
          <cell r="B474">
            <v>40154</v>
          </cell>
          <cell r="C474" t="str">
            <v>Past</v>
          </cell>
          <cell r="D474">
            <v>55.87</v>
          </cell>
          <cell r="E474" t="e">
            <v>#N/A</v>
          </cell>
          <cell r="F474" t="e">
            <v>#N/A</v>
          </cell>
          <cell r="G474" t="e">
            <v>#N/A</v>
          </cell>
          <cell r="H474" t="e">
            <v>#N/A</v>
          </cell>
          <cell r="I474" t="e">
            <v>#N/A</v>
          </cell>
          <cell r="J474" t="e">
            <v>#N/A</v>
          </cell>
          <cell r="K474" t="e">
            <v>#N/A</v>
          </cell>
          <cell r="L474" t="e">
            <v>#N/A</v>
          </cell>
          <cell r="M474" t="e">
            <v>#N/A</v>
          </cell>
          <cell r="N474" t="e">
            <v>#N/A</v>
          </cell>
          <cell r="O474" t="e">
            <v>#N/A</v>
          </cell>
          <cell r="P474">
            <v>55.87</v>
          </cell>
          <cell r="Q474">
            <v>0.77695099999999995</v>
          </cell>
          <cell r="R474" t="e">
            <v>#N/A</v>
          </cell>
        </row>
        <row r="475">
          <cell r="A475">
            <v>40155</v>
          </cell>
          <cell r="B475">
            <v>40155</v>
          </cell>
          <cell r="C475" t="str">
            <v>Past</v>
          </cell>
          <cell r="D475">
            <v>55.62</v>
          </cell>
          <cell r="E475" t="e">
            <v>#N/A</v>
          </cell>
          <cell r="F475" t="e">
            <v>#N/A</v>
          </cell>
          <cell r="G475" t="e">
            <v>#N/A</v>
          </cell>
          <cell r="H475" t="e">
            <v>#N/A</v>
          </cell>
          <cell r="I475" t="e">
            <v>#N/A</v>
          </cell>
          <cell r="J475" t="e">
            <v>#N/A</v>
          </cell>
          <cell r="K475" t="e">
            <v>#N/A</v>
          </cell>
          <cell r="L475" t="e">
            <v>#N/A</v>
          </cell>
          <cell r="M475" t="e">
            <v>#N/A</v>
          </cell>
          <cell r="N475" t="e">
            <v>#N/A</v>
          </cell>
          <cell r="O475" t="e">
            <v>#N/A</v>
          </cell>
          <cell r="P475">
            <v>55.62</v>
          </cell>
          <cell r="Q475">
            <v>1.0417809999999998</v>
          </cell>
          <cell r="R475" t="e">
            <v>#N/A</v>
          </cell>
        </row>
        <row r="476">
          <cell r="A476">
            <v>40156</v>
          </cell>
          <cell r="B476">
            <v>40156</v>
          </cell>
          <cell r="C476" t="str">
            <v>Past</v>
          </cell>
          <cell r="D476">
            <v>55.37</v>
          </cell>
          <cell r="E476" t="e">
            <v>#N/A</v>
          </cell>
          <cell r="F476" t="e">
            <v>#N/A</v>
          </cell>
          <cell r="G476" t="e">
            <v>#N/A</v>
          </cell>
          <cell r="H476" t="e">
            <v>#N/A</v>
          </cell>
          <cell r="I476" t="e">
            <v>#N/A</v>
          </cell>
          <cell r="J476" t="e">
            <v>#N/A</v>
          </cell>
          <cell r="K476" t="e">
            <v>#N/A</v>
          </cell>
          <cell r="L476" t="e">
            <v>#N/A</v>
          </cell>
          <cell r="M476" t="e">
            <v>#N/A</v>
          </cell>
          <cell r="N476" t="e">
            <v>#N/A</v>
          </cell>
          <cell r="O476" t="e">
            <v>#N/A</v>
          </cell>
          <cell r="P476">
            <v>55.37</v>
          </cell>
          <cell r="Q476">
            <v>0.86890699999999998</v>
          </cell>
          <cell r="R476" t="e">
            <v>#N/A</v>
          </cell>
        </row>
        <row r="477">
          <cell r="A477">
            <v>40157</v>
          </cell>
          <cell r="B477">
            <v>40157</v>
          </cell>
          <cell r="C477" t="str">
            <v>Past</v>
          </cell>
          <cell r="D477">
            <v>55.44</v>
          </cell>
          <cell r="E477" t="e">
            <v>#N/A</v>
          </cell>
          <cell r="F477" t="e">
            <v>#N/A</v>
          </cell>
          <cell r="G477" t="e">
            <v>#N/A</v>
          </cell>
          <cell r="H477" t="e">
            <v>#N/A</v>
          </cell>
          <cell r="I477" t="e">
            <v>#N/A</v>
          </cell>
          <cell r="J477" t="e">
            <v>#N/A</v>
          </cell>
          <cell r="K477" t="e">
            <v>#N/A</v>
          </cell>
          <cell r="L477" t="e">
            <v>#N/A</v>
          </cell>
          <cell r="M477" t="e">
            <v>#N/A</v>
          </cell>
          <cell r="N477" t="e">
            <v>#N/A</v>
          </cell>
          <cell r="O477" t="e">
            <v>#N/A</v>
          </cell>
          <cell r="P477">
            <v>55.44</v>
          </cell>
          <cell r="Q477">
            <v>0.50804199999999999</v>
          </cell>
          <cell r="R477" t="e">
            <v>#N/A</v>
          </cell>
        </row>
        <row r="478">
          <cell r="A478">
            <v>40158</v>
          </cell>
          <cell r="B478">
            <v>40158</v>
          </cell>
          <cell r="C478" t="str">
            <v>Past</v>
          </cell>
          <cell r="D478">
            <v>55.79</v>
          </cell>
          <cell r="E478" t="e">
            <v>#N/A</v>
          </cell>
          <cell r="F478" t="e">
            <v>#N/A</v>
          </cell>
          <cell r="G478" t="e">
            <v>#N/A</v>
          </cell>
          <cell r="H478" t="e">
            <v>#N/A</v>
          </cell>
          <cell r="I478" t="e">
            <v>#N/A</v>
          </cell>
          <cell r="J478" t="e">
            <v>#N/A</v>
          </cell>
          <cell r="K478" t="e">
            <v>#N/A</v>
          </cell>
          <cell r="L478" t="e">
            <v>#N/A</v>
          </cell>
          <cell r="M478" t="e">
            <v>#N/A</v>
          </cell>
          <cell r="N478" t="e">
            <v>#N/A</v>
          </cell>
          <cell r="O478" t="e">
            <v>#N/A</v>
          </cell>
          <cell r="P478">
            <v>55.79</v>
          </cell>
          <cell r="Q478">
            <v>0.54949599999999998</v>
          </cell>
          <cell r="R478" t="e">
            <v>#N/A</v>
          </cell>
        </row>
        <row r="479">
          <cell r="A479">
            <v>40161</v>
          </cell>
          <cell r="B479">
            <v>40161</v>
          </cell>
          <cell r="C479" t="str">
            <v>Past</v>
          </cell>
          <cell r="D479">
            <v>56.3</v>
          </cell>
          <cell r="E479" t="e">
            <v>#N/A</v>
          </cell>
          <cell r="F479" t="e">
            <v>#N/A</v>
          </cell>
          <cell r="G479" t="e">
            <v>#N/A</v>
          </cell>
          <cell r="H479" t="e">
            <v>#N/A</v>
          </cell>
          <cell r="I479" t="e">
            <v>#N/A</v>
          </cell>
          <cell r="J479" t="e">
            <v>#N/A</v>
          </cell>
          <cell r="K479" t="e">
            <v>#N/A</v>
          </cell>
          <cell r="L479" t="e">
            <v>#N/A</v>
          </cell>
          <cell r="M479" t="e">
            <v>#N/A</v>
          </cell>
          <cell r="N479" t="e">
            <v>#N/A</v>
          </cell>
          <cell r="O479" t="e">
            <v>#N/A</v>
          </cell>
          <cell r="P479">
            <v>56.3</v>
          </cell>
          <cell r="Q479">
            <v>0.85882700000000001</v>
          </cell>
          <cell r="R479" t="e">
            <v>#N/A</v>
          </cell>
        </row>
        <row r="480">
          <cell r="A480">
            <v>40162</v>
          </cell>
          <cell r="B480">
            <v>40162</v>
          </cell>
          <cell r="C480" t="str">
            <v>Past</v>
          </cell>
          <cell r="D480">
            <v>56.63</v>
          </cell>
          <cell r="E480" t="e">
            <v>#N/A</v>
          </cell>
          <cell r="F480" t="e">
            <v>#N/A</v>
          </cell>
          <cell r="G480" t="e">
            <v>#N/A</v>
          </cell>
          <cell r="H480" t="e">
            <v>#N/A</v>
          </cell>
          <cell r="I480" t="e">
            <v>#N/A</v>
          </cell>
          <cell r="J480" t="e">
            <v>#N/A</v>
          </cell>
          <cell r="K480" t="e">
            <v>#N/A</v>
          </cell>
          <cell r="L480" t="e">
            <v>#N/A</v>
          </cell>
          <cell r="M480" t="e">
            <v>#N/A</v>
          </cell>
          <cell r="N480" t="e">
            <v>#N/A</v>
          </cell>
          <cell r="O480" t="e">
            <v>#N/A</v>
          </cell>
          <cell r="P480">
            <v>56.63</v>
          </cell>
          <cell r="Q480">
            <v>0.64062799999999998</v>
          </cell>
          <cell r="R480" t="e">
            <v>#N/A</v>
          </cell>
        </row>
        <row r="481">
          <cell r="A481">
            <v>40163</v>
          </cell>
          <cell r="B481">
            <v>40163</v>
          </cell>
          <cell r="C481" t="str">
            <v>Past</v>
          </cell>
          <cell r="D481">
            <v>56.26</v>
          </cell>
          <cell r="E481" t="e">
            <v>#N/A</v>
          </cell>
          <cell r="F481" t="e">
            <v>#N/A</v>
          </cell>
          <cell r="G481" t="e">
            <v>#N/A</v>
          </cell>
          <cell r="H481" t="e">
            <v>#N/A</v>
          </cell>
          <cell r="I481" t="e">
            <v>#N/A</v>
          </cell>
          <cell r="J481" t="e">
            <v>#N/A</v>
          </cell>
          <cell r="K481" t="e">
            <v>#N/A</v>
          </cell>
          <cell r="L481" t="e">
            <v>#N/A</v>
          </cell>
          <cell r="M481" t="e">
            <v>#N/A</v>
          </cell>
          <cell r="N481" t="e">
            <v>#N/A</v>
          </cell>
          <cell r="O481" t="e">
            <v>#N/A</v>
          </cell>
          <cell r="P481">
            <v>56.26</v>
          </cell>
          <cell r="Q481">
            <v>0.85518699999999992</v>
          </cell>
          <cell r="R481" t="e">
            <v>#N/A</v>
          </cell>
        </row>
        <row r="482">
          <cell r="A482">
            <v>40164</v>
          </cell>
          <cell r="B482">
            <v>40164</v>
          </cell>
          <cell r="C482" t="str">
            <v>Past</v>
          </cell>
          <cell r="D482">
            <v>55.9</v>
          </cell>
          <cell r="E482" t="e">
            <v>#N/A</v>
          </cell>
          <cell r="F482" t="e">
            <v>#N/A</v>
          </cell>
          <cell r="G482" t="e">
            <v>#N/A</v>
          </cell>
          <cell r="H482" t="e">
            <v>#N/A</v>
          </cell>
          <cell r="I482" t="e">
            <v>#N/A</v>
          </cell>
          <cell r="J482" t="e">
            <v>#N/A</v>
          </cell>
          <cell r="K482" t="e">
            <v>#N/A</v>
          </cell>
          <cell r="L482" t="e">
            <v>#N/A</v>
          </cell>
          <cell r="M482" t="e">
            <v>#N/A</v>
          </cell>
          <cell r="N482" t="e">
            <v>#N/A</v>
          </cell>
          <cell r="O482" t="e">
            <v>#N/A</v>
          </cell>
          <cell r="P482">
            <v>55.9</v>
          </cell>
          <cell r="Q482">
            <v>0.53759599999999996</v>
          </cell>
          <cell r="R482" t="e">
            <v>#N/A</v>
          </cell>
        </row>
        <row r="483">
          <cell r="A483">
            <v>40165</v>
          </cell>
          <cell r="B483">
            <v>40165</v>
          </cell>
          <cell r="C483" t="str">
            <v>Past</v>
          </cell>
          <cell r="D483">
            <v>55.99</v>
          </cell>
          <cell r="E483" t="e">
            <v>#N/A</v>
          </cell>
          <cell r="F483" t="e">
            <v>#N/A</v>
          </cell>
          <cell r="G483" t="e">
            <v>#N/A</v>
          </cell>
          <cell r="H483" t="e">
            <v>#N/A</v>
          </cell>
          <cell r="I483" t="e">
            <v>#N/A</v>
          </cell>
          <cell r="J483" t="e">
            <v>#N/A</v>
          </cell>
          <cell r="K483" t="e">
            <v>#N/A</v>
          </cell>
          <cell r="L483" t="e">
            <v>#N/A</v>
          </cell>
          <cell r="M483" t="e">
            <v>#N/A</v>
          </cell>
          <cell r="N483" t="e">
            <v>#N/A</v>
          </cell>
          <cell r="O483" t="e">
            <v>#N/A</v>
          </cell>
          <cell r="P483">
            <v>55.99</v>
          </cell>
          <cell r="Q483">
            <v>0.79616799999999999</v>
          </cell>
          <cell r="R483" t="e">
            <v>#N/A</v>
          </cell>
        </row>
        <row r="484">
          <cell r="A484">
            <v>40168</v>
          </cell>
          <cell r="B484">
            <v>40168</v>
          </cell>
          <cell r="C484" t="str">
            <v>Past</v>
          </cell>
          <cell r="D484">
            <v>55.77</v>
          </cell>
          <cell r="E484" t="e">
            <v>#N/A</v>
          </cell>
          <cell r="F484" t="e">
            <v>#N/A</v>
          </cell>
          <cell r="G484" t="e">
            <v>#N/A</v>
          </cell>
          <cell r="H484" t="e">
            <v>#N/A</v>
          </cell>
          <cell r="I484" t="e">
            <v>#N/A</v>
          </cell>
          <cell r="J484" t="e">
            <v>#N/A</v>
          </cell>
          <cell r="K484" t="e">
            <v>#N/A</v>
          </cell>
          <cell r="L484" t="e">
            <v>#N/A</v>
          </cell>
          <cell r="M484" t="e">
            <v>#N/A</v>
          </cell>
          <cell r="N484" t="e">
            <v>#N/A</v>
          </cell>
          <cell r="O484" t="e">
            <v>#N/A</v>
          </cell>
          <cell r="P484">
            <v>55.77</v>
          </cell>
          <cell r="Q484">
            <v>0.78675499999999998</v>
          </cell>
          <cell r="R484" t="e">
            <v>#N/A</v>
          </cell>
        </row>
        <row r="485">
          <cell r="A485">
            <v>40169</v>
          </cell>
          <cell r="B485">
            <v>40169</v>
          </cell>
          <cell r="C485" t="str">
            <v>Past</v>
          </cell>
          <cell r="D485">
            <v>56.15</v>
          </cell>
          <cell r="E485" t="e">
            <v>#N/A</v>
          </cell>
          <cell r="F485" t="e">
            <v>#N/A</v>
          </cell>
          <cell r="G485" t="e">
            <v>#N/A</v>
          </cell>
          <cell r="H485" t="e">
            <v>#N/A</v>
          </cell>
          <cell r="I485" t="e">
            <v>#N/A</v>
          </cell>
          <cell r="J485" t="e">
            <v>#N/A</v>
          </cell>
          <cell r="K485" t="e">
            <v>#N/A</v>
          </cell>
          <cell r="L485" t="e">
            <v>#N/A</v>
          </cell>
          <cell r="M485" t="e">
            <v>#N/A</v>
          </cell>
          <cell r="N485" t="e">
            <v>#N/A</v>
          </cell>
          <cell r="O485" t="e">
            <v>#N/A</v>
          </cell>
          <cell r="P485">
            <v>56.15</v>
          </cell>
          <cell r="Q485">
            <v>0.83048899999999992</v>
          </cell>
          <cell r="R485" t="e">
            <v>#N/A</v>
          </cell>
        </row>
        <row r="486">
          <cell r="A486">
            <v>40170</v>
          </cell>
          <cell r="B486">
            <v>40170</v>
          </cell>
          <cell r="C486" t="str">
            <v>Past</v>
          </cell>
          <cell r="D486">
            <v>55.57</v>
          </cell>
          <cell r="E486" t="e">
            <v>#N/A</v>
          </cell>
          <cell r="F486" t="e">
            <v>#N/A</v>
          </cell>
          <cell r="G486" t="e">
            <v>#N/A</v>
          </cell>
          <cell r="H486" t="e">
            <v>#N/A</v>
          </cell>
          <cell r="I486" t="e">
            <v>#N/A</v>
          </cell>
          <cell r="J486" t="e">
            <v>#N/A</v>
          </cell>
          <cell r="K486" t="e">
            <v>#N/A</v>
          </cell>
          <cell r="L486" t="e">
            <v>#N/A</v>
          </cell>
          <cell r="M486" t="e">
            <v>#N/A</v>
          </cell>
          <cell r="N486" t="e">
            <v>#N/A</v>
          </cell>
          <cell r="O486" t="e">
            <v>#N/A</v>
          </cell>
          <cell r="P486">
            <v>55.57</v>
          </cell>
          <cell r="Q486">
            <v>1.2710349999999999</v>
          </cell>
          <cell r="R486" t="e">
            <v>#N/A</v>
          </cell>
        </row>
        <row r="487">
          <cell r="A487">
            <v>40171</v>
          </cell>
          <cell r="B487">
            <v>40171</v>
          </cell>
          <cell r="C487" t="str">
            <v>Past</v>
          </cell>
          <cell r="D487">
            <v>55.73</v>
          </cell>
          <cell r="E487" t="e">
            <v>#N/A</v>
          </cell>
          <cell r="F487" t="e">
            <v>#N/A</v>
          </cell>
          <cell r="G487" t="e">
            <v>#N/A</v>
          </cell>
          <cell r="H487" t="e">
            <v>#N/A</v>
          </cell>
          <cell r="I487" t="e">
            <v>#N/A</v>
          </cell>
          <cell r="J487" t="e">
            <v>#N/A</v>
          </cell>
          <cell r="K487" t="e">
            <v>#N/A</v>
          </cell>
          <cell r="L487" t="e">
            <v>#N/A</v>
          </cell>
          <cell r="M487" t="e">
            <v>#N/A</v>
          </cell>
          <cell r="N487" t="e">
            <v>#N/A</v>
          </cell>
          <cell r="O487" t="e">
            <v>#N/A</v>
          </cell>
          <cell r="P487">
            <v>55.73</v>
          </cell>
          <cell r="Q487">
            <v>0.39665099999999998</v>
          </cell>
          <cell r="R487" t="e">
            <v>#N/A</v>
          </cell>
        </row>
        <row r="488">
          <cell r="A488">
            <v>40175</v>
          </cell>
          <cell r="B488">
            <v>40175</v>
          </cell>
          <cell r="C488" t="str">
            <v>Past</v>
          </cell>
          <cell r="D488">
            <v>55.99</v>
          </cell>
          <cell r="E488" t="e">
            <v>#N/A</v>
          </cell>
          <cell r="F488" t="e">
            <v>#N/A</v>
          </cell>
          <cell r="G488" t="e">
            <v>#N/A</v>
          </cell>
          <cell r="H488" t="e">
            <v>#N/A</v>
          </cell>
          <cell r="I488" t="e">
            <v>#N/A</v>
          </cell>
          <cell r="J488" t="e">
            <v>#N/A</v>
          </cell>
          <cell r="K488" t="e">
            <v>#N/A</v>
          </cell>
          <cell r="L488" t="e">
            <v>#N/A</v>
          </cell>
          <cell r="M488" t="e">
            <v>#N/A</v>
          </cell>
          <cell r="N488" t="e">
            <v>#N/A</v>
          </cell>
          <cell r="O488" t="e">
            <v>#N/A</v>
          </cell>
          <cell r="P488">
            <v>55.99</v>
          </cell>
          <cell r="Q488">
            <v>0.74642699999999995</v>
          </cell>
          <cell r="R488" t="e">
            <v>#N/A</v>
          </cell>
        </row>
        <row r="489">
          <cell r="A489">
            <v>40176</v>
          </cell>
          <cell r="B489">
            <v>40176</v>
          </cell>
          <cell r="C489" t="str">
            <v>Past</v>
          </cell>
          <cell r="D489">
            <v>56.16</v>
          </cell>
          <cell r="E489" t="e">
            <v>#N/A</v>
          </cell>
          <cell r="F489" t="e">
            <v>#N/A</v>
          </cell>
          <cell r="G489" t="e">
            <v>#N/A</v>
          </cell>
          <cell r="H489" t="e">
            <v>#N/A</v>
          </cell>
          <cell r="I489" t="e">
            <v>#N/A</v>
          </cell>
          <cell r="J489" t="e">
            <v>#N/A</v>
          </cell>
          <cell r="K489" t="e">
            <v>#N/A</v>
          </cell>
          <cell r="L489" t="e">
            <v>#N/A</v>
          </cell>
          <cell r="M489" t="e">
            <v>#N/A</v>
          </cell>
          <cell r="N489" t="e">
            <v>#N/A</v>
          </cell>
          <cell r="O489" t="e">
            <v>#N/A</v>
          </cell>
          <cell r="P489">
            <v>56.16</v>
          </cell>
          <cell r="Q489">
            <v>0.33045199999999997</v>
          </cell>
          <cell r="R489" t="e">
            <v>#N/A</v>
          </cell>
        </row>
        <row r="490">
          <cell r="A490">
            <v>40177</v>
          </cell>
          <cell r="B490">
            <v>40177</v>
          </cell>
          <cell r="C490" t="str">
            <v>Past</v>
          </cell>
          <cell r="D490">
            <v>56.24</v>
          </cell>
          <cell r="E490" t="e">
            <v>#N/A</v>
          </cell>
          <cell r="F490" t="e">
            <v>#N/A</v>
          </cell>
          <cell r="G490" t="e">
            <v>#N/A</v>
          </cell>
          <cell r="H490" t="e">
            <v>#N/A</v>
          </cell>
          <cell r="I490" t="e">
            <v>#N/A</v>
          </cell>
          <cell r="J490" t="e">
            <v>#N/A</v>
          </cell>
          <cell r="K490" t="e">
            <v>#N/A</v>
          </cell>
          <cell r="L490" t="e">
            <v>#N/A</v>
          </cell>
          <cell r="M490" t="e">
            <v>#N/A</v>
          </cell>
          <cell r="N490" t="e">
            <v>#N/A</v>
          </cell>
          <cell r="O490" t="e">
            <v>#N/A</v>
          </cell>
          <cell r="P490">
            <v>56.24</v>
          </cell>
          <cell r="Q490">
            <v>0.35655199999999998</v>
          </cell>
          <cell r="R490" t="e">
            <v>#N/A</v>
          </cell>
        </row>
        <row r="491">
          <cell r="A491">
            <v>40178</v>
          </cell>
          <cell r="B491">
            <v>40178</v>
          </cell>
          <cell r="C491" t="str">
            <v>Past</v>
          </cell>
          <cell r="D491">
            <v>55.36</v>
          </cell>
          <cell r="E491" t="e">
            <v>#N/A</v>
          </cell>
          <cell r="F491" t="e">
            <v>#N/A</v>
          </cell>
          <cell r="G491" t="e">
            <v>#N/A</v>
          </cell>
          <cell r="H491" t="e">
            <v>#N/A</v>
          </cell>
          <cell r="I491" t="e">
            <v>#N/A</v>
          </cell>
          <cell r="J491" t="e">
            <v>#N/A</v>
          </cell>
          <cell r="K491" t="e">
            <v>#N/A</v>
          </cell>
          <cell r="L491" t="e">
            <v>#N/A</v>
          </cell>
          <cell r="M491" t="e">
            <v>#N/A</v>
          </cell>
          <cell r="N491" t="e">
            <v>#N/A</v>
          </cell>
          <cell r="O491" t="e">
            <v>#N/A</v>
          </cell>
          <cell r="P491">
            <v>55.36</v>
          </cell>
          <cell r="Q491">
            <v>0.50804700000000003</v>
          </cell>
          <cell r="R491" t="e">
            <v>#N/A</v>
          </cell>
        </row>
        <row r="492">
          <cell r="A492">
            <v>40182</v>
          </cell>
          <cell r="B492">
            <v>40182</v>
          </cell>
          <cell r="C492" t="str">
            <v>Past</v>
          </cell>
          <cell r="D492">
            <v>56.35</v>
          </cell>
          <cell r="E492" t="e">
            <v>#N/A</v>
          </cell>
          <cell r="F492" t="e">
            <v>#N/A</v>
          </cell>
          <cell r="G492" t="e">
            <v>#N/A</v>
          </cell>
          <cell r="H492" t="e">
            <v>#N/A</v>
          </cell>
          <cell r="I492" t="e">
            <v>#N/A</v>
          </cell>
          <cell r="J492" t="e">
            <v>#N/A</v>
          </cell>
          <cell r="K492" t="e">
            <v>#N/A</v>
          </cell>
          <cell r="L492" t="e">
            <v>#N/A</v>
          </cell>
          <cell r="M492" t="e">
            <v>#N/A</v>
          </cell>
          <cell r="N492" t="e">
            <v>#N/A</v>
          </cell>
          <cell r="O492" t="e">
            <v>#N/A</v>
          </cell>
          <cell r="P492">
            <v>56.35</v>
          </cell>
          <cell r="Q492">
            <v>0.82801099999999994</v>
          </cell>
          <cell r="R492" t="e">
            <v>#N/A</v>
          </cell>
        </row>
        <row r="493">
          <cell r="A493">
            <v>40183</v>
          </cell>
          <cell r="B493">
            <v>40183</v>
          </cell>
          <cell r="C493" t="str">
            <v>Past</v>
          </cell>
          <cell r="D493">
            <v>56.36</v>
          </cell>
          <cell r="E493" t="e">
            <v>#N/A</v>
          </cell>
          <cell r="F493" t="e">
            <v>#N/A</v>
          </cell>
          <cell r="G493" t="e">
            <v>#N/A</v>
          </cell>
          <cell r="H493" t="e">
            <v>#N/A</v>
          </cell>
          <cell r="I493" t="e">
            <v>#N/A</v>
          </cell>
          <cell r="J493" t="e">
            <v>#N/A</v>
          </cell>
          <cell r="K493" t="e">
            <v>#N/A</v>
          </cell>
          <cell r="L493" t="e">
            <v>#N/A</v>
          </cell>
          <cell r="M493" t="e">
            <v>#N/A</v>
          </cell>
          <cell r="N493" t="e">
            <v>#N/A</v>
          </cell>
          <cell r="O493" t="e">
            <v>#N/A</v>
          </cell>
          <cell r="P493">
            <v>56.36</v>
          </cell>
          <cell r="Q493">
            <v>0.51512000000000002</v>
          </cell>
          <cell r="R493" t="e">
            <v>#N/A</v>
          </cell>
        </row>
        <row r="494">
          <cell r="A494">
            <v>40184</v>
          </cell>
          <cell r="B494">
            <v>40184</v>
          </cell>
          <cell r="C494" t="str">
            <v>Past</v>
          </cell>
          <cell r="D494">
            <v>56.42</v>
          </cell>
          <cell r="E494" t="e">
            <v>#N/A</v>
          </cell>
          <cell r="F494" t="e">
            <v>#N/A</v>
          </cell>
          <cell r="G494" t="e">
            <v>#N/A</v>
          </cell>
          <cell r="H494" t="e">
            <v>#N/A</v>
          </cell>
          <cell r="I494" t="e">
            <v>#N/A</v>
          </cell>
          <cell r="J494" t="e">
            <v>#N/A</v>
          </cell>
          <cell r="K494" t="e">
            <v>#N/A</v>
          </cell>
          <cell r="L494" t="e">
            <v>#N/A</v>
          </cell>
          <cell r="M494" t="e">
            <v>#N/A</v>
          </cell>
          <cell r="N494" t="e">
            <v>#N/A</v>
          </cell>
          <cell r="O494" t="e">
            <v>#N/A</v>
          </cell>
          <cell r="P494">
            <v>56.42</v>
          </cell>
          <cell r="Q494">
            <v>0.89539599999999997</v>
          </cell>
          <cell r="R494" t="e">
            <v>#N/A</v>
          </cell>
        </row>
        <row r="495">
          <cell r="A495">
            <v>40185</v>
          </cell>
          <cell r="B495">
            <v>40185</v>
          </cell>
          <cell r="C495" t="str">
            <v>Past</v>
          </cell>
          <cell r="D495">
            <v>56.83</v>
          </cell>
          <cell r="E495" t="e">
            <v>#N/A</v>
          </cell>
          <cell r="F495" t="e">
            <v>#N/A</v>
          </cell>
          <cell r="G495" t="e">
            <v>#N/A</v>
          </cell>
          <cell r="H495" t="e">
            <v>#N/A</v>
          </cell>
          <cell r="I495" t="e">
            <v>#N/A</v>
          </cell>
          <cell r="J495" t="e">
            <v>#N/A</v>
          </cell>
          <cell r="K495" t="e">
            <v>#N/A</v>
          </cell>
          <cell r="L495" t="e">
            <v>#N/A</v>
          </cell>
          <cell r="M495" t="e">
            <v>#N/A</v>
          </cell>
          <cell r="N495" t="e">
            <v>#N/A</v>
          </cell>
          <cell r="O495" t="e">
            <v>#N/A</v>
          </cell>
          <cell r="P495">
            <v>56.83</v>
          </cell>
          <cell r="Q495">
            <v>0.60548899999999994</v>
          </cell>
          <cell r="R495" t="e">
            <v>#N/A</v>
          </cell>
        </row>
        <row r="496">
          <cell r="A496">
            <v>40186</v>
          </cell>
          <cell r="B496">
            <v>40186</v>
          </cell>
          <cell r="C496" t="str">
            <v>Past</v>
          </cell>
          <cell r="D496">
            <v>57.39</v>
          </cell>
          <cell r="E496" t="e">
            <v>#N/A</v>
          </cell>
          <cell r="F496" t="e">
            <v>#N/A</v>
          </cell>
          <cell r="G496" t="e">
            <v>#N/A</v>
          </cell>
          <cell r="H496" t="e">
            <v>#N/A</v>
          </cell>
          <cell r="I496" t="e">
            <v>#N/A</v>
          </cell>
          <cell r="J496" t="e">
            <v>#N/A</v>
          </cell>
          <cell r="K496" t="e">
            <v>#N/A</v>
          </cell>
          <cell r="L496" t="e">
            <v>#N/A</v>
          </cell>
          <cell r="M496" t="e">
            <v>#N/A</v>
          </cell>
          <cell r="N496" t="e">
            <v>#N/A</v>
          </cell>
          <cell r="O496" t="e">
            <v>#N/A</v>
          </cell>
          <cell r="P496">
            <v>57.39</v>
          </cell>
          <cell r="Q496">
            <v>0.59313899999999997</v>
          </cell>
          <cell r="R496" t="e">
            <v>#N/A</v>
          </cell>
        </row>
        <row r="497">
          <cell r="A497">
            <v>40189</v>
          </cell>
          <cell r="B497">
            <v>40189</v>
          </cell>
          <cell r="C497" t="str">
            <v>Past</v>
          </cell>
          <cell r="D497">
            <v>57</v>
          </cell>
          <cell r="E497" t="e">
            <v>#N/A</v>
          </cell>
          <cell r="F497" t="e">
            <v>#N/A</v>
          </cell>
          <cell r="G497" t="e">
            <v>#N/A</v>
          </cell>
          <cell r="H497" t="e">
            <v>#N/A</v>
          </cell>
          <cell r="I497" t="e">
            <v>#N/A</v>
          </cell>
          <cell r="J497" t="e">
            <v>#N/A</v>
          </cell>
          <cell r="K497" t="e">
            <v>#N/A</v>
          </cell>
          <cell r="L497" t="e">
            <v>#N/A</v>
          </cell>
          <cell r="M497" t="e">
            <v>#N/A</v>
          </cell>
          <cell r="N497" t="e">
            <v>#N/A</v>
          </cell>
          <cell r="O497" t="e">
            <v>#N/A</v>
          </cell>
          <cell r="P497">
            <v>57</v>
          </cell>
          <cell r="Q497">
            <v>0.57861399999999996</v>
          </cell>
          <cell r="R497" t="e">
            <v>#N/A</v>
          </cell>
        </row>
        <row r="498">
          <cell r="A498">
            <v>40190</v>
          </cell>
          <cell r="B498">
            <v>40190</v>
          </cell>
          <cell r="C498" t="str">
            <v>Past</v>
          </cell>
          <cell r="D498">
            <v>56.56</v>
          </cell>
          <cell r="E498" t="e">
            <v>#N/A</v>
          </cell>
          <cell r="F498" t="e">
            <v>#N/A</v>
          </cell>
          <cell r="G498" t="e">
            <v>#N/A</v>
          </cell>
          <cell r="H498" t="e">
            <v>#N/A</v>
          </cell>
          <cell r="I498" t="e">
            <v>#N/A</v>
          </cell>
          <cell r="J498" t="e">
            <v>#N/A</v>
          </cell>
          <cell r="K498" t="e">
            <v>#N/A</v>
          </cell>
          <cell r="L498" t="e">
            <v>#N/A</v>
          </cell>
          <cell r="M498" t="e">
            <v>#N/A</v>
          </cell>
          <cell r="N498" t="e">
            <v>#N/A</v>
          </cell>
          <cell r="O498" t="e">
            <v>#N/A</v>
          </cell>
          <cell r="P498">
            <v>56.56</v>
          </cell>
          <cell r="Q498">
            <v>0.58831699999999998</v>
          </cell>
          <cell r="R498" t="e">
            <v>#N/A</v>
          </cell>
        </row>
        <row r="499">
          <cell r="A499">
            <v>40191</v>
          </cell>
          <cell r="B499">
            <v>40191</v>
          </cell>
          <cell r="C499" t="str">
            <v>Past</v>
          </cell>
          <cell r="D499">
            <v>56.8</v>
          </cell>
          <cell r="E499" t="e">
            <v>#N/A</v>
          </cell>
          <cell r="F499" t="e">
            <v>#N/A</v>
          </cell>
          <cell r="G499" t="e">
            <v>#N/A</v>
          </cell>
          <cell r="H499" t="e">
            <v>#N/A</v>
          </cell>
          <cell r="I499" t="e">
            <v>#N/A</v>
          </cell>
          <cell r="J499" t="e">
            <v>#N/A</v>
          </cell>
          <cell r="K499" t="e">
            <v>#N/A</v>
          </cell>
          <cell r="L499" t="e">
            <v>#N/A</v>
          </cell>
          <cell r="M499" t="e">
            <v>#N/A</v>
          </cell>
          <cell r="N499" t="e">
            <v>#N/A</v>
          </cell>
          <cell r="O499" t="e">
            <v>#N/A</v>
          </cell>
          <cell r="P499">
            <v>56.8</v>
          </cell>
          <cell r="Q499">
            <v>0.42825799999999997</v>
          </cell>
          <cell r="R499" t="e">
            <v>#N/A</v>
          </cell>
        </row>
        <row r="500">
          <cell r="A500">
            <v>40192</v>
          </cell>
          <cell r="B500">
            <v>40192</v>
          </cell>
          <cell r="C500" t="str">
            <v>Past</v>
          </cell>
          <cell r="D500">
            <v>57.07</v>
          </cell>
          <cell r="E500" t="e">
            <v>#N/A</v>
          </cell>
          <cell r="F500" t="e">
            <v>#N/A</v>
          </cell>
          <cell r="G500" t="e">
            <v>#N/A</v>
          </cell>
          <cell r="H500" t="e">
            <v>#N/A</v>
          </cell>
          <cell r="I500" t="e">
            <v>#N/A</v>
          </cell>
          <cell r="J500" t="e">
            <v>#N/A</v>
          </cell>
          <cell r="K500" t="e">
            <v>#N/A</v>
          </cell>
          <cell r="L500" t="e">
            <v>#N/A</v>
          </cell>
          <cell r="M500" t="e">
            <v>#N/A</v>
          </cell>
          <cell r="N500" t="e">
            <v>#N/A</v>
          </cell>
          <cell r="O500" t="e">
            <v>#N/A</v>
          </cell>
          <cell r="P500">
            <v>57.07</v>
          </cell>
          <cell r="Q500">
            <v>0.41117599999999999</v>
          </cell>
          <cell r="R500" t="e">
            <v>#N/A</v>
          </cell>
        </row>
        <row r="501">
          <cell r="A501">
            <v>40193</v>
          </cell>
          <cell r="B501">
            <v>40193</v>
          </cell>
          <cell r="C501" t="str">
            <v>Past</v>
          </cell>
          <cell r="D501">
            <v>56.7</v>
          </cell>
          <cell r="E501" t="e">
            <v>#N/A</v>
          </cell>
          <cell r="F501" t="e">
            <v>#N/A</v>
          </cell>
          <cell r="G501" t="e">
            <v>#N/A</v>
          </cell>
          <cell r="H501" t="e">
            <v>#N/A</v>
          </cell>
          <cell r="I501" t="e">
            <v>#N/A</v>
          </cell>
          <cell r="J501" t="e">
            <v>#N/A</v>
          </cell>
          <cell r="K501" t="e">
            <v>#N/A</v>
          </cell>
          <cell r="L501" t="e">
            <v>#N/A</v>
          </cell>
          <cell r="M501" t="e">
            <v>#N/A</v>
          </cell>
          <cell r="N501" t="e">
            <v>#N/A</v>
          </cell>
          <cell r="O501" t="e">
            <v>#N/A</v>
          </cell>
          <cell r="P501">
            <v>56.7</v>
          </cell>
          <cell r="Q501">
            <v>0.635907</v>
          </cell>
          <cell r="R501" t="e">
            <v>#N/A</v>
          </cell>
        </row>
        <row r="502">
          <cell r="A502">
            <v>40197</v>
          </cell>
          <cell r="B502">
            <v>40197</v>
          </cell>
          <cell r="C502" t="str">
            <v>Past</v>
          </cell>
          <cell r="D502">
            <v>56.78</v>
          </cell>
          <cell r="E502" t="e">
            <v>#N/A</v>
          </cell>
          <cell r="F502" t="e">
            <v>#N/A</v>
          </cell>
          <cell r="G502" t="e">
            <v>#N/A</v>
          </cell>
          <cell r="H502" t="e">
            <v>#N/A</v>
          </cell>
          <cell r="I502" t="e">
            <v>#N/A</v>
          </cell>
          <cell r="J502" t="e">
            <v>#N/A</v>
          </cell>
          <cell r="K502" t="e">
            <v>#N/A</v>
          </cell>
          <cell r="L502" t="e">
            <v>#N/A</v>
          </cell>
          <cell r="M502" t="e">
            <v>#N/A</v>
          </cell>
          <cell r="N502" t="e">
            <v>#N/A</v>
          </cell>
          <cell r="O502" t="e">
            <v>#N/A</v>
          </cell>
          <cell r="P502">
            <v>56.78</v>
          </cell>
          <cell r="Q502">
            <v>0.761459</v>
          </cell>
          <cell r="R502" t="e">
            <v>#N/A</v>
          </cell>
        </row>
        <row r="503">
          <cell r="A503">
            <v>40198</v>
          </cell>
          <cell r="B503">
            <v>40198</v>
          </cell>
          <cell r="C503" t="str">
            <v>Past</v>
          </cell>
          <cell r="D503">
            <v>56.04</v>
          </cell>
          <cell r="E503" t="e">
            <v>#N/A</v>
          </cell>
          <cell r="F503" t="e">
            <v>#N/A</v>
          </cell>
          <cell r="G503" t="e">
            <v>#N/A</v>
          </cell>
          <cell r="H503" t="e">
            <v>#N/A</v>
          </cell>
          <cell r="I503" t="e">
            <v>#N/A</v>
          </cell>
          <cell r="J503" t="e">
            <v>#N/A</v>
          </cell>
          <cell r="K503" t="e">
            <v>#N/A</v>
          </cell>
          <cell r="L503" t="e">
            <v>#N/A</v>
          </cell>
          <cell r="M503" t="e">
            <v>#N/A</v>
          </cell>
          <cell r="N503" t="e">
            <v>#N/A</v>
          </cell>
          <cell r="O503" t="e">
            <v>#N/A</v>
          </cell>
          <cell r="P503">
            <v>56.04</v>
          </cell>
          <cell r="Q503">
            <v>0.81456499999999998</v>
          </cell>
          <cell r="R503" t="e">
            <v>#N/A</v>
          </cell>
        </row>
        <row r="504">
          <cell r="A504">
            <v>40199</v>
          </cell>
          <cell r="B504">
            <v>40199</v>
          </cell>
          <cell r="C504" t="str">
            <v>Past</v>
          </cell>
          <cell r="D504">
            <v>54.47</v>
          </cell>
          <cell r="E504" t="e">
            <v>#N/A</v>
          </cell>
          <cell r="F504" t="e">
            <v>#N/A</v>
          </cell>
          <cell r="G504" t="e">
            <v>#N/A</v>
          </cell>
          <cell r="H504" t="e">
            <v>#N/A</v>
          </cell>
          <cell r="I504" t="e">
            <v>#N/A</v>
          </cell>
          <cell r="J504" t="e">
            <v>#N/A</v>
          </cell>
          <cell r="K504" t="e">
            <v>#N/A</v>
          </cell>
          <cell r="L504" t="e">
            <v>#N/A</v>
          </cell>
          <cell r="M504" t="e">
            <v>#N/A</v>
          </cell>
          <cell r="N504" t="e">
            <v>#N/A</v>
          </cell>
          <cell r="O504" t="e">
            <v>#N/A</v>
          </cell>
          <cell r="P504">
            <v>54.47</v>
          </cell>
          <cell r="Q504">
            <v>1.532249</v>
          </cell>
          <cell r="R504" t="e">
            <v>#N/A</v>
          </cell>
        </row>
        <row r="505">
          <cell r="A505">
            <v>40200</v>
          </cell>
          <cell r="B505">
            <v>40200</v>
          </cell>
          <cell r="C505" t="str">
            <v>Past</v>
          </cell>
          <cell r="D505">
            <v>53.68</v>
          </cell>
          <cell r="E505" t="e">
            <v>#N/A</v>
          </cell>
          <cell r="F505" t="e">
            <v>#N/A</v>
          </cell>
          <cell r="G505" t="e">
            <v>#N/A</v>
          </cell>
          <cell r="H505" t="e">
            <v>#N/A</v>
          </cell>
          <cell r="I505" t="e">
            <v>#N/A</v>
          </cell>
          <cell r="J505" t="e">
            <v>#N/A</v>
          </cell>
          <cell r="K505" t="e">
            <v>#N/A</v>
          </cell>
          <cell r="L505" t="e">
            <v>#N/A</v>
          </cell>
          <cell r="M505" t="e">
            <v>#N/A</v>
          </cell>
          <cell r="N505" t="e">
            <v>#N/A</v>
          </cell>
          <cell r="O505" t="e">
            <v>#N/A</v>
          </cell>
          <cell r="P505">
            <v>53.68</v>
          </cell>
          <cell r="Q505">
            <v>0.77065000000000006</v>
          </cell>
          <cell r="R505" t="e">
            <v>#N/A</v>
          </cell>
        </row>
        <row r="506">
          <cell r="A506">
            <v>40203</v>
          </cell>
          <cell r="B506">
            <v>40203</v>
          </cell>
          <cell r="C506" t="str">
            <v>Past</v>
          </cell>
          <cell r="D506">
            <v>53.51</v>
          </cell>
          <cell r="E506" t="e">
            <v>#N/A</v>
          </cell>
          <cell r="F506" t="e">
            <v>#N/A</v>
          </cell>
          <cell r="G506" t="e">
            <v>#N/A</v>
          </cell>
          <cell r="H506" t="e">
            <v>#N/A</v>
          </cell>
          <cell r="I506" t="e">
            <v>#N/A</v>
          </cell>
          <cell r="J506" t="e">
            <v>#N/A</v>
          </cell>
          <cell r="K506" t="e">
            <v>#N/A</v>
          </cell>
          <cell r="L506" t="e">
            <v>#N/A</v>
          </cell>
          <cell r="M506" t="e">
            <v>#N/A</v>
          </cell>
          <cell r="N506" t="e">
            <v>#N/A</v>
          </cell>
          <cell r="O506" t="e">
            <v>#N/A</v>
          </cell>
          <cell r="P506">
            <v>53.51</v>
          </cell>
          <cell r="Q506">
            <v>0.67970199999999992</v>
          </cell>
          <cell r="R506" t="e">
            <v>#N/A</v>
          </cell>
        </row>
        <row r="507">
          <cell r="A507">
            <v>40204</v>
          </cell>
          <cell r="B507">
            <v>40204</v>
          </cell>
          <cell r="C507" t="str">
            <v>Past</v>
          </cell>
          <cell r="D507">
            <v>53.16</v>
          </cell>
          <cell r="E507" t="e">
            <v>#N/A</v>
          </cell>
          <cell r="F507" t="e">
            <v>#N/A</v>
          </cell>
          <cell r="G507" t="e">
            <v>#N/A</v>
          </cell>
          <cell r="H507" t="e">
            <v>#N/A</v>
          </cell>
          <cell r="I507" t="e">
            <v>#N/A</v>
          </cell>
          <cell r="J507" t="e">
            <v>#N/A</v>
          </cell>
          <cell r="K507" t="e">
            <v>#N/A</v>
          </cell>
          <cell r="L507" t="e">
            <v>#N/A</v>
          </cell>
          <cell r="M507" t="e">
            <v>#N/A</v>
          </cell>
          <cell r="N507" t="e">
            <v>#N/A</v>
          </cell>
          <cell r="O507" t="e">
            <v>#N/A</v>
          </cell>
          <cell r="P507">
            <v>53.16</v>
          </cell>
          <cell r="Q507">
            <v>0.76214799999999994</v>
          </cell>
          <cell r="R507" t="e">
            <v>#N/A</v>
          </cell>
        </row>
        <row r="508">
          <cell r="A508">
            <v>40205</v>
          </cell>
          <cell r="B508">
            <v>40205</v>
          </cell>
          <cell r="C508" t="str">
            <v>Past</v>
          </cell>
          <cell r="D508">
            <v>53.64</v>
          </cell>
          <cell r="E508" t="e">
            <v>#N/A</v>
          </cell>
          <cell r="F508" t="e">
            <v>#N/A</v>
          </cell>
          <cell r="G508" t="e">
            <v>#N/A</v>
          </cell>
          <cell r="H508" t="e">
            <v>#N/A</v>
          </cell>
          <cell r="I508" t="e">
            <v>#N/A</v>
          </cell>
          <cell r="J508" t="e">
            <v>#N/A</v>
          </cell>
          <cell r="K508" t="e">
            <v>#N/A</v>
          </cell>
          <cell r="L508" t="e">
            <v>#N/A</v>
          </cell>
          <cell r="M508" t="e">
            <v>#N/A</v>
          </cell>
          <cell r="N508" t="e">
            <v>#N/A</v>
          </cell>
          <cell r="O508" t="e">
            <v>#N/A</v>
          </cell>
          <cell r="P508">
            <v>53.64</v>
          </cell>
          <cell r="Q508">
            <v>1.0098240000000001</v>
          </cell>
          <cell r="R508" t="e">
            <v>#N/A</v>
          </cell>
        </row>
        <row r="509">
          <cell r="A509">
            <v>40206</v>
          </cell>
          <cell r="B509">
            <v>40206</v>
          </cell>
          <cell r="C509" t="str">
            <v>Past</v>
          </cell>
          <cell r="D509">
            <v>53.3</v>
          </cell>
          <cell r="E509" t="e">
            <v>#N/A</v>
          </cell>
          <cell r="F509" t="e">
            <v>#N/A</v>
          </cell>
          <cell r="G509" t="e">
            <v>#N/A</v>
          </cell>
          <cell r="H509" t="e">
            <v>#N/A</v>
          </cell>
          <cell r="I509" t="e">
            <v>#N/A</v>
          </cell>
          <cell r="J509" t="e">
            <v>#N/A</v>
          </cell>
          <cell r="K509" t="e">
            <v>#N/A</v>
          </cell>
          <cell r="L509" t="e">
            <v>#N/A</v>
          </cell>
          <cell r="M509" t="e">
            <v>#N/A</v>
          </cell>
          <cell r="N509" t="e">
            <v>#N/A</v>
          </cell>
          <cell r="O509" t="e">
            <v>#N/A</v>
          </cell>
          <cell r="P509">
            <v>53.3</v>
          </cell>
          <cell r="Q509">
            <v>0.96841599999999994</v>
          </cell>
          <cell r="R509" t="e">
            <v>#N/A</v>
          </cell>
        </row>
        <row r="510">
          <cell r="A510">
            <v>40207</v>
          </cell>
          <cell r="B510">
            <v>40207</v>
          </cell>
          <cell r="C510" t="str">
            <v>Past</v>
          </cell>
          <cell r="D510">
            <v>53.19</v>
          </cell>
          <cell r="E510" t="e">
            <v>#N/A</v>
          </cell>
          <cell r="F510" t="e">
            <v>#N/A</v>
          </cell>
          <cell r="G510" t="e">
            <v>#N/A</v>
          </cell>
          <cell r="H510" t="e">
            <v>#N/A</v>
          </cell>
          <cell r="I510" t="e">
            <v>#N/A</v>
          </cell>
          <cell r="J510" t="e">
            <v>#N/A</v>
          </cell>
          <cell r="K510" t="e">
            <v>#N/A</v>
          </cell>
          <cell r="L510" t="e">
            <v>#N/A</v>
          </cell>
          <cell r="M510" t="e">
            <v>#N/A</v>
          </cell>
          <cell r="N510" t="e">
            <v>#N/A</v>
          </cell>
          <cell r="O510" t="e">
            <v>#N/A</v>
          </cell>
          <cell r="P510">
            <v>53.19</v>
          </cell>
          <cell r="Q510">
            <v>1.1838949999999999</v>
          </cell>
          <cell r="R510" t="e">
            <v>#N/A</v>
          </cell>
        </row>
        <row r="511">
          <cell r="A511">
            <v>40210</v>
          </cell>
          <cell r="B511">
            <v>40210</v>
          </cell>
          <cell r="C511" t="str">
            <v>Past</v>
          </cell>
          <cell r="D511">
            <v>54.04</v>
          </cell>
          <cell r="E511" t="e">
            <v>#N/A</v>
          </cell>
          <cell r="F511" t="e">
            <v>#N/A</v>
          </cell>
          <cell r="G511" t="e">
            <v>#N/A</v>
          </cell>
          <cell r="H511" t="e">
            <v>#N/A</v>
          </cell>
          <cell r="I511" t="e">
            <v>#N/A</v>
          </cell>
          <cell r="J511" t="e">
            <v>#N/A</v>
          </cell>
          <cell r="K511" t="e">
            <v>#N/A</v>
          </cell>
          <cell r="L511" t="e">
            <v>#N/A</v>
          </cell>
          <cell r="M511" t="e">
            <v>#N/A</v>
          </cell>
          <cell r="N511" t="e">
            <v>#N/A</v>
          </cell>
          <cell r="O511" t="e">
            <v>#N/A</v>
          </cell>
          <cell r="P511">
            <v>54.04</v>
          </cell>
          <cell r="Q511">
            <v>0.86742399999999997</v>
          </cell>
          <cell r="R511" t="e">
            <v>#N/A</v>
          </cell>
        </row>
        <row r="512">
          <cell r="A512">
            <v>40211</v>
          </cell>
          <cell r="B512">
            <v>40211</v>
          </cell>
          <cell r="C512" t="str">
            <v>Past</v>
          </cell>
          <cell r="D512">
            <v>54.88</v>
          </cell>
          <cell r="E512" t="e">
            <v>#N/A</v>
          </cell>
          <cell r="F512" t="e">
            <v>#N/A</v>
          </cell>
          <cell r="G512" t="e">
            <v>#N/A</v>
          </cell>
          <cell r="H512" t="e">
            <v>#N/A</v>
          </cell>
          <cell r="I512" t="e">
            <v>#N/A</v>
          </cell>
          <cell r="J512" t="e">
            <v>#N/A</v>
          </cell>
          <cell r="K512" t="e">
            <v>#N/A</v>
          </cell>
          <cell r="L512" t="e">
            <v>#N/A</v>
          </cell>
          <cell r="M512" t="e">
            <v>#N/A</v>
          </cell>
          <cell r="N512" t="e">
            <v>#N/A</v>
          </cell>
          <cell r="O512" t="e">
            <v>#N/A</v>
          </cell>
          <cell r="P512">
            <v>54.88</v>
          </cell>
          <cell r="Q512">
            <v>0.9135359999999999</v>
          </cell>
          <cell r="R512" t="e">
            <v>#N/A</v>
          </cell>
        </row>
        <row r="513">
          <cell r="A513">
            <v>40212</v>
          </cell>
          <cell r="B513">
            <v>40212</v>
          </cell>
          <cell r="C513" t="str">
            <v>Past</v>
          </cell>
          <cell r="D513">
            <v>54.75</v>
          </cell>
          <cell r="E513" t="e">
            <v>#N/A</v>
          </cell>
          <cell r="F513" t="e">
            <v>#N/A</v>
          </cell>
          <cell r="G513" t="e">
            <v>#N/A</v>
          </cell>
          <cell r="H513" t="e">
            <v>#N/A</v>
          </cell>
          <cell r="I513" t="e">
            <v>#N/A</v>
          </cell>
          <cell r="J513" t="e">
            <v>#N/A</v>
          </cell>
          <cell r="K513" t="e">
            <v>#N/A</v>
          </cell>
          <cell r="L513" t="e">
            <v>#N/A</v>
          </cell>
          <cell r="M513" t="e">
            <v>#N/A</v>
          </cell>
          <cell r="N513" t="e">
            <v>#N/A</v>
          </cell>
          <cell r="O513" t="e">
            <v>#N/A</v>
          </cell>
          <cell r="P513">
            <v>54.75</v>
          </cell>
          <cell r="Q513">
            <v>0.78450599999999993</v>
          </cell>
          <cell r="R513" t="e">
            <v>#N/A</v>
          </cell>
        </row>
        <row r="514">
          <cell r="A514">
            <v>40213</v>
          </cell>
          <cell r="B514">
            <v>40213</v>
          </cell>
          <cell r="C514" t="str">
            <v>Past</v>
          </cell>
          <cell r="D514">
            <v>53.11</v>
          </cell>
          <cell r="E514" t="e">
            <v>#N/A</v>
          </cell>
          <cell r="F514" t="e">
            <v>#N/A</v>
          </cell>
          <cell r="G514" t="e">
            <v>#N/A</v>
          </cell>
          <cell r="H514" t="e">
            <v>#N/A</v>
          </cell>
          <cell r="I514" t="e">
            <v>#N/A</v>
          </cell>
          <cell r="J514" t="e">
            <v>#N/A</v>
          </cell>
          <cell r="K514" t="e">
            <v>#N/A</v>
          </cell>
          <cell r="L514" t="e">
            <v>#N/A</v>
          </cell>
          <cell r="M514" t="e">
            <v>#N/A</v>
          </cell>
          <cell r="N514" t="e">
            <v>#N/A</v>
          </cell>
          <cell r="O514" t="e">
            <v>#N/A</v>
          </cell>
          <cell r="P514">
            <v>53.11</v>
          </cell>
          <cell r="Q514">
            <v>0.89056499999999994</v>
          </cell>
          <cell r="R514" t="e">
            <v>#N/A</v>
          </cell>
        </row>
        <row r="515">
          <cell r="A515">
            <v>40214</v>
          </cell>
          <cell r="B515">
            <v>40214</v>
          </cell>
          <cell r="C515" t="str">
            <v>Past</v>
          </cell>
          <cell r="D515">
            <v>52.91</v>
          </cell>
          <cell r="E515" t="e">
            <v>#N/A</v>
          </cell>
          <cell r="F515" t="e">
            <v>#N/A</v>
          </cell>
          <cell r="G515" t="e">
            <v>#N/A</v>
          </cell>
          <cell r="H515" t="e">
            <v>#N/A</v>
          </cell>
          <cell r="I515" t="e">
            <v>#N/A</v>
          </cell>
          <cell r="J515" t="e">
            <v>#N/A</v>
          </cell>
          <cell r="K515" t="e">
            <v>#N/A</v>
          </cell>
          <cell r="L515" t="e">
            <v>#N/A</v>
          </cell>
          <cell r="M515" t="e">
            <v>#N/A</v>
          </cell>
          <cell r="N515" t="e">
            <v>#N/A</v>
          </cell>
          <cell r="O515" t="e">
            <v>#N/A</v>
          </cell>
          <cell r="P515">
            <v>52.91</v>
          </cell>
          <cell r="Q515">
            <v>1.242391</v>
          </cell>
          <cell r="R515" t="e">
            <v>#N/A</v>
          </cell>
        </row>
        <row r="516">
          <cell r="A516">
            <v>40217</v>
          </cell>
          <cell r="B516">
            <v>40217</v>
          </cell>
          <cell r="C516" t="str">
            <v>Past</v>
          </cell>
          <cell r="D516">
            <v>52.23</v>
          </cell>
          <cell r="E516" t="e">
            <v>#N/A</v>
          </cell>
          <cell r="F516" t="e">
            <v>#N/A</v>
          </cell>
          <cell r="G516" t="e">
            <v>#N/A</v>
          </cell>
          <cell r="H516" t="e">
            <v>#N/A</v>
          </cell>
          <cell r="I516" t="e">
            <v>#N/A</v>
          </cell>
          <cell r="J516" t="e">
            <v>#N/A</v>
          </cell>
          <cell r="K516" t="e">
            <v>#N/A</v>
          </cell>
          <cell r="L516" t="e">
            <v>#N/A</v>
          </cell>
          <cell r="M516" t="e">
            <v>#N/A</v>
          </cell>
          <cell r="N516" t="e">
            <v>#N/A</v>
          </cell>
          <cell r="O516" t="e">
            <v>#N/A</v>
          </cell>
          <cell r="P516">
            <v>52.23</v>
          </cell>
          <cell r="Q516">
            <v>0.59411099999999994</v>
          </cell>
          <cell r="R516" t="e">
            <v>#N/A</v>
          </cell>
        </row>
        <row r="517">
          <cell r="A517">
            <v>40218</v>
          </cell>
          <cell r="B517">
            <v>40218</v>
          </cell>
          <cell r="C517" t="str">
            <v>Past</v>
          </cell>
          <cell r="D517">
            <v>53.3</v>
          </cell>
          <cell r="E517" t="e">
            <v>#N/A</v>
          </cell>
          <cell r="F517" t="e">
            <v>#N/A</v>
          </cell>
          <cell r="G517" t="e">
            <v>#N/A</v>
          </cell>
          <cell r="H517" t="e">
            <v>#N/A</v>
          </cell>
          <cell r="I517" t="e">
            <v>#N/A</v>
          </cell>
          <cell r="J517" t="e">
            <v>#N/A</v>
          </cell>
          <cell r="K517" t="e">
            <v>#N/A</v>
          </cell>
          <cell r="L517" t="e">
            <v>#N/A</v>
          </cell>
          <cell r="M517" t="e">
            <v>#N/A</v>
          </cell>
          <cell r="N517" t="e">
            <v>#N/A</v>
          </cell>
          <cell r="O517" t="e">
            <v>#N/A</v>
          </cell>
          <cell r="P517">
            <v>53.3</v>
          </cell>
          <cell r="Q517">
            <v>0.99115299999999995</v>
          </cell>
          <cell r="R517" t="e">
            <v>#N/A</v>
          </cell>
        </row>
        <row r="518">
          <cell r="A518">
            <v>40219</v>
          </cell>
          <cell r="B518">
            <v>40219</v>
          </cell>
          <cell r="C518" t="str">
            <v>Past</v>
          </cell>
          <cell r="D518">
            <v>52.9</v>
          </cell>
          <cell r="E518" t="e">
            <v>#N/A</v>
          </cell>
          <cell r="F518" t="e">
            <v>#N/A</v>
          </cell>
          <cell r="G518" t="e">
            <v>#N/A</v>
          </cell>
          <cell r="H518" t="e">
            <v>#N/A</v>
          </cell>
          <cell r="I518" t="e">
            <v>#N/A</v>
          </cell>
          <cell r="J518" t="e">
            <v>#N/A</v>
          </cell>
          <cell r="K518" t="e">
            <v>#N/A</v>
          </cell>
          <cell r="L518" t="e">
            <v>#N/A</v>
          </cell>
          <cell r="M518" t="e">
            <v>#N/A</v>
          </cell>
          <cell r="N518" t="e">
            <v>#N/A</v>
          </cell>
          <cell r="O518" t="e">
            <v>#N/A</v>
          </cell>
          <cell r="P518">
            <v>52.9</v>
          </cell>
          <cell r="Q518">
            <v>0.65382200000000001</v>
          </cell>
          <cell r="R518" t="e">
            <v>#N/A</v>
          </cell>
        </row>
        <row r="519">
          <cell r="A519">
            <v>40220</v>
          </cell>
          <cell r="B519">
            <v>40220</v>
          </cell>
          <cell r="C519" t="str">
            <v>Past</v>
          </cell>
          <cell r="D519">
            <v>53.55</v>
          </cell>
          <cell r="E519" t="e">
            <v>#N/A</v>
          </cell>
          <cell r="F519" t="e">
            <v>#N/A</v>
          </cell>
          <cell r="G519" t="e">
            <v>#N/A</v>
          </cell>
          <cell r="H519" t="e">
            <v>#N/A</v>
          </cell>
          <cell r="I519" t="e">
            <v>#N/A</v>
          </cell>
          <cell r="J519" t="e">
            <v>#N/A</v>
          </cell>
          <cell r="K519" t="e">
            <v>#N/A</v>
          </cell>
          <cell r="L519" t="e">
            <v>#N/A</v>
          </cell>
          <cell r="M519" t="e">
            <v>#N/A</v>
          </cell>
          <cell r="N519" t="e">
            <v>#N/A</v>
          </cell>
          <cell r="O519" t="e">
            <v>#N/A</v>
          </cell>
          <cell r="P519">
            <v>53.55</v>
          </cell>
          <cell r="Q519">
            <v>0.59959200000000001</v>
          </cell>
          <cell r="R519" t="e">
            <v>#N/A</v>
          </cell>
        </row>
        <row r="520">
          <cell r="A520">
            <v>40221</v>
          </cell>
          <cell r="B520">
            <v>40221</v>
          </cell>
          <cell r="C520" t="str">
            <v>Past</v>
          </cell>
          <cell r="D520">
            <v>53.06</v>
          </cell>
          <cell r="E520" t="e">
            <v>#N/A</v>
          </cell>
          <cell r="F520" t="e">
            <v>#N/A</v>
          </cell>
          <cell r="G520" t="e">
            <v>#N/A</v>
          </cell>
          <cell r="H520" t="e">
            <v>#N/A</v>
          </cell>
          <cell r="I520" t="e">
            <v>#N/A</v>
          </cell>
          <cell r="J520" t="e">
            <v>#N/A</v>
          </cell>
          <cell r="K520" t="e">
            <v>#N/A</v>
          </cell>
          <cell r="L520" t="e">
            <v>#N/A</v>
          </cell>
          <cell r="M520" t="e">
            <v>#N/A</v>
          </cell>
          <cell r="N520" t="e">
            <v>#N/A</v>
          </cell>
          <cell r="O520" t="e">
            <v>#N/A</v>
          </cell>
          <cell r="P520">
            <v>53.06</v>
          </cell>
          <cell r="Q520">
            <v>0.62485099999999993</v>
          </cell>
          <cell r="R520" t="e">
            <v>#N/A</v>
          </cell>
        </row>
        <row r="521">
          <cell r="A521">
            <v>40225</v>
          </cell>
          <cell r="B521">
            <v>40225</v>
          </cell>
          <cell r="C521" t="str">
            <v>Past</v>
          </cell>
          <cell r="D521">
            <v>54.13</v>
          </cell>
          <cell r="E521" t="e">
            <v>#N/A</v>
          </cell>
          <cell r="F521" t="e">
            <v>#N/A</v>
          </cell>
          <cell r="G521" t="e">
            <v>#N/A</v>
          </cell>
          <cell r="H521" t="e">
            <v>#N/A</v>
          </cell>
          <cell r="I521" t="e">
            <v>#N/A</v>
          </cell>
          <cell r="J521" t="e">
            <v>#N/A</v>
          </cell>
          <cell r="K521" t="e">
            <v>#N/A</v>
          </cell>
          <cell r="L521" t="e">
            <v>#N/A</v>
          </cell>
          <cell r="M521" t="e">
            <v>#N/A</v>
          </cell>
          <cell r="N521" t="e">
            <v>#N/A</v>
          </cell>
          <cell r="O521" t="e">
            <v>#N/A</v>
          </cell>
          <cell r="P521">
            <v>54.13</v>
          </cell>
          <cell r="Q521">
            <v>0.51459299999999997</v>
          </cell>
          <cell r="R521" t="e">
            <v>#N/A</v>
          </cell>
        </row>
        <row r="522">
          <cell r="A522">
            <v>40226</v>
          </cell>
          <cell r="B522">
            <v>40226</v>
          </cell>
          <cell r="C522" t="str">
            <v>Past</v>
          </cell>
          <cell r="D522">
            <v>54.29</v>
          </cell>
          <cell r="E522" t="e">
            <v>#N/A</v>
          </cell>
          <cell r="F522" t="e">
            <v>#N/A</v>
          </cell>
          <cell r="G522" t="e">
            <v>#N/A</v>
          </cell>
          <cell r="H522" t="e">
            <v>#N/A</v>
          </cell>
          <cell r="I522" t="e">
            <v>#N/A</v>
          </cell>
          <cell r="J522" t="e">
            <v>#N/A</v>
          </cell>
          <cell r="K522" t="e">
            <v>#N/A</v>
          </cell>
          <cell r="L522" t="e">
            <v>#N/A</v>
          </cell>
          <cell r="M522" t="e">
            <v>#N/A</v>
          </cell>
          <cell r="N522" t="e">
            <v>#N/A</v>
          </cell>
          <cell r="O522" t="e">
            <v>#N/A</v>
          </cell>
          <cell r="P522">
            <v>54.29</v>
          </cell>
          <cell r="Q522">
            <v>0.85985699999999998</v>
          </cell>
          <cell r="R522" t="e">
            <v>#N/A</v>
          </cell>
        </row>
        <row r="523">
          <cell r="A523">
            <v>40227</v>
          </cell>
          <cell r="B523">
            <v>40227</v>
          </cell>
          <cell r="C523" t="str">
            <v>Past</v>
          </cell>
          <cell r="D523">
            <v>55.24</v>
          </cell>
          <cell r="E523" t="e">
            <v>#N/A</v>
          </cell>
          <cell r="F523" t="e">
            <v>#N/A</v>
          </cell>
          <cell r="G523" t="e">
            <v>#N/A</v>
          </cell>
          <cell r="H523" t="e">
            <v>#N/A</v>
          </cell>
          <cell r="I523" t="e">
            <v>#N/A</v>
          </cell>
          <cell r="J523" t="e">
            <v>#N/A</v>
          </cell>
          <cell r="K523" t="e">
            <v>#N/A</v>
          </cell>
          <cell r="L523" t="e">
            <v>#N/A</v>
          </cell>
          <cell r="M523" t="e">
            <v>#N/A</v>
          </cell>
          <cell r="N523" t="e">
            <v>#N/A</v>
          </cell>
          <cell r="O523" t="e">
            <v>#N/A</v>
          </cell>
          <cell r="P523">
            <v>55.24</v>
          </cell>
          <cell r="Q523">
            <v>0.45469599999999999</v>
          </cell>
          <cell r="R523" t="e">
            <v>#N/A</v>
          </cell>
        </row>
        <row r="524">
          <cell r="A524">
            <v>40228</v>
          </cell>
          <cell r="B524">
            <v>40228</v>
          </cell>
          <cell r="C524" t="str">
            <v>Past</v>
          </cell>
          <cell r="D524">
            <v>55.47</v>
          </cell>
          <cell r="E524" t="e">
            <v>#N/A</v>
          </cell>
          <cell r="F524" t="e">
            <v>#N/A</v>
          </cell>
          <cell r="G524" t="e">
            <v>#N/A</v>
          </cell>
          <cell r="H524" t="e">
            <v>#N/A</v>
          </cell>
          <cell r="I524" t="e">
            <v>#N/A</v>
          </cell>
          <cell r="J524" t="e">
            <v>#N/A</v>
          </cell>
          <cell r="K524" t="e">
            <v>#N/A</v>
          </cell>
          <cell r="L524" t="e">
            <v>#N/A</v>
          </cell>
          <cell r="M524" t="e">
            <v>#N/A</v>
          </cell>
          <cell r="N524" t="e">
            <v>#N/A</v>
          </cell>
          <cell r="O524" t="e">
            <v>#N/A</v>
          </cell>
          <cell r="P524">
            <v>55.47</v>
          </cell>
          <cell r="Q524">
            <v>0.80460900000000002</v>
          </cell>
          <cell r="R524" t="e">
            <v>#N/A</v>
          </cell>
        </row>
        <row r="525">
          <cell r="A525">
            <v>40231</v>
          </cell>
          <cell r="B525">
            <v>40231</v>
          </cell>
          <cell r="C525" t="str">
            <v>Past</v>
          </cell>
          <cell r="D525">
            <v>55.01</v>
          </cell>
          <cell r="E525" t="e">
            <v>#N/A</v>
          </cell>
          <cell r="F525" t="e">
            <v>#N/A</v>
          </cell>
          <cell r="G525" t="e">
            <v>#N/A</v>
          </cell>
          <cell r="H525" t="e">
            <v>#N/A</v>
          </cell>
          <cell r="I525" t="e">
            <v>#N/A</v>
          </cell>
          <cell r="J525" t="e">
            <v>#N/A</v>
          </cell>
          <cell r="K525" t="e">
            <v>#N/A</v>
          </cell>
          <cell r="L525" t="e">
            <v>#N/A</v>
          </cell>
          <cell r="M525" t="e">
            <v>#N/A</v>
          </cell>
          <cell r="N525" t="e">
            <v>#N/A</v>
          </cell>
          <cell r="O525" t="e">
            <v>#N/A</v>
          </cell>
          <cell r="P525">
            <v>55.01</v>
          </cell>
          <cell r="Q525">
            <v>0.61067199999999999</v>
          </cell>
          <cell r="R525" t="e">
            <v>#N/A</v>
          </cell>
        </row>
        <row r="526">
          <cell r="A526">
            <v>40232</v>
          </cell>
          <cell r="B526">
            <v>40232</v>
          </cell>
          <cell r="C526" t="str">
            <v>Past</v>
          </cell>
          <cell r="D526">
            <v>54.31</v>
          </cell>
          <cell r="E526" t="e">
            <v>#N/A</v>
          </cell>
          <cell r="F526" t="e">
            <v>#N/A</v>
          </cell>
          <cell r="G526" t="e">
            <v>#N/A</v>
          </cell>
          <cell r="H526" t="e">
            <v>#N/A</v>
          </cell>
          <cell r="I526" t="e">
            <v>#N/A</v>
          </cell>
          <cell r="J526" t="e">
            <v>#N/A</v>
          </cell>
          <cell r="K526" t="e">
            <v>#N/A</v>
          </cell>
          <cell r="L526" t="e">
            <v>#N/A</v>
          </cell>
          <cell r="M526" t="e">
            <v>#N/A</v>
          </cell>
          <cell r="N526" t="e">
            <v>#N/A</v>
          </cell>
          <cell r="O526" t="e">
            <v>#N/A</v>
          </cell>
          <cell r="P526">
            <v>54.31</v>
          </cell>
          <cell r="Q526">
            <v>0.76574299999999995</v>
          </cell>
          <cell r="R526" t="e">
            <v>#N/A</v>
          </cell>
        </row>
        <row r="527">
          <cell r="A527">
            <v>40233</v>
          </cell>
          <cell r="B527">
            <v>40233</v>
          </cell>
          <cell r="C527" t="str">
            <v>Past</v>
          </cell>
          <cell r="D527">
            <v>54.93</v>
          </cell>
          <cell r="E527" t="e">
            <v>#N/A</v>
          </cell>
          <cell r="F527" t="e">
            <v>#N/A</v>
          </cell>
          <cell r="G527" t="e">
            <v>#N/A</v>
          </cell>
          <cell r="H527" t="e">
            <v>#N/A</v>
          </cell>
          <cell r="I527" t="e">
            <v>#N/A</v>
          </cell>
          <cell r="J527" t="e">
            <v>#N/A</v>
          </cell>
          <cell r="K527" t="e">
            <v>#N/A</v>
          </cell>
          <cell r="L527" t="e">
            <v>#N/A</v>
          </cell>
          <cell r="M527" t="e">
            <v>#N/A</v>
          </cell>
          <cell r="N527" t="e">
            <v>#N/A</v>
          </cell>
          <cell r="O527" t="e">
            <v>#N/A</v>
          </cell>
          <cell r="P527">
            <v>54.93</v>
          </cell>
          <cell r="Q527">
            <v>0.669493</v>
          </cell>
          <cell r="R527" t="e">
            <v>#N/A</v>
          </cell>
        </row>
        <row r="528">
          <cell r="A528">
            <v>40234</v>
          </cell>
          <cell r="B528">
            <v>40234</v>
          </cell>
          <cell r="C528" t="str">
            <v>Past</v>
          </cell>
          <cell r="D528">
            <v>54.86</v>
          </cell>
          <cell r="E528" t="e">
            <v>#N/A</v>
          </cell>
          <cell r="F528" t="e">
            <v>#N/A</v>
          </cell>
          <cell r="G528" t="e">
            <v>#N/A</v>
          </cell>
          <cell r="H528" t="e">
            <v>#N/A</v>
          </cell>
          <cell r="I528" t="e">
            <v>#N/A</v>
          </cell>
          <cell r="J528" t="e">
            <v>#N/A</v>
          </cell>
          <cell r="K528" t="e">
            <v>#N/A</v>
          </cell>
          <cell r="L528" t="e">
            <v>#N/A</v>
          </cell>
          <cell r="M528" t="e">
            <v>#N/A</v>
          </cell>
          <cell r="N528" t="e">
            <v>#N/A</v>
          </cell>
          <cell r="O528" t="e">
            <v>#N/A</v>
          </cell>
          <cell r="P528">
            <v>54.86</v>
          </cell>
          <cell r="Q528">
            <v>1.2883519999999999</v>
          </cell>
          <cell r="R528" t="e">
            <v>#N/A</v>
          </cell>
        </row>
        <row r="529">
          <cell r="A529">
            <v>40235</v>
          </cell>
          <cell r="B529">
            <v>40235</v>
          </cell>
          <cell r="C529" t="str">
            <v>Past</v>
          </cell>
          <cell r="D529">
            <v>56.28</v>
          </cell>
          <cell r="E529" t="e">
            <v>#N/A</v>
          </cell>
          <cell r="F529" t="e">
            <v>#N/A</v>
          </cell>
          <cell r="G529" t="e">
            <v>#N/A</v>
          </cell>
          <cell r="H529" t="e">
            <v>#N/A</v>
          </cell>
          <cell r="I529" t="e">
            <v>#N/A</v>
          </cell>
          <cell r="J529" t="e">
            <v>#N/A</v>
          </cell>
          <cell r="K529" t="e">
            <v>#N/A</v>
          </cell>
          <cell r="L529" t="e">
            <v>#N/A</v>
          </cell>
          <cell r="M529" t="e">
            <v>#N/A</v>
          </cell>
          <cell r="N529" t="e">
            <v>#N/A</v>
          </cell>
          <cell r="O529" t="e">
            <v>#N/A</v>
          </cell>
          <cell r="P529">
            <v>56.28</v>
          </cell>
          <cell r="Q529">
            <v>1.642218</v>
          </cell>
          <cell r="R529" t="e">
            <v>#N/A</v>
          </cell>
        </row>
        <row r="530">
          <cell r="A530">
            <v>40238</v>
          </cell>
          <cell r="B530">
            <v>40238</v>
          </cell>
          <cell r="C530" t="str">
            <v>Past</v>
          </cell>
          <cell r="D530">
            <v>58.39</v>
          </cell>
          <cell r="E530" t="e">
            <v>#N/A</v>
          </cell>
          <cell r="F530" t="e">
            <v>#N/A</v>
          </cell>
          <cell r="G530" t="e">
            <v>#N/A</v>
          </cell>
          <cell r="H530" t="e">
            <v>#N/A</v>
          </cell>
          <cell r="I530" t="e">
            <v>#N/A</v>
          </cell>
          <cell r="J530" t="e">
            <v>#N/A</v>
          </cell>
          <cell r="K530" t="e">
            <v>#N/A</v>
          </cell>
          <cell r="L530" t="e">
            <v>#N/A</v>
          </cell>
          <cell r="M530" t="e">
            <v>#N/A</v>
          </cell>
          <cell r="N530" t="e">
            <v>#N/A</v>
          </cell>
          <cell r="O530" t="e">
            <v>#N/A</v>
          </cell>
          <cell r="P530">
            <v>58.39</v>
          </cell>
          <cell r="Q530">
            <v>1.6441269999999999</v>
          </cell>
          <cell r="R530" t="e">
            <v>#N/A</v>
          </cell>
        </row>
        <row r="531">
          <cell r="A531">
            <v>40239</v>
          </cell>
          <cell r="B531">
            <v>40239</v>
          </cell>
          <cell r="C531" t="str">
            <v>Past</v>
          </cell>
          <cell r="D531">
            <v>58.75</v>
          </cell>
          <cell r="E531" t="e">
            <v>#N/A</v>
          </cell>
          <cell r="F531" t="e">
            <v>#N/A</v>
          </cell>
          <cell r="G531" t="e">
            <v>#N/A</v>
          </cell>
          <cell r="H531" t="e">
            <v>#N/A</v>
          </cell>
          <cell r="I531" t="e">
            <v>#N/A</v>
          </cell>
          <cell r="J531" t="e">
            <v>#N/A</v>
          </cell>
          <cell r="K531" t="e">
            <v>#N/A</v>
          </cell>
          <cell r="L531" t="e">
            <v>#N/A</v>
          </cell>
          <cell r="M531" t="e">
            <v>#N/A</v>
          </cell>
          <cell r="N531" t="e">
            <v>#N/A</v>
          </cell>
          <cell r="O531" t="e">
            <v>#N/A</v>
          </cell>
          <cell r="P531">
            <v>58.75</v>
          </cell>
          <cell r="Q531">
            <v>1.914488</v>
          </cell>
          <cell r="R531" t="e">
            <v>#N/A</v>
          </cell>
        </row>
        <row r="532">
          <cell r="A532">
            <v>40240</v>
          </cell>
          <cell r="B532">
            <v>40240</v>
          </cell>
          <cell r="C532" t="str">
            <v>Past</v>
          </cell>
          <cell r="D532">
            <v>58.98</v>
          </cell>
          <cell r="E532" t="e">
            <v>#N/A</v>
          </cell>
          <cell r="F532" t="e">
            <v>#N/A</v>
          </cell>
          <cell r="G532" t="e">
            <v>#N/A</v>
          </cell>
          <cell r="H532" t="e">
            <v>#N/A</v>
          </cell>
          <cell r="I532" t="e">
            <v>#N/A</v>
          </cell>
          <cell r="J532" t="e">
            <v>#N/A</v>
          </cell>
          <cell r="K532" t="e">
            <v>#N/A</v>
          </cell>
          <cell r="L532" t="e">
            <v>#N/A</v>
          </cell>
          <cell r="M532" t="e">
            <v>#N/A</v>
          </cell>
          <cell r="N532" t="e">
            <v>#N/A</v>
          </cell>
          <cell r="O532" t="e">
            <v>#N/A</v>
          </cell>
          <cell r="P532">
            <v>58.98</v>
          </cell>
          <cell r="Q532">
            <v>1.1650700000000001</v>
          </cell>
          <cell r="R532" t="e">
            <v>#N/A</v>
          </cell>
        </row>
        <row r="533">
          <cell r="A533">
            <v>40241</v>
          </cell>
          <cell r="B533">
            <v>40241</v>
          </cell>
          <cell r="C533" t="str">
            <v>Past</v>
          </cell>
          <cell r="D533">
            <v>59.73</v>
          </cell>
          <cell r="E533" t="e">
            <v>#N/A</v>
          </cell>
          <cell r="F533" t="e">
            <v>#N/A</v>
          </cell>
          <cell r="G533" t="e">
            <v>#N/A</v>
          </cell>
          <cell r="H533" t="e">
            <v>#N/A</v>
          </cell>
          <cell r="I533" t="e">
            <v>#N/A</v>
          </cell>
          <cell r="J533" t="e">
            <v>#N/A</v>
          </cell>
          <cell r="K533" t="e">
            <v>#N/A</v>
          </cell>
          <cell r="L533" t="e">
            <v>#N/A</v>
          </cell>
          <cell r="M533" t="e">
            <v>#N/A</v>
          </cell>
          <cell r="N533" t="e">
            <v>#N/A</v>
          </cell>
          <cell r="O533" t="e">
            <v>#N/A</v>
          </cell>
          <cell r="P533">
            <v>59.73</v>
          </cell>
          <cell r="Q533">
            <v>1.3729709999999999</v>
          </cell>
          <cell r="R533" t="e">
            <v>#N/A</v>
          </cell>
        </row>
        <row r="534">
          <cell r="A534">
            <v>40242</v>
          </cell>
          <cell r="B534">
            <v>40242</v>
          </cell>
          <cell r="C534" t="str">
            <v>Past</v>
          </cell>
          <cell r="D534">
            <v>60.04</v>
          </cell>
          <cell r="E534" t="e">
            <v>#N/A</v>
          </cell>
          <cell r="F534" t="e">
            <v>#N/A</v>
          </cell>
          <cell r="G534" t="e">
            <v>#N/A</v>
          </cell>
          <cell r="H534" t="e">
            <v>#N/A</v>
          </cell>
          <cell r="I534" t="e">
            <v>#N/A</v>
          </cell>
          <cell r="J534" t="e">
            <v>#N/A</v>
          </cell>
          <cell r="K534" t="e">
            <v>#N/A</v>
          </cell>
          <cell r="L534" t="e">
            <v>#N/A</v>
          </cell>
          <cell r="M534" t="e">
            <v>#N/A</v>
          </cell>
          <cell r="N534" t="e">
            <v>#N/A</v>
          </cell>
          <cell r="O534" t="e">
            <v>#N/A</v>
          </cell>
          <cell r="P534">
            <v>60.04</v>
          </cell>
          <cell r="Q534">
            <v>1.855043</v>
          </cell>
          <cell r="R534" t="e">
            <v>#N/A</v>
          </cell>
        </row>
        <row r="535">
          <cell r="A535">
            <v>40245</v>
          </cell>
          <cell r="B535">
            <v>40245</v>
          </cell>
          <cell r="C535" t="str">
            <v>Past</v>
          </cell>
          <cell r="D535">
            <v>59.49</v>
          </cell>
          <cell r="E535" t="e">
            <v>#N/A</v>
          </cell>
          <cell r="F535" t="e">
            <v>#N/A</v>
          </cell>
          <cell r="G535" t="e">
            <v>#N/A</v>
          </cell>
          <cell r="H535" t="e">
            <v>#N/A</v>
          </cell>
          <cell r="I535" t="e">
            <v>#N/A</v>
          </cell>
          <cell r="J535" t="e">
            <v>#N/A</v>
          </cell>
          <cell r="K535" t="e">
            <v>#N/A</v>
          </cell>
          <cell r="L535" t="e">
            <v>#N/A</v>
          </cell>
          <cell r="M535" t="e">
            <v>#N/A</v>
          </cell>
          <cell r="N535" t="e">
            <v>#N/A</v>
          </cell>
          <cell r="O535" t="e">
            <v>#N/A</v>
          </cell>
          <cell r="P535">
            <v>59.49</v>
          </cell>
          <cell r="Q535">
            <v>0.89217599999999997</v>
          </cell>
          <cell r="R535" t="e">
            <v>#N/A</v>
          </cell>
        </row>
        <row r="536">
          <cell r="A536">
            <v>40246</v>
          </cell>
          <cell r="B536">
            <v>40246</v>
          </cell>
          <cell r="C536" t="str">
            <v>Past</v>
          </cell>
          <cell r="D536">
            <v>60.6</v>
          </cell>
          <cell r="E536" t="e">
            <v>#N/A</v>
          </cell>
          <cell r="F536" t="e">
            <v>#N/A</v>
          </cell>
          <cell r="G536" t="e">
            <v>#N/A</v>
          </cell>
          <cell r="H536" t="e">
            <v>#N/A</v>
          </cell>
          <cell r="I536" t="e">
            <v>#N/A</v>
          </cell>
          <cell r="J536" t="e">
            <v>#N/A</v>
          </cell>
          <cell r="K536" t="e">
            <v>#N/A</v>
          </cell>
          <cell r="L536" t="e">
            <v>#N/A</v>
          </cell>
          <cell r="M536" t="e">
            <v>#N/A</v>
          </cell>
          <cell r="N536" t="e">
            <v>#N/A</v>
          </cell>
          <cell r="O536" t="e">
            <v>#N/A</v>
          </cell>
          <cell r="P536">
            <v>60.6</v>
          </cell>
          <cell r="Q536">
            <v>1.6383449999999999</v>
          </cell>
          <cell r="R536" t="e">
            <v>#N/A</v>
          </cell>
        </row>
        <row r="537">
          <cell r="A537">
            <v>40247</v>
          </cell>
          <cell r="B537">
            <v>40247</v>
          </cell>
          <cell r="C537" t="str">
            <v>Past</v>
          </cell>
          <cell r="D537">
            <v>60.9</v>
          </cell>
          <cell r="E537" t="e">
            <v>#N/A</v>
          </cell>
          <cell r="F537" t="e">
            <v>#N/A</v>
          </cell>
          <cell r="G537" t="e">
            <v>#N/A</v>
          </cell>
          <cell r="H537" t="e">
            <v>#N/A</v>
          </cell>
          <cell r="I537" t="e">
            <v>#N/A</v>
          </cell>
          <cell r="J537" t="e">
            <v>#N/A</v>
          </cell>
          <cell r="K537" t="e">
            <v>#N/A</v>
          </cell>
          <cell r="L537" t="e">
            <v>#N/A</v>
          </cell>
          <cell r="M537" t="e">
            <v>#N/A</v>
          </cell>
          <cell r="N537" t="e">
            <v>#N/A</v>
          </cell>
          <cell r="O537" t="e">
            <v>#N/A</v>
          </cell>
          <cell r="P537">
            <v>60.9</v>
          </cell>
          <cell r="Q537">
            <v>0.94089899999999993</v>
          </cell>
          <cell r="R537" t="e">
            <v>#N/A</v>
          </cell>
        </row>
        <row r="538">
          <cell r="A538">
            <v>40248</v>
          </cell>
          <cell r="B538">
            <v>40248</v>
          </cell>
          <cell r="C538" t="str">
            <v>Past</v>
          </cell>
          <cell r="D538">
            <v>61.21</v>
          </cell>
          <cell r="E538" t="e">
            <v>#N/A</v>
          </cell>
          <cell r="F538" t="e">
            <v>#N/A</v>
          </cell>
          <cell r="G538" t="e">
            <v>#N/A</v>
          </cell>
          <cell r="H538" t="e">
            <v>#N/A</v>
          </cell>
          <cell r="I538" t="e">
            <v>#N/A</v>
          </cell>
          <cell r="J538" t="e">
            <v>#N/A</v>
          </cell>
          <cell r="K538" t="e">
            <v>#N/A</v>
          </cell>
          <cell r="L538" t="e">
            <v>#N/A</v>
          </cell>
          <cell r="M538" t="e">
            <v>#N/A</v>
          </cell>
          <cell r="N538" t="e">
            <v>#N/A</v>
          </cell>
          <cell r="O538" t="e">
            <v>#N/A</v>
          </cell>
          <cell r="P538">
            <v>61.21</v>
          </cell>
          <cell r="Q538">
            <v>0.87798899999999991</v>
          </cell>
          <cell r="R538" t="e">
            <v>#N/A</v>
          </cell>
        </row>
        <row r="539">
          <cell r="A539">
            <v>40249</v>
          </cell>
          <cell r="B539">
            <v>40249</v>
          </cell>
          <cell r="C539" t="str">
            <v>Past</v>
          </cell>
          <cell r="D539">
            <v>60.93</v>
          </cell>
          <cell r="E539" t="e">
            <v>#N/A</v>
          </cell>
          <cell r="F539" t="e">
            <v>#N/A</v>
          </cell>
          <cell r="G539" t="e">
            <v>#N/A</v>
          </cell>
          <cell r="H539" t="e">
            <v>#N/A</v>
          </cell>
          <cell r="I539" t="e">
            <v>#N/A</v>
          </cell>
          <cell r="J539" t="e">
            <v>#N/A</v>
          </cell>
          <cell r="K539" t="e">
            <v>#N/A</v>
          </cell>
          <cell r="L539" t="e">
            <v>#N/A</v>
          </cell>
          <cell r="M539" t="e">
            <v>#N/A</v>
          </cell>
          <cell r="N539" t="e">
            <v>#N/A</v>
          </cell>
          <cell r="O539" t="e">
            <v>#N/A</v>
          </cell>
          <cell r="P539">
            <v>60.93</v>
          </cell>
          <cell r="Q539">
            <v>0.47650599999999999</v>
          </cell>
          <cell r="R539" t="e">
            <v>#N/A</v>
          </cell>
        </row>
        <row r="540">
          <cell r="A540">
            <v>40252</v>
          </cell>
          <cell r="B540">
            <v>40252</v>
          </cell>
          <cell r="C540" t="str">
            <v>Past</v>
          </cell>
          <cell r="D540">
            <v>60.3</v>
          </cell>
          <cell r="E540" t="e">
            <v>#N/A</v>
          </cell>
          <cell r="F540" t="e">
            <v>#N/A</v>
          </cell>
          <cell r="G540" t="e">
            <v>#N/A</v>
          </cell>
          <cell r="H540" t="e">
            <v>#N/A</v>
          </cell>
          <cell r="I540" t="e">
            <v>#N/A</v>
          </cell>
          <cell r="J540" t="e">
            <v>#N/A</v>
          </cell>
          <cell r="K540" t="e">
            <v>#N/A</v>
          </cell>
          <cell r="L540" t="e">
            <v>#N/A</v>
          </cell>
          <cell r="M540" t="e">
            <v>#N/A</v>
          </cell>
          <cell r="N540" t="e">
            <v>#N/A</v>
          </cell>
          <cell r="O540" t="e">
            <v>#N/A</v>
          </cell>
          <cell r="P540">
            <v>60.3</v>
          </cell>
          <cell r="Q540">
            <v>0.64055899999999999</v>
          </cell>
          <cell r="R540" t="e">
            <v>#N/A</v>
          </cell>
        </row>
        <row r="541">
          <cell r="A541">
            <v>40253</v>
          </cell>
          <cell r="B541">
            <v>40253</v>
          </cell>
          <cell r="C541" t="str">
            <v>Past</v>
          </cell>
          <cell r="D541">
            <v>60.52</v>
          </cell>
          <cell r="E541" t="e">
            <v>#N/A</v>
          </cell>
          <cell r="F541" t="e">
            <v>#N/A</v>
          </cell>
          <cell r="G541" t="e">
            <v>#N/A</v>
          </cell>
          <cell r="H541" t="e">
            <v>#N/A</v>
          </cell>
          <cell r="I541" t="e">
            <v>#N/A</v>
          </cell>
          <cell r="J541" t="e">
            <v>#N/A</v>
          </cell>
          <cell r="K541" t="e">
            <v>#N/A</v>
          </cell>
          <cell r="L541" t="e">
            <v>#N/A</v>
          </cell>
          <cell r="M541" t="e">
            <v>#N/A</v>
          </cell>
          <cell r="N541" t="e">
            <v>#N/A</v>
          </cell>
          <cell r="O541" t="e">
            <v>#N/A</v>
          </cell>
          <cell r="P541">
            <v>60.52</v>
          </cell>
          <cell r="Q541">
            <v>0.92755399999999999</v>
          </cell>
          <cell r="R541" t="e">
            <v>#N/A</v>
          </cell>
        </row>
        <row r="542">
          <cell r="A542">
            <v>40254</v>
          </cell>
          <cell r="B542">
            <v>40254</v>
          </cell>
          <cell r="C542" t="str">
            <v>Past</v>
          </cell>
          <cell r="D542">
            <v>60.69</v>
          </cell>
          <cell r="E542" t="e">
            <v>#N/A</v>
          </cell>
          <cell r="F542" t="e">
            <v>#N/A</v>
          </cell>
          <cell r="G542" t="e">
            <v>#N/A</v>
          </cell>
          <cell r="H542" t="e">
            <v>#N/A</v>
          </cell>
          <cell r="I542" t="e">
            <v>#N/A</v>
          </cell>
          <cell r="J542" t="e">
            <v>#N/A</v>
          </cell>
          <cell r="K542" t="e">
            <v>#N/A</v>
          </cell>
          <cell r="L542" t="e">
            <v>#N/A</v>
          </cell>
          <cell r="M542" t="e">
            <v>#N/A</v>
          </cell>
          <cell r="N542" t="e">
            <v>#N/A</v>
          </cell>
          <cell r="O542" t="e">
            <v>#N/A</v>
          </cell>
          <cell r="P542">
            <v>60.69</v>
          </cell>
          <cell r="Q542">
            <v>0.820052</v>
          </cell>
          <cell r="R542" t="e">
            <v>#N/A</v>
          </cell>
        </row>
        <row r="543">
          <cell r="A543">
            <v>40255</v>
          </cell>
          <cell r="B543">
            <v>40255</v>
          </cell>
          <cell r="C543" t="str">
            <v>Past</v>
          </cell>
          <cell r="D543">
            <v>61.16</v>
          </cell>
          <cell r="E543" t="e">
            <v>#N/A</v>
          </cell>
          <cell r="F543" t="e">
            <v>#N/A</v>
          </cell>
          <cell r="G543" t="e">
            <v>#N/A</v>
          </cell>
          <cell r="H543" t="e">
            <v>#N/A</v>
          </cell>
          <cell r="I543" t="e">
            <v>#N/A</v>
          </cell>
          <cell r="J543" t="e">
            <v>#N/A</v>
          </cell>
          <cell r="K543" t="e">
            <v>#N/A</v>
          </cell>
          <cell r="L543" t="e">
            <v>#N/A</v>
          </cell>
          <cell r="M543" t="e">
            <v>#N/A</v>
          </cell>
          <cell r="N543" t="e">
            <v>#N/A</v>
          </cell>
          <cell r="O543" t="e">
            <v>#N/A</v>
          </cell>
          <cell r="P543">
            <v>61.16</v>
          </cell>
          <cell r="Q543">
            <v>0.89903599999999995</v>
          </cell>
          <cell r="R543" t="e">
            <v>#N/A</v>
          </cell>
        </row>
        <row r="544">
          <cell r="A544">
            <v>40256</v>
          </cell>
          <cell r="B544">
            <v>40256</v>
          </cell>
          <cell r="C544" t="str">
            <v>Past</v>
          </cell>
          <cell r="D544">
            <v>62.97</v>
          </cell>
          <cell r="E544" t="e">
            <v>#N/A</v>
          </cell>
          <cell r="F544" t="e">
            <v>#N/A</v>
          </cell>
          <cell r="G544" t="e">
            <v>#N/A</v>
          </cell>
          <cell r="H544" t="e">
            <v>#N/A</v>
          </cell>
          <cell r="I544" t="e">
            <v>#N/A</v>
          </cell>
          <cell r="J544" t="e">
            <v>#N/A</v>
          </cell>
          <cell r="K544" t="e">
            <v>#N/A</v>
          </cell>
          <cell r="L544" t="e">
            <v>#N/A</v>
          </cell>
          <cell r="M544" t="e">
            <v>#N/A</v>
          </cell>
          <cell r="N544" t="e">
            <v>#N/A</v>
          </cell>
          <cell r="O544" t="e">
            <v>#N/A</v>
          </cell>
          <cell r="P544">
            <v>62.97</v>
          </cell>
          <cell r="Q544">
            <v>3.6285810000000001</v>
          </cell>
          <cell r="R544" t="e">
            <v>#N/A</v>
          </cell>
        </row>
        <row r="545">
          <cell r="A545">
            <v>40259</v>
          </cell>
          <cell r="B545">
            <v>40259</v>
          </cell>
          <cell r="C545" t="str">
            <v>Past</v>
          </cell>
          <cell r="D545">
            <v>62.59</v>
          </cell>
          <cell r="E545" t="e">
            <v>#N/A</v>
          </cell>
          <cell r="F545" t="e">
            <v>#N/A</v>
          </cell>
          <cell r="G545" t="e">
            <v>#N/A</v>
          </cell>
          <cell r="H545" t="e">
            <v>#N/A</v>
          </cell>
          <cell r="I545" t="e">
            <v>#N/A</v>
          </cell>
          <cell r="J545" t="e">
            <v>#N/A</v>
          </cell>
          <cell r="K545" t="e">
            <v>#N/A</v>
          </cell>
          <cell r="L545" t="e">
            <v>#N/A</v>
          </cell>
          <cell r="M545" t="e">
            <v>#N/A</v>
          </cell>
          <cell r="N545" t="e">
            <v>#N/A</v>
          </cell>
          <cell r="O545" t="e">
            <v>#N/A</v>
          </cell>
          <cell r="P545">
            <v>62.59</v>
          </cell>
          <cell r="Q545">
            <v>0.79755199999999993</v>
          </cell>
          <cell r="R545" t="e">
            <v>#N/A</v>
          </cell>
        </row>
        <row r="546">
          <cell r="A546">
            <v>40260</v>
          </cell>
          <cell r="B546">
            <v>40260</v>
          </cell>
          <cell r="C546" t="str">
            <v>Past</v>
          </cell>
          <cell r="D546">
            <v>62.85</v>
          </cell>
          <cell r="E546" t="e">
            <v>#N/A</v>
          </cell>
          <cell r="F546" t="e">
            <v>#N/A</v>
          </cell>
          <cell r="G546" t="e">
            <v>#N/A</v>
          </cell>
          <cell r="H546" t="e">
            <v>#N/A</v>
          </cell>
          <cell r="I546" t="e">
            <v>#N/A</v>
          </cell>
          <cell r="J546" t="e">
            <v>#N/A</v>
          </cell>
          <cell r="K546" t="e">
            <v>#N/A</v>
          </cell>
          <cell r="L546" t="e">
            <v>#N/A</v>
          </cell>
          <cell r="M546" t="e">
            <v>#N/A</v>
          </cell>
          <cell r="N546" t="e">
            <v>#N/A</v>
          </cell>
          <cell r="O546" t="e">
            <v>#N/A</v>
          </cell>
          <cell r="P546">
            <v>62.85</v>
          </cell>
          <cell r="Q546">
            <v>0.81594099999999992</v>
          </cell>
          <cell r="R546" t="e">
            <v>#N/A</v>
          </cell>
        </row>
        <row r="547">
          <cell r="A547">
            <v>40261</v>
          </cell>
          <cell r="B547">
            <v>40261</v>
          </cell>
          <cell r="C547" t="str">
            <v>Past</v>
          </cell>
          <cell r="D547">
            <v>62.54</v>
          </cell>
          <cell r="E547" t="e">
            <v>#N/A</v>
          </cell>
          <cell r="F547" t="e">
            <v>#N/A</v>
          </cell>
          <cell r="G547" t="e">
            <v>#N/A</v>
          </cell>
          <cell r="H547" t="e">
            <v>#N/A</v>
          </cell>
          <cell r="I547" t="e">
            <v>#N/A</v>
          </cell>
          <cell r="J547" t="e">
            <v>#N/A</v>
          </cell>
          <cell r="K547" t="e">
            <v>#N/A</v>
          </cell>
          <cell r="L547" t="e">
            <v>#N/A</v>
          </cell>
          <cell r="M547" t="e">
            <v>#N/A</v>
          </cell>
          <cell r="N547" t="e">
            <v>#N/A</v>
          </cell>
          <cell r="O547" t="e">
            <v>#N/A</v>
          </cell>
          <cell r="P547">
            <v>62.54</v>
          </cell>
          <cell r="Q547">
            <v>0.63059100000000001</v>
          </cell>
          <cell r="R547" t="e">
            <v>#N/A</v>
          </cell>
        </row>
        <row r="548">
          <cell r="A548">
            <v>40262</v>
          </cell>
          <cell r="B548">
            <v>40262</v>
          </cell>
          <cell r="C548" t="str">
            <v>Past</v>
          </cell>
          <cell r="D548">
            <v>62.67</v>
          </cell>
          <cell r="E548" t="e">
            <v>#N/A</v>
          </cell>
          <cell r="F548" t="e">
            <v>#N/A</v>
          </cell>
          <cell r="G548" t="e">
            <v>#N/A</v>
          </cell>
          <cell r="H548" t="e">
            <v>#N/A</v>
          </cell>
          <cell r="I548" t="e">
            <v>#N/A</v>
          </cell>
          <cell r="J548" t="e">
            <v>#N/A</v>
          </cell>
          <cell r="K548" t="e">
            <v>#N/A</v>
          </cell>
          <cell r="L548" t="e">
            <v>#N/A</v>
          </cell>
          <cell r="M548" t="e">
            <v>#N/A</v>
          </cell>
          <cell r="N548" t="e">
            <v>#N/A</v>
          </cell>
          <cell r="O548" t="e">
            <v>#N/A</v>
          </cell>
          <cell r="P548">
            <v>62.67</v>
          </cell>
          <cell r="Q548">
            <v>0.72600900000000002</v>
          </cell>
          <cell r="R548" t="e">
            <v>#N/A</v>
          </cell>
        </row>
        <row r="549">
          <cell r="A549">
            <v>40263</v>
          </cell>
          <cell r="B549">
            <v>40263</v>
          </cell>
          <cell r="C549" t="str">
            <v>Past</v>
          </cell>
          <cell r="D549">
            <v>62.98</v>
          </cell>
          <cell r="E549" t="e">
            <v>#N/A</v>
          </cell>
          <cell r="F549" t="e">
            <v>#N/A</v>
          </cell>
          <cell r="G549" t="e">
            <v>#N/A</v>
          </cell>
          <cell r="H549" t="e">
            <v>#N/A</v>
          </cell>
          <cell r="I549" t="e">
            <v>#N/A</v>
          </cell>
          <cell r="J549" t="e">
            <v>#N/A</v>
          </cell>
          <cell r="K549" t="e">
            <v>#N/A</v>
          </cell>
          <cell r="L549" t="e">
            <v>#N/A</v>
          </cell>
          <cell r="M549" t="e">
            <v>#N/A</v>
          </cell>
          <cell r="N549" t="e">
            <v>#N/A</v>
          </cell>
          <cell r="O549" t="e">
            <v>#N/A</v>
          </cell>
          <cell r="P549">
            <v>62.98</v>
          </cell>
          <cell r="Q549">
            <v>0.87897799999999993</v>
          </cell>
          <cell r="R549" t="e">
            <v>#N/A</v>
          </cell>
        </row>
        <row r="550">
          <cell r="A550">
            <v>40266</v>
          </cell>
          <cell r="B550">
            <v>40266</v>
          </cell>
          <cell r="C550" t="str">
            <v>Past</v>
          </cell>
          <cell r="D550">
            <v>63.4</v>
          </cell>
          <cell r="E550" t="e">
            <v>#N/A</v>
          </cell>
          <cell r="F550" t="e">
            <v>#N/A</v>
          </cell>
          <cell r="G550" t="e">
            <v>#N/A</v>
          </cell>
          <cell r="H550" t="e">
            <v>#N/A</v>
          </cell>
          <cell r="I550" t="e">
            <v>#N/A</v>
          </cell>
          <cell r="J550" t="e">
            <v>#N/A</v>
          </cell>
          <cell r="K550" t="e">
            <v>#N/A</v>
          </cell>
          <cell r="L550" t="e">
            <v>#N/A</v>
          </cell>
          <cell r="M550" t="e">
            <v>#N/A</v>
          </cell>
          <cell r="N550" t="e">
            <v>#N/A</v>
          </cell>
          <cell r="O550" t="e">
            <v>#N/A</v>
          </cell>
          <cell r="P550">
            <v>63.4</v>
          </cell>
          <cell r="Q550">
            <v>1.082724</v>
          </cell>
          <cell r="R550" t="e">
            <v>#N/A</v>
          </cell>
        </row>
        <row r="551">
          <cell r="A551">
            <v>40267</v>
          </cell>
          <cell r="B551">
            <v>40267</v>
          </cell>
          <cell r="C551" t="str">
            <v>Past</v>
          </cell>
          <cell r="D551">
            <v>63.13</v>
          </cell>
          <cell r="E551" t="e">
            <v>#N/A</v>
          </cell>
          <cell r="F551" t="e">
            <v>#N/A</v>
          </cell>
          <cell r="G551" t="e">
            <v>#N/A</v>
          </cell>
          <cell r="H551" t="e">
            <v>#N/A</v>
          </cell>
          <cell r="I551" t="e">
            <v>#N/A</v>
          </cell>
          <cell r="J551" t="e">
            <v>#N/A</v>
          </cell>
          <cell r="K551" t="e">
            <v>#N/A</v>
          </cell>
          <cell r="L551" t="e">
            <v>#N/A</v>
          </cell>
          <cell r="M551" t="e">
            <v>#N/A</v>
          </cell>
          <cell r="N551" t="e">
            <v>#N/A</v>
          </cell>
          <cell r="O551" t="e">
            <v>#N/A</v>
          </cell>
          <cell r="P551">
            <v>63.13</v>
          </cell>
          <cell r="Q551">
            <v>0.73755799999999994</v>
          </cell>
          <cell r="R551" t="e">
            <v>#N/A</v>
          </cell>
        </row>
        <row r="552">
          <cell r="A552">
            <v>40268</v>
          </cell>
          <cell r="B552">
            <v>40268</v>
          </cell>
          <cell r="C552" t="str">
            <v>Past</v>
          </cell>
          <cell r="D552">
            <v>62.59</v>
          </cell>
          <cell r="E552" t="e">
            <v>#N/A</v>
          </cell>
          <cell r="F552" t="e">
            <v>#N/A</v>
          </cell>
          <cell r="G552" t="e">
            <v>#N/A</v>
          </cell>
          <cell r="H552" t="e">
            <v>#N/A</v>
          </cell>
          <cell r="I552" t="e">
            <v>#N/A</v>
          </cell>
          <cell r="J552" t="e">
            <v>#N/A</v>
          </cell>
          <cell r="K552" t="e">
            <v>#N/A</v>
          </cell>
          <cell r="L552" t="e">
            <v>#N/A</v>
          </cell>
          <cell r="M552" t="e">
            <v>#N/A</v>
          </cell>
          <cell r="N552" t="e">
            <v>#N/A</v>
          </cell>
          <cell r="O552" t="e">
            <v>#N/A</v>
          </cell>
          <cell r="P552">
            <v>62.59</v>
          </cell>
          <cell r="Q552">
            <v>0.99620399999999998</v>
          </cell>
          <cell r="R552" t="e">
            <v>#N/A</v>
          </cell>
        </row>
        <row r="553">
          <cell r="A553">
            <v>40269</v>
          </cell>
          <cell r="B553">
            <v>40269</v>
          </cell>
          <cell r="C553" t="str">
            <v>Past</v>
          </cell>
          <cell r="D553">
            <v>62.87</v>
          </cell>
          <cell r="E553" t="e">
            <v>#N/A</v>
          </cell>
          <cell r="F553" t="e">
            <v>#N/A</v>
          </cell>
          <cell r="G553" t="e">
            <v>#N/A</v>
          </cell>
          <cell r="H553" t="e">
            <v>#N/A</v>
          </cell>
          <cell r="I553" t="e">
            <v>#N/A</v>
          </cell>
          <cell r="J553" t="e">
            <v>#N/A</v>
          </cell>
          <cell r="K553" t="e">
            <v>#N/A</v>
          </cell>
          <cell r="L553" t="e">
            <v>#N/A</v>
          </cell>
          <cell r="M553" t="e">
            <v>#N/A</v>
          </cell>
          <cell r="N553" t="e">
            <v>#N/A</v>
          </cell>
          <cell r="O553" t="e">
            <v>#N/A</v>
          </cell>
          <cell r="P553">
            <v>62.87</v>
          </cell>
          <cell r="Q553">
            <v>0.82861499999999999</v>
          </cell>
          <cell r="R553" t="e">
            <v>#N/A</v>
          </cell>
        </row>
        <row r="554">
          <cell r="A554">
            <v>40273</v>
          </cell>
          <cell r="B554">
            <v>40273</v>
          </cell>
          <cell r="C554" t="str">
            <v>Past</v>
          </cell>
          <cell r="D554">
            <v>62.76</v>
          </cell>
          <cell r="E554" t="e">
            <v>#N/A</v>
          </cell>
          <cell r="F554" t="e">
            <v>#N/A</v>
          </cell>
          <cell r="G554" t="e">
            <v>#N/A</v>
          </cell>
          <cell r="H554" t="e">
            <v>#N/A</v>
          </cell>
          <cell r="I554" t="e">
            <v>#N/A</v>
          </cell>
          <cell r="J554" t="e">
            <v>#N/A</v>
          </cell>
          <cell r="K554" t="e">
            <v>#N/A</v>
          </cell>
          <cell r="L554" t="e">
            <v>#N/A</v>
          </cell>
          <cell r="M554" t="e">
            <v>#N/A</v>
          </cell>
          <cell r="N554" t="e">
            <v>#N/A</v>
          </cell>
          <cell r="O554" t="e">
            <v>#N/A</v>
          </cell>
          <cell r="P554">
            <v>62.76</v>
          </cell>
          <cell r="Q554">
            <v>0.523926</v>
          </cell>
          <cell r="R554" t="e">
            <v>#N/A</v>
          </cell>
        </row>
        <row r="555">
          <cell r="A555">
            <v>40274</v>
          </cell>
          <cell r="B555">
            <v>40274</v>
          </cell>
          <cell r="C555" t="str">
            <v>Past</v>
          </cell>
          <cell r="D555">
            <v>63.04</v>
          </cell>
          <cell r="E555" t="e">
            <v>#N/A</v>
          </cell>
          <cell r="F555" t="e">
            <v>#N/A</v>
          </cell>
          <cell r="G555" t="e">
            <v>#N/A</v>
          </cell>
          <cell r="H555" t="e">
            <v>#N/A</v>
          </cell>
          <cell r="I555" t="e">
            <v>#N/A</v>
          </cell>
          <cell r="J555" t="e">
            <v>#N/A</v>
          </cell>
          <cell r="K555" t="e">
            <v>#N/A</v>
          </cell>
          <cell r="L555" t="e">
            <v>#N/A</v>
          </cell>
          <cell r="M555" t="e">
            <v>#N/A</v>
          </cell>
          <cell r="N555" t="e">
            <v>#N/A</v>
          </cell>
          <cell r="O555" t="e">
            <v>#N/A</v>
          </cell>
          <cell r="P555">
            <v>63.04</v>
          </cell>
          <cell r="Q555">
            <v>0.98579299999999992</v>
          </cell>
          <cell r="R555" t="e">
            <v>#N/A</v>
          </cell>
        </row>
        <row r="556">
          <cell r="A556">
            <v>40275</v>
          </cell>
          <cell r="B556">
            <v>40275</v>
          </cell>
          <cell r="C556" t="str">
            <v>Past</v>
          </cell>
          <cell r="D556">
            <v>62.48</v>
          </cell>
          <cell r="E556" t="e">
            <v>#N/A</v>
          </cell>
          <cell r="F556" t="e">
            <v>#N/A</v>
          </cell>
          <cell r="G556" t="e">
            <v>#N/A</v>
          </cell>
          <cell r="H556" t="e">
            <v>#N/A</v>
          </cell>
          <cell r="I556" t="e">
            <v>#N/A</v>
          </cell>
          <cell r="J556" t="e">
            <v>#N/A</v>
          </cell>
          <cell r="K556" t="e">
            <v>#N/A</v>
          </cell>
          <cell r="L556" t="e">
            <v>#N/A</v>
          </cell>
          <cell r="M556" t="e">
            <v>#N/A</v>
          </cell>
          <cell r="N556" t="e">
            <v>#N/A</v>
          </cell>
          <cell r="O556" t="e">
            <v>#N/A</v>
          </cell>
          <cell r="P556">
            <v>62.48</v>
          </cell>
          <cell r="Q556">
            <v>0.92876399999999992</v>
          </cell>
          <cell r="R556" t="e">
            <v>#N/A</v>
          </cell>
        </row>
        <row r="557">
          <cell r="A557">
            <v>40276</v>
          </cell>
          <cell r="B557">
            <v>40276</v>
          </cell>
          <cell r="C557" t="str">
            <v>Past</v>
          </cell>
          <cell r="D557">
            <v>62.99</v>
          </cell>
          <cell r="E557" t="e">
            <v>#N/A</v>
          </cell>
          <cell r="F557" t="e">
            <v>#N/A</v>
          </cell>
          <cell r="G557" t="e">
            <v>#N/A</v>
          </cell>
          <cell r="H557" t="e">
            <v>#N/A</v>
          </cell>
          <cell r="I557" t="e">
            <v>#N/A</v>
          </cell>
          <cell r="J557" t="e">
            <v>#N/A</v>
          </cell>
          <cell r="K557" t="e">
            <v>#N/A</v>
          </cell>
          <cell r="L557" t="e">
            <v>#N/A</v>
          </cell>
          <cell r="M557" t="e">
            <v>#N/A</v>
          </cell>
          <cell r="N557" t="e">
            <v>#N/A</v>
          </cell>
          <cell r="O557">
            <v>0</v>
          </cell>
          <cell r="P557">
            <v>62.99</v>
          </cell>
          <cell r="Q557">
            <v>0.56561899999999998</v>
          </cell>
          <cell r="R557" t="e">
            <v>#N/A</v>
          </cell>
        </row>
        <row r="558">
          <cell r="A558">
            <v>40277</v>
          </cell>
          <cell r="B558">
            <v>40277</v>
          </cell>
          <cell r="C558" t="str">
            <v>Current</v>
          </cell>
          <cell r="D558">
            <v>63.51</v>
          </cell>
          <cell r="E558">
            <v>63.51</v>
          </cell>
          <cell r="F558">
            <v>63.51</v>
          </cell>
          <cell r="G558">
            <v>63.51</v>
          </cell>
          <cell r="H558">
            <v>63.51</v>
          </cell>
          <cell r="I558">
            <v>63.51</v>
          </cell>
          <cell r="J558" t="e">
            <v>#N/A</v>
          </cell>
          <cell r="K558" t="e">
            <v>#N/A</v>
          </cell>
          <cell r="L558" t="e">
            <v>#N/A</v>
          </cell>
          <cell r="M558" t="e">
            <v>#N/A</v>
          </cell>
          <cell r="N558" t="e">
            <v>#N/A</v>
          </cell>
          <cell r="O558">
            <v>26.288689999999999</v>
          </cell>
          <cell r="P558">
            <v>63.51</v>
          </cell>
          <cell r="Q558">
            <v>0.52714799999999995</v>
          </cell>
          <cell r="R558" t="e">
            <v>#N/A</v>
          </cell>
        </row>
        <row r="559">
          <cell r="A559">
            <v>40280</v>
          </cell>
          <cell r="B559">
            <v>40280</v>
          </cell>
          <cell r="C559" t="str">
            <v>Future</v>
          </cell>
          <cell r="D559" t="e">
            <v>#N/A</v>
          </cell>
          <cell r="E559">
            <v>63.25996062992126</v>
          </cell>
          <cell r="F559">
            <v>63.614291338582674</v>
          </cell>
          <cell r="G559">
            <v>63.456811023622045</v>
          </cell>
          <cell r="H559">
            <v>63.456811023622045</v>
          </cell>
          <cell r="I559" t="e">
            <v>#N/A</v>
          </cell>
          <cell r="J559" t="e">
            <v>#N/A</v>
          </cell>
          <cell r="K559" t="e">
            <v>#N/A</v>
          </cell>
          <cell r="L559" t="e">
            <v>#N/A</v>
          </cell>
          <cell r="M559" t="e">
            <v>#N/A</v>
          </cell>
          <cell r="N559" t="e">
            <v>#N/A</v>
          </cell>
          <cell r="O559" t="e">
            <v>#N/A</v>
          </cell>
          <cell r="P559">
            <v>63.51</v>
          </cell>
          <cell r="Q559">
            <v>0.52714799999999995</v>
          </cell>
          <cell r="R559" t="e">
            <v>#N/A</v>
          </cell>
        </row>
        <row r="560">
          <cell r="A560">
            <v>40281</v>
          </cell>
          <cell r="B560">
            <v>40281</v>
          </cell>
          <cell r="C560" t="str">
            <v>Future</v>
          </cell>
          <cell r="D560" t="e">
            <v>#N/A</v>
          </cell>
          <cell r="E560">
            <v>63.009921259842521</v>
          </cell>
          <cell r="F560">
            <v>63.718582677165351</v>
          </cell>
          <cell r="G560">
            <v>63.403622047244092</v>
          </cell>
          <cell r="H560">
            <v>63.403622047244092</v>
          </cell>
          <cell r="I560" t="e">
            <v>#N/A</v>
          </cell>
          <cell r="J560" t="e">
            <v>#N/A</v>
          </cell>
          <cell r="K560" t="e">
            <v>#N/A</v>
          </cell>
          <cell r="L560" t="e">
            <v>#N/A</v>
          </cell>
          <cell r="M560" t="e">
            <v>#N/A</v>
          </cell>
          <cell r="N560" t="e">
            <v>#N/A</v>
          </cell>
          <cell r="O560" t="e">
            <v>#N/A</v>
          </cell>
          <cell r="P560">
            <v>63.51</v>
          </cell>
          <cell r="Q560" t="str">
            <v/>
          </cell>
          <cell r="R560" t="e">
            <v>#N/A</v>
          </cell>
        </row>
        <row r="561">
          <cell r="A561">
            <v>40282</v>
          </cell>
          <cell r="B561">
            <v>40282</v>
          </cell>
          <cell r="C561" t="str">
            <v>Future</v>
          </cell>
          <cell r="D561" t="e">
            <v>#N/A</v>
          </cell>
          <cell r="E561">
            <v>62.759881889763783</v>
          </cell>
          <cell r="F561">
            <v>63.822874015748027</v>
          </cell>
          <cell r="G561">
            <v>63.350433070866139</v>
          </cell>
          <cell r="H561">
            <v>63.350433070866139</v>
          </cell>
          <cell r="I561" t="e">
            <v>#N/A</v>
          </cell>
          <cell r="J561" t="e">
            <v>#N/A</v>
          </cell>
          <cell r="K561" t="e">
            <v>#N/A</v>
          </cell>
          <cell r="L561" t="e">
            <v>#N/A</v>
          </cell>
          <cell r="M561" t="e">
            <v>#N/A</v>
          </cell>
          <cell r="N561" t="e">
            <v>#N/A</v>
          </cell>
          <cell r="O561" t="e">
            <v>#N/A</v>
          </cell>
          <cell r="P561">
            <v>63.51</v>
          </cell>
          <cell r="Q561" t="str">
            <v/>
          </cell>
          <cell r="R561" t="e">
            <v>#N/A</v>
          </cell>
        </row>
        <row r="562">
          <cell r="A562">
            <v>40283</v>
          </cell>
          <cell r="B562">
            <v>40283</v>
          </cell>
          <cell r="C562" t="str">
            <v>Future</v>
          </cell>
          <cell r="D562" t="e">
            <v>#N/A</v>
          </cell>
          <cell r="E562">
            <v>62.509842519685044</v>
          </cell>
          <cell r="F562">
            <v>63.927165354330704</v>
          </cell>
          <cell r="G562">
            <v>63.297244094488185</v>
          </cell>
          <cell r="H562">
            <v>63.297244094488185</v>
          </cell>
          <cell r="I562" t="e">
            <v>#N/A</v>
          </cell>
          <cell r="J562" t="e">
            <v>#N/A</v>
          </cell>
          <cell r="K562" t="e">
            <v>#N/A</v>
          </cell>
          <cell r="L562" t="e">
            <v>#N/A</v>
          </cell>
          <cell r="M562" t="e">
            <v>#N/A</v>
          </cell>
          <cell r="N562" t="e">
            <v>#N/A</v>
          </cell>
          <cell r="O562" t="e">
            <v>#N/A</v>
          </cell>
          <cell r="P562">
            <v>63.51</v>
          </cell>
          <cell r="Q562" t="str">
            <v/>
          </cell>
          <cell r="R562" t="e">
            <v>#N/A</v>
          </cell>
        </row>
        <row r="563">
          <cell r="A563">
            <v>40284</v>
          </cell>
          <cell r="B563">
            <v>40284</v>
          </cell>
          <cell r="C563" t="str">
            <v>Future</v>
          </cell>
          <cell r="D563" t="e">
            <v>#N/A</v>
          </cell>
          <cell r="E563">
            <v>62.259803149606306</v>
          </cell>
          <cell r="F563">
            <v>64.03145669291338</v>
          </cell>
          <cell r="G563">
            <v>63.244055118110232</v>
          </cell>
          <cell r="H563">
            <v>63.244055118110232</v>
          </cell>
          <cell r="I563" t="e">
            <v>#N/A</v>
          </cell>
          <cell r="J563" t="e">
            <v>#N/A</v>
          </cell>
          <cell r="K563" t="e">
            <v>#N/A</v>
          </cell>
          <cell r="L563" t="e">
            <v>#N/A</v>
          </cell>
          <cell r="M563" t="e">
            <v>#N/A</v>
          </cell>
          <cell r="N563" t="e">
            <v>#N/A</v>
          </cell>
          <cell r="O563" t="e">
            <v>#N/A</v>
          </cell>
          <cell r="P563">
            <v>63.51</v>
          </cell>
          <cell r="Q563" t="str">
            <v/>
          </cell>
          <cell r="R563" t="e">
            <v>#N/A</v>
          </cell>
        </row>
        <row r="564">
          <cell r="A564">
            <v>40287</v>
          </cell>
          <cell r="B564">
            <v>40287</v>
          </cell>
          <cell r="C564" t="str">
            <v>Future</v>
          </cell>
          <cell r="D564" t="e">
            <v>#N/A</v>
          </cell>
          <cell r="E564">
            <v>62.009763779527567</v>
          </cell>
          <cell r="F564">
            <v>64.135748031496064</v>
          </cell>
          <cell r="G564">
            <v>63.190866141732279</v>
          </cell>
          <cell r="H564">
            <v>63.190866141732279</v>
          </cell>
          <cell r="I564" t="e">
            <v>#N/A</v>
          </cell>
          <cell r="J564" t="e">
            <v>#N/A</v>
          </cell>
          <cell r="K564" t="e">
            <v>#N/A</v>
          </cell>
          <cell r="L564" t="e">
            <v>#N/A</v>
          </cell>
          <cell r="M564" t="e">
            <v>#N/A</v>
          </cell>
          <cell r="N564" t="e">
            <v>#N/A</v>
          </cell>
          <cell r="O564" t="e">
            <v>#N/A</v>
          </cell>
          <cell r="P564">
            <v>63.51</v>
          </cell>
          <cell r="Q564" t="str">
            <v/>
          </cell>
          <cell r="R564" t="e">
            <v>#N/A</v>
          </cell>
        </row>
        <row r="565">
          <cell r="A565">
            <v>40288</v>
          </cell>
          <cell r="B565">
            <v>40288</v>
          </cell>
          <cell r="C565" t="str">
            <v>Future</v>
          </cell>
          <cell r="D565" t="e">
            <v>#N/A</v>
          </cell>
          <cell r="E565">
            <v>61.759724409448829</v>
          </cell>
          <cell r="F565">
            <v>64.240039370078748</v>
          </cell>
          <cell r="G565">
            <v>63.137677165354326</v>
          </cell>
          <cell r="H565">
            <v>63.137677165354326</v>
          </cell>
          <cell r="I565" t="e">
            <v>#N/A</v>
          </cell>
          <cell r="J565" t="e">
            <v>#N/A</v>
          </cell>
          <cell r="K565" t="e">
            <v>#N/A</v>
          </cell>
          <cell r="L565" t="e">
            <v>#N/A</v>
          </cell>
          <cell r="M565" t="e">
            <v>#N/A</v>
          </cell>
          <cell r="N565" t="e">
            <v>#N/A</v>
          </cell>
          <cell r="O565" t="e">
            <v>#N/A</v>
          </cell>
          <cell r="P565">
            <v>63.51</v>
          </cell>
          <cell r="Q565" t="str">
            <v/>
          </cell>
          <cell r="R565" t="e">
            <v>#N/A</v>
          </cell>
        </row>
        <row r="566">
          <cell r="A566">
            <v>40289</v>
          </cell>
          <cell r="B566">
            <v>40289</v>
          </cell>
          <cell r="C566" t="str">
            <v>Future</v>
          </cell>
          <cell r="D566" t="e">
            <v>#N/A</v>
          </cell>
          <cell r="E566">
            <v>61.50968503937009</v>
          </cell>
          <cell r="F566">
            <v>64.344330708661431</v>
          </cell>
          <cell r="G566">
            <v>63.084488188976373</v>
          </cell>
          <cell r="H566">
            <v>63.084488188976373</v>
          </cell>
          <cell r="I566" t="e">
            <v>#N/A</v>
          </cell>
          <cell r="J566" t="e">
            <v>#N/A</v>
          </cell>
          <cell r="K566" t="e">
            <v>#N/A</v>
          </cell>
          <cell r="L566" t="e">
            <v>#N/A</v>
          </cell>
          <cell r="M566" t="e">
            <v>#N/A</v>
          </cell>
          <cell r="N566" t="e">
            <v>#N/A</v>
          </cell>
          <cell r="O566" t="e">
            <v>#N/A</v>
          </cell>
          <cell r="P566">
            <v>63.51</v>
          </cell>
          <cell r="Q566" t="str">
            <v/>
          </cell>
          <cell r="R566" t="e">
            <v>#N/A</v>
          </cell>
        </row>
        <row r="567">
          <cell r="A567">
            <v>40290</v>
          </cell>
          <cell r="B567">
            <v>40290</v>
          </cell>
          <cell r="C567" t="str">
            <v>Future</v>
          </cell>
          <cell r="D567" t="e">
            <v>#N/A</v>
          </cell>
          <cell r="E567">
            <v>61.259645669291352</v>
          </cell>
          <cell r="F567">
            <v>64.448622047244115</v>
          </cell>
          <cell r="G567">
            <v>63.03129921259842</v>
          </cell>
          <cell r="H567">
            <v>63.03129921259842</v>
          </cell>
          <cell r="I567" t="e">
            <v>#N/A</v>
          </cell>
          <cell r="J567" t="e">
            <v>#N/A</v>
          </cell>
          <cell r="K567" t="e">
            <v>#N/A</v>
          </cell>
          <cell r="L567" t="e">
            <v>#N/A</v>
          </cell>
          <cell r="M567" t="e">
            <v>#N/A</v>
          </cell>
          <cell r="N567" t="e">
            <v>#N/A</v>
          </cell>
          <cell r="O567" t="e">
            <v>#N/A</v>
          </cell>
          <cell r="P567">
            <v>63.51</v>
          </cell>
          <cell r="Q567" t="str">
            <v/>
          </cell>
          <cell r="R567" t="e">
            <v>#N/A</v>
          </cell>
        </row>
        <row r="568">
          <cell r="A568">
            <v>40291</v>
          </cell>
          <cell r="B568">
            <v>40291</v>
          </cell>
          <cell r="C568" t="str">
            <v>Future</v>
          </cell>
          <cell r="D568" t="e">
            <v>#N/A</v>
          </cell>
          <cell r="E568">
            <v>61.009606299212614</v>
          </cell>
          <cell r="F568">
            <v>64.552913385826798</v>
          </cell>
          <cell r="G568">
            <v>62.978110236220466</v>
          </cell>
          <cell r="H568">
            <v>62.978110236220466</v>
          </cell>
          <cell r="I568" t="e">
            <v>#N/A</v>
          </cell>
          <cell r="J568" t="e">
            <v>#N/A</v>
          </cell>
          <cell r="K568" t="e">
            <v>#N/A</v>
          </cell>
          <cell r="L568" t="e">
            <v>#N/A</v>
          </cell>
          <cell r="M568" t="e">
            <v>#N/A</v>
          </cell>
          <cell r="N568" t="e">
            <v>#N/A</v>
          </cell>
          <cell r="O568" t="e">
            <v>#N/A</v>
          </cell>
          <cell r="P568">
            <v>63.51</v>
          </cell>
          <cell r="Q568" t="str">
            <v/>
          </cell>
          <cell r="R568" t="e">
            <v>#N/A</v>
          </cell>
        </row>
        <row r="569">
          <cell r="A569">
            <v>40294</v>
          </cell>
          <cell r="B569">
            <v>40294</v>
          </cell>
          <cell r="C569" t="str">
            <v>Future</v>
          </cell>
          <cell r="D569" t="e">
            <v>#N/A</v>
          </cell>
          <cell r="E569">
            <v>60.759566929133875</v>
          </cell>
          <cell r="F569">
            <v>64.657204724409482</v>
          </cell>
          <cell r="G569">
            <v>62.924921259842513</v>
          </cell>
          <cell r="H569">
            <v>62.924921259842513</v>
          </cell>
          <cell r="I569" t="e">
            <v>#N/A</v>
          </cell>
          <cell r="J569" t="e">
            <v>#N/A</v>
          </cell>
          <cell r="K569" t="e">
            <v>#N/A</v>
          </cell>
          <cell r="L569" t="e">
            <v>#N/A</v>
          </cell>
          <cell r="M569" t="e">
            <v>#N/A</v>
          </cell>
          <cell r="N569" t="e">
            <v>#N/A</v>
          </cell>
          <cell r="O569" t="e">
            <v>#N/A</v>
          </cell>
          <cell r="P569">
            <v>63.51</v>
          </cell>
          <cell r="Q569" t="str">
            <v/>
          </cell>
          <cell r="R569" t="e">
            <v>#N/A</v>
          </cell>
        </row>
        <row r="570">
          <cell r="A570">
            <v>40295</v>
          </cell>
          <cell r="B570">
            <v>40295</v>
          </cell>
          <cell r="C570" t="str">
            <v>Future</v>
          </cell>
          <cell r="D570" t="e">
            <v>#N/A</v>
          </cell>
          <cell r="E570">
            <v>60.509527559055137</v>
          </cell>
          <cell r="F570">
            <v>64.761496062992165</v>
          </cell>
          <cell r="G570">
            <v>62.87173228346456</v>
          </cell>
          <cell r="H570">
            <v>62.87173228346456</v>
          </cell>
          <cell r="I570" t="e">
            <v>#N/A</v>
          </cell>
          <cell r="J570" t="e">
            <v>#N/A</v>
          </cell>
          <cell r="K570" t="e">
            <v>#N/A</v>
          </cell>
          <cell r="L570" t="e">
            <v>#N/A</v>
          </cell>
          <cell r="M570" t="e">
            <v>#N/A</v>
          </cell>
          <cell r="N570" t="e">
            <v>#N/A</v>
          </cell>
          <cell r="O570" t="e">
            <v>#N/A</v>
          </cell>
          <cell r="P570">
            <v>63.51</v>
          </cell>
          <cell r="Q570" t="str">
            <v/>
          </cell>
          <cell r="R570" t="e">
            <v>#N/A</v>
          </cell>
        </row>
        <row r="571">
          <cell r="A571">
            <v>40296</v>
          </cell>
          <cell r="B571">
            <v>40296</v>
          </cell>
          <cell r="C571" t="str">
            <v>Future</v>
          </cell>
          <cell r="D571" t="e">
            <v>#N/A</v>
          </cell>
          <cell r="E571">
            <v>60.259488188976398</v>
          </cell>
          <cell r="F571">
            <v>64.865787401574849</v>
          </cell>
          <cell r="G571">
            <v>62.818543307086607</v>
          </cell>
          <cell r="H571">
            <v>62.818543307086607</v>
          </cell>
          <cell r="I571" t="e">
            <v>#N/A</v>
          </cell>
          <cell r="J571" t="e">
            <v>#N/A</v>
          </cell>
          <cell r="K571" t="e">
            <v>#N/A</v>
          </cell>
          <cell r="L571" t="e">
            <v>#N/A</v>
          </cell>
          <cell r="M571" t="e">
            <v>#N/A</v>
          </cell>
          <cell r="N571" t="e">
            <v>#N/A</v>
          </cell>
          <cell r="O571" t="e">
            <v>#N/A</v>
          </cell>
          <cell r="P571">
            <v>63.51</v>
          </cell>
          <cell r="Q571" t="str">
            <v/>
          </cell>
          <cell r="R571" t="e">
            <v>#N/A</v>
          </cell>
        </row>
        <row r="572">
          <cell r="A572">
            <v>40297</v>
          </cell>
          <cell r="B572">
            <v>40297</v>
          </cell>
          <cell r="C572" t="str">
            <v>Future</v>
          </cell>
          <cell r="D572" t="e">
            <v>#N/A</v>
          </cell>
          <cell r="E572">
            <v>60.00944881889766</v>
          </cell>
          <cell r="F572">
            <v>64.970078740157533</v>
          </cell>
          <cell r="G572">
            <v>62.765354330708654</v>
          </cell>
          <cell r="H572">
            <v>62.765354330708654</v>
          </cell>
          <cell r="I572" t="e">
            <v>#N/A</v>
          </cell>
          <cell r="J572" t="e">
            <v>#N/A</v>
          </cell>
          <cell r="K572" t="e">
            <v>#N/A</v>
          </cell>
          <cell r="L572" t="e">
            <v>#N/A</v>
          </cell>
          <cell r="M572" t="e">
            <v>#N/A</v>
          </cell>
          <cell r="N572" t="e">
            <v>#N/A</v>
          </cell>
          <cell r="O572" t="e">
            <v>#N/A</v>
          </cell>
          <cell r="P572">
            <v>63.51</v>
          </cell>
          <cell r="Q572" t="str">
            <v/>
          </cell>
          <cell r="R572" t="e">
            <v>#N/A</v>
          </cell>
        </row>
        <row r="573">
          <cell r="A573">
            <v>40298</v>
          </cell>
          <cell r="B573">
            <v>40298</v>
          </cell>
          <cell r="C573" t="str">
            <v>Future</v>
          </cell>
          <cell r="D573" t="e">
            <v>#N/A</v>
          </cell>
          <cell r="E573">
            <v>59.759409448818921</v>
          </cell>
          <cell r="F573">
            <v>65.074370078740216</v>
          </cell>
          <cell r="G573">
            <v>62.7121653543307</v>
          </cell>
          <cell r="H573">
            <v>62.7121653543307</v>
          </cell>
          <cell r="I573" t="e">
            <v>#N/A</v>
          </cell>
          <cell r="J573" t="e">
            <v>#N/A</v>
          </cell>
          <cell r="K573" t="e">
            <v>#N/A</v>
          </cell>
          <cell r="L573" t="e">
            <v>#N/A</v>
          </cell>
          <cell r="M573" t="e">
            <v>#N/A</v>
          </cell>
          <cell r="N573" t="e">
            <v>#N/A</v>
          </cell>
          <cell r="O573" t="e">
            <v>#N/A</v>
          </cell>
          <cell r="P573">
            <v>63.51</v>
          </cell>
          <cell r="Q573" t="str">
            <v/>
          </cell>
          <cell r="R573" t="e">
            <v>#N/A</v>
          </cell>
        </row>
        <row r="574">
          <cell r="A574">
            <v>40301</v>
          </cell>
          <cell r="B574">
            <v>40301</v>
          </cell>
          <cell r="C574" t="str">
            <v>Future</v>
          </cell>
          <cell r="D574" t="e">
            <v>#N/A</v>
          </cell>
          <cell r="E574">
            <v>59.509370078740183</v>
          </cell>
          <cell r="F574">
            <v>65.1786614173229</v>
          </cell>
          <cell r="G574">
            <v>62.658976377952747</v>
          </cell>
          <cell r="H574">
            <v>62.658976377952747</v>
          </cell>
          <cell r="I574" t="e">
            <v>#N/A</v>
          </cell>
          <cell r="J574" t="e">
            <v>#N/A</v>
          </cell>
          <cell r="K574" t="e">
            <v>#N/A</v>
          </cell>
          <cell r="L574" t="e">
            <v>#N/A</v>
          </cell>
          <cell r="M574" t="e">
            <v>#N/A</v>
          </cell>
          <cell r="N574" t="e">
            <v>#N/A</v>
          </cell>
          <cell r="O574" t="e">
            <v>#N/A</v>
          </cell>
          <cell r="P574">
            <v>63.51</v>
          </cell>
          <cell r="Q574" t="str">
            <v/>
          </cell>
          <cell r="R574" t="e">
            <v>#N/A</v>
          </cell>
        </row>
        <row r="575">
          <cell r="A575">
            <v>40302</v>
          </cell>
          <cell r="B575">
            <v>40302</v>
          </cell>
          <cell r="C575" t="str">
            <v>Future</v>
          </cell>
          <cell r="D575" t="e">
            <v>#N/A</v>
          </cell>
          <cell r="E575">
            <v>59.259330708661444</v>
          </cell>
          <cell r="F575">
            <v>65.282952755905583</v>
          </cell>
          <cell r="G575">
            <v>62.605787401574794</v>
          </cell>
          <cell r="H575">
            <v>62.605787401574794</v>
          </cell>
          <cell r="I575" t="e">
            <v>#N/A</v>
          </cell>
          <cell r="J575" t="e">
            <v>#N/A</v>
          </cell>
          <cell r="K575" t="e">
            <v>#N/A</v>
          </cell>
          <cell r="L575" t="e">
            <v>#N/A</v>
          </cell>
          <cell r="M575" t="e">
            <v>#N/A</v>
          </cell>
          <cell r="N575" t="e">
            <v>#N/A</v>
          </cell>
          <cell r="O575" t="e">
            <v>#N/A</v>
          </cell>
          <cell r="P575">
            <v>63.51</v>
          </cell>
          <cell r="Q575" t="str">
            <v/>
          </cell>
          <cell r="R575" t="e">
            <v>#N/A</v>
          </cell>
        </row>
        <row r="576">
          <cell r="A576">
            <v>40303</v>
          </cell>
          <cell r="B576">
            <v>40303</v>
          </cell>
          <cell r="C576" t="str">
            <v>Future</v>
          </cell>
          <cell r="D576" t="e">
            <v>#N/A</v>
          </cell>
          <cell r="E576">
            <v>59.009291338582706</v>
          </cell>
          <cell r="F576">
            <v>65.387244094488267</v>
          </cell>
          <cell r="G576">
            <v>62.552598425196841</v>
          </cell>
          <cell r="H576">
            <v>62.552598425196841</v>
          </cell>
          <cell r="I576" t="e">
            <v>#N/A</v>
          </cell>
          <cell r="J576" t="e">
            <v>#N/A</v>
          </cell>
          <cell r="K576" t="e">
            <v>#N/A</v>
          </cell>
          <cell r="L576" t="e">
            <v>#N/A</v>
          </cell>
          <cell r="M576" t="e">
            <v>#N/A</v>
          </cell>
          <cell r="N576" t="e">
            <v>#N/A</v>
          </cell>
          <cell r="O576" t="e">
            <v>#N/A</v>
          </cell>
          <cell r="P576">
            <v>63.51</v>
          </cell>
          <cell r="Q576" t="str">
            <v/>
          </cell>
          <cell r="R576" t="e">
            <v>#N/A</v>
          </cell>
        </row>
        <row r="577">
          <cell r="A577">
            <v>40304</v>
          </cell>
          <cell r="B577">
            <v>40304</v>
          </cell>
          <cell r="C577" t="str">
            <v>Future</v>
          </cell>
          <cell r="D577" t="e">
            <v>#N/A</v>
          </cell>
          <cell r="E577">
            <v>58.759251968503968</v>
          </cell>
          <cell r="F577">
            <v>65.49153543307095</v>
          </cell>
          <cell r="G577">
            <v>62.499409448818888</v>
          </cell>
          <cell r="H577">
            <v>62.499409448818888</v>
          </cell>
          <cell r="I577" t="e">
            <v>#N/A</v>
          </cell>
          <cell r="J577" t="e">
            <v>#N/A</v>
          </cell>
          <cell r="K577" t="e">
            <v>#N/A</v>
          </cell>
          <cell r="L577" t="e">
            <v>#N/A</v>
          </cell>
          <cell r="M577" t="e">
            <v>#N/A</v>
          </cell>
          <cell r="N577" t="e">
            <v>#N/A</v>
          </cell>
          <cell r="O577" t="e">
            <v>#N/A</v>
          </cell>
          <cell r="P577">
            <v>63.51</v>
          </cell>
          <cell r="Q577" t="str">
            <v/>
          </cell>
          <cell r="R577" t="e">
            <v>#N/A</v>
          </cell>
        </row>
        <row r="578">
          <cell r="A578">
            <v>40305</v>
          </cell>
          <cell r="B578">
            <v>40305</v>
          </cell>
          <cell r="C578" t="str">
            <v>Future</v>
          </cell>
          <cell r="D578" t="e">
            <v>#N/A</v>
          </cell>
          <cell r="E578">
            <v>58.509212598425229</v>
          </cell>
          <cell r="F578">
            <v>65.595826771653634</v>
          </cell>
          <cell r="G578">
            <v>62.446220472440935</v>
          </cell>
          <cell r="H578">
            <v>62.446220472440935</v>
          </cell>
          <cell r="I578" t="e">
            <v>#N/A</v>
          </cell>
          <cell r="J578" t="e">
            <v>#N/A</v>
          </cell>
          <cell r="K578" t="e">
            <v>#N/A</v>
          </cell>
          <cell r="L578" t="e">
            <v>#N/A</v>
          </cell>
          <cell r="M578" t="e">
            <v>#N/A</v>
          </cell>
          <cell r="N578" t="e">
            <v>#N/A</v>
          </cell>
          <cell r="O578" t="e">
            <v>#N/A</v>
          </cell>
          <cell r="P578">
            <v>63.51</v>
          </cell>
          <cell r="Q578" t="str">
            <v/>
          </cell>
          <cell r="R578" t="e">
            <v>#N/A</v>
          </cell>
        </row>
        <row r="579">
          <cell r="A579">
            <v>40308</v>
          </cell>
          <cell r="B579">
            <v>40308</v>
          </cell>
          <cell r="C579" t="str">
            <v>Future</v>
          </cell>
          <cell r="D579" t="e">
            <v>#N/A</v>
          </cell>
          <cell r="E579">
            <v>58.259173228346491</v>
          </cell>
          <cell r="F579">
            <v>65.700118110236318</v>
          </cell>
          <cell r="G579">
            <v>62.393031496062981</v>
          </cell>
          <cell r="H579">
            <v>62.393031496062981</v>
          </cell>
          <cell r="I579" t="e">
            <v>#N/A</v>
          </cell>
          <cell r="J579" t="e">
            <v>#N/A</v>
          </cell>
          <cell r="K579" t="e">
            <v>#N/A</v>
          </cell>
          <cell r="L579" t="e">
            <v>#N/A</v>
          </cell>
          <cell r="M579" t="e">
            <v>#N/A</v>
          </cell>
          <cell r="N579" t="e">
            <v>#N/A</v>
          </cell>
          <cell r="O579" t="e">
            <v>#N/A</v>
          </cell>
          <cell r="P579">
            <v>63.51</v>
          </cell>
          <cell r="Q579" t="str">
            <v/>
          </cell>
          <cell r="R579" t="e">
            <v>#N/A</v>
          </cell>
        </row>
        <row r="580">
          <cell r="A580">
            <v>40309</v>
          </cell>
          <cell r="B580">
            <v>40309</v>
          </cell>
          <cell r="C580" t="str">
            <v>Future</v>
          </cell>
          <cell r="D580" t="e">
            <v>#N/A</v>
          </cell>
          <cell r="E580">
            <v>58.009133858267752</v>
          </cell>
          <cell r="F580">
            <v>65.804409448819001</v>
          </cell>
          <cell r="G580">
            <v>62.339842519685028</v>
          </cell>
          <cell r="H580">
            <v>62.339842519685028</v>
          </cell>
          <cell r="I580" t="e">
            <v>#N/A</v>
          </cell>
          <cell r="J580" t="e">
            <v>#N/A</v>
          </cell>
          <cell r="K580" t="e">
            <v>#N/A</v>
          </cell>
          <cell r="L580" t="e">
            <v>#N/A</v>
          </cell>
          <cell r="M580" t="e">
            <v>#N/A</v>
          </cell>
          <cell r="N580" t="e">
            <v>#N/A</v>
          </cell>
          <cell r="O580" t="e">
            <v>#N/A</v>
          </cell>
          <cell r="P580">
            <v>63.51</v>
          </cell>
          <cell r="Q580" t="str">
            <v/>
          </cell>
          <cell r="R580" t="e">
            <v>#N/A</v>
          </cell>
        </row>
        <row r="581">
          <cell r="A581">
            <v>40310</v>
          </cell>
          <cell r="B581">
            <v>40310</v>
          </cell>
          <cell r="C581" t="str">
            <v>Future</v>
          </cell>
          <cell r="D581" t="e">
            <v>#N/A</v>
          </cell>
          <cell r="E581">
            <v>57.759094488189014</v>
          </cell>
          <cell r="F581">
            <v>65.908700787401685</v>
          </cell>
          <cell r="G581">
            <v>62.286653543307075</v>
          </cell>
          <cell r="H581">
            <v>62.286653543307075</v>
          </cell>
          <cell r="I581" t="e">
            <v>#N/A</v>
          </cell>
          <cell r="J581" t="e">
            <v>#N/A</v>
          </cell>
          <cell r="K581" t="e">
            <v>#N/A</v>
          </cell>
          <cell r="L581" t="e">
            <v>#N/A</v>
          </cell>
          <cell r="M581" t="e">
            <v>#N/A</v>
          </cell>
          <cell r="N581" t="e">
            <v>#N/A</v>
          </cell>
          <cell r="O581" t="e">
            <v>#N/A</v>
          </cell>
          <cell r="P581">
            <v>63.51</v>
          </cell>
          <cell r="Q581" t="str">
            <v/>
          </cell>
          <cell r="R581" t="e">
            <v>#N/A</v>
          </cell>
        </row>
        <row r="582">
          <cell r="A582">
            <v>40311</v>
          </cell>
          <cell r="B582">
            <v>40311</v>
          </cell>
          <cell r="C582" t="str">
            <v>Future</v>
          </cell>
          <cell r="D582" t="e">
            <v>#N/A</v>
          </cell>
          <cell r="E582">
            <v>57.509055118110275</v>
          </cell>
          <cell r="F582">
            <v>66.012992125984368</v>
          </cell>
          <cell r="G582">
            <v>62.233464566929122</v>
          </cell>
          <cell r="H582">
            <v>62.233464566929122</v>
          </cell>
          <cell r="I582" t="e">
            <v>#N/A</v>
          </cell>
          <cell r="J582" t="e">
            <v>#N/A</v>
          </cell>
          <cell r="K582" t="e">
            <v>#N/A</v>
          </cell>
          <cell r="L582" t="e">
            <v>#N/A</v>
          </cell>
          <cell r="M582" t="e">
            <v>#N/A</v>
          </cell>
          <cell r="N582" t="e">
            <v>#N/A</v>
          </cell>
          <cell r="O582" t="e">
            <v>#N/A</v>
          </cell>
          <cell r="P582">
            <v>63.51</v>
          </cell>
          <cell r="Q582" t="str">
            <v/>
          </cell>
          <cell r="R582" t="e">
            <v>#N/A</v>
          </cell>
        </row>
        <row r="583">
          <cell r="A583">
            <v>40312</v>
          </cell>
          <cell r="B583">
            <v>40312</v>
          </cell>
          <cell r="C583" t="str">
            <v>Future</v>
          </cell>
          <cell r="D583" t="e">
            <v>#N/A</v>
          </cell>
          <cell r="E583">
            <v>57.259015748031537</v>
          </cell>
          <cell r="F583">
            <v>66.117283464567052</v>
          </cell>
          <cell r="G583">
            <v>62.180275590551169</v>
          </cell>
          <cell r="H583">
            <v>62.180275590551169</v>
          </cell>
          <cell r="I583" t="e">
            <v>#N/A</v>
          </cell>
          <cell r="J583" t="e">
            <v>#N/A</v>
          </cell>
          <cell r="K583" t="e">
            <v>#N/A</v>
          </cell>
          <cell r="L583" t="e">
            <v>#N/A</v>
          </cell>
          <cell r="M583" t="e">
            <v>#N/A</v>
          </cell>
          <cell r="N583" t="e">
            <v>#N/A</v>
          </cell>
          <cell r="O583" t="e">
            <v>#N/A</v>
          </cell>
          <cell r="P583">
            <v>63.51</v>
          </cell>
          <cell r="Q583" t="str">
            <v/>
          </cell>
          <cell r="R583" t="e">
            <v>#N/A</v>
          </cell>
        </row>
        <row r="584">
          <cell r="A584">
            <v>40315</v>
          </cell>
          <cell r="B584">
            <v>40315</v>
          </cell>
          <cell r="C584" t="str">
            <v>Future</v>
          </cell>
          <cell r="D584" t="e">
            <v>#N/A</v>
          </cell>
          <cell r="E584">
            <v>57.008976377952798</v>
          </cell>
          <cell r="F584">
            <v>66.221574803149736</v>
          </cell>
          <cell r="G584">
            <v>62.127086614173216</v>
          </cell>
          <cell r="H584">
            <v>62.127086614173216</v>
          </cell>
          <cell r="I584" t="e">
            <v>#N/A</v>
          </cell>
          <cell r="J584" t="e">
            <v>#N/A</v>
          </cell>
          <cell r="K584" t="e">
            <v>#N/A</v>
          </cell>
          <cell r="L584" t="e">
            <v>#N/A</v>
          </cell>
          <cell r="M584" t="e">
            <v>#N/A</v>
          </cell>
          <cell r="N584" t="e">
            <v>#N/A</v>
          </cell>
          <cell r="O584" t="e">
            <v>#N/A</v>
          </cell>
          <cell r="P584">
            <v>63.51</v>
          </cell>
          <cell r="Q584" t="str">
            <v/>
          </cell>
          <cell r="R584" t="e">
            <v>#N/A</v>
          </cell>
        </row>
        <row r="585">
          <cell r="A585">
            <v>40316</v>
          </cell>
          <cell r="B585">
            <v>40316</v>
          </cell>
          <cell r="C585" t="str">
            <v>Future</v>
          </cell>
          <cell r="D585" t="e">
            <v>#N/A</v>
          </cell>
          <cell r="E585">
            <v>56.75893700787406</v>
          </cell>
          <cell r="F585">
            <v>66.325866141732419</v>
          </cell>
          <cell r="G585">
            <v>62.073897637795262</v>
          </cell>
          <cell r="H585">
            <v>62.073897637795262</v>
          </cell>
          <cell r="I585" t="e">
            <v>#N/A</v>
          </cell>
          <cell r="J585" t="e">
            <v>#N/A</v>
          </cell>
          <cell r="K585" t="e">
            <v>#N/A</v>
          </cell>
          <cell r="L585" t="e">
            <v>#N/A</v>
          </cell>
          <cell r="M585" t="e">
            <v>#N/A</v>
          </cell>
          <cell r="N585" t="e">
            <v>#N/A</v>
          </cell>
          <cell r="O585" t="e">
            <v>#N/A</v>
          </cell>
          <cell r="P585">
            <v>63.51</v>
          </cell>
          <cell r="Q585" t="str">
            <v/>
          </cell>
          <cell r="R585" t="e">
            <v>#N/A</v>
          </cell>
        </row>
        <row r="586">
          <cell r="A586">
            <v>40317</v>
          </cell>
          <cell r="B586">
            <v>40317</v>
          </cell>
          <cell r="C586" t="str">
            <v>Future</v>
          </cell>
          <cell r="D586" t="e">
            <v>#N/A</v>
          </cell>
          <cell r="E586">
            <v>56.508897637795322</v>
          </cell>
          <cell r="F586">
            <v>66.430157480315103</v>
          </cell>
          <cell r="G586">
            <v>62.020708661417309</v>
          </cell>
          <cell r="H586">
            <v>62.020708661417309</v>
          </cell>
          <cell r="I586" t="e">
            <v>#N/A</v>
          </cell>
          <cell r="J586" t="e">
            <v>#N/A</v>
          </cell>
          <cell r="K586" t="e">
            <v>#N/A</v>
          </cell>
          <cell r="L586" t="e">
            <v>#N/A</v>
          </cell>
          <cell r="M586" t="e">
            <v>#N/A</v>
          </cell>
          <cell r="N586" t="e">
            <v>#N/A</v>
          </cell>
          <cell r="O586" t="e">
            <v>#N/A</v>
          </cell>
          <cell r="P586">
            <v>63.51</v>
          </cell>
          <cell r="Q586" t="str">
            <v/>
          </cell>
          <cell r="R586" t="e">
            <v>#N/A</v>
          </cell>
        </row>
        <row r="587">
          <cell r="A587">
            <v>40318</v>
          </cell>
          <cell r="B587">
            <v>40318</v>
          </cell>
          <cell r="C587" t="str">
            <v>Future</v>
          </cell>
          <cell r="D587" t="e">
            <v>#N/A</v>
          </cell>
          <cell r="E587">
            <v>56.258858267716583</v>
          </cell>
          <cell r="F587">
            <v>66.534448818897786</v>
          </cell>
          <cell r="G587">
            <v>61.967519685039356</v>
          </cell>
          <cell r="H587">
            <v>61.967519685039356</v>
          </cell>
          <cell r="I587" t="e">
            <v>#N/A</v>
          </cell>
          <cell r="J587" t="e">
            <v>#N/A</v>
          </cell>
          <cell r="K587" t="e">
            <v>#N/A</v>
          </cell>
          <cell r="L587" t="e">
            <v>#N/A</v>
          </cell>
          <cell r="M587" t="e">
            <v>#N/A</v>
          </cell>
          <cell r="N587" t="e">
            <v>#N/A</v>
          </cell>
          <cell r="O587" t="e">
            <v>#N/A</v>
          </cell>
          <cell r="P587">
            <v>63.51</v>
          </cell>
          <cell r="Q587" t="str">
            <v/>
          </cell>
          <cell r="R587" t="e">
            <v>#N/A</v>
          </cell>
        </row>
        <row r="588">
          <cell r="A588">
            <v>40319</v>
          </cell>
          <cell r="B588">
            <v>40319</v>
          </cell>
          <cell r="C588" t="str">
            <v>Future</v>
          </cell>
          <cell r="D588" t="e">
            <v>#N/A</v>
          </cell>
          <cell r="E588">
            <v>56.008818897637845</v>
          </cell>
          <cell r="F588">
            <v>66.63874015748047</v>
          </cell>
          <cell r="G588">
            <v>61.914330708661403</v>
          </cell>
          <cell r="H588">
            <v>61.914330708661403</v>
          </cell>
          <cell r="I588" t="e">
            <v>#N/A</v>
          </cell>
          <cell r="J588" t="e">
            <v>#N/A</v>
          </cell>
          <cell r="K588" t="e">
            <v>#N/A</v>
          </cell>
          <cell r="L588" t="e">
            <v>#N/A</v>
          </cell>
          <cell r="M588" t="e">
            <v>#N/A</v>
          </cell>
          <cell r="N588" t="e">
            <v>#N/A</v>
          </cell>
          <cell r="O588" t="e">
            <v>#N/A</v>
          </cell>
          <cell r="P588">
            <v>63.51</v>
          </cell>
          <cell r="Q588" t="str">
            <v/>
          </cell>
          <cell r="R588" t="e">
            <v>#N/A</v>
          </cell>
        </row>
        <row r="589">
          <cell r="A589">
            <v>40322</v>
          </cell>
          <cell r="B589">
            <v>40322</v>
          </cell>
          <cell r="C589" t="str">
            <v>Future</v>
          </cell>
          <cell r="D589" t="e">
            <v>#N/A</v>
          </cell>
          <cell r="E589">
            <v>55.758779527559106</v>
          </cell>
          <cell r="F589">
            <v>66.743031496063153</v>
          </cell>
          <cell r="G589">
            <v>61.86114173228345</v>
          </cell>
          <cell r="H589">
            <v>61.86114173228345</v>
          </cell>
          <cell r="I589" t="e">
            <v>#N/A</v>
          </cell>
          <cell r="J589" t="e">
            <v>#N/A</v>
          </cell>
          <cell r="K589" t="e">
            <v>#N/A</v>
          </cell>
          <cell r="L589" t="e">
            <v>#N/A</v>
          </cell>
          <cell r="M589" t="e">
            <v>#N/A</v>
          </cell>
          <cell r="N589" t="e">
            <v>#N/A</v>
          </cell>
          <cell r="O589" t="e">
            <v>#N/A</v>
          </cell>
          <cell r="P589">
            <v>63.51</v>
          </cell>
          <cell r="Q589" t="str">
            <v/>
          </cell>
          <cell r="R589" t="e">
            <v>#N/A</v>
          </cell>
        </row>
        <row r="590">
          <cell r="A590">
            <v>40323</v>
          </cell>
          <cell r="B590">
            <v>40323</v>
          </cell>
          <cell r="C590" t="str">
            <v>Future</v>
          </cell>
          <cell r="D590" t="e">
            <v>#N/A</v>
          </cell>
          <cell r="E590">
            <v>55.508740157480368</v>
          </cell>
          <cell r="F590">
            <v>66.847322834645837</v>
          </cell>
          <cell r="G590">
            <v>61.807952755905497</v>
          </cell>
          <cell r="H590">
            <v>61.807952755905497</v>
          </cell>
          <cell r="I590" t="e">
            <v>#N/A</v>
          </cell>
          <cell r="J590" t="e">
            <v>#N/A</v>
          </cell>
          <cell r="K590" t="e">
            <v>#N/A</v>
          </cell>
          <cell r="L590" t="e">
            <v>#N/A</v>
          </cell>
          <cell r="M590" t="e">
            <v>#N/A</v>
          </cell>
          <cell r="N590" t="e">
            <v>#N/A</v>
          </cell>
          <cell r="O590" t="e">
            <v>#N/A</v>
          </cell>
          <cell r="P590">
            <v>63.51</v>
          </cell>
          <cell r="Q590" t="str">
            <v/>
          </cell>
          <cell r="R590" t="e">
            <v>#N/A</v>
          </cell>
        </row>
        <row r="591">
          <cell r="A591">
            <v>40324</v>
          </cell>
          <cell r="B591">
            <v>40324</v>
          </cell>
          <cell r="C591" t="str">
            <v>Future</v>
          </cell>
          <cell r="D591" t="e">
            <v>#N/A</v>
          </cell>
          <cell r="E591">
            <v>55.258700787401629</v>
          </cell>
          <cell r="F591">
            <v>66.951614173228521</v>
          </cell>
          <cell r="G591">
            <v>61.754763779527543</v>
          </cell>
          <cell r="H591">
            <v>61.754763779527543</v>
          </cell>
          <cell r="I591" t="e">
            <v>#N/A</v>
          </cell>
          <cell r="J591" t="e">
            <v>#N/A</v>
          </cell>
          <cell r="K591" t="e">
            <v>#N/A</v>
          </cell>
          <cell r="L591" t="e">
            <v>#N/A</v>
          </cell>
          <cell r="M591" t="e">
            <v>#N/A</v>
          </cell>
          <cell r="N591" t="e">
            <v>#N/A</v>
          </cell>
          <cell r="O591" t="e">
            <v>#N/A</v>
          </cell>
          <cell r="P591">
            <v>63.51</v>
          </cell>
          <cell r="Q591" t="str">
            <v/>
          </cell>
          <cell r="R591" t="e">
            <v>#N/A</v>
          </cell>
        </row>
        <row r="592">
          <cell r="A592">
            <v>40325</v>
          </cell>
          <cell r="B592">
            <v>40325</v>
          </cell>
          <cell r="C592" t="str">
            <v>Future</v>
          </cell>
          <cell r="D592" t="e">
            <v>#N/A</v>
          </cell>
          <cell r="E592">
            <v>55.008661417322891</v>
          </cell>
          <cell r="F592">
            <v>67.055905511811204</v>
          </cell>
          <cell r="G592">
            <v>61.70157480314959</v>
          </cell>
          <cell r="H592">
            <v>61.70157480314959</v>
          </cell>
          <cell r="I592" t="e">
            <v>#N/A</v>
          </cell>
          <cell r="J592" t="e">
            <v>#N/A</v>
          </cell>
          <cell r="K592" t="e">
            <v>#N/A</v>
          </cell>
          <cell r="L592" t="e">
            <v>#N/A</v>
          </cell>
          <cell r="M592" t="e">
            <v>#N/A</v>
          </cell>
          <cell r="N592" t="e">
            <v>#N/A</v>
          </cell>
          <cell r="O592" t="e">
            <v>#N/A</v>
          </cell>
          <cell r="P592">
            <v>63.51</v>
          </cell>
          <cell r="Q592" t="str">
            <v/>
          </cell>
          <cell r="R592" t="e">
            <v>#N/A</v>
          </cell>
        </row>
        <row r="593">
          <cell r="A593">
            <v>40326</v>
          </cell>
          <cell r="B593">
            <v>40326</v>
          </cell>
          <cell r="C593" t="str">
            <v>Future</v>
          </cell>
          <cell r="D593" t="e">
            <v>#N/A</v>
          </cell>
          <cell r="E593">
            <v>54.758622047244152</v>
          </cell>
          <cell r="F593">
            <v>67.160196850393888</v>
          </cell>
          <cell r="G593">
            <v>61.648385826771637</v>
          </cell>
          <cell r="H593">
            <v>61.648385826771637</v>
          </cell>
          <cell r="I593" t="e">
            <v>#N/A</v>
          </cell>
          <cell r="J593" t="e">
            <v>#N/A</v>
          </cell>
          <cell r="K593" t="e">
            <v>#N/A</v>
          </cell>
          <cell r="L593" t="e">
            <v>#N/A</v>
          </cell>
          <cell r="M593" t="e">
            <v>#N/A</v>
          </cell>
          <cell r="N593" t="e">
            <v>#N/A</v>
          </cell>
          <cell r="O593" t="e">
            <v>#N/A</v>
          </cell>
          <cell r="P593">
            <v>63.51</v>
          </cell>
          <cell r="Q593" t="str">
            <v/>
          </cell>
          <cell r="R593" t="e">
            <v>#N/A</v>
          </cell>
        </row>
        <row r="594">
          <cell r="A594">
            <v>40330</v>
          </cell>
          <cell r="B594">
            <v>40330</v>
          </cell>
          <cell r="C594" t="str">
            <v>Future</v>
          </cell>
          <cell r="D594" t="e">
            <v>#N/A</v>
          </cell>
          <cell r="E594">
            <v>54.508582677165414</v>
          </cell>
          <cell r="F594">
            <v>67.264488188976571</v>
          </cell>
          <cell r="G594">
            <v>61.595196850393684</v>
          </cell>
          <cell r="H594">
            <v>61.595196850393684</v>
          </cell>
          <cell r="I594" t="e">
            <v>#N/A</v>
          </cell>
          <cell r="J594" t="e">
            <v>#N/A</v>
          </cell>
          <cell r="K594" t="e">
            <v>#N/A</v>
          </cell>
          <cell r="L594" t="e">
            <v>#N/A</v>
          </cell>
          <cell r="M594" t="e">
            <v>#N/A</v>
          </cell>
          <cell r="N594" t="e">
            <v>#N/A</v>
          </cell>
          <cell r="O594" t="e">
            <v>#N/A</v>
          </cell>
          <cell r="P594">
            <v>63.51</v>
          </cell>
          <cell r="Q594" t="str">
            <v/>
          </cell>
          <cell r="R594" t="e">
            <v>#N/A</v>
          </cell>
        </row>
        <row r="595">
          <cell r="A595">
            <v>40331</v>
          </cell>
          <cell r="B595">
            <v>40331</v>
          </cell>
          <cell r="C595" t="str">
            <v>Future</v>
          </cell>
          <cell r="D595" t="e">
            <v>#N/A</v>
          </cell>
          <cell r="E595">
            <v>54.258543307086676</v>
          </cell>
          <cell r="F595">
            <v>67.368779527559255</v>
          </cell>
          <cell r="G595">
            <v>61.542007874015731</v>
          </cell>
          <cell r="H595">
            <v>61.542007874015731</v>
          </cell>
          <cell r="I595" t="e">
            <v>#N/A</v>
          </cell>
          <cell r="J595" t="e">
            <v>#N/A</v>
          </cell>
          <cell r="K595" t="e">
            <v>#N/A</v>
          </cell>
          <cell r="L595" t="e">
            <v>#N/A</v>
          </cell>
          <cell r="M595" t="e">
            <v>#N/A</v>
          </cell>
          <cell r="N595" t="e">
            <v>#N/A</v>
          </cell>
          <cell r="O595" t="e">
            <v>#N/A</v>
          </cell>
          <cell r="P595">
            <v>63.51</v>
          </cell>
          <cell r="Q595" t="str">
            <v/>
          </cell>
          <cell r="R595" t="e">
            <v>#N/A</v>
          </cell>
        </row>
        <row r="596">
          <cell r="A596">
            <v>40332</v>
          </cell>
          <cell r="B596">
            <v>40332</v>
          </cell>
          <cell r="C596" t="str">
            <v>Future</v>
          </cell>
          <cell r="D596" t="e">
            <v>#N/A</v>
          </cell>
          <cell r="E596">
            <v>54.008503937007937</v>
          </cell>
          <cell r="F596">
            <v>67.473070866141938</v>
          </cell>
          <cell r="G596">
            <v>61.488818897637778</v>
          </cell>
          <cell r="H596">
            <v>61.488818897637778</v>
          </cell>
          <cell r="I596" t="e">
            <v>#N/A</v>
          </cell>
          <cell r="J596" t="e">
            <v>#N/A</v>
          </cell>
          <cell r="K596" t="e">
            <v>#N/A</v>
          </cell>
          <cell r="L596" t="e">
            <v>#N/A</v>
          </cell>
          <cell r="M596" t="e">
            <v>#N/A</v>
          </cell>
          <cell r="N596" t="e">
            <v>#N/A</v>
          </cell>
          <cell r="O596" t="e">
            <v>#N/A</v>
          </cell>
          <cell r="P596">
            <v>63.51</v>
          </cell>
          <cell r="Q596" t="str">
            <v/>
          </cell>
          <cell r="R596" t="e">
            <v>#N/A</v>
          </cell>
        </row>
        <row r="597">
          <cell r="A597">
            <v>40333</v>
          </cell>
          <cell r="B597">
            <v>40333</v>
          </cell>
          <cell r="C597" t="str">
            <v>Future</v>
          </cell>
          <cell r="D597" t="e">
            <v>#N/A</v>
          </cell>
          <cell r="E597">
            <v>53.758464566929199</v>
          </cell>
          <cell r="F597">
            <v>67.577362204724622</v>
          </cell>
          <cell r="G597">
            <v>61.435629921259824</v>
          </cell>
          <cell r="H597">
            <v>61.435629921259824</v>
          </cell>
          <cell r="I597" t="e">
            <v>#N/A</v>
          </cell>
          <cell r="J597" t="e">
            <v>#N/A</v>
          </cell>
          <cell r="K597" t="e">
            <v>#N/A</v>
          </cell>
          <cell r="L597" t="e">
            <v>#N/A</v>
          </cell>
          <cell r="M597" t="e">
            <v>#N/A</v>
          </cell>
          <cell r="N597" t="e">
            <v>#N/A</v>
          </cell>
          <cell r="O597" t="e">
            <v>#N/A</v>
          </cell>
          <cell r="P597">
            <v>63.51</v>
          </cell>
          <cell r="Q597" t="str">
            <v/>
          </cell>
          <cell r="R597" t="e">
            <v>#N/A</v>
          </cell>
        </row>
        <row r="598">
          <cell r="A598">
            <v>40336</v>
          </cell>
          <cell r="B598">
            <v>40336</v>
          </cell>
          <cell r="C598" t="str">
            <v>Future</v>
          </cell>
          <cell r="D598" t="e">
            <v>#N/A</v>
          </cell>
          <cell r="E598">
            <v>53.50842519685046</v>
          </cell>
          <cell r="F598">
            <v>67.681653543307306</v>
          </cell>
          <cell r="G598">
            <v>61.382440944881871</v>
          </cell>
          <cell r="H598">
            <v>61.382440944881871</v>
          </cell>
          <cell r="I598" t="e">
            <v>#N/A</v>
          </cell>
          <cell r="J598" t="e">
            <v>#N/A</v>
          </cell>
          <cell r="K598" t="e">
            <v>#N/A</v>
          </cell>
          <cell r="L598" t="e">
            <v>#N/A</v>
          </cell>
          <cell r="M598" t="e">
            <v>#N/A</v>
          </cell>
          <cell r="N598" t="e">
            <v>#N/A</v>
          </cell>
          <cell r="O598" t="e">
            <v>#N/A</v>
          </cell>
          <cell r="P598">
            <v>63.51</v>
          </cell>
          <cell r="Q598" t="str">
            <v/>
          </cell>
          <cell r="R598" t="e">
            <v>#N/A</v>
          </cell>
        </row>
        <row r="599">
          <cell r="A599">
            <v>40337</v>
          </cell>
          <cell r="B599">
            <v>40337</v>
          </cell>
          <cell r="C599" t="str">
            <v>Future</v>
          </cell>
          <cell r="D599" t="e">
            <v>#N/A</v>
          </cell>
          <cell r="E599">
            <v>53.258385826771722</v>
          </cell>
          <cell r="F599">
            <v>67.785944881889989</v>
          </cell>
          <cell r="G599">
            <v>61.329251968503918</v>
          </cell>
          <cell r="H599">
            <v>61.329251968503918</v>
          </cell>
          <cell r="I599" t="e">
            <v>#N/A</v>
          </cell>
          <cell r="J599" t="e">
            <v>#N/A</v>
          </cell>
          <cell r="K599" t="e">
            <v>#N/A</v>
          </cell>
          <cell r="L599" t="e">
            <v>#N/A</v>
          </cell>
          <cell r="M599" t="e">
            <v>#N/A</v>
          </cell>
          <cell r="N599" t="e">
            <v>#N/A</v>
          </cell>
          <cell r="O599" t="e">
            <v>#N/A</v>
          </cell>
          <cell r="P599">
            <v>63.51</v>
          </cell>
          <cell r="Q599" t="str">
            <v/>
          </cell>
          <cell r="R599" t="e">
            <v>#N/A</v>
          </cell>
        </row>
        <row r="600">
          <cell r="A600">
            <v>40338</v>
          </cell>
          <cell r="B600">
            <v>40338</v>
          </cell>
          <cell r="C600" t="str">
            <v>Future</v>
          </cell>
          <cell r="D600" t="e">
            <v>#N/A</v>
          </cell>
          <cell r="E600">
            <v>53.008346456692983</v>
          </cell>
          <cell r="F600">
            <v>67.890236220472673</v>
          </cell>
          <cell r="G600">
            <v>61.276062992125965</v>
          </cell>
          <cell r="H600">
            <v>61.276062992125965</v>
          </cell>
          <cell r="I600" t="e">
            <v>#N/A</v>
          </cell>
          <cell r="J600" t="e">
            <v>#N/A</v>
          </cell>
          <cell r="K600" t="e">
            <v>#N/A</v>
          </cell>
          <cell r="L600" t="e">
            <v>#N/A</v>
          </cell>
          <cell r="M600" t="e">
            <v>#N/A</v>
          </cell>
          <cell r="N600" t="e">
            <v>#N/A</v>
          </cell>
          <cell r="O600" t="e">
            <v>#N/A</v>
          </cell>
          <cell r="P600">
            <v>63.51</v>
          </cell>
          <cell r="Q600" t="str">
            <v/>
          </cell>
          <cell r="R600" t="e">
            <v>#N/A</v>
          </cell>
        </row>
        <row r="601">
          <cell r="A601">
            <v>40339</v>
          </cell>
          <cell r="B601">
            <v>40339</v>
          </cell>
          <cell r="C601" t="str">
            <v>Future</v>
          </cell>
          <cell r="D601" t="e">
            <v>#N/A</v>
          </cell>
          <cell r="E601">
            <v>52.758307086614245</v>
          </cell>
          <cell r="F601">
            <v>67.994527559055356</v>
          </cell>
          <cell r="G601">
            <v>61.222874015748012</v>
          </cell>
          <cell r="H601">
            <v>61.222874015748012</v>
          </cell>
          <cell r="I601" t="e">
            <v>#N/A</v>
          </cell>
          <cell r="J601" t="e">
            <v>#N/A</v>
          </cell>
          <cell r="K601" t="e">
            <v>#N/A</v>
          </cell>
          <cell r="L601" t="e">
            <v>#N/A</v>
          </cell>
          <cell r="M601" t="e">
            <v>#N/A</v>
          </cell>
          <cell r="N601" t="e">
            <v>#N/A</v>
          </cell>
          <cell r="O601" t="e">
            <v>#N/A</v>
          </cell>
          <cell r="P601">
            <v>63.51</v>
          </cell>
          <cell r="Q601" t="str">
            <v/>
          </cell>
          <cell r="R601" t="e">
            <v>#N/A</v>
          </cell>
        </row>
        <row r="602">
          <cell r="A602">
            <v>40340</v>
          </cell>
          <cell r="B602">
            <v>40340</v>
          </cell>
          <cell r="C602" t="str">
            <v>Future</v>
          </cell>
          <cell r="D602" t="e">
            <v>#N/A</v>
          </cell>
          <cell r="E602">
            <v>52.508267716535507</v>
          </cell>
          <cell r="F602">
            <v>68.09881889763804</v>
          </cell>
          <cell r="G602">
            <v>61.169685039370059</v>
          </cell>
          <cell r="H602">
            <v>61.169685039370059</v>
          </cell>
          <cell r="I602" t="e">
            <v>#N/A</v>
          </cell>
          <cell r="J602" t="e">
            <v>#N/A</v>
          </cell>
          <cell r="K602" t="e">
            <v>#N/A</v>
          </cell>
          <cell r="L602" t="e">
            <v>#N/A</v>
          </cell>
          <cell r="M602" t="e">
            <v>#N/A</v>
          </cell>
          <cell r="N602" t="e">
            <v>#N/A</v>
          </cell>
          <cell r="O602" t="e">
            <v>#N/A</v>
          </cell>
          <cell r="P602">
            <v>63.51</v>
          </cell>
          <cell r="Q602" t="str">
            <v/>
          </cell>
          <cell r="R602" t="e">
            <v>#N/A</v>
          </cell>
        </row>
        <row r="603">
          <cell r="A603">
            <v>40343</v>
          </cell>
          <cell r="B603">
            <v>40343</v>
          </cell>
          <cell r="C603" t="str">
            <v>Future</v>
          </cell>
          <cell r="D603" t="e">
            <v>#N/A</v>
          </cell>
          <cell r="E603">
            <v>52.258228346456768</v>
          </cell>
          <cell r="F603">
            <v>68.203110236220724</v>
          </cell>
          <cell r="G603">
            <v>61.116496062992105</v>
          </cell>
          <cell r="H603">
            <v>61.116496062992105</v>
          </cell>
          <cell r="I603" t="e">
            <v>#N/A</v>
          </cell>
          <cell r="J603" t="e">
            <v>#N/A</v>
          </cell>
          <cell r="K603" t="e">
            <v>#N/A</v>
          </cell>
          <cell r="L603" t="e">
            <v>#N/A</v>
          </cell>
          <cell r="M603" t="e">
            <v>#N/A</v>
          </cell>
          <cell r="N603" t="e">
            <v>#N/A</v>
          </cell>
          <cell r="O603" t="e">
            <v>#N/A</v>
          </cell>
          <cell r="P603">
            <v>63.51</v>
          </cell>
          <cell r="Q603" t="str">
            <v/>
          </cell>
          <cell r="R603" t="e">
            <v>#N/A</v>
          </cell>
        </row>
        <row r="604">
          <cell r="A604">
            <v>40344</v>
          </cell>
          <cell r="B604">
            <v>40344</v>
          </cell>
          <cell r="C604" t="str">
            <v>Future</v>
          </cell>
          <cell r="D604" t="e">
            <v>#N/A</v>
          </cell>
          <cell r="E604">
            <v>52.00818897637803</v>
          </cell>
          <cell r="F604">
            <v>68.307401574803407</v>
          </cell>
          <cell r="G604">
            <v>61.063307086614152</v>
          </cell>
          <cell r="H604">
            <v>61.063307086614152</v>
          </cell>
          <cell r="I604" t="e">
            <v>#N/A</v>
          </cell>
          <cell r="J604" t="e">
            <v>#N/A</v>
          </cell>
          <cell r="K604" t="e">
            <v>#N/A</v>
          </cell>
          <cell r="L604" t="e">
            <v>#N/A</v>
          </cell>
          <cell r="M604" t="e">
            <v>#N/A</v>
          </cell>
          <cell r="N604" t="e">
            <v>#N/A</v>
          </cell>
          <cell r="O604" t="e">
            <v>#N/A</v>
          </cell>
          <cell r="P604">
            <v>63.51</v>
          </cell>
          <cell r="Q604" t="str">
            <v/>
          </cell>
          <cell r="R604" t="e">
            <v>#N/A</v>
          </cell>
        </row>
        <row r="605">
          <cell r="A605">
            <v>40345</v>
          </cell>
          <cell r="B605">
            <v>40345</v>
          </cell>
          <cell r="C605" t="str">
            <v>Future</v>
          </cell>
          <cell r="D605" t="e">
            <v>#N/A</v>
          </cell>
          <cell r="E605">
            <v>51.758149606299291</v>
          </cell>
          <cell r="F605">
            <v>68.411692913386091</v>
          </cell>
          <cell r="G605">
            <v>61.010118110236199</v>
          </cell>
          <cell r="H605">
            <v>61.010118110236199</v>
          </cell>
          <cell r="I605" t="e">
            <v>#N/A</v>
          </cell>
          <cell r="J605" t="e">
            <v>#N/A</v>
          </cell>
          <cell r="K605" t="e">
            <v>#N/A</v>
          </cell>
          <cell r="L605" t="e">
            <v>#N/A</v>
          </cell>
          <cell r="M605" t="e">
            <v>#N/A</v>
          </cell>
          <cell r="N605" t="e">
            <v>#N/A</v>
          </cell>
          <cell r="O605" t="e">
            <v>#N/A</v>
          </cell>
          <cell r="P605">
            <v>63.51</v>
          </cell>
          <cell r="Q605" t="str">
            <v/>
          </cell>
          <cell r="R605" t="e">
            <v>#N/A</v>
          </cell>
        </row>
        <row r="606">
          <cell r="A606">
            <v>40346</v>
          </cell>
          <cell r="B606">
            <v>40346</v>
          </cell>
          <cell r="C606" t="str">
            <v>Future</v>
          </cell>
          <cell r="D606" t="e">
            <v>#N/A</v>
          </cell>
          <cell r="E606">
            <v>51.508110236220553</v>
          </cell>
          <cell r="F606">
            <v>68.515984251968774</v>
          </cell>
          <cell r="G606">
            <v>60.956929133858246</v>
          </cell>
          <cell r="H606">
            <v>60.956929133858246</v>
          </cell>
          <cell r="I606" t="e">
            <v>#N/A</v>
          </cell>
          <cell r="J606" t="e">
            <v>#N/A</v>
          </cell>
          <cell r="K606" t="e">
            <v>#N/A</v>
          </cell>
          <cell r="L606" t="e">
            <v>#N/A</v>
          </cell>
          <cell r="M606" t="e">
            <v>#N/A</v>
          </cell>
          <cell r="N606" t="e">
            <v>#N/A</v>
          </cell>
          <cell r="O606" t="e">
            <v>#N/A</v>
          </cell>
          <cell r="P606">
            <v>63.51</v>
          </cell>
          <cell r="Q606" t="str">
            <v/>
          </cell>
          <cell r="R606" t="e">
            <v>#N/A</v>
          </cell>
        </row>
        <row r="607">
          <cell r="A607">
            <v>40347</v>
          </cell>
          <cell r="B607">
            <v>40347</v>
          </cell>
          <cell r="C607" t="str">
            <v>Future</v>
          </cell>
          <cell r="D607" t="e">
            <v>#N/A</v>
          </cell>
          <cell r="E607">
            <v>51.258070866141814</v>
          </cell>
          <cell r="F607">
            <v>68.620275590551458</v>
          </cell>
          <cell r="G607">
            <v>60.903740157480293</v>
          </cell>
          <cell r="H607">
            <v>60.903740157480293</v>
          </cell>
          <cell r="I607" t="e">
            <v>#N/A</v>
          </cell>
          <cell r="J607" t="e">
            <v>#N/A</v>
          </cell>
          <cell r="K607" t="e">
            <v>#N/A</v>
          </cell>
          <cell r="L607" t="e">
            <v>#N/A</v>
          </cell>
          <cell r="M607" t="e">
            <v>#N/A</v>
          </cell>
          <cell r="N607" t="e">
            <v>#N/A</v>
          </cell>
          <cell r="O607" t="e">
            <v>#N/A</v>
          </cell>
          <cell r="P607">
            <v>63.51</v>
          </cell>
          <cell r="Q607" t="str">
            <v/>
          </cell>
          <cell r="R607" t="e">
            <v>#N/A</v>
          </cell>
        </row>
        <row r="608">
          <cell r="A608">
            <v>40350</v>
          </cell>
          <cell r="B608">
            <v>40350</v>
          </cell>
          <cell r="C608" t="str">
            <v>Future</v>
          </cell>
          <cell r="D608" t="e">
            <v>#N/A</v>
          </cell>
          <cell r="E608">
            <v>51.008031496063076</v>
          </cell>
          <cell r="F608">
            <v>68.724566929134141</v>
          </cell>
          <cell r="G608">
            <v>60.85055118110234</v>
          </cell>
          <cell r="H608">
            <v>60.85055118110234</v>
          </cell>
          <cell r="I608" t="e">
            <v>#N/A</v>
          </cell>
          <cell r="J608" t="e">
            <v>#N/A</v>
          </cell>
          <cell r="K608" t="e">
            <v>#N/A</v>
          </cell>
          <cell r="L608" t="e">
            <v>#N/A</v>
          </cell>
          <cell r="M608" t="e">
            <v>#N/A</v>
          </cell>
          <cell r="N608" t="e">
            <v>#N/A</v>
          </cell>
          <cell r="O608" t="e">
            <v>#N/A</v>
          </cell>
          <cell r="P608">
            <v>63.51</v>
          </cell>
          <cell r="Q608" t="str">
            <v/>
          </cell>
          <cell r="R608" t="e">
            <v>#N/A</v>
          </cell>
        </row>
        <row r="609">
          <cell r="A609">
            <v>40351</v>
          </cell>
          <cell r="B609">
            <v>40351</v>
          </cell>
          <cell r="C609" t="str">
            <v>Future</v>
          </cell>
          <cell r="D609" t="e">
            <v>#N/A</v>
          </cell>
          <cell r="E609">
            <v>50.757992125984337</v>
          </cell>
          <cell r="F609">
            <v>68.828858267716825</v>
          </cell>
          <cell r="G609">
            <v>60.797362204724386</v>
          </cell>
          <cell r="H609">
            <v>60.797362204724386</v>
          </cell>
          <cell r="I609" t="e">
            <v>#N/A</v>
          </cell>
          <cell r="J609" t="e">
            <v>#N/A</v>
          </cell>
          <cell r="K609" t="e">
            <v>#N/A</v>
          </cell>
          <cell r="L609" t="e">
            <v>#N/A</v>
          </cell>
          <cell r="M609" t="e">
            <v>#N/A</v>
          </cell>
          <cell r="N609" t="e">
            <v>#N/A</v>
          </cell>
          <cell r="O609" t="e">
            <v>#N/A</v>
          </cell>
          <cell r="P609">
            <v>63.51</v>
          </cell>
          <cell r="Q609" t="str">
            <v/>
          </cell>
          <cell r="R609" t="e">
            <v>#N/A</v>
          </cell>
        </row>
        <row r="610">
          <cell r="A610">
            <v>40352</v>
          </cell>
          <cell r="B610">
            <v>40352</v>
          </cell>
          <cell r="C610" t="str">
            <v>Future</v>
          </cell>
          <cell r="D610" t="e">
            <v>#N/A</v>
          </cell>
          <cell r="E610">
            <v>50.507952755905599</v>
          </cell>
          <cell r="F610">
            <v>68.933149606299509</v>
          </cell>
          <cell r="G610">
            <v>60.744173228346433</v>
          </cell>
          <cell r="H610">
            <v>60.744173228346433</v>
          </cell>
          <cell r="I610" t="e">
            <v>#N/A</v>
          </cell>
          <cell r="J610" t="e">
            <v>#N/A</v>
          </cell>
          <cell r="K610" t="e">
            <v>#N/A</v>
          </cell>
          <cell r="L610" t="e">
            <v>#N/A</v>
          </cell>
          <cell r="M610" t="e">
            <v>#N/A</v>
          </cell>
          <cell r="N610" t="e">
            <v>#N/A</v>
          </cell>
          <cell r="O610" t="e">
            <v>#N/A</v>
          </cell>
          <cell r="P610">
            <v>63.51</v>
          </cell>
          <cell r="Q610" t="str">
            <v/>
          </cell>
          <cell r="R610" t="e">
            <v>#N/A</v>
          </cell>
        </row>
        <row r="611">
          <cell r="A611">
            <v>40353</v>
          </cell>
          <cell r="B611">
            <v>40353</v>
          </cell>
          <cell r="C611" t="str">
            <v>Future</v>
          </cell>
          <cell r="D611" t="e">
            <v>#N/A</v>
          </cell>
          <cell r="E611">
            <v>50.257913385826861</v>
          </cell>
          <cell r="F611">
            <v>69.037440944882192</v>
          </cell>
          <cell r="G611">
            <v>60.69098425196848</v>
          </cell>
          <cell r="H611">
            <v>60.69098425196848</v>
          </cell>
          <cell r="I611" t="e">
            <v>#N/A</v>
          </cell>
          <cell r="J611" t="e">
            <v>#N/A</v>
          </cell>
          <cell r="K611" t="e">
            <v>#N/A</v>
          </cell>
          <cell r="L611" t="e">
            <v>#N/A</v>
          </cell>
          <cell r="M611" t="e">
            <v>#N/A</v>
          </cell>
          <cell r="N611" t="e">
            <v>#N/A</v>
          </cell>
          <cell r="O611" t="e">
            <v>#N/A</v>
          </cell>
          <cell r="P611">
            <v>63.51</v>
          </cell>
          <cell r="Q611" t="str">
            <v/>
          </cell>
          <cell r="R611" t="e">
            <v>#N/A</v>
          </cell>
        </row>
        <row r="612">
          <cell r="A612">
            <v>40354</v>
          </cell>
          <cell r="B612">
            <v>40354</v>
          </cell>
          <cell r="C612" t="str">
            <v>Future</v>
          </cell>
          <cell r="D612" t="e">
            <v>#N/A</v>
          </cell>
          <cell r="E612">
            <v>50.007874015748122</v>
          </cell>
          <cell r="F612">
            <v>69.141732283464876</v>
          </cell>
          <cell r="G612">
            <v>60.637795275590527</v>
          </cell>
          <cell r="H612">
            <v>60.637795275590527</v>
          </cell>
          <cell r="I612" t="e">
            <v>#N/A</v>
          </cell>
          <cell r="J612" t="e">
            <v>#N/A</v>
          </cell>
          <cell r="K612" t="e">
            <v>#N/A</v>
          </cell>
          <cell r="L612" t="e">
            <v>#N/A</v>
          </cell>
          <cell r="M612" t="e">
            <v>#N/A</v>
          </cell>
          <cell r="N612" t="e">
            <v>#N/A</v>
          </cell>
          <cell r="O612" t="e">
            <v>#N/A</v>
          </cell>
          <cell r="P612">
            <v>63.51</v>
          </cell>
          <cell r="Q612" t="str">
            <v/>
          </cell>
          <cell r="R612" t="e">
            <v>#N/A</v>
          </cell>
        </row>
        <row r="613">
          <cell r="A613">
            <v>40357</v>
          </cell>
          <cell r="B613">
            <v>40357</v>
          </cell>
          <cell r="C613" t="str">
            <v>Future</v>
          </cell>
          <cell r="D613" t="e">
            <v>#N/A</v>
          </cell>
          <cell r="E613">
            <v>49.757834645669384</v>
          </cell>
          <cell r="F613">
            <v>69.246023622047559</v>
          </cell>
          <cell r="G613">
            <v>60.584606299212574</v>
          </cell>
          <cell r="H613">
            <v>60.584606299212574</v>
          </cell>
          <cell r="I613" t="e">
            <v>#N/A</v>
          </cell>
          <cell r="J613" t="e">
            <v>#N/A</v>
          </cell>
          <cell r="K613" t="e">
            <v>#N/A</v>
          </cell>
          <cell r="L613" t="e">
            <v>#N/A</v>
          </cell>
          <cell r="M613" t="e">
            <v>#N/A</v>
          </cell>
          <cell r="N613" t="e">
            <v>#N/A</v>
          </cell>
          <cell r="O613" t="e">
            <v>#N/A</v>
          </cell>
          <cell r="P613">
            <v>63.51</v>
          </cell>
          <cell r="Q613" t="str">
            <v/>
          </cell>
          <cell r="R613" t="e">
            <v>#N/A</v>
          </cell>
        </row>
        <row r="614">
          <cell r="A614">
            <v>40358</v>
          </cell>
          <cell r="B614">
            <v>40358</v>
          </cell>
          <cell r="C614" t="str">
            <v>Future</v>
          </cell>
          <cell r="D614" t="e">
            <v>#N/A</v>
          </cell>
          <cell r="E614">
            <v>49.507795275590645</v>
          </cell>
          <cell r="F614">
            <v>69.350314960630243</v>
          </cell>
          <cell r="G614">
            <v>60.531417322834621</v>
          </cell>
          <cell r="H614">
            <v>60.531417322834621</v>
          </cell>
          <cell r="I614" t="e">
            <v>#N/A</v>
          </cell>
          <cell r="J614" t="e">
            <v>#N/A</v>
          </cell>
          <cell r="K614" t="e">
            <v>#N/A</v>
          </cell>
          <cell r="L614" t="e">
            <v>#N/A</v>
          </cell>
          <cell r="M614" t="e">
            <v>#N/A</v>
          </cell>
          <cell r="N614" t="e">
            <v>#N/A</v>
          </cell>
          <cell r="O614" t="e">
            <v>#N/A</v>
          </cell>
          <cell r="P614">
            <v>63.51</v>
          </cell>
          <cell r="Q614" t="str">
            <v/>
          </cell>
          <cell r="R614" t="e">
            <v>#N/A</v>
          </cell>
        </row>
        <row r="615">
          <cell r="A615">
            <v>40359</v>
          </cell>
          <cell r="B615">
            <v>40359</v>
          </cell>
          <cell r="C615" t="str">
            <v>Future</v>
          </cell>
          <cell r="D615" t="e">
            <v>#N/A</v>
          </cell>
          <cell r="E615">
            <v>49.257755905511907</v>
          </cell>
          <cell r="F615">
            <v>69.454606299212927</v>
          </cell>
          <cell r="G615">
            <v>60.478228346456667</v>
          </cell>
          <cell r="H615">
            <v>60.478228346456667</v>
          </cell>
          <cell r="I615" t="e">
            <v>#N/A</v>
          </cell>
          <cell r="J615" t="e">
            <v>#N/A</v>
          </cell>
          <cell r="K615" t="e">
            <v>#N/A</v>
          </cell>
          <cell r="L615" t="e">
            <v>#N/A</v>
          </cell>
          <cell r="M615" t="e">
            <v>#N/A</v>
          </cell>
          <cell r="N615" t="e">
            <v>#N/A</v>
          </cell>
          <cell r="O615" t="e">
            <v>#N/A</v>
          </cell>
          <cell r="P615">
            <v>63.51</v>
          </cell>
          <cell r="Q615" t="str">
            <v/>
          </cell>
          <cell r="R615" t="e">
            <v>#N/A</v>
          </cell>
        </row>
        <row r="616">
          <cell r="A616">
            <v>40360</v>
          </cell>
          <cell r="B616">
            <v>40360</v>
          </cell>
          <cell r="C616" t="str">
            <v>Future</v>
          </cell>
          <cell r="D616" t="e">
            <v>#N/A</v>
          </cell>
          <cell r="E616">
            <v>49.007716535433168</v>
          </cell>
          <cell r="F616">
            <v>69.55889763779561</v>
          </cell>
          <cell r="G616">
            <v>60.425039370078714</v>
          </cell>
          <cell r="H616">
            <v>60.425039370078714</v>
          </cell>
          <cell r="I616" t="e">
            <v>#N/A</v>
          </cell>
          <cell r="J616" t="e">
            <v>#N/A</v>
          </cell>
          <cell r="K616" t="e">
            <v>#N/A</v>
          </cell>
          <cell r="L616" t="e">
            <v>#N/A</v>
          </cell>
          <cell r="M616" t="e">
            <v>#N/A</v>
          </cell>
          <cell r="N616" t="e">
            <v>#N/A</v>
          </cell>
          <cell r="O616" t="e">
            <v>#N/A</v>
          </cell>
          <cell r="P616">
            <v>63.51</v>
          </cell>
          <cell r="Q616" t="str">
            <v/>
          </cell>
          <cell r="R616" t="e">
            <v>#N/A</v>
          </cell>
        </row>
        <row r="617">
          <cell r="A617">
            <v>40361</v>
          </cell>
          <cell r="B617">
            <v>40361</v>
          </cell>
          <cell r="C617" t="str">
            <v>Future</v>
          </cell>
          <cell r="D617" t="e">
            <v>#N/A</v>
          </cell>
          <cell r="E617">
            <v>48.75767716535443</v>
          </cell>
          <cell r="F617">
            <v>69.663188976378294</v>
          </cell>
          <cell r="G617">
            <v>60.371850393700761</v>
          </cell>
          <cell r="H617">
            <v>60.371850393700761</v>
          </cell>
          <cell r="I617" t="e">
            <v>#N/A</v>
          </cell>
          <cell r="J617" t="e">
            <v>#N/A</v>
          </cell>
          <cell r="K617" t="e">
            <v>#N/A</v>
          </cell>
          <cell r="L617" t="e">
            <v>#N/A</v>
          </cell>
          <cell r="M617" t="e">
            <v>#N/A</v>
          </cell>
          <cell r="N617" t="e">
            <v>#N/A</v>
          </cell>
          <cell r="O617" t="e">
            <v>#N/A</v>
          </cell>
          <cell r="P617">
            <v>63.51</v>
          </cell>
          <cell r="Q617" t="str">
            <v/>
          </cell>
          <cell r="R617" t="e">
            <v>#N/A</v>
          </cell>
        </row>
        <row r="618">
          <cell r="A618">
            <v>40365</v>
          </cell>
          <cell r="B618">
            <v>40365</v>
          </cell>
          <cell r="C618" t="str">
            <v>Future</v>
          </cell>
          <cell r="D618" t="e">
            <v>#N/A</v>
          </cell>
          <cell r="E618">
            <v>48.507637795275691</v>
          </cell>
          <cell r="F618">
            <v>69.767480314960977</v>
          </cell>
          <cell r="G618">
            <v>60.318661417322808</v>
          </cell>
          <cell r="H618">
            <v>60.318661417322808</v>
          </cell>
          <cell r="I618" t="e">
            <v>#N/A</v>
          </cell>
          <cell r="J618" t="e">
            <v>#N/A</v>
          </cell>
          <cell r="K618" t="e">
            <v>#N/A</v>
          </cell>
          <cell r="L618" t="e">
            <v>#N/A</v>
          </cell>
          <cell r="M618" t="e">
            <v>#N/A</v>
          </cell>
          <cell r="N618" t="e">
            <v>#N/A</v>
          </cell>
          <cell r="O618" t="e">
            <v>#N/A</v>
          </cell>
          <cell r="P618">
            <v>63.51</v>
          </cell>
          <cell r="Q618" t="str">
            <v/>
          </cell>
          <cell r="R618" t="e">
            <v>#N/A</v>
          </cell>
        </row>
        <row r="619">
          <cell r="A619">
            <v>40366</v>
          </cell>
          <cell r="B619">
            <v>40366</v>
          </cell>
          <cell r="C619" t="str">
            <v>Future</v>
          </cell>
          <cell r="D619" t="e">
            <v>#N/A</v>
          </cell>
          <cell r="E619">
            <v>48.257598425196953</v>
          </cell>
          <cell r="F619">
            <v>69.871771653543661</v>
          </cell>
          <cell r="G619">
            <v>60.265472440944855</v>
          </cell>
          <cell r="H619">
            <v>60.265472440944855</v>
          </cell>
          <cell r="I619" t="e">
            <v>#N/A</v>
          </cell>
          <cell r="J619" t="e">
            <v>#N/A</v>
          </cell>
          <cell r="K619" t="e">
            <v>#N/A</v>
          </cell>
          <cell r="L619" t="e">
            <v>#N/A</v>
          </cell>
          <cell r="M619" t="e">
            <v>#N/A</v>
          </cell>
          <cell r="N619" t="e">
            <v>#N/A</v>
          </cell>
          <cell r="O619" t="e">
            <v>#N/A</v>
          </cell>
          <cell r="P619">
            <v>63.51</v>
          </cell>
          <cell r="Q619" t="str">
            <v/>
          </cell>
          <cell r="R619" t="e">
            <v>#N/A</v>
          </cell>
        </row>
        <row r="620">
          <cell r="A620">
            <v>40367</v>
          </cell>
          <cell r="B620">
            <v>40367</v>
          </cell>
          <cell r="C620" t="str">
            <v>Future</v>
          </cell>
          <cell r="D620" t="e">
            <v>#N/A</v>
          </cell>
          <cell r="E620">
            <v>48.007559055118215</v>
          </cell>
          <cell r="F620">
            <v>69.976062992126344</v>
          </cell>
          <cell r="G620">
            <v>60.212283464566902</v>
          </cell>
          <cell r="H620">
            <v>60.212283464566902</v>
          </cell>
          <cell r="I620" t="e">
            <v>#N/A</v>
          </cell>
          <cell r="J620" t="e">
            <v>#N/A</v>
          </cell>
          <cell r="K620" t="e">
            <v>#N/A</v>
          </cell>
          <cell r="L620" t="e">
            <v>#N/A</v>
          </cell>
          <cell r="M620" t="e">
            <v>#N/A</v>
          </cell>
          <cell r="N620" t="e">
            <v>#N/A</v>
          </cell>
          <cell r="O620" t="e">
            <v>#N/A</v>
          </cell>
          <cell r="P620">
            <v>63.51</v>
          </cell>
          <cell r="Q620" t="str">
            <v/>
          </cell>
          <cell r="R620" t="e">
            <v>#N/A</v>
          </cell>
        </row>
        <row r="621">
          <cell r="A621">
            <v>40368</v>
          </cell>
          <cell r="B621">
            <v>40368</v>
          </cell>
          <cell r="C621" t="str">
            <v>Future</v>
          </cell>
          <cell r="D621" t="e">
            <v>#N/A</v>
          </cell>
          <cell r="E621">
            <v>47.757519685039476</v>
          </cell>
          <cell r="F621">
            <v>70.080354330709028</v>
          </cell>
          <cell r="G621">
            <v>60.159094488188948</v>
          </cell>
          <cell r="H621">
            <v>60.159094488188948</v>
          </cell>
          <cell r="I621" t="e">
            <v>#N/A</v>
          </cell>
          <cell r="J621" t="e">
            <v>#N/A</v>
          </cell>
          <cell r="K621" t="e">
            <v>#N/A</v>
          </cell>
          <cell r="L621" t="e">
            <v>#N/A</v>
          </cell>
          <cell r="M621" t="e">
            <v>#N/A</v>
          </cell>
          <cell r="N621" t="e">
            <v>#N/A</v>
          </cell>
          <cell r="O621" t="e">
            <v>#N/A</v>
          </cell>
          <cell r="P621">
            <v>63.51</v>
          </cell>
          <cell r="Q621" t="str">
            <v/>
          </cell>
          <cell r="R621" t="e">
            <v>#N/A</v>
          </cell>
        </row>
        <row r="622">
          <cell r="A622">
            <v>40371</v>
          </cell>
          <cell r="B622">
            <v>40371</v>
          </cell>
          <cell r="C622" t="str">
            <v>Future</v>
          </cell>
          <cell r="D622" t="e">
            <v>#N/A</v>
          </cell>
          <cell r="E622">
            <v>47.507480314960738</v>
          </cell>
          <cell r="F622">
            <v>70.184645669291712</v>
          </cell>
          <cell r="G622">
            <v>60.105905511810995</v>
          </cell>
          <cell r="H622">
            <v>60.105905511810995</v>
          </cell>
          <cell r="I622" t="e">
            <v>#N/A</v>
          </cell>
          <cell r="J622" t="e">
            <v>#N/A</v>
          </cell>
          <cell r="K622" t="e">
            <v>#N/A</v>
          </cell>
          <cell r="L622" t="e">
            <v>#N/A</v>
          </cell>
          <cell r="M622" t="e">
            <v>#N/A</v>
          </cell>
          <cell r="N622" t="e">
            <v>#N/A</v>
          </cell>
          <cell r="O622" t="e">
            <v>#N/A</v>
          </cell>
          <cell r="P622">
            <v>63.51</v>
          </cell>
          <cell r="Q622" t="str">
            <v/>
          </cell>
          <cell r="R622" t="e">
            <v>#N/A</v>
          </cell>
        </row>
        <row r="623">
          <cell r="A623">
            <v>40372</v>
          </cell>
          <cell r="B623">
            <v>40372</v>
          </cell>
          <cell r="C623" t="str">
            <v>Future</v>
          </cell>
          <cell r="D623" t="e">
            <v>#N/A</v>
          </cell>
          <cell r="E623">
            <v>47.257440944881999</v>
          </cell>
          <cell r="F623">
            <v>70.288937007874395</v>
          </cell>
          <cell r="G623">
            <v>60.052716535433042</v>
          </cell>
          <cell r="H623">
            <v>60.052716535433042</v>
          </cell>
          <cell r="I623" t="e">
            <v>#N/A</v>
          </cell>
          <cell r="J623" t="e">
            <v>#N/A</v>
          </cell>
          <cell r="K623" t="e">
            <v>#N/A</v>
          </cell>
          <cell r="L623" t="e">
            <v>#N/A</v>
          </cell>
          <cell r="M623" t="e">
            <v>#N/A</v>
          </cell>
          <cell r="N623" t="e">
            <v>#N/A</v>
          </cell>
          <cell r="O623" t="e">
            <v>#N/A</v>
          </cell>
          <cell r="P623">
            <v>63.51</v>
          </cell>
          <cell r="Q623" t="str">
            <v/>
          </cell>
          <cell r="R623" t="e">
            <v>#N/A</v>
          </cell>
        </row>
        <row r="624">
          <cell r="A624">
            <v>40373</v>
          </cell>
          <cell r="B624">
            <v>40373</v>
          </cell>
          <cell r="C624" t="str">
            <v>Future</v>
          </cell>
          <cell r="D624" t="e">
            <v>#N/A</v>
          </cell>
          <cell r="E624">
            <v>47.007401574803261</v>
          </cell>
          <cell r="F624">
            <v>70.393228346457079</v>
          </cell>
          <cell r="G624">
            <v>59.999527559055089</v>
          </cell>
          <cell r="H624">
            <v>59.999527559055089</v>
          </cell>
          <cell r="I624" t="e">
            <v>#N/A</v>
          </cell>
          <cell r="J624" t="e">
            <v>#N/A</v>
          </cell>
          <cell r="K624" t="e">
            <v>#N/A</v>
          </cell>
          <cell r="L624" t="e">
            <v>#N/A</v>
          </cell>
          <cell r="M624" t="e">
            <v>#N/A</v>
          </cell>
          <cell r="N624" t="e">
            <v>#N/A</v>
          </cell>
          <cell r="O624" t="e">
            <v>#N/A</v>
          </cell>
          <cell r="P624">
            <v>63.51</v>
          </cell>
          <cell r="Q624" t="str">
            <v/>
          </cell>
          <cell r="R624" t="e">
            <v>#N/A</v>
          </cell>
        </row>
        <row r="625">
          <cell r="A625">
            <v>40374</v>
          </cell>
          <cell r="B625">
            <v>40374</v>
          </cell>
          <cell r="C625" t="str">
            <v>Future</v>
          </cell>
          <cell r="D625" t="e">
            <v>#N/A</v>
          </cell>
          <cell r="E625">
            <v>46.757362204724522</v>
          </cell>
          <cell r="F625">
            <v>70.497519685039762</v>
          </cell>
          <cell r="G625">
            <v>59.946338582677136</v>
          </cell>
          <cell r="H625">
            <v>59.946338582677136</v>
          </cell>
          <cell r="I625" t="e">
            <v>#N/A</v>
          </cell>
          <cell r="J625" t="e">
            <v>#N/A</v>
          </cell>
          <cell r="K625" t="e">
            <v>#N/A</v>
          </cell>
          <cell r="L625" t="e">
            <v>#N/A</v>
          </cell>
          <cell r="M625" t="e">
            <v>#N/A</v>
          </cell>
          <cell r="N625" t="e">
            <v>#N/A</v>
          </cell>
          <cell r="O625" t="e">
            <v>#N/A</v>
          </cell>
          <cell r="P625">
            <v>63.51</v>
          </cell>
          <cell r="Q625" t="str">
            <v/>
          </cell>
          <cell r="R625" t="e">
            <v>#N/A</v>
          </cell>
        </row>
        <row r="626">
          <cell r="A626">
            <v>40375</v>
          </cell>
          <cell r="B626">
            <v>40375</v>
          </cell>
          <cell r="C626" t="str">
            <v>Future</v>
          </cell>
          <cell r="D626" t="e">
            <v>#N/A</v>
          </cell>
          <cell r="E626">
            <v>46.507322834645784</v>
          </cell>
          <cell r="F626">
            <v>70.601811023622446</v>
          </cell>
          <cell r="G626">
            <v>59.893149606299183</v>
          </cell>
          <cell r="H626">
            <v>59.893149606299183</v>
          </cell>
          <cell r="I626" t="e">
            <v>#N/A</v>
          </cell>
          <cell r="J626" t="e">
            <v>#N/A</v>
          </cell>
          <cell r="K626" t="e">
            <v>#N/A</v>
          </cell>
          <cell r="L626" t="e">
            <v>#N/A</v>
          </cell>
          <cell r="M626" t="e">
            <v>#N/A</v>
          </cell>
          <cell r="N626" t="e">
            <v>#N/A</v>
          </cell>
          <cell r="O626" t="e">
            <v>#N/A</v>
          </cell>
          <cell r="P626">
            <v>63.51</v>
          </cell>
          <cell r="Q626" t="str">
            <v/>
          </cell>
          <cell r="R626" t="e">
            <v>#N/A</v>
          </cell>
        </row>
        <row r="627">
          <cell r="A627">
            <v>40378</v>
          </cell>
          <cell r="B627">
            <v>40378</v>
          </cell>
          <cell r="C627" t="str">
            <v>Future</v>
          </cell>
          <cell r="D627" t="e">
            <v>#N/A</v>
          </cell>
          <cell r="E627">
            <v>46.257283464567045</v>
          </cell>
          <cell r="F627">
            <v>70.706102362205129</v>
          </cell>
          <cell r="G627">
            <v>59.839960629921229</v>
          </cell>
          <cell r="H627">
            <v>59.839960629921229</v>
          </cell>
          <cell r="I627" t="e">
            <v>#N/A</v>
          </cell>
          <cell r="J627" t="e">
            <v>#N/A</v>
          </cell>
          <cell r="K627" t="e">
            <v>#N/A</v>
          </cell>
          <cell r="L627" t="e">
            <v>#N/A</v>
          </cell>
          <cell r="M627" t="e">
            <v>#N/A</v>
          </cell>
          <cell r="N627" t="e">
            <v>#N/A</v>
          </cell>
          <cell r="O627" t="e">
            <v>#N/A</v>
          </cell>
          <cell r="P627">
            <v>63.51</v>
          </cell>
          <cell r="Q627" t="str">
            <v/>
          </cell>
          <cell r="R627" t="e">
            <v>#N/A</v>
          </cell>
        </row>
        <row r="628">
          <cell r="A628">
            <v>40379</v>
          </cell>
          <cell r="B628">
            <v>40379</v>
          </cell>
          <cell r="C628" t="str">
            <v>Future</v>
          </cell>
          <cell r="D628" t="e">
            <v>#N/A</v>
          </cell>
          <cell r="E628">
            <v>46.007244094488307</v>
          </cell>
          <cell r="F628">
            <v>70.810393700787813</v>
          </cell>
          <cell r="G628">
            <v>59.786771653543276</v>
          </cell>
          <cell r="H628">
            <v>59.786771653543276</v>
          </cell>
          <cell r="I628" t="e">
            <v>#N/A</v>
          </cell>
          <cell r="J628" t="e">
            <v>#N/A</v>
          </cell>
          <cell r="K628" t="e">
            <v>#N/A</v>
          </cell>
          <cell r="L628" t="e">
            <v>#N/A</v>
          </cell>
          <cell r="M628" t="e">
            <v>#N/A</v>
          </cell>
          <cell r="N628" t="e">
            <v>#N/A</v>
          </cell>
          <cell r="O628" t="e">
            <v>#N/A</v>
          </cell>
          <cell r="P628">
            <v>63.51</v>
          </cell>
          <cell r="Q628" t="str">
            <v/>
          </cell>
          <cell r="R628" t="e">
            <v>#N/A</v>
          </cell>
        </row>
        <row r="629">
          <cell r="A629">
            <v>40380</v>
          </cell>
          <cell r="B629">
            <v>40380</v>
          </cell>
          <cell r="C629" t="str">
            <v>Future</v>
          </cell>
          <cell r="D629" t="e">
            <v>#N/A</v>
          </cell>
          <cell r="E629">
            <v>45.757204724409569</v>
          </cell>
          <cell r="F629">
            <v>70.914685039370497</v>
          </cell>
          <cell r="G629">
            <v>59.733582677165323</v>
          </cell>
          <cell r="H629">
            <v>59.733582677165323</v>
          </cell>
          <cell r="I629" t="e">
            <v>#N/A</v>
          </cell>
          <cell r="J629" t="e">
            <v>#N/A</v>
          </cell>
          <cell r="K629" t="e">
            <v>#N/A</v>
          </cell>
          <cell r="L629" t="e">
            <v>#N/A</v>
          </cell>
          <cell r="M629" t="e">
            <v>#N/A</v>
          </cell>
          <cell r="N629" t="e">
            <v>#N/A</v>
          </cell>
          <cell r="O629" t="e">
            <v>#N/A</v>
          </cell>
          <cell r="P629">
            <v>63.51</v>
          </cell>
          <cell r="Q629" t="str">
            <v/>
          </cell>
          <cell r="R629" t="e">
            <v>#N/A</v>
          </cell>
        </row>
        <row r="630">
          <cell r="A630">
            <v>40381</v>
          </cell>
          <cell r="B630">
            <v>40381</v>
          </cell>
          <cell r="C630" t="str">
            <v>Future</v>
          </cell>
          <cell r="D630" t="e">
            <v>#N/A</v>
          </cell>
          <cell r="E630">
            <v>45.50716535433083</v>
          </cell>
          <cell r="F630">
            <v>71.01897637795318</v>
          </cell>
          <cell r="G630">
            <v>59.68039370078737</v>
          </cell>
          <cell r="H630">
            <v>59.68039370078737</v>
          </cell>
          <cell r="I630" t="e">
            <v>#N/A</v>
          </cell>
          <cell r="J630" t="e">
            <v>#N/A</v>
          </cell>
          <cell r="K630" t="e">
            <v>#N/A</v>
          </cell>
          <cell r="L630" t="e">
            <v>#N/A</v>
          </cell>
          <cell r="M630" t="e">
            <v>#N/A</v>
          </cell>
          <cell r="N630" t="e">
            <v>#N/A</v>
          </cell>
          <cell r="O630" t="e">
            <v>#N/A</v>
          </cell>
          <cell r="P630">
            <v>63.51</v>
          </cell>
          <cell r="Q630" t="str">
            <v/>
          </cell>
          <cell r="R630" t="e">
            <v>#N/A</v>
          </cell>
        </row>
        <row r="631">
          <cell r="A631">
            <v>40382</v>
          </cell>
          <cell r="B631">
            <v>40382</v>
          </cell>
          <cell r="C631" t="str">
            <v>Future</v>
          </cell>
          <cell r="D631" t="e">
            <v>#N/A</v>
          </cell>
          <cell r="E631">
            <v>45.257125984252092</v>
          </cell>
          <cell r="F631">
            <v>71.123267716535864</v>
          </cell>
          <cell r="G631">
            <v>59.627204724409417</v>
          </cell>
          <cell r="H631">
            <v>59.627204724409417</v>
          </cell>
          <cell r="I631" t="e">
            <v>#N/A</v>
          </cell>
          <cell r="J631" t="e">
            <v>#N/A</v>
          </cell>
          <cell r="K631" t="e">
            <v>#N/A</v>
          </cell>
          <cell r="L631" t="e">
            <v>#N/A</v>
          </cell>
          <cell r="M631" t="e">
            <v>#N/A</v>
          </cell>
          <cell r="N631" t="e">
            <v>#N/A</v>
          </cell>
          <cell r="O631" t="e">
            <v>#N/A</v>
          </cell>
          <cell r="P631">
            <v>63.51</v>
          </cell>
          <cell r="Q631" t="str">
            <v/>
          </cell>
          <cell r="R631" t="e">
            <v>#N/A</v>
          </cell>
        </row>
        <row r="632">
          <cell r="A632">
            <v>40385</v>
          </cell>
          <cell r="B632">
            <v>40385</v>
          </cell>
          <cell r="C632" t="str">
            <v>Future</v>
          </cell>
          <cell r="D632" t="e">
            <v>#N/A</v>
          </cell>
          <cell r="E632">
            <v>45.007086614173353</v>
          </cell>
          <cell r="F632">
            <v>71.227559055118547</v>
          </cell>
          <cell r="G632">
            <v>59.574015748031464</v>
          </cell>
          <cell r="H632">
            <v>59.574015748031464</v>
          </cell>
          <cell r="I632" t="e">
            <v>#N/A</v>
          </cell>
          <cell r="J632" t="e">
            <v>#N/A</v>
          </cell>
          <cell r="K632" t="e">
            <v>#N/A</v>
          </cell>
          <cell r="L632" t="e">
            <v>#N/A</v>
          </cell>
          <cell r="M632" t="e">
            <v>#N/A</v>
          </cell>
          <cell r="N632" t="e">
            <v>#N/A</v>
          </cell>
          <cell r="O632" t="e">
            <v>#N/A</v>
          </cell>
          <cell r="P632">
            <v>63.51</v>
          </cell>
          <cell r="Q632" t="str">
            <v/>
          </cell>
          <cell r="R632" t="e">
            <v>#N/A</v>
          </cell>
        </row>
        <row r="633">
          <cell r="A633">
            <v>40386</v>
          </cell>
          <cell r="B633">
            <v>40386</v>
          </cell>
          <cell r="C633" t="str">
            <v>Future</v>
          </cell>
          <cell r="D633" t="e">
            <v>#N/A</v>
          </cell>
          <cell r="E633">
            <v>44.757047244094615</v>
          </cell>
          <cell r="F633">
            <v>71.331850393701231</v>
          </cell>
          <cell r="G633">
            <v>59.52082677165351</v>
          </cell>
          <cell r="H633">
            <v>59.52082677165351</v>
          </cell>
          <cell r="I633" t="e">
            <v>#N/A</v>
          </cell>
          <cell r="J633" t="e">
            <v>#N/A</v>
          </cell>
          <cell r="K633" t="e">
            <v>#N/A</v>
          </cell>
          <cell r="L633" t="e">
            <v>#N/A</v>
          </cell>
          <cell r="M633" t="e">
            <v>#N/A</v>
          </cell>
          <cell r="N633" t="e">
            <v>#N/A</v>
          </cell>
          <cell r="O633" t="e">
            <v>#N/A</v>
          </cell>
          <cell r="P633">
            <v>63.51</v>
          </cell>
          <cell r="Q633" t="str">
            <v/>
          </cell>
          <cell r="R633" t="e">
            <v>#N/A</v>
          </cell>
        </row>
        <row r="634">
          <cell r="A634">
            <v>40387</v>
          </cell>
          <cell r="B634">
            <v>40387</v>
          </cell>
          <cell r="C634" t="str">
            <v>Future</v>
          </cell>
          <cell r="D634" t="e">
            <v>#N/A</v>
          </cell>
          <cell r="E634">
            <v>44.507007874015876</v>
          </cell>
          <cell r="F634">
            <v>71.436141732283915</v>
          </cell>
          <cell r="G634">
            <v>59.467637795275557</v>
          </cell>
          <cell r="H634">
            <v>59.467637795275557</v>
          </cell>
          <cell r="I634" t="e">
            <v>#N/A</v>
          </cell>
          <cell r="J634" t="e">
            <v>#N/A</v>
          </cell>
          <cell r="K634" t="e">
            <v>#N/A</v>
          </cell>
          <cell r="L634" t="e">
            <v>#N/A</v>
          </cell>
          <cell r="M634" t="e">
            <v>#N/A</v>
          </cell>
          <cell r="N634" t="e">
            <v>#N/A</v>
          </cell>
          <cell r="O634" t="e">
            <v>#N/A</v>
          </cell>
          <cell r="P634">
            <v>63.51</v>
          </cell>
          <cell r="Q634" t="str">
            <v/>
          </cell>
          <cell r="R634" t="e">
            <v>#N/A</v>
          </cell>
        </row>
        <row r="635">
          <cell r="A635">
            <v>40388</v>
          </cell>
          <cell r="B635">
            <v>40388</v>
          </cell>
          <cell r="C635" t="str">
            <v>Future</v>
          </cell>
          <cell r="D635" t="e">
            <v>#N/A</v>
          </cell>
          <cell r="E635">
            <v>44.256968503937138</v>
          </cell>
          <cell r="F635">
            <v>71.540433070866598</v>
          </cell>
          <cell r="G635">
            <v>59.414448818897604</v>
          </cell>
          <cell r="H635">
            <v>59.414448818897604</v>
          </cell>
          <cell r="I635" t="e">
            <v>#N/A</v>
          </cell>
          <cell r="J635" t="e">
            <v>#N/A</v>
          </cell>
          <cell r="K635" t="e">
            <v>#N/A</v>
          </cell>
          <cell r="L635" t="e">
            <v>#N/A</v>
          </cell>
          <cell r="M635" t="e">
            <v>#N/A</v>
          </cell>
          <cell r="N635" t="e">
            <v>#N/A</v>
          </cell>
          <cell r="O635" t="e">
            <v>#N/A</v>
          </cell>
          <cell r="P635">
            <v>63.51</v>
          </cell>
          <cell r="Q635" t="str">
            <v/>
          </cell>
          <cell r="R635" t="e">
            <v>#N/A</v>
          </cell>
        </row>
        <row r="636">
          <cell r="A636">
            <v>40389</v>
          </cell>
          <cell r="B636">
            <v>40389</v>
          </cell>
          <cell r="C636" t="str">
            <v>Future</v>
          </cell>
          <cell r="D636" t="e">
            <v>#N/A</v>
          </cell>
          <cell r="E636">
            <v>44.006929133858399</v>
          </cell>
          <cell r="F636">
            <v>71.644724409449282</v>
          </cell>
          <cell r="G636">
            <v>59.361259842519651</v>
          </cell>
          <cell r="H636">
            <v>59.361259842519651</v>
          </cell>
          <cell r="I636" t="e">
            <v>#N/A</v>
          </cell>
          <cell r="J636" t="e">
            <v>#N/A</v>
          </cell>
          <cell r="K636" t="e">
            <v>#N/A</v>
          </cell>
          <cell r="L636" t="e">
            <v>#N/A</v>
          </cell>
          <cell r="M636" t="e">
            <v>#N/A</v>
          </cell>
          <cell r="N636" t="e">
            <v>#N/A</v>
          </cell>
          <cell r="O636" t="e">
            <v>#N/A</v>
          </cell>
          <cell r="P636">
            <v>63.51</v>
          </cell>
          <cell r="Q636" t="str">
            <v/>
          </cell>
          <cell r="R636" t="e">
            <v>#N/A</v>
          </cell>
        </row>
        <row r="637">
          <cell r="A637">
            <v>40392</v>
          </cell>
          <cell r="B637">
            <v>40392</v>
          </cell>
          <cell r="C637" t="str">
            <v>Future</v>
          </cell>
          <cell r="D637" t="e">
            <v>#N/A</v>
          </cell>
          <cell r="E637">
            <v>43.756889763779661</v>
          </cell>
          <cell r="F637">
            <v>71.749015748031965</v>
          </cell>
          <cell r="G637">
            <v>59.308070866141698</v>
          </cell>
          <cell r="H637">
            <v>59.308070866141698</v>
          </cell>
          <cell r="I637" t="e">
            <v>#N/A</v>
          </cell>
          <cell r="J637" t="e">
            <v>#N/A</v>
          </cell>
          <cell r="K637" t="e">
            <v>#N/A</v>
          </cell>
          <cell r="L637" t="e">
            <v>#N/A</v>
          </cell>
          <cell r="M637" t="e">
            <v>#N/A</v>
          </cell>
          <cell r="N637" t="e">
            <v>#N/A</v>
          </cell>
          <cell r="O637" t="e">
            <v>#N/A</v>
          </cell>
          <cell r="P637">
            <v>63.51</v>
          </cell>
          <cell r="Q637" t="str">
            <v/>
          </cell>
          <cell r="R637" t="e">
            <v>#N/A</v>
          </cell>
        </row>
        <row r="638">
          <cell r="A638">
            <v>40393</v>
          </cell>
          <cell r="B638">
            <v>40393</v>
          </cell>
          <cell r="C638" t="str">
            <v>Future</v>
          </cell>
          <cell r="D638" t="e">
            <v>#N/A</v>
          </cell>
          <cell r="E638">
            <v>43.506850393700923</v>
          </cell>
          <cell r="F638">
            <v>71.853307086614649</v>
          </cell>
          <cell r="G638">
            <v>59.254881889763745</v>
          </cell>
          <cell r="H638">
            <v>59.254881889763745</v>
          </cell>
          <cell r="I638" t="e">
            <v>#N/A</v>
          </cell>
          <cell r="J638" t="e">
            <v>#N/A</v>
          </cell>
          <cell r="K638" t="e">
            <v>#N/A</v>
          </cell>
          <cell r="L638" t="e">
            <v>#N/A</v>
          </cell>
          <cell r="M638" t="e">
            <v>#N/A</v>
          </cell>
          <cell r="N638" t="e">
            <v>#N/A</v>
          </cell>
          <cell r="O638" t="e">
            <v>#N/A</v>
          </cell>
          <cell r="P638">
            <v>63.51</v>
          </cell>
          <cell r="Q638" t="str">
            <v/>
          </cell>
          <cell r="R638" t="e">
            <v>#N/A</v>
          </cell>
        </row>
        <row r="639">
          <cell r="A639">
            <v>40394</v>
          </cell>
          <cell r="B639">
            <v>40394</v>
          </cell>
          <cell r="C639" t="str">
            <v>Future</v>
          </cell>
          <cell r="D639" t="e">
            <v>#N/A</v>
          </cell>
          <cell r="E639">
            <v>43.256811023622184</v>
          </cell>
          <cell r="F639">
            <v>71.957598425197332</v>
          </cell>
          <cell r="G639">
            <v>59.201692913385791</v>
          </cell>
          <cell r="H639">
            <v>59.201692913385791</v>
          </cell>
          <cell r="I639" t="e">
            <v>#N/A</v>
          </cell>
          <cell r="J639" t="e">
            <v>#N/A</v>
          </cell>
          <cell r="K639" t="e">
            <v>#N/A</v>
          </cell>
          <cell r="L639" t="e">
            <v>#N/A</v>
          </cell>
          <cell r="M639" t="e">
            <v>#N/A</v>
          </cell>
          <cell r="N639" t="e">
            <v>#N/A</v>
          </cell>
          <cell r="O639" t="e">
            <v>#N/A</v>
          </cell>
          <cell r="P639">
            <v>63.51</v>
          </cell>
          <cell r="Q639" t="str">
            <v/>
          </cell>
          <cell r="R639" t="e">
            <v>#N/A</v>
          </cell>
        </row>
        <row r="640">
          <cell r="A640">
            <v>40395</v>
          </cell>
          <cell r="B640">
            <v>40395</v>
          </cell>
          <cell r="C640" t="str">
            <v>Future</v>
          </cell>
          <cell r="D640" t="e">
            <v>#N/A</v>
          </cell>
          <cell r="E640">
            <v>43.006771653543446</v>
          </cell>
          <cell r="F640">
            <v>72.061889763780016</v>
          </cell>
          <cell r="G640">
            <v>59.148503937007838</v>
          </cell>
          <cell r="H640">
            <v>59.148503937007838</v>
          </cell>
          <cell r="I640" t="e">
            <v>#N/A</v>
          </cell>
          <cell r="J640" t="e">
            <v>#N/A</v>
          </cell>
          <cell r="K640" t="e">
            <v>#N/A</v>
          </cell>
          <cell r="L640" t="e">
            <v>#N/A</v>
          </cell>
          <cell r="M640" t="e">
            <v>#N/A</v>
          </cell>
          <cell r="N640" t="e">
            <v>#N/A</v>
          </cell>
          <cell r="O640" t="e">
            <v>#N/A</v>
          </cell>
          <cell r="P640">
            <v>63.51</v>
          </cell>
          <cell r="Q640" t="str">
            <v/>
          </cell>
          <cell r="R640" t="e">
            <v>#N/A</v>
          </cell>
        </row>
        <row r="641">
          <cell r="A641">
            <v>40396</v>
          </cell>
          <cell r="B641">
            <v>40396</v>
          </cell>
          <cell r="C641" t="str">
            <v>Future</v>
          </cell>
          <cell r="D641" t="e">
            <v>#N/A</v>
          </cell>
          <cell r="E641">
            <v>42.756732283464707</v>
          </cell>
          <cell r="F641">
            <v>72.1661811023627</v>
          </cell>
          <cell r="G641">
            <v>59.095314960629885</v>
          </cell>
          <cell r="H641">
            <v>59.095314960629885</v>
          </cell>
          <cell r="I641" t="e">
            <v>#N/A</v>
          </cell>
          <cell r="J641" t="e">
            <v>#N/A</v>
          </cell>
          <cell r="K641" t="e">
            <v>#N/A</v>
          </cell>
          <cell r="L641" t="e">
            <v>#N/A</v>
          </cell>
          <cell r="M641" t="e">
            <v>#N/A</v>
          </cell>
          <cell r="N641" t="e">
            <v>#N/A</v>
          </cell>
          <cell r="O641" t="e">
            <v>#N/A</v>
          </cell>
          <cell r="P641">
            <v>63.51</v>
          </cell>
          <cell r="Q641" t="str">
            <v/>
          </cell>
          <cell r="R641" t="e">
            <v>#N/A</v>
          </cell>
        </row>
        <row r="642">
          <cell r="A642">
            <v>40399</v>
          </cell>
          <cell r="B642">
            <v>40399</v>
          </cell>
          <cell r="C642" t="str">
            <v>Future</v>
          </cell>
          <cell r="D642" t="e">
            <v>#N/A</v>
          </cell>
          <cell r="E642">
            <v>42.506692913385969</v>
          </cell>
          <cell r="F642">
            <v>72.270472440945383</v>
          </cell>
          <cell r="G642">
            <v>59.042125984251932</v>
          </cell>
          <cell r="H642">
            <v>59.042125984251932</v>
          </cell>
          <cell r="I642" t="e">
            <v>#N/A</v>
          </cell>
          <cell r="J642" t="e">
            <v>#N/A</v>
          </cell>
          <cell r="K642" t="e">
            <v>#N/A</v>
          </cell>
          <cell r="L642" t="e">
            <v>#N/A</v>
          </cell>
          <cell r="M642" t="e">
            <v>#N/A</v>
          </cell>
          <cell r="N642" t="e">
            <v>#N/A</v>
          </cell>
          <cell r="O642" t="e">
            <v>#N/A</v>
          </cell>
          <cell r="P642">
            <v>63.51</v>
          </cell>
          <cell r="Q642" t="str">
            <v/>
          </cell>
          <cell r="R642" t="e">
            <v>#N/A</v>
          </cell>
        </row>
        <row r="643">
          <cell r="A643">
            <v>40400</v>
          </cell>
          <cell r="B643">
            <v>40400</v>
          </cell>
          <cell r="C643" t="str">
            <v>Future</v>
          </cell>
          <cell r="D643" t="e">
            <v>#N/A</v>
          </cell>
          <cell r="E643">
            <v>42.25665354330723</v>
          </cell>
          <cell r="F643">
            <v>72.374763779528067</v>
          </cell>
          <cell r="G643">
            <v>58.988937007873979</v>
          </cell>
          <cell r="H643">
            <v>58.988937007873979</v>
          </cell>
          <cell r="I643" t="e">
            <v>#N/A</v>
          </cell>
          <cell r="J643" t="e">
            <v>#N/A</v>
          </cell>
          <cell r="K643" t="e">
            <v>#N/A</v>
          </cell>
          <cell r="L643" t="e">
            <v>#N/A</v>
          </cell>
          <cell r="M643" t="e">
            <v>#N/A</v>
          </cell>
          <cell r="N643" t="e">
            <v>#N/A</v>
          </cell>
          <cell r="O643" t="e">
            <v>#N/A</v>
          </cell>
          <cell r="P643">
            <v>63.51</v>
          </cell>
          <cell r="Q643" t="str">
            <v/>
          </cell>
          <cell r="R643" t="e">
            <v>#N/A</v>
          </cell>
        </row>
        <row r="644">
          <cell r="A644">
            <v>40401</v>
          </cell>
          <cell r="B644">
            <v>40401</v>
          </cell>
          <cell r="C644" t="str">
            <v>Future</v>
          </cell>
          <cell r="D644" t="e">
            <v>#N/A</v>
          </cell>
          <cell r="E644">
            <v>42.006614173228492</v>
          </cell>
          <cell r="F644">
            <v>72.47905511811075</v>
          </cell>
          <cell r="G644">
            <v>58.935748031496026</v>
          </cell>
          <cell r="H644">
            <v>58.935748031496026</v>
          </cell>
          <cell r="I644" t="e">
            <v>#N/A</v>
          </cell>
          <cell r="J644" t="e">
            <v>#N/A</v>
          </cell>
          <cell r="K644" t="e">
            <v>#N/A</v>
          </cell>
          <cell r="L644" t="e">
            <v>#N/A</v>
          </cell>
          <cell r="M644" t="e">
            <v>#N/A</v>
          </cell>
          <cell r="N644" t="e">
            <v>#N/A</v>
          </cell>
          <cell r="O644" t="e">
            <v>#N/A</v>
          </cell>
          <cell r="P644">
            <v>63.51</v>
          </cell>
          <cell r="Q644" t="str">
            <v/>
          </cell>
          <cell r="R644" t="e">
            <v>#N/A</v>
          </cell>
        </row>
        <row r="645">
          <cell r="A645">
            <v>40402</v>
          </cell>
          <cell r="B645">
            <v>40402</v>
          </cell>
          <cell r="C645" t="str">
            <v>Future</v>
          </cell>
          <cell r="D645" t="e">
            <v>#N/A</v>
          </cell>
          <cell r="E645">
            <v>41.756574803149753</v>
          </cell>
          <cell r="F645">
            <v>72.583346456693434</v>
          </cell>
          <cell r="G645">
            <v>58.882559055118072</v>
          </cell>
          <cell r="H645">
            <v>58.882559055118072</v>
          </cell>
          <cell r="I645" t="e">
            <v>#N/A</v>
          </cell>
          <cell r="J645" t="e">
            <v>#N/A</v>
          </cell>
          <cell r="K645" t="e">
            <v>#N/A</v>
          </cell>
          <cell r="L645" t="e">
            <v>#N/A</v>
          </cell>
          <cell r="M645" t="e">
            <v>#N/A</v>
          </cell>
          <cell r="N645" t="e">
            <v>#N/A</v>
          </cell>
          <cell r="O645" t="e">
            <v>#N/A</v>
          </cell>
          <cell r="P645">
            <v>63.51</v>
          </cell>
          <cell r="Q645" t="str">
            <v/>
          </cell>
          <cell r="R645" t="e">
            <v>#N/A</v>
          </cell>
        </row>
        <row r="646">
          <cell r="A646">
            <v>40403</v>
          </cell>
          <cell r="B646">
            <v>40403</v>
          </cell>
          <cell r="C646" t="str">
            <v>Future</v>
          </cell>
          <cell r="D646" t="e">
            <v>#N/A</v>
          </cell>
          <cell r="E646">
            <v>41.506535433071015</v>
          </cell>
          <cell r="F646">
            <v>72.687637795276117</v>
          </cell>
          <cell r="G646">
            <v>58.829370078740119</v>
          </cell>
          <cell r="H646">
            <v>58.829370078740119</v>
          </cell>
          <cell r="I646" t="e">
            <v>#N/A</v>
          </cell>
          <cell r="J646" t="e">
            <v>#N/A</v>
          </cell>
          <cell r="K646" t="e">
            <v>#N/A</v>
          </cell>
          <cell r="L646" t="e">
            <v>#N/A</v>
          </cell>
          <cell r="M646" t="e">
            <v>#N/A</v>
          </cell>
          <cell r="N646" t="e">
            <v>#N/A</v>
          </cell>
          <cell r="O646" t="e">
            <v>#N/A</v>
          </cell>
          <cell r="P646">
            <v>63.51</v>
          </cell>
          <cell r="Q646" t="str">
            <v/>
          </cell>
          <cell r="R646" t="e">
            <v>#N/A</v>
          </cell>
        </row>
        <row r="647">
          <cell r="A647">
            <v>40406</v>
          </cell>
          <cell r="B647">
            <v>40406</v>
          </cell>
          <cell r="C647" t="str">
            <v>Future</v>
          </cell>
          <cell r="D647" t="e">
            <v>#N/A</v>
          </cell>
          <cell r="E647">
            <v>41.256496062992277</v>
          </cell>
          <cell r="F647">
            <v>72.791929133858801</v>
          </cell>
          <cell r="G647">
            <v>58.776181102362166</v>
          </cell>
          <cell r="H647">
            <v>58.776181102362166</v>
          </cell>
          <cell r="I647" t="e">
            <v>#N/A</v>
          </cell>
          <cell r="J647" t="e">
            <v>#N/A</v>
          </cell>
          <cell r="K647" t="e">
            <v>#N/A</v>
          </cell>
          <cell r="L647" t="e">
            <v>#N/A</v>
          </cell>
          <cell r="M647" t="e">
            <v>#N/A</v>
          </cell>
          <cell r="N647" t="e">
            <v>#N/A</v>
          </cell>
          <cell r="O647" t="e">
            <v>#N/A</v>
          </cell>
          <cell r="P647">
            <v>63.51</v>
          </cell>
          <cell r="Q647" t="str">
            <v/>
          </cell>
          <cell r="R647" t="e">
            <v>#N/A</v>
          </cell>
        </row>
        <row r="648">
          <cell r="A648">
            <v>40407</v>
          </cell>
          <cell r="B648">
            <v>40407</v>
          </cell>
          <cell r="C648" t="str">
            <v>Future</v>
          </cell>
          <cell r="D648" t="e">
            <v>#N/A</v>
          </cell>
          <cell r="E648">
            <v>41.006456692913538</v>
          </cell>
          <cell r="F648">
            <v>72.896220472441485</v>
          </cell>
          <cell r="G648">
            <v>58.722992125984213</v>
          </cell>
          <cell r="H648">
            <v>58.722992125984213</v>
          </cell>
          <cell r="I648" t="e">
            <v>#N/A</v>
          </cell>
          <cell r="J648" t="e">
            <v>#N/A</v>
          </cell>
          <cell r="K648" t="e">
            <v>#N/A</v>
          </cell>
          <cell r="L648" t="e">
            <v>#N/A</v>
          </cell>
          <cell r="M648" t="e">
            <v>#N/A</v>
          </cell>
          <cell r="N648" t="e">
            <v>#N/A</v>
          </cell>
          <cell r="O648" t="e">
            <v>#N/A</v>
          </cell>
          <cell r="P648">
            <v>63.51</v>
          </cell>
          <cell r="Q648" t="str">
            <v/>
          </cell>
          <cell r="R648" t="e">
            <v>#N/A</v>
          </cell>
        </row>
        <row r="649">
          <cell r="A649">
            <v>40408</v>
          </cell>
          <cell r="B649">
            <v>40408</v>
          </cell>
          <cell r="C649" t="str">
            <v>Future</v>
          </cell>
          <cell r="D649" t="e">
            <v>#N/A</v>
          </cell>
          <cell r="E649">
            <v>40.7564173228348</v>
          </cell>
          <cell r="F649">
            <v>73.000511811024168</v>
          </cell>
          <cell r="G649">
            <v>58.66980314960626</v>
          </cell>
          <cell r="H649">
            <v>58.66980314960626</v>
          </cell>
          <cell r="I649" t="e">
            <v>#N/A</v>
          </cell>
          <cell r="J649" t="e">
            <v>#N/A</v>
          </cell>
          <cell r="K649" t="e">
            <v>#N/A</v>
          </cell>
          <cell r="L649" t="e">
            <v>#N/A</v>
          </cell>
          <cell r="M649" t="e">
            <v>#N/A</v>
          </cell>
          <cell r="N649" t="e">
            <v>#N/A</v>
          </cell>
          <cell r="O649" t="e">
            <v>#N/A</v>
          </cell>
          <cell r="P649">
            <v>63.51</v>
          </cell>
          <cell r="Q649" t="str">
            <v/>
          </cell>
          <cell r="R649" t="e">
            <v>#N/A</v>
          </cell>
        </row>
        <row r="650">
          <cell r="A650">
            <v>40409</v>
          </cell>
          <cell r="B650">
            <v>40409</v>
          </cell>
          <cell r="C650" t="str">
            <v>Future</v>
          </cell>
          <cell r="D650" t="e">
            <v>#N/A</v>
          </cell>
          <cell r="E650">
            <v>40.506377952756061</v>
          </cell>
          <cell r="F650">
            <v>73.104803149606852</v>
          </cell>
          <cell r="G650">
            <v>58.616614173228307</v>
          </cell>
          <cell r="H650">
            <v>58.616614173228307</v>
          </cell>
          <cell r="I650" t="e">
            <v>#N/A</v>
          </cell>
          <cell r="J650" t="e">
            <v>#N/A</v>
          </cell>
          <cell r="K650" t="e">
            <v>#N/A</v>
          </cell>
          <cell r="L650" t="e">
            <v>#N/A</v>
          </cell>
          <cell r="M650" t="e">
            <v>#N/A</v>
          </cell>
          <cell r="N650" t="e">
            <v>#N/A</v>
          </cell>
          <cell r="O650" t="e">
            <v>#N/A</v>
          </cell>
          <cell r="P650">
            <v>63.51</v>
          </cell>
          <cell r="Q650" t="str">
            <v/>
          </cell>
          <cell r="R650" t="e">
            <v>#N/A</v>
          </cell>
        </row>
        <row r="651">
          <cell r="A651">
            <v>40410</v>
          </cell>
          <cell r="B651">
            <v>40410</v>
          </cell>
          <cell r="C651" t="str">
            <v>Future</v>
          </cell>
          <cell r="D651" t="e">
            <v>#N/A</v>
          </cell>
          <cell r="E651">
            <v>40.256338582677323</v>
          </cell>
          <cell r="F651">
            <v>73.209094488189535</v>
          </cell>
          <cell r="G651">
            <v>58.563425196850353</v>
          </cell>
          <cell r="H651">
            <v>58.563425196850353</v>
          </cell>
          <cell r="I651" t="e">
            <v>#N/A</v>
          </cell>
          <cell r="J651" t="e">
            <v>#N/A</v>
          </cell>
          <cell r="K651" t="e">
            <v>#N/A</v>
          </cell>
          <cell r="L651" t="e">
            <v>#N/A</v>
          </cell>
          <cell r="M651" t="e">
            <v>#N/A</v>
          </cell>
          <cell r="N651" t="e">
            <v>#N/A</v>
          </cell>
          <cell r="O651" t="e">
            <v>#N/A</v>
          </cell>
          <cell r="P651">
            <v>63.51</v>
          </cell>
          <cell r="Q651" t="str">
            <v/>
          </cell>
          <cell r="R651" t="e">
            <v>#N/A</v>
          </cell>
        </row>
        <row r="652">
          <cell r="A652">
            <v>40413</v>
          </cell>
          <cell r="B652">
            <v>40413</v>
          </cell>
          <cell r="C652" t="str">
            <v>Future</v>
          </cell>
          <cell r="D652" t="e">
            <v>#N/A</v>
          </cell>
          <cell r="E652">
            <v>40.006299212598584</v>
          </cell>
          <cell r="F652">
            <v>73.313385826772219</v>
          </cell>
          <cell r="G652">
            <v>58.5102362204724</v>
          </cell>
          <cell r="H652">
            <v>58.5102362204724</v>
          </cell>
          <cell r="I652" t="e">
            <v>#N/A</v>
          </cell>
          <cell r="J652" t="e">
            <v>#N/A</v>
          </cell>
          <cell r="K652" t="e">
            <v>#N/A</v>
          </cell>
          <cell r="L652" t="e">
            <v>#N/A</v>
          </cell>
          <cell r="M652" t="e">
            <v>#N/A</v>
          </cell>
          <cell r="N652" t="e">
            <v>#N/A</v>
          </cell>
          <cell r="O652" t="e">
            <v>#N/A</v>
          </cell>
          <cell r="P652">
            <v>63.51</v>
          </cell>
          <cell r="Q652" t="str">
            <v/>
          </cell>
          <cell r="R652" t="e">
            <v>#N/A</v>
          </cell>
        </row>
        <row r="653">
          <cell r="A653">
            <v>40414</v>
          </cell>
          <cell r="B653">
            <v>40414</v>
          </cell>
          <cell r="C653" t="str">
            <v>Future</v>
          </cell>
          <cell r="D653" t="e">
            <v>#N/A</v>
          </cell>
          <cell r="E653">
            <v>39.756259842519846</v>
          </cell>
          <cell r="F653">
            <v>73.417677165354903</v>
          </cell>
          <cell r="G653">
            <v>58.457047244094447</v>
          </cell>
          <cell r="H653">
            <v>58.457047244094447</v>
          </cell>
          <cell r="I653" t="e">
            <v>#N/A</v>
          </cell>
          <cell r="J653" t="e">
            <v>#N/A</v>
          </cell>
          <cell r="K653" t="e">
            <v>#N/A</v>
          </cell>
          <cell r="L653" t="e">
            <v>#N/A</v>
          </cell>
          <cell r="M653" t="e">
            <v>#N/A</v>
          </cell>
          <cell r="N653" t="e">
            <v>#N/A</v>
          </cell>
          <cell r="O653" t="e">
            <v>#N/A</v>
          </cell>
          <cell r="P653">
            <v>63.51</v>
          </cell>
          <cell r="Q653" t="str">
            <v/>
          </cell>
          <cell r="R653" t="e">
            <v>#N/A</v>
          </cell>
        </row>
        <row r="654">
          <cell r="A654">
            <v>40415</v>
          </cell>
          <cell r="B654">
            <v>40415</v>
          </cell>
          <cell r="C654" t="str">
            <v>Future</v>
          </cell>
          <cell r="D654" t="e">
            <v>#N/A</v>
          </cell>
          <cell r="E654">
            <v>39.506220472441107</v>
          </cell>
          <cell r="F654">
            <v>73.521968503937586</v>
          </cell>
          <cell r="G654">
            <v>58.403858267716494</v>
          </cell>
          <cell r="H654">
            <v>58.403858267716494</v>
          </cell>
          <cell r="I654" t="e">
            <v>#N/A</v>
          </cell>
          <cell r="J654" t="e">
            <v>#N/A</v>
          </cell>
          <cell r="K654" t="e">
            <v>#N/A</v>
          </cell>
          <cell r="L654" t="e">
            <v>#N/A</v>
          </cell>
          <cell r="M654" t="e">
            <v>#N/A</v>
          </cell>
          <cell r="N654" t="e">
            <v>#N/A</v>
          </cell>
          <cell r="O654" t="e">
            <v>#N/A</v>
          </cell>
          <cell r="P654">
            <v>63.51</v>
          </cell>
          <cell r="Q654" t="str">
            <v/>
          </cell>
          <cell r="R654" t="e">
            <v>#N/A</v>
          </cell>
        </row>
        <row r="655">
          <cell r="A655">
            <v>40416</v>
          </cell>
          <cell r="B655">
            <v>40416</v>
          </cell>
          <cell r="C655" t="str">
            <v>Future</v>
          </cell>
          <cell r="D655" t="e">
            <v>#N/A</v>
          </cell>
          <cell r="E655">
            <v>39.256181102362369</v>
          </cell>
          <cell r="F655">
            <v>73.62625984252027</v>
          </cell>
          <cell r="G655">
            <v>58.350669291338541</v>
          </cell>
          <cell r="H655">
            <v>58.350669291338541</v>
          </cell>
          <cell r="I655" t="e">
            <v>#N/A</v>
          </cell>
          <cell r="J655" t="e">
            <v>#N/A</v>
          </cell>
          <cell r="K655" t="e">
            <v>#N/A</v>
          </cell>
          <cell r="L655" t="e">
            <v>#N/A</v>
          </cell>
          <cell r="M655" t="e">
            <v>#N/A</v>
          </cell>
          <cell r="N655" t="e">
            <v>#N/A</v>
          </cell>
          <cell r="O655" t="e">
            <v>#N/A</v>
          </cell>
          <cell r="P655">
            <v>63.51</v>
          </cell>
          <cell r="Q655" t="str">
            <v/>
          </cell>
          <cell r="R655" t="e">
            <v>#N/A</v>
          </cell>
        </row>
        <row r="656">
          <cell r="A656">
            <v>40417</v>
          </cell>
          <cell r="B656">
            <v>40417</v>
          </cell>
          <cell r="C656" t="str">
            <v>Future</v>
          </cell>
          <cell r="D656" t="e">
            <v>#N/A</v>
          </cell>
          <cell r="E656">
            <v>39.006141732283631</v>
          </cell>
          <cell r="F656">
            <v>73.730551181102953</v>
          </cell>
          <cell r="G656">
            <v>58.297480314960588</v>
          </cell>
          <cell r="H656">
            <v>58.297480314960588</v>
          </cell>
          <cell r="I656" t="e">
            <v>#N/A</v>
          </cell>
          <cell r="J656" t="e">
            <v>#N/A</v>
          </cell>
          <cell r="K656" t="e">
            <v>#N/A</v>
          </cell>
          <cell r="L656" t="e">
            <v>#N/A</v>
          </cell>
          <cell r="M656" t="e">
            <v>#N/A</v>
          </cell>
          <cell r="N656" t="e">
            <v>#N/A</v>
          </cell>
          <cell r="O656" t="e">
            <v>#N/A</v>
          </cell>
          <cell r="P656">
            <v>63.51</v>
          </cell>
          <cell r="Q656" t="str">
            <v/>
          </cell>
          <cell r="R656" t="e">
            <v>#N/A</v>
          </cell>
        </row>
        <row r="657">
          <cell r="A657">
            <v>40420</v>
          </cell>
          <cell r="B657">
            <v>40420</v>
          </cell>
          <cell r="C657" t="str">
            <v>Future</v>
          </cell>
          <cell r="D657" t="e">
            <v>#N/A</v>
          </cell>
          <cell r="E657">
            <v>38.756102362204892</v>
          </cell>
          <cell r="F657">
            <v>73.834842519685637</v>
          </cell>
          <cell r="G657">
            <v>58.244291338582634</v>
          </cell>
          <cell r="H657">
            <v>58.244291338582634</v>
          </cell>
          <cell r="I657" t="e">
            <v>#N/A</v>
          </cell>
          <cell r="J657" t="e">
            <v>#N/A</v>
          </cell>
          <cell r="K657" t="e">
            <v>#N/A</v>
          </cell>
          <cell r="L657" t="e">
            <v>#N/A</v>
          </cell>
          <cell r="M657" t="e">
            <v>#N/A</v>
          </cell>
          <cell r="N657" t="e">
            <v>#N/A</v>
          </cell>
          <cell r="O657" t="e">
            <v>#N/A</v>
          </cell>
          <cell r="P657">
            <v>63.51</v>
          </cell>
          <cell r="Q657" t="str">
            <v/>
          </cell>
          <cell r="R657" t="e">
            <v>#N/A</v>
          </cell>
        </row>
        <row r="658">
          <cell r="A658">
            <v>40421</v>
          </cell>
          <cell r="B658">
            <v>40421</v>
          </cell>
          <cell r="C658" t="str">
            <v>Future</v>
          </cell>
          <cell r="D658" t="e">
            <v>#N/A</v>
          </cell>
          <cell r="E658">
            <v>38.506062992126154</v>
          </cell>
          <cell r="F658">
            <v>73.93913385826832</v>
          </cell>
          <cell r="G658">
            <v>58.191102362204681</v>
          </cell>
          <cell r="H658">
            <v>58.191102362204681</v>
          </cell>
          <cell r="I658" t="e">
            <v>#N/A</v>
          </cell>
          <cell r="J658" t="e">
            <v>#N/A</v>
          </cell>
          <cell r="K658" t="e">
            <v>#N/A</v>
          </cell>
          <cell r="L658" t="e">
            <v>#N/A</v>
          </cell>
          <cell r="M658" t="e">
            <v>#N/A</v>
          </cell>
          <cell r="N658" t="e">
            <v>#N/A</v>
          </cell>
          <cell r="O658" t="e">
            <v>#N/A</v>
          </cell>
          <cell r="P658">
            <v>63.51</v>
          </cell>
          <cell r="Q658" t="str">
            <v/>
          </cell>
          <cell r="R658" t="e">
            <v>#N/A</v>
          </cell>
        </row>
        <row r="659">
          <cell r="A659">
            <v>40422</v>
          </cell>
          <cell r="B659">
            <v>40422</v>
          </cell>
          <cell r="C659" t="str">
            <v>Future</v>
          </cell>
          <cell r="D659" t="e">
            <v>#N/A</v>
          </cell>
          <cell r="E659">
            <v>38.256023622047415</v>
          </cell>
          <cell r="F659">
            <v>74.043425196851004</v>
          </cell>
          <cell r="G659">
            <v>58.137913385826728</v>
          </cell>
          <cell r="H659">
            <v>58.137913385826728</v>
          </cell>
          <cell r="I659" t="e">
            <v>#N/A</v>
          </cell>
          <cell r="J659" t="e">
            <v>#N/A</v>
          </cell>
          <cell r="K659" t="e">
            <v>#N/A</v>
          </cell>
          <cell r="L659" t="e">
            <v>#N/A</v>
          </cell>
          <cell r="M659" t="e">
            <v>#N/A</v>
          </cell>
          <cell r="N659" t="e">
            <v>#N/A</v>
          </cell>
          <cell r="O659" t="e">
            <v>#N/A</v>
          </cell>
          <cell r="P659">
            <v>63.51</v>
          </cell>
          <cell r="Q659" t="str">
            <v/>
          </cell>
          <cell r="R659" t="e">
            <v>#N/A</v>
          </cell>
        </row>
        <row r="660">
          <cell r="A660">
            <v>40423</v>
          </cell>
          <cell r="B660">
            <v>40423</v>
          </cell>
          <cell r="C660" t="str">
            <v>Future</v>
          </cell>
          <cell r="D660" t="e">
            <v>#N/A</v>
          </cell>
          <cell r="E660">
            <v>38.005984251968677</v>
          </cell>
          <cell r="F660">
            <v>74.147716535433688</v>
          </cell>
          <cell r="G660">
            <v>58.084724409448775</v>
          </cell>
          <cell r="H660">
            <v>58.084724409448775</v>
          </cell>
          <cell r="I660" t="e">
            <v>#N/A</v>
          </cell>
          <cell r="J660" t="e">
            <v>#N/A</v>
          </cell>
          <cell r="K660" t="e">
            <v>#N/A</v>
          </cell>
          <cell r="L660" t="e">
            <v>#N/A</v>
          </cell>
          <cell r="M660" t="e">
            <v>#N/A</v>
          </cell>
          <cell r="N660" t="e">
            <v>#N/A</v>
          </cell>
          <cell r="O660" t="e">
            <v>#N/A</v>
          </cell>
          <cell r="P660">
            <v>63.51</v>
          </cell>
          <cell r="Q660" t="str">
            <v/>
          </cell>
          <cell r="R660" t="e">
            <v>#N/A</v>
          </cell>
        </row>
        <row r="661">
          <cell r="A661">
            <v>40424</v>
          </cell>
          <cell r="B661">
            <v>40424</v>
          </cell>
          <cell r="C661" t="str">
            <v>Future</v>
          </cell>
          <cell r="D661" t="e">
            <v>#N/A</v>
          </cell>
          <cell r="E661">
            <v>37.755944881889938</v>
          </cell>
          <cell r="F661">
            <v>74.252007874016371</v>
          </cell>
          <cell r="G661">
            <v>58.031535433070822</v>
          </cell>
          <cell r="H661">
            <v>58.031535433070822</v>
          </cell>
          <cell r="I661" t="e">
            <v>#N/A</v>
          </cell>
          <cell r="J661" t="e">
            <v>#N/A</v>
          </cell>
          <cell r="K661" t="e">
            <v>#N/A</v>
          </cell>
          <cell r="L661" t="e">
            <v>#N/A</v>
          </cell>
          <cell r="M661" t="e">
            <v>#N/A</v>
          </cell>
          <cell r="N661" t="e">
            <v>#N/A</v>
          </cell>
          <cell r="O661" t="e">
            <v>#N/A</v>
          </cell>
          <cell r="P661">
            <v>63.51</v>
          </cell>
          <cell r="Q661" t="str">
            <v/>
          </cell>
          <cell r="R661" t="e">
            <v>#N/A</v>
          </cell>
        </row>
        <row r="662">
          <cell r="A662">
            <v>40428</v>
          </cell>
          <cell r="B662">
            <v>40428</v>
          </cell>
          <cell r="C662" t="str">
            <v>Future</v>
          </cell>
          <cell r="D662" t="e">
            <v>#N/A</v>
          </cell>
          <cell r="E662">
            <v>37.5059055118112</v>
          </cell>
          <cell r="F662">
            <v>74.356299212599055</v>
          </cell>
          <cell r="G662">
            <v>57.978346456692869</v>
          </cell>
          <cell r="H662">
            <v>57.978346456692869</v>
          </cell>
          <cell r="I662" t="e">
            <v>#N/A</v>
          </cell>
          <cell r="J662" t="e">
            <v>#N/A</v>
          </cell>
          <cell r="K662" t="e">
            <v>#N/A</v>
          </cell>
          <cell r="L662" t="e">
            <v>#N/A</v>
          </cell>
          <cell r="M662" t="e">
            <v>#N/A</v>
          </cell>
          <cell r="N662" t="e">
            <v>#N/A</v>
          </cell>
          <cell r="O662" t="e">
            <v>#N/A</v>
          </cell>
          <cell r="P662">
            <v>63.51</v>
          </cell>
          <cell r="Q662" t="str">
            <v/>
          </cell>
          <cell r="R662" t="e">
            <v>#N/A</v>
          </cell>
        </row>
        <row r="663">
          <cell r="A663">
            <v>40429</v>
          </cell>
          <cell r="B663">
            <v>40429</v>
          </cell>
          <cell r="C663" t="str">
            <v>Future</v>
          </cell>
          <cell r="D663" t="e">
            <v>#N/A</v>
          </cell>
          <cell r="E663">
            <v>37.255866141732461</v>
          </cell>
          <cell r="F663">
            <v>74.460590551181738</v>
          </cell>
          <cell r="G663">
            <v>57.925157480314915</v>
          </cell>
          <cell r="H663">
            <v>57.925157480314915</v>
          </cell>
          <cell r="I663" t="e">
            <v>#N/A</v>
          </cell>
          <cell r="J663" t="e">
            <v>#N/A</v>
          </cell>
          <cell r="K663" t="e">
            <v>#N/A</v>
          </cell>
          <cell r="L663" t="e">
            <v>#N/A</v>
          </cell>
          <cell r="M663" t="e">
            <v>#N/A</v>
          </cell>
          <cell r="N663" t="e">
            <v>#N/A</v>
          </cell>
          <cell r="O663" t="e">
            <v>#N/A</v>
          </cell>
          <cell r="P663">
            <v>63.51</v>
          </cell>
          <cell r="Q663" t="str">
            <v/>
          </cell>
          <cell r="R663" t="e">
            <v>#N/A</v>
          </cell>
        </row>
        <row r="664">
          <cell r="A664">
            <v>40430</v>
          </cell>
          <cell r="B664">
            <v>40430</v>
          </cell>
          <cell r="C664" t="str">
            <v>Future</v>
          </cell>
          <cell r="D664" t="e">
            <v>#N/A</v>
          </cell>
          <cell r="E664">
            <v>37.005826771653723</v>
          </cell>
          <cell r="F664">
            <v>74.564881889764422</v>
          </cell>
          <cell r="G664">
            <v>57.871968503936962</v>
          </cell>
          <cell r="H664">
            <v>57.871968503936962</v>
          </cell>
          <cell r="I664" t="e">
            <v>#N/A</v>
          </cell>
          <cell r="J664" t="e">
            <v>#N/A</v>
          </cell>
          <cell r="K664" t="e">
            <v>#N/A</v>
          </cell>
          <cell r="L664" t="e">
            <v>#N/A</v>
          </cell>
          <cell r="M664" t="e">
            <v>#N/A</v>
          </cell>
          <cell r="N664" t="e">
            <v>#N/A</v>
          </cell>
          <cell r="O664" t="e">
            <v>#N/A</v>
          </cell>
          <cell r="P664">
            <v>63.51</v>
          </cell>
          <cell r="Q664" t="str">
            <v/>
          </cell>
          <cell r="R664" t="e">
            <v>#N/A</v>
          </cell>
        </row>
        <row r="665">
          <cell r="A665">
            <v>40431</v>
          </cell>
          <cell r="B665">
            <v>40431</v>
          </cell>
          <cell r="C665" t="str">
            <v>Future</v>
          </cell>
          <cell r="D665" t="e">
            <v>#N/A</v>
          </cell>
          <cell r="E665">
            <v>36.755787401574985</v>
          </cell>
          <cell r="F665">
            <v>74.669173228347105</v>
          </cell>
          <cell r="G665">
            <v>57.818779527559009</v>
          </cell>
          <cell r="H665">
            <v>57.818779527559009</v>
          </cell>
          <cell r="I665" t="e">
            <v>#N/A</v>
          </cell>
          <cell r="J665" t="e">
            <v>#N/A</v>
          </cell>
          <cell r="K665" t="e">
            <v>#N/A</v>
          </cell>
          <cell r="L665" t="e">
            <v>#N/A</v>
          </cell>
          <cell r="M665" t="e">
            <v>#N/A</v>
          </cell>
          <cell r="N665" t="e">
            <v>#N/A</v>
          </cell>
          <cell r="O665" t="e">
            <v>#N/A</v>
          </cell>
          <cell r="P665">
            <v>63.51</v>
          </cell>
          <cell r="Q665" t="str">
            <v/>
          </cell>
          <cell r="R665" t="e">
            <v>#N/A</v>
          </cell>
        </row>
        <row r="666">
          <cell r="A666">
            <v>40434</v>
          </cell>
          <cell r="B666">
            <v>40434</v>
          </cell>
          <cell r="C666" t="str">
            <v>Future</v>
          </cell>
          <cell r="D666" t="e">
            <v>#N/A</v>
          </cell>
          <cell r="E666">
            <v>36.505748031496246</v>
          </cell>
          <cell r="F666">
            <v>74.773464566929789</v>
          </cell>
          <cell r="G666">
            <v>57.765590551181056</v>
          </cell>
          <cell r="H666">
            <v>57.765590551181056</v>
          </cell>
          <cell r="I666" t="e">
            <v>#N/A</v>
          </cell>
          <cell r="J666" t="e">
            <v>#N/A</v>
          </cell>
          <cell r="K666" t="e">
            <v>#N/A</v>
          </cell>
          <cell r="L666" t="e">
            <v>#N/A</v>
          </cell>
          <cell r="M666" t="e">
            <v>#N/A</v>
          </cell>
          <cell r="N666" t="e">
            <v>#N/A</v>
          </cell>
          <cell r="O666" t="e">
            <v>#N/A</v>
          </cell>
          <cell r="P666">
            <v>63.51</v>
          </cell>
          <cell r="Q666" t="str">
            <v/>
          </cell>
          <cell r="R666" t="e">
            <v>#N/A</v>
          </cell>
        </row>
        <row r="667">
          <cell r="A667">
            <v>40435</v>
          </cell>
          <cell r="B667">
            <v>40435</v>
          </cell>
          <cell r="C667" t="str">
            <v>Future</v>
          </cell>
          <cell r="D667" t="e">
            <v>#N/A</v>
          </cell>
          <cell r="E667">
            <v>36.255708661417508</v>
          </cell>
          <cell r="F667">
            <v>74.877755905512473</v>
          </cell>
          <cell r="G667">
            <v>57.712401574803103</v>
          </cell>
          <cell r="H667">
            <v>57.712401574803103</v>
          </cell>
          <cell r="I667" t="e">
            <v>#N/A</v>
          </cell>
          <cell r="J667" t="e">
            <v>#N/A</v>
          </cell>
          <cell r="K667" t="e">
            <v>#N/A</v>
          </cell>
          <cell r="L667" t="e">
            <v>#N/A</v>
          </cell>
          <cell r="M667" t="e">
            <v>#N/A</v>
          </cell>
          <cell r="N667" t="e">
            <v>#N/A</v>
          </cell>
          <cell r="O667" t="e">
            <v>#N/A</v>
          </cell>
          <cell r="P667">
            <v>63.51</v>
          </cell>
          <cell r="Q667" t="str">
            <v/>
          </cell>
          <cell r="R667" t="e">
            <v>#N/A</v>
          </cell>
        </row>
        <row r="668">
          <cell r="A668">
            <v>40436</v>
          </cell>
          <cell r="B668">
            <v>40436</v>
          </cell>
          <cell r="C668" t="str">
            <v>Future</v>
          </cell>
          <cell r="D668" t="e">
            <v>#N/A</v>
          </cell>
          <cell r="E668">
            <v>36.005669291338769</v>
          </cell>
          <cell r="F668">
            <v>74.982047244095156</v>
          </cell>
          <cell r="G668">
            <v>57.65921259842515</v>
          </cell>
          <cell r="H668">
            <v>57.65921259842515</v>
          </cell>
          <cell r="I668" t="e">
            <v>#N/A</v>
          </cell>
          <cell r="J668" t="e">
            <v>#N/A</v>
          </cell>
          <cell r="K668" t="e">
            <v>#N/A</v>
          </cell>
          <cell r="L668" t="e">
            <v>#N/A</v>
          </cell>
          <cell r="M668" t="e">
            <v>#N/A</v>
          </cell>
          <cell r="N668" t="e">
            <v>#N/A</v>
          </cell>
          <cell r="O668" t="e">
            <v>#N/A</v>
          </cell>
          <cell r="P668">
            <v>63.51</v>
          </cell>
          <cell r="Q668" t="str">
            <v/>
          </cell>
          <cell r="R668" t="e">
            <v>#N/A</v>
          </cell>
        </row>
        <row r="669">
          <cell r="A669">
            <v>40437</v>
          </cell>
          <cell r="B669">
            <v>40437</v>
          </cell>
          <cell r="C669" t="str">
            <v>Future</v>
          </cell>
          <cell r="D669" t="e">
            <v>#N/A</v>
          </cell>
          <cell r="E669">
            <v>35.755629921260031</v>
          </cell>
          <cell r="F669">
            <v>75.08633858267784</v>
          </cell>
          <cell r="G669">
            <v>57.606023622047196</v>
          </cell>
          <cell r="H669">
            <v>57.606023622047196</v>
          </cell>
          <cell r="I669" t="e">
            <v>#N/A</v>
          </cell>
          <cell r="J669" t="e">
            <v>#N/A</v>
          </cell>
          <cell r="K669" t="e">
            <v>#N/A</v>
          </cell>
          <cell r="L669" t="e">
            <v>#N/A</v>
          </cell>
          <cell r="M669" t="e">
            <v>#N/A</v>
          </cell>
          <cell r="N669" t="e">
            <v>#N/A</v>
          </cell>
          <cell r="O669" t="e">
            <v>#N/A</v>
          </cell>
          <cell r="P669">
            <v>63.51</v>
          </cell>
          <cell r="Q669" t="str">
            <v/>
          </cell>
          <cell r="R669" t="e">
            <v>#N/A</v>
          </cell>
        </row>
        <row r="670">
          <cell r="A670">
            <v>40438</v>
          </cell>
          <cell r="B670">
            <v>40438</v>
          </cell>
          <cell r="C670" t="str">
            <v>Future</v>
          </cell>
          <cell r="D670" t="e">
            <v>#N/A</v>
          </cell>
          <cell r="E670">
            <v>35.505590551181292</v>
          </cell>
          <cell r="F670">
            <v>75.190629921260523</v>
          </cell>
          <cell r="G670">
            <v>57.552834645669243</v>
          </cell>
          <cell r="H670">
            <v>57.552834645669243</v>
          </cell>
          <cell r="I670" t="e">
            <v>#N/A</v>
          </cell>
          <cell r="J670" t="e">
            <v>#N/A</v>
          </cell>
          <cell r="K670" t="e">
            <v>#N/A</v>
          </cell>
          <cell r="L670" t="e">
            <v>#N/A</v>
          </cell>
          <cell r="M670" t="e">
            <v>#N/A</v>
          </cell>
          <cell r="N670" t="e">
            <v>#N/A</v>
          </cell>
          <cell r="O670" t="e">
            <v>#N/A</v>
          </cell>
          <cell r="P670">
            <v>63.51</v>
          </cell>
          <cell r="Q670" t="str">
            <v/>
          </cell>
          <cell r="R670" t="e">
            <v>#N/A</v>
          </cell>
        </row>
        <row r="671">
          <cell r="A671">
            <v>40441</v>
          </cell>
          <cell r="B671">
            <v>40441</v>
          </cell>
          <cell r="C671" t="str">
            <v>Future</v>
          </cell>
          <cell r="D671" t="e">
            <v>#N/A</v>
          </cell>
          <cell r="E671">
            <v>35.255551181102554</v>
          </cell>
          <cell r="F671">
            <v>75.294921259843207</v>
          </cell>
          <cell r="G671">
            <v>57.49964566929129</v>
          </cell>
          <cell r="H671">
            <v>57.49964566929129</v>
          </cell>
          <cell r="I671" t="e">
            <v>#N/A</v>
          </cell>
          <cell r="J671" t="e">
            <v>#N/A</v>
          </cell>
          <cell r="K671" t="e">
            <v>#N/A</v>
          </cell>
          <cell r="L671" t="e">
            <v>#N/A</v>
          </cell>
          <cell r="M671" t="e">
            <v>#N/A</v>
          </cell>
          <cell r="N671" t="e">
            <v>#N/A</v>
          </cell>
          <cell r="O671" t="e">
            <v>#N/A</v>
          </cell>
          <cell r="P671">
            <v>63.51</v>
          </cell>
          <cell r="Q671" t="str">
            <v/>
          </cell>
          <cell r="R671" t="e">
            <v>#N/A</v>
          </cell>
        </row>
        <row r="672">
          <cell r="A672">
            <v>40442</v>
          </cell>
          <cell r="B672">
            <v>40442</v>
          </cell>
          <cell r="C672" t="str">
            <v>Future</v>
          </cell>
          <cell r="D672" t="e">
            <v>#N/A</v>
          </cell>
          <cell r="E672">
            <v>35.005511811023815</v>
          </cell>
          <cell r="F672">
            <v>75.399212598425891</v>
          </cell>
          <cell r="G672">
            <v>57.446456692913337</v>
          </cell>
          <cell r="H672">
            <v>57.446456692913337</v>
          </cell>
          <cell r="I672" t="e">
            <v>#N/A</v>
          </cell>
          <cell r="J672" t="e">
            <v>#N/A</v>
          </cell>
          <cell r="K672" t="e">
            <v>#N/A</v>
          </cell>
          <cell r="L672" t="e">
            <v>#N/A</v>
          </cell>
          <cell r="M672" t="e">
            <v>#N/A</v>
          </cell>
          <cell r="N672" t="e">
            <v>#N/A</v>
          </cell>
          <cell r="O672" t="e">
            <v>#N/A</v>
          </cell>
          <cell r="P672">
            <v>63.51</v>
          </cell>
          <cell r="Q672" t="str">
            <v/>
          </cell>
          <cell r="R672" t="e">
            <v>#N/A</v>
          </cell>
        </row>
        <row r="673">
          <cell r="A673">
            <v>40443</v>
          </cell>
          <cell r="B673">
            <v>40443</v>
          </cell>
          <cell r="C673" t="str">
            <v>Future</v>
          </cell>
          <cell r="D673" t="e">
            <v>#N/A</v>
          </cell>
          <cell r="E673">
            <v>34.755472440945077</v>
          </cell>
          <cell r="F673">
            <v>75.503503937008574</v>
          </cell>
          <cell r="G673">
            <v>57.393267716535384</v>
          </cell>
          <cell r="H673">
            <v>57.393267716535384</v>
          </cell>
          <cell r="I673" t="e">
            <v>#N/A</v>
          </cell>
          <cell r="J673" t="e">
            <v>#N/A</v>
          </cell>
          <cell r="K673" t="e">
            <v>#N/A</v>
          </cell>
          <cell r="L673" t="e">
            <v>#N/A</v>
          </cell>
          <cell r="M673" t="e">
            <v>#N/A</v>
          </cell>
          <cell r="N673" t="e">
            <v>#N/A</v>
          </cell>
          <cell r="O673" t="e">
            <v>#N/A</v>
          </cell>
          <cell r="P673">
            <v>63.51</v>
          </cell>
          <cell r="Q673" t="str">
            <v/>
          </cell>
          <cell r="R673" t="e">
            <v>#N/A</v>
          </cell>
        </row>
        <row r="674">
          <cell r="A674">
            <v>40444</v>
          </cell>
          <cell r="B674">
            <v>40444</v>
          </cell>
          <cell r="C674" t="str">
            <v>Future</v>
          </cell>
          <cell r="D674" t="e">
            <v>#N/A</v>
          </cell>
          <cell r="E674">
            <v>34.505433070866339</v>
          </cell>
          <cell r="F674">
            <v>75.607795275591258</v>
          </cell>
          <cell r="G674">
            <v>57.340078740157431</v>
          </cell>
          <cell r="H674">
            <v>57.340078740157431</v>
          </cell>
          <cell r="I674" t="e">
            <v>#N/A</v>
          </cell>
          <cell r="J674" t="e">
            <v>#N/A</v>
          </cell>
          <cell r="K674" t="e">
            <v>#N/A</v>
          </cell>
          <cell r="L674" t="e">
            <v>#N/A</v>
          </cell>
          <cell r="M674" t="e">
            <v>#N/A</v>
          </cell>
          <cell r="N674" t="e">
            <v>#N/A</v>
          </cell>
          <cell r="O674" t="e">
            <v>#N/A</v>
          </cell>
          <cell r="P674">
            <v>63.51</v>
          </cell>
          <cell r="Q674" t="str">
            <v/>
          </cell>
          <cell r="R674" t="e">
            <v>#N/A</v>
          </cell>
        </row>
        <row r="675">
          <cell r="A675">
            <v>40445</v>
          </cell>
          <cell r="B675">
            <v>40445</v>
          </cell>
          <cell r="C675" t="str">
            <v>Future</v>
          </cell>
          <cell r="D675" t="e">
            <v>#N/A</v>
          </cell>
          <cell r="E675">
            <v>34.2553937007876</v>
          </cell>
          <cell r="F675">
            <v>75.712086614173941</v>
          </cell>
          <cell r="G675">
            <v>57.286889763779477</v>
          </cell>
          <cell r="H675">
            <v>57.286889763779477</v>
          </cell>
          <cell r="I675" t="e">
            <v>#N/A</v>
          </cell>
          <cell r="J675" t="e">
            <v>#N/A</v>
          </cell>
          <cell r="K675" t="e">
            <v>#N/A</v>
          </cell>
          <cell r="L675" t="e">
            <v>#N/A</v>
          </cell>
          <cell r="M675" t="e">
            <v>#N/A</v>
          </cell>
          <cell r="N675" t="e">
            <v>#N/A</v>
          </cell>
          <cell r="O675" t="e">
            <v>#N/A</v>
          </cell>
          <cell r="P675">
            <v>63.51</v>
          </cell>
          <cell r="Q675" t="str">
            <v/>
          </cell>
          <cell r="R675" t="e">
            <v>#N/A</v>
          </cell>
        </row>
        <row r="676">
          <cell r="A676">
            <v>40448</v>
          </cell>
          <cell r="B676">
            <v>40448</v>
          </cell>
          <cell r="C676" t="str">
            <v>Future</v>
          </cell>
          <cell r="D676" t="e">
            <v>#N/A</v>
          </cell>
          <cell r="E676">
            <v>34.005354330708862</v>
          </cell>
          <cell r="F676">
            <v>75.816377952756625</v>
          </cell>
          <cell r="G676">
            <v>57.233700787401524</v>
          </cell>
          <cell r="H676">
            <v>57.233700787401524</v>
          </cell>
          <cell r="I676" t="e">
            <v>#N/A</v>
          </cell>
          <cell r="J676" t="e">
            <v>#N/A</v>
          </cell>
          <cell r="K676" t="e">
            <v>#N/A</v>
          </cell>
          <cell r="L676" t="e">
            <v>#N/A</v>
          </cell>
          <cell r="M676" t="e">
            <v>#N/A</v>
          </cell>
          <cell r="N676" t="e">
            <v>#N/A</v>
          </cell>
          <cell r="O676" t="e">
            <v>#N/A</v>
          </cell>
          <cell r="P676">
            <v>63.51</v>
          </cell>
          <cell r="Q676" t="str">
            <v/>
          </cell>
          <cell r="R676" t="e">
            <v>#N/A</v>
          </cell>
        </row>
        <row r="677">
          <cell r="A677">
            <v>40449</v>
          </cell>
          <cell r="B677">
            <v>40449</v>
          </cell>
          <cell r="C677" t="str">
            <v>Future</v>
          </cell>
          <cell r="D677" t="e">
            <v>#N/A</v>
          </cell>
          <cell r="E677">
            <v>33.755314960630123</v>
          </cell>
          <cell r="F677">
            <v>75.920669291339308</v>
          </cell>
          <cell r="G677">
            <v>57.180511811023571</v>
          </cell>
          <cell r="H677">
            <v>57.180511811023571</v>
          </cell>
          <cell r="I677" t="e">
            <v>#N/A</v>
          </cell>
          <cell r="J677" t="e">
            <v>#N/A</v>
          </cell>
          <cell r="K677" t="e">
            <v>#N/A</v>
          </cell>
          <cell r="L677" t="e">
            <v>#N/A</v>
          </cell>
          <cell r="M677" t="e">
            <v>#N/A</v>
          </cell>
          <cell r="N677" t="e">
            <v>#N/A</v>
          </cell>
          <cell r="O677" t="e">
            <v>#N/A</v>
          </cell>
          <cell r="P677">
            <v>63.51</v>
          </cell>
          <cell r="Q677" t="str">
            <v/>
          </cell>
          <cell r="R677" t="e">
            <v>#N/A</v>
          </cell>
        </row>
        <row r="678">
          <cell r="A678">
            <v>40450</v>
          </cell>
          <cell r="B678">
            <v>40450</v>
          </cell>
          <cell r="C678" t="str">
            <v>Future</v>
          </cell>
          <cell r="D678" t="e">
            <v>#N/A</v>
          </cell>
          <cell r="E678">
            <v>33.505275590551385</v>
          </cell>
          <cell r="F678">
            <v>76.024960629921992</v>
          </cell>
          <cell r="G678">
            <v>57.127322834645618</v>
          </cell>
          <cell r="H678">
            <v>57.127322834645618</v>
          </cell>
          <cell r="I678" t="e">
            <v>#N/A</v>
          </cell>
          <cell r="J678" t="e">
            <v>#N/A</v>
          </cell>
          <cell r="K678" t="e">
            <v>#N/A</v>
          </cell>
          <cell r="L678" t="e">
            <v>#N/A</v>
          </cell>
          <cell r="M678" t="e">
            <v>#N/A</v>
          </cell>
          <cell r="N678" t="e">
            <v>#N/A</v>
          </cell>
          <cell r="O678" t="e">
            <v>#N/A</v>
          </cell>
          <cell r="P678">
            <v>63.51</v>
          </cell>
          <cell r="Q678" t="str">
            <v/>
          </cell>
          <cell r="R678" t="e">
            <v>#N/A</v>
          </cell>
        </row>
        <row r="679">
          <cell r="A679">
            <v>40451</v>
          </cell>
          <cell r="B679">
            <v>40451</v>
          </cell>
          <cell r="C679" t="str">
            <v>Future</v>
          </cell>
          <cell r="D679" t="e">
            <v>#N/A</v>
          </cell>
          <cell r="E679">
            <v>33.255236220472646</v>
          </cell>
          <cell r="F679">
            <v>76.129251968504676</v>
          </cell>
          <cell r="G679">
            <v>57.074133858267665</v>
          </cell>
          <cell r="H679">
            <v>57.074133858267665</v>
          </cell>
          <cell r="I679" t="e">
            <v>#N/A</v>
          </cell>
          <cell r="J679" t="e">
            <v>#N/A</v>
          </cell>
          <cell r="K679" t="e">
            <v>#N/A</v>
          </cell>
          <cell r="L679" t="e">
            <v>#N/A</v>
          </cell>
          <cell r="M679" t="e">
            <v>#N/A</v>
          </cell>
          <cell r="N679" t="e">
            <v>#N/A</v>
          </cell>
          <cell r="O679" t="e">
            <v>#N/A</v>
          </cell>
          <cell r="P679">
            <v>63.51</v>
          </cell>
          <cell r="Q679" t="str">
            <v/>
          </cell>
          <cell r="R679" t="e">
            <v>#N/A</v>
          </cell>
        </row>
        <row r="680">
          <cell r="A680">
            <v>40452</v>
          </cell>
          <cell r="B680">
            <v>40452</v>
          </cell>
          <cell r="C680" t="str">
            <v>Future</v>
          </cell>
          <cell r="D680" t="e">
            <v>#N/A</v>
          </cell>
          <cell r="E680">
            <v>33.005196850393908</v>
          </cell>
          <cell r="F680">
            <v>76.233543307087359</v>
          </cell>
          <cell r="G680">
            <v>57.020944881889712</v>
          </cell>
          <cell r="H680">
            <v>57.020944881889712</v>
          </cell>
          <cell r="I680" t="e">
            <v>#N/A</v>
          </cell>
          <cell r="J680" t="e">
            <v>#N/A</v>
          </cell>
          <cell r="K680" t="e">
            <v>#N/A</v>
          </cell>
          <cell r="L680" t="e">
            <v>#N/A</v>
          </cell>
          <cell r="M680" t="e">
            <v>#N/A</v>
          </cell>
          <cell r="N680" t="e">
            <v>#N/A</v>
          </cell>
          <cell r="O680" t="e">
            <v>#N/A</v>
          </cell>
          <cell r="P680">
            <v>63.51</v>
          </cell>
          <cell r="Q680" t="str">
            <v/>
          </cell>
          <cell r="R680" t="e">
            <v>#N/A</v>
          </cell>
        </row>
        <row r="681">
          <cell r="A681">
            <v>40455</v>
          </cell>
          <cell r="B681">
            <v>40455</v>
          </cell>
          <cell r="C681" t="str">
            <v>Future</v>
          </cell>
          <cell r="D681" t="e">
            <v>#N/A</v>
          </cell>
          <cell r="E681">
            <v>32.755157480315169</v>
          </cell>
          <cell r="F681">
            <v>76.337834645670043</v>
          </cell>
          <cell r="G681">
            <v>56.967755905511758</v>
          </cell>
          <cell r="H681">
            <v>56.967755905511758</v>
          </cell>
          <cell r="I681" t="e">
            <v>#N/A</v>
          </cell>
          <cell r="J681" t="e">
            <v>#N/A</v>
          </cell>
          <cell r="K681" t="e">
            <v>#N/A</v>
          </cell>
          <cell r="L681" t="e">
            <v>#N/A</v>
          </cell>
          <cell r="M681" t="e">
            <v>#N/A</v>
          </cell>
          <cell r="N681" t="e">
            <v>#N/A</v>
          </cell>
          <cell r="O681" t="e">
            <v>#N/A</v>
          </cell>
          <cell r="P681">
            <v>63.51</v>
          </cell>
          <cell r="Q681" t="str">
            <v/>
          </cell>
          <cell r="R681" t="e">
            <v>#N/A</v>
          </cell>
        </row>
        <row r="682">
          <cell r="A682">
            <v>40456</v>
          </cell>
          <cell r="B682">
            <v>40456</v>
          </cell>
          <cell r="C682" t="str">
            <v>Future</v>
          </cell>
          <cell r="D682" t="e">
            <v>#N/A</v>
          </cell>
          <cell r="E682">
            <v>32.505118110236431</v>
          </cell>
          <cell r="F682">
            <v>76.442125984252726</v>
          </cell>
          <cell r="G682">
            <v>56.914566929133805</v>
          </cell>
          <cell r="H682">
            <v>56.914566929133805</v>
          </cell>
          <cell r="I682" t="e">
            <v>#N/A</v>
          </cell>
          <cell r="J682" t="e">
            <v>#N/A</v>
          </cell>
          <cell r="K682" t="e">
            <v>#N/A</v>
          </cell>
          <cell r="L682" t="e">
            <v>#N/A</v>
          </cell>
          <cell r="M682" t="e">
            <v>#N/A</v>
          </cell>
          <cell r="N682" t="e">
            <v>#N/A</v>
          </cell>
          <cell r="O682" t="e">
            <v>#N/A</v>
          </cell>
          <cell r="P682">
            <v>63.51</v>
          </cell>
          <cell r="Q682" t="str">
            <v/>
          </cell>
          <cell r="R682" t="e">
            <v>#N/A</v>
          </cell>
        </row>
        <row r="683">
          <cell r="A683">
            <v>40457</v>
          </cell>
          <cell r="B683">
            <v>40457</v>
          </cell>
          <cell r="C683" t="str">
            <v>Future</v>
          </cell>
          <cell r="D683" t="e">
            <v>#N/A</v>
          </cell>
          <cell r="E683">
            <v>32.255078740157693</v>
          </cell>
          <cell r="F683">
            <v>76.54641732283541</v>
          </cell>
          <cell r="G683">
            <v>56.861377952755852</v>
          </cell>
          <cell r="H683">
            <v>56.861377952755852</v>
          </cell>
          <cell r="I683" t="e">
            <v>#N/A</v>
          </cell>
          <cell r="J683" t="e">
            <v>#N/A</v>
          </cell>
          <cell r="K683" t="e">
            <v>#N/A</v>
          </cell>
          <cell r="L683" t="e">
            <v>#N/A</v>
          </cell>
          <cell r="M683" t="e">
            <v>#N/A</v>
          </cell>
          <cell r="N683" t="e">
            <v>#N/A</v>
          </cell>
          <cell r="O683" t="e">
            <v>#N/A</v>
          </cell>
          <cell r="P683">
            <v>63.51</v>
          </cell>
          <cell r="Q683" t="str">
            <v/>
          </cell>
          <cell r="R683" t="e">
            <v>#N/A</v>
          </cell>
        </row>
        <row r="684">
          <cell r="A684">
            <v>40458</v>
          </cell>
          <cell r="B684">
            <v>40458</v>
          </cell>
          <cell r="C684" t="str">
            <v>Future</v>
          </cell>
          <cell r="D684" t="e">
            <v>#N/A</v>
          </cell>
          <cell r="E684">
            <v>32.005039370078954</v>
          </cell>
          <cell r="F684">
            <v>76.650708661418093</v>
          </cell>
          <cell r="G684">
            <v>56.808188976377899</v>
          </cell>
          <cell r="H684">
            <v>56.808188976377899</v>
          </cell>
          <cell r="I684" t="e">
            <v>#N/A</v>
          </cell>
          <cell r="J684" t="e">
            <v>#N/A</v>
          </cell>
          <cell r="K684" t="e">
            <v>#N/A</v>
          </cell>
          <cell r="L684" t="e">
            <v>#N/A</v>
          </cell>
          <cell r="M684" t="e">
            <v>#N/A</v>
          </cell>
          <cell r="N684" t="e">
            <v>#N/A</v>
          </cell>
          <cell r="O684" t="e">
            <v>#N/A</v>
          </cell>
          <cell r="P684">
            <v>63.51</v>
          </cell>
          <cell r="Q684" t="str">
            <v/>
          </cell>
          <cell r="R684" t="e">
            <v>#N/A</v>
          </cell>
        </row>
        <row r="685">
          <cell r="A685">
            <v>40459</v>
          </cell>
          <cell r="B685">
            <v>40459</v>
          </cell>
          <cell r="C685" t="str">
            <v>Future</v>
          </cell>
          <cell r="D685" t="e">
            <v>#N/A</v>
          </cell>
          <cell r="E685">
            <v>31.755000000000216</v>
          </cell>
          <cell r="F685">
            <v>76.755000000000777</v>
          </cell>
          <cell r="G685">
            <v>56.754999999999946</v>
          </cell>
          <cell r="H685">
            <v>56.754999999999946</v>
          </cell>
          <cell r="I685" t="e">
            <v>#N/A</v>
          </cell>
          <cell r="J685" t="e">
            <v>#N/A</v>
          </cell>
          <cell r="K685" t="e">
            <v>#N/A</v>
          </cell>
          <cell r="L685" t="e">
            <v>#N/A</v>
          </cell>
          <cell r="M685" t="e">
            <v>#N/A</v>
          </cell>
          <cell r="N685" t="e">
            <v>#N/A</v>
          </cell>
          <cell r="O685" t="e">
            <v>#N/A</v>
          </cell>
          <cell r="P685">
            <v>63.51</v>
          </cell>
          <cell r="Q685" t="str">
            <v/>
          </cell>
          <cell r="R685" t="e">
            <v>#N/A</v>
          </cell>
        </row>
        <row r="686">
          <cell r="A686">
            <v>40462</v>
          </cell>
          <cell r="B686">
            <v>40462</v>
          </cell>
          <cell r="C686" t="str">
            <v>Future</v>
          </cell>
          <cell r="D686" t="e">
            <v>#N/A</v>
          </cell>
          <cell r="E686">
            <v>31.504960629921477</v>
          </cell>
          <cell r="F686">
            <v>76.859291338583461</v>
          </cell>
          <cell r="G686">
            <v>56.701811023621993</v>
          </cell>
          <cell r="H686">
            <v>56.701811023621993</v>
          </cell>
          <cell r="I686" t="e">
            <v>#N/A</v>
          </cell>
          <cell r="J686" t="e">
            <v>#N/A</v>
          </cell>
          <cell r="K686" t="e">
            <v>#N/A</v>
          </cell>
          <cell r="L686" t="e">
            <v>#N/A</v>
          </cell>
          <cell r="M686" t="e">
            <v>#N/A</v>
          </cell>
          <cell r="N686" t="e">
            <v>#N/A</v>
          </cell>
          <cell r="O686" t="e">
            <v>#N/A</v>
          </cell>
          <cell r="P686">
            <v>63.51</v>
          </cell>
          <cell r="Q686" t="str">
            <v/>
          </cell>
          <cell r="R686" t="e">
            <v>#N/A</v>
          </cell>
        </row>
        <row r="687">
          <cell r="A687">
            <v>40463</v>
          </cell>
          <cell r="B687">
            <v>40463</v>
          </cell>
          <cell r="C687" t="str">
            <v>Future</v>
          </cell>
          <cell r="D687" t="e">
            <v>#N/A</v>
          </cell>
          <cell r="E687">
            <v>31.254921259842739</v>
          </cell>
          <cell r="F687">
            <v>76.963582677166144</v>
          </cell>
          <cell r="G687">
            <v>56.648622047244039</v>
          </cell>
          <cell r="H687">
            <v>56.648622047244039</v>
          </cell>
          <cell r="I687" t="e">
            <v>#N/A</v>
          </cell>
          <cell r="J687" t="e">
            <v>#N/A</v>
          </cell>
          <cell r="K687" t="e">
            <v>#N/A</v>
          </cell>
          <cell r="L687" t="e">
            <v>#N/A</v>
          </cell>
          <cell r="M687" t="e">
            <v>#N/A</v>
          </cell>
          <cell r="N687" t="e">
            <v>#N/A</v>
          </cell>
          <cell r="O687" t="e">
            <v>#N/A</v>
          </cell>
          <cell r="P687">
            <v>63.51</v>
          </cell>
          <cell r="Q687" t="str">
            <v/>
          </cell>
          <cell r="R687" t="e">
            <v>#N/A</v>
          </cell>
        </row>
        <row r="688">
          <cell r="A688">
            <v>40464</v>
          </cell>
          <cell r="B688">
            <v>40464</v>
          </cell>
          <cell r="C688" t="str">
            <v>Future</v>
          </cell>
          <cell r="D688" t="e">
            <v>#N/A</v>
          </cell>
          <cell r="E688">
            <v>31.004881889764</v>
          </cell>
          <cell r="F688">
            <v>77.067874015748828</v>
          </cell>
          <cell r="G688">
            <v>56.595433070866086</v>
          </cell>
          <cell r="H688">
            <v>56.595433070866086</v>
          </cell>
          <cell r="I688" t="e">
            <v>#N/A</v>
          </cell>
          <cell r="J688" t="e">
            <v>#N/A</v>
          </cell>
          <cell r="K688" t="e">
            <v>#N/A</v>
          </cell>
          <cell r="L688" t="e">
            <v>#N/A</v>
          </cell>
          <cell r="M688" t="e">
            <v>#N/A</v>
          </cell>
          <cell r="N688" t="e">
            <v>#N/A</v>
          </cell>
          <cell r="O688" t="e">
            <v>#N/A</v>
          </cell>
          <cell r="P688">
            <v>63.51</v>
          </cell>
          <cell r="Q688" t="str">
            <v/>
          </cell>
          <cell r="R688" t="e">
            <v>#N/A</v>
          </cell>
        </row>
        <row r="689">
          <cell r="A689">
            <v>40465</v>
          </cell>
          <cell r="B689">
            <v>40465</v>
          </cell>
          <cell r="C689" t="str">
            <v>Future</v>
          </cell>
          <cell r="D689" t="e">
            <v>#N/A</v>
          </cell>
          <cell r="E689">
            <v>30.754842519685262</v>
          </cell>
          <cell r="F689">
            <v>77.172165354331511</v>
          </cell>
          <cell r="G689">
            <v>56.542244094488133</v>
          </cell>
          <cell r="H689">
            <v>56.542244094488133</v>
          </cell>
          <cell r="I689" t="e">
            <v>#N/A</v>
          </cell>
          <cell r="J689" t="e">
            <v>#N/A</v>
          </cell>
          <cell r="K689" t="e">
            <v>#N/A</v>
          </cell>
          <cell r="L689" t="e">
            <v>#N/A</v>
          </cell>
          <cell r="M689" t="e">
            <v>#N/A</v>
          </cell>
          <cell r="N689" t="e">
            <v>#N/A</v>
          </cell>
          <cell r="O689" t="e">
            <v>#N/A</v>
          </cell>
          <cell r="P689">
            <v>63.51</v>
          </cell>
          <cell r="Q689" t="str">
            <v/>
          </cell>
          <cell r="R689" t="e">
            <v>#N/A</v>
          </cell>
        </row>
        <row r="690">
          <cell r="A690">
            <v>40466</v>
          </cell>
          <cell r="B690">
            <v>40466</v>
          </cell>
          <cell r="C690" t="str">
            <v>Future</v>
          </cell>
          <cell r="D690" t="e">
            <v>#N/A</v>
          </cell>
          <cell r="E690">
            <v>30.504803149606524</v>
          </cell>
          <cell r="F690">
            <v>77.276456692914195</v>
          </cell>
          <cell r="G690">
            <v>56.48905511811018</v>
          </cell>
          <cell r="H690">
            <v>56.48905511811018</v>
          </cell>
          <cell r="I690" t="e">
            <v>#N/A</v>
          </cell>
          <cell r="J690" t="e">
            <v>#N/A</v>
          </cell>
          <cell r="K690" t="e">
            <v>#N/A</v>
          </cell>
          <cell r="L690" t="e">
            <v>#N/A</v>
          </cell>
          <cell r="M690" t="e">
            <v>#N/A</v>
          </cell>
          <cell r="N690" t="e">
            <v>#N/A</v>
          </cell>
          <cell r="O690" t="e">
            <v>#N/A</v>
          </cell>
          <cell r="P690">
            <v>63.51</v>
          </cell>
          <cell r="Q690" t="str">
            <v/>
          </cell>
          <cell r="R690" t="e">
            <v>#N/A</v>
          </cell>
        </row>
        <row r="691">
          <cell r="A691">
            <v>40469</v>
          </cell>
          <cell r="B691">
            <v>40469</v>
          </cell>
          <cell r="C691" t="str">
            <v>Future</v>
          </cell>
          <cell r="D691" t="e">
            <v>#N/A</v>
          </cell>
          <cell r="E691">
            <v>30.254763779527785</v>
          </cell>
          <cell r="F691">
            <v>77.380748031496879</v>
          </cell>
          <cell r="G691">
            <v>56.435866141732227</v>
          </cell>
          <cell r="H691">
            <v>56.435866141732227</v>
          </cell>
          <cell r="I691" t="e">
            <v>#N/A</v>
          </cell>
          <cell r="J691" t="e">
            <v>#N/A</v>
          </cell>
          <cell r="K691" t="e">
            <v>#N/A</v>
          </cell>
          <cell r="L691" t="e">
            <v>#N/A</v>
          </cell>
          <cell r="M691" t="e">
            <v>#N/A</v>
          </cell>
          <cell r="N691" t="e">
            <v>#N/A</v>
          </cell>
          <cell r="O691" t="e">
            <v>#N/A</v>
          </cell>
          <cell r="P691">
            <v>63.51</v>
          </cell>
          <cell r="Q691" t="str">
            <v/>
          </cell>
          <cell r="R691" t="e">
            <v>#N/A</v>
          </cell>
        </row>
        <row r="692">
          <cell r="A692">
            <v>40470</v>
          </cell>
          <cell r="B692">
            <v>40470</v>
          </cell>
          <cell r="C692" t="str">
            <v>Future</v>
          </cell>
          <cell r="D692" t="e">
            <v>#N/A</v>
          </cell>
          <cell r="E692">
            <v>30.004724409449047</v>
          </cell>
          <cell r="F692">
            <v>77.485039370079562</v>
          </cell>
          <cell r="G692">
            <v>56.382677165354274</v>
          </cell>
          <cell r="H692">
            <v>56.382677165354274</v>
          </cell>
          <cell r="I692" t="e">
            <v>#N/A</v>
          </cell>
          <cell r="J692" t="e">
            <v>#N/A</v>
          </cell>
          <cell r="K692" t="e">
            <v>#N/A</v>
          </cell>
          <cell r="L692" t="e">
            <v>#N/A</v>
          </cell>
          <cell r="M692" t="e">
            <v>#N/A</v>
          </cell>
          <cell r="N692" t="e">
            <v>#N/A</v>
          </cell>
          <cell r="O692" t="e">
            <v>#N/A</v>
          </cell>
          <cell r="P692">
            <v>63.51</v>
          </cell>
          <cell r="Q692" t="str">
            <v/>
          </cell>
          <cell r="R692" t="e">
            <v>#N/A</v>
          </cell>
        </row>
        <row r="693">
          <cell r="A693">
            <v>40471</v>
          </cell>
          <cell r="B693">
            <v>40471</v>
          </cell>
          <cell r="C693" t="str">
            <v>Future</v>
          </cell>
          <cell r="D693" t="e">
            <v>#N/A</v>
          </cell>
          <cell r="E693">
            <v>29.754685039370308</v>
          </cell>
          <cell r="F693">
            <v>77.589330708662246</v>
          </cell>
          <cell r="G693">
            <v>56.32948818897632</v>
          </cell>
          <cell r="H693">
            <v>56.32948818897632</v>
          </cell>
          <cell r="I693" t="e">
            <v>#N/A</v>
          </cell>
          <cell r="J693" t="e">
            <v>#N/A</v>
          </cell>
          <cell r="K693" t="e">
            <v>#N/A</v>
          </cell>
          <cell r="L693" t="e">
            <v>#N/A</v>
          </cell>
          <cell r="M693" t="e">
            <v>#N/A</v>
          </cell>
          <cell r="N693" t="e">
            <v>#N/A</v>
          </cell>
          <cell r="O693" t="e">
            <v>#N/A</v>
          </cell>
          <cell r="P693">
            <v>63.51</v>
          </cell>
          <cell r="Q693" t="str">
            <v/>
          </cell>
          <cell r="R693" t="e">
            <v>#N/A</v>
          </cell>
        </row>
        <row r="694">
          <cell r="A694">
            <v>40472</v>
          </cell>
          <cell r="B694">
            <v>40472</v>
          </cell>
          <cell r="C694" t="str">
            <v>Future</v>
          </cell>
          <cell r="D694" t="e">
            <v>#N/A</v>
          </cell>
          <cell r="E694">
            <v>29.50464566929157</v>
          </cell>
          <cell r="F694">
            <v>77.693622047244929</v>
          </cell>
          <cell r="G694">
            <v>56.276299212598367</v>
          </cell>
          <cell r="H694">
            <v>56.276299212598367</v>
          </cell>
          <cell r="I694" t="e">
            <v>#N/A</v>
          </cell>
          <cell r="J694" t="e">
            <v>#N/A</v>
          </cell>
          <cell r="K694" t="e">
            <v>#N/A</v>
          </cell>
          <cell r="L694" t="e">
            <v>#N/A</v>
          </cell>
          <cell r="M694" t="e">
            <v>#N/A</v>
          </cell>
          <cell r="N694" t="e">
            <v>#N/A</v>
          </cell>
          <cell r="O694" t="e">
            <v>#N/A</v>
          </cell>
          <cell r="P694">
            <v>63.51</v>
          </cell>
          <cell r="Q694" t="str">
            <v/>
          </cell>
          <cell r="R694" t="e">
            <v>#N/A</v>
          </cell>
        </row>
        <row r="695">
          <cell r="A695">
            <v>40473</v>
          </cell>
          <cell r="B695">
            <v>40473</v>
          </cell>
          <cell r="C695" t="str">
            <v>Future</v>
          </cell>
          <cell r="D695" t="e">
            <v>#N/A</v>
          </cell>
          <cell r="E695">
            <v>29.254606299212831</v>
          </cell>
          <cell r="F695">
            <v>77.797913385827613</v>
          </cell>
          <cell r="G695">
            <v>56.223110236220414</v>
          </cell>
          <cell r="H695">
            <v>56.223110236220414</v>
          </cell>
          <cell r="I695" t="e">
            <v>#N/A</v>
          </cell>
          <cell r="J695" t="e">
            <v>#N/A</v>
          </cell>
          <cell r="K695" t="e">
            <v>#N/A</v>
          </cell>
          <cell r="L695" t="e">
            <v>#N/A</v>
          </cell>
          <cell r="M695" t="e">
            <v>#N/A</v>
          </cell>
          <cell r="N695" t="e">
            <v>#N/A</v>
          </cell>
          <cell r="O695" t="e">
            <v>#N/A</v>
          </cell>
          <cell r="P695">
            <v>63.51</v>
          </cell>
          <cell r="Q695" t="str">
            <v/>
          </cell>
          <cell r="R695" t="e">
            <v>#N/A</v>
          </cell>
        </row>
        <row r="696">
          <cell r="A696">
            <v>40476</v>
          </cell>
          <cell r="B696">
            <v>40476</v>
          </cell>
          <cell r="C696" t="str">
            <v>Future</v>
          </cell>
          <cell r="D696" t="e">
            <v>#N/A</v>
          </cell>
          <cell r="E696">
            <v>29.004566929134093</v>
          </cell>
          <cell r="F696">
            <v>77.902204724410296</v>
          </cell>
          <cell r="G696">
            <v>56.169921259842461</v>
          </cell>
          <cell r="H696">
            <v>56.169921259842461</v>
          </cell>
          <cell r="I696" t="e">
            <v>#N/A</v>
          </cell>
          <cell r="J696" t="e">
            <v>#N/A</v>
          </cell>
          <cell r="K696" t="e">
            <v>#N/A</v>
          </cell>
          <cell r="L696" t="e">
            <v>#N/A</v>
          </cell>
          <cell r="M696" t="e">
            <v>#N/A</v>
          </cell>
          <cell r="N696" t="e">
            <v>#N/A</v>
          </cell>
          <cell r="O696" t="e">
            <v>#N/A</v>
          </cell>
          <cell r="P696">
            <v>63.51</v>
          </cell>
          <cell r="Q696" t="str">
            <v/>
          </cell>
          <cell r="R696" t="e">
            <v>#N/A</v>
          </cell>
        </row>
        <row r="697">
          <cell r="A697">
            <v>40477</v>
          </cell>
          <cell r="B697">
            <v>40477</v>
          </cell>
          <cell r="C697" t="str">
            <v>Future</v>
          </cell>
          <cell r="D697" t="e">
            <v>#N/A</v>
          </cell>
          <cell r="E697">
            <v>28.754527559055354</v>
          </cell>
          <cell r="F697">
            <v>78.00649606299298</v>
          </cell>
          <cell r="G697">
            <v>56.116732283464508</v>
          </cell>
          <cell r="H697">
            <v>56.116732283464508</v>
          </cell>
          <cell r="I697" t="e">
            <v>#N/A</v>
          </cell>
          <cell r="J697" t="e">
            <v>#N/A</v>
          </cell>
          <cell r="K697" t="e">
            <v>#N/A</v>
          </cell>
          <cell r="L697" t="e">
            <v>#N/A</v>
          </cell>
          <cell r="M697" t="e">
            <v>#N/A</v>
          </cell>
          <cell r="N697" t="e">
            <v>#N/A</v>
          </cell>
          <cell r="O697" t="e">
            <v>#N/A</v>
          </cell>
          <cell r="P697">
            <v>63.51</v>
          </cell>
          <cell r="Q697" t="str">
            <v/>
          </cell>
          <cell r="R697" t="e">
            <v>#N/A</v>
          </cell>
        </row>
        <row r="698">
          <cell r="A698">
            <v>40478</v>
          </cell>
          <cell r="B698">
            <v>40478</v>
          </cell>
          <cell r="C698" t="str">
            <v>Future</v>
          </cell>
          <cell r="D698" t="e">
            <v>#N/A</v>
          </cell>
          <cell r="E698">
            <v>28.504488188976616</v>
          </cell>
          <cell r="F698">
            <v>78.110787401575664</v>
          </cell>
          <cell r="G698">
            <v>56.063543307086555</v>
          </cell>
          <cell r="H698">
            <v>56.063543307086555</v>
          </cell>
          <cell r="I698" t="e">
            <v>#N/A</v>
          </cell>
          <cell r="J698" t="e">
            <v>#N/A</v>
          </cell>
          <cell r="K698" t="e">
            <v>#N/A</v>
          </cell>
          <cell r="L698" t="e">
            <v>#N/A</v>
          </cell>
          <cell r="M698" t="e">
            <v>#N/A</v>
          </cell>
          <cell r="N698" t="e">
            <v>#N/A</v>
          </cell>
          <cell r="O698" t="e">
            <v>#N/A</v>
          </cell>
          <cell r="P698">
            <v>63.51</v>
          </cell>
          <cell r="Q698" t="str">
            <v/>
          </cell>
          <cell r="R698" t="e">
            <v>#N/A</v>
          </cell>
        </row>
        <row r="699">
          <cell r="A699">
            <v>40479</v>
          </cell>
          <cell r="B699">
            <v>40479</v>
          </cell>
          <cell r="C699" t="str">
            <v>Future</v>
          </cell>
          <cell r="D699" t="e">
            <v>#N/A</v>
          </cell>
          <cell r="E699">
            <v>28.254448818897878</v>
          </cell>
          <cell r="F699">
            <v>78.215078740158347</v>
          </cell>
          <cell r="G699">
            <v>56.010354330708601</v>
          </cell>
          <cell r="H699">
            <v>56.010354330708601</v>
          </cell>
          <cell r="I699" t="e">
            <v>#N/A</v>
          </cell>
          <cell r="J699" t="e">
            <v>#N/A</v>
          </cell>
          <cell r="K699" t="e">
            <v>#N/A</v>
          </cell>
          <cell r="L699" t="e">
            <v>#N/A</v>
          </cell>
          <cell r="M699" t="e">
            <v>#N/A</v>
          </cell>
          <cell r="N699" t="e">
            <v>#N/A</v>
          </cell>
          <cell r="O699" t="e">
            <v>#N/A</v>
          </cell>
          <cell r="P699">
            <v>63.51</v>
          </cell>
          <cell r="Q699" t="str">
            <v/>
          </cell>
          <cell r="R699" t="e">
            <v>#N/A</v>
          </cell>
        </row>
        <row r="700">
          <cell r="A700">
            <v>40480</v>
          </cell>
          <cell r="B700">
            <v>40480</v>
          </cell>
          <cell r="C700" t="str">
            <v>Future</v>
          </cell>
          <cell r="D700" t="e">
            <v>#N/A</v>
          </cell>
          <cell r="E700">
            <v>28.004409448819139</v>
          </cell>
          <cell r="F700">
            <v>78.319370078741031</v>
          </cell>
          <cell r="G700">
            <v>55.957165354330648</v>
          </cell>
          <cell r="H700">
            <v>55.957165354330648</v>
          </cell>
          <cell r="I700" t="e">
            <v>#N/A</v>
          </cell>
          <cell r="J700" t="e">
            <v>#N/A</v>
          </cell>
          <cell r="K700" t="e">
            <v>#N/A</v>
          </cell>
          <cell r="L700" t="e">
            <v>#N/A</v>
          </cell>
          <cell r="M700" t="e">
            <v>#N/A</v>
          </cell>
          <cell r="N700" t="e">
            <v>#N/A</v>
          </cell>
          <cell r="O700" t="e">
            <v>#N/A</v>
          </cell>
          <cell r="P700">
            <v>63.51</v>
          </cell>
          <cell r="Q700" t="str">
            <v/>
          </cell>
          <cell r="R700" t="e">
            <v>#N/A</v>
          </cell>
        </row>
        <row r="701">
          <cell r="A701">
            <v>40483</v>
          </cell>
          <cell r="B701">
            <v>40483</v>
          </cell>
          <cell r="C701" t="str">
            <v>Future</v>
          </cell>
          <cell r="D701" t="e">
            <v>#N/A</v>
          </cell>
          <cell r="E701">
            <v>27.754370078740401</v>
          </cell>
          <cell r="F701">
            <v>78.423661417323714</v>
          </cell>
          <cell r="G701">
            <v>55.903976377952695</v>
          </cell>
          <cell r="H701">
            <v>55.903976377952695</v>
          </cell>
          <cell r="I701" t="e">
            <v>#N/A</v>
          </cell>
          <cell r="J701" t="e">
            <v>#N/A</v>
          </cell>
          <cell r="K701" t="e">
            <v>#N/A</v>
          </cell>
          <cell r="L701" t="e">
            <v>#N/A</v>
          </cell>
          <cell r="M701" t="e">
            <v>#N/A</v>
          </cell>
          <cell r="N701" t="e">
            <v>#N/A</v>
          </cell>
          <cell r="O701" t="e">
            <v>#N/A</v>
          </cell>
          <cell r="P701">
            <v>63.51</v>
          </cell>
          <cell r="Q701" t="str">
            <v/>
          </cell>
          <cell r="R701" t="e">
            <v>#N/A</v>
          </cell>
        </row>
        <row r="702">
          <cell r="A702">
            <v>40484</v>
          </cell>
          <cell r="B702">
            <v>40484</v>
          </cell>
          <cell r="C702" t="str">
            <v>Future</v>
          </cell>
          <cell r="D702" t="e">
            <v>#N/A</v>
          </cell>
          <cell r="E702">
            <v>27.504330708661662</v>
          </cell>
          <cell r="F702">
            <v>78.527952755906398</v>
          </cell>
          <cell r="G702">
            <v>55.850787401574742</v>
          </cell>
          <cell r="H702">
            <v>55.850787401574742</v>
          </cell>
          <cell r="I702" t="e">
            <v>#N/A</v>
          </cell>
          <cell r="J702" t="e">
            <v>#N/A</v>
          </cell>
          <cell r="K702" t="e">
            <v>#N/A</v>
          </cell>
          <cell r="L702" t="e">
            <v>#N/A</v>
          </cell>
          <cell r="M702" t="e">
            <v>#N/A</v>
          </cell>
          <cell r="N702" t="e">
            <v>#N/A</v>
          </cell>
          <cell r="O702" t="e">
            <v>#N/A</v>
          </cell>
          <cell r="P702">
            <v>63.51</v>
          </cell>
          <cell r="Q702" t="str">
            <v/>
          </cell>
          <cell r="R702" t="e">
            <v>#N/A</v>
          </cell>
        </row>
        <row r="703">
          <cell r="A703">
            <v>40485</v>
          </cell>
          <cell r="B703">
            <v>40485</v>
          </cell>
          <cell r="C703" t="str">
            <v>Future</v>
          </cell>
          <cell r="D703" t="e">
            <v>#N/A</v>
          </cell>
          <cell r="E703">
            <v>27.254291338582924</v>
          </cell>
          <cell r="F703">
            <v>78.632244094489081</v>
          </cell>
          <cell r="G703">
            <v>55.797598425196789</v>
          </cell>
          <cell r="H703">
            <v>55.797598425196789</v>
          </cell>
          <cell r="I703" t="e">
            <v>#N/A</v>
          </cell>
          <cell r="J703" t="e">
            <v>#N/A</v>
          </cell>
          <cell r="K703" t="e">
            <v>#N/A</v>
          </cell>
          <cell r="L703" t="e">
            <v>#N/A</v>
          </cell>
          <cell r="M703" t="e">
            <v>#N/A</v>
          </cell>
          <cell r="N703" t="e">
            <v>#N/A</v>
          </cell>
          <cell r="O703" t="e">
            <v>#N/A</v>
          </cell>
          <cell r="P703">
            <v>63.51</v>
          </cell>
          <cell r="Q703" t="str">
            <v/>
          </cell>
          <cell r="R703" t="e">
            <v>#N/A</v>
          </cell>
        </row>
        <row r="704">
          <cell r="A704">
            <v>40486</v>
          </cell>
          <cell r="B704">
            <v>40486</v>
          </cell>
          <cell r="C704" t="str">
            <v>Future</v>
          </cell>
          <cell r="D704" t="e">
            <v>#N/A</v>
          </cell>
          <cell r="E704">
            <v>27.004251968504185</v>
          </cell>
          <cell r="F704">
            <v>78.736535433071765</v>
          </cell>
          <cell r="G704">
            <v>55.744409448818836</v>
          </cell>
          <cell r="H704">
            <v>55.744409448818836</v>
          </cell>
          <cell r="I704" t="e">
            <v>#N/A</v>
          </cell>
          <cell r="J704" t="e">
            <v>#N/A</v>
          </cell>
          <cell r="K704" t="e">
            <v>#N/A</v>
          </cell>
          <cell r="L704" t="e">
            <v>#N/A</v>
          </cell>
          <cell r="M704" t="e">
            <v>#N/A</v>
          </cell>
          <cell r="N704" t="e">
            <v>#N/A</v>
          </cell>
          <cell r="O704" t="e">
            <v>#N/A</v>
          </cell>
          <cell r="P704">
            <v>63.51</v>
          </cell>
          <cell r="Q704" t="str">
            <v/>
          </cell>
          <cell r="R704" t="e">
            <v>#N/A</v>
          </cell>
        </row>
        <row r="705">
          <cell r="A705">
            <v>40487</v>
          </cell>
          <cell r="B705">
            <v>40487</v>
          </cell>
          <cell r="C705" t="str">
            <v>Future</v>
          </cell>
          <cell r="D705" t="e">
            <v>#N/A</v>
          </cell>
          <cell r="E705">
            <v>26.754212598425447</v>
          </cell>
          <cell r="F705">
            <v>78.840826771654449</v>
          </cell>
          <cell r="G705">
            <v>55.691220472440882</v>
          </cell>
          <cell r="H705">
            <v>55.691220472440882</v>
          </cell>
          <cell r="I705" t="e">
            <v>#N/A</v>
          </cell>
          <cell r="J705" t="e">
            <v>#N/A</v>
          </cell>
          <cell r="K705" t="e">
            <v>#N/A</v>
          </cell>
          <cell r="L705" t="e">
            <v>#N/A</v>
          </cell>
          <cell r="M705" t="e">
            <v>#N/A</v>
          </cell>
          <cell r="N705" t="e">
            <v>#N/A</v>
          </cell>
          <cell r="O705" t="e">
            <v>#N/A</v>
          </cell>
          <cell r="P705">
            <v>63.51</v>
          </cell>
          <cell r="Q705" t="str">
            <v/>
          </cell>
          <cell r="R705" t="e">
            <v>#N/A</v>
          </cell>
        </row>
        <row r="706">
          <cell r="A706">
            <v>40490</v>
          </cell>
          <cell r="B706">
            <v>40490</v>
          </cell>
          <cell r="C706" t="str">
            <v>Future</v>
          </cell>
          <cell r="D706" t="e">
            <v>#N/A</v>
          </cell>
          <cell r="E706">
            <v>26.504173228346708</v>
          </cell>
          <cell r="F706">
            <v>78.945118110237132</v>
          </cell>
          <cell r="G706">
            <v>55.638031496062929</v>
          </cell>
          <cell r="H706">
            <v>55.638031496062929</v>
          </cell>
          <cell r="I706" t="e">
            <v>#N/A</v>
          </cell>
          <cell r="J706" t="e">
            <v>#N/A</v>
          </cell>
          <cell r="K706" t="e">
            <v>#N/A</v>
          </cell>
          <cell r="L706" t="e">
            <v>#N/A</v>
          </cell>
          <cell r="M706" t="e">
            <v>#N/A</v>
          </cell>
          <cell r="N706" t="e">
            <v>#N/A</v>
          </cell>
          <cell r="O706" t="e">
            <v>#N/A</v>
          </cell>
          <cell r="P706">
            <v>63.51</v>
          </cell>
          <cell r="Q706" t="str">
            <v/>
          </cell>
          <cell r="R706" t="e">
            <v>#N/A</v>
          </cell>
        </row>
        <row r="707">
          <cell r="A707">
            <v>40491</v>
          </cell>
          <cell r="B707">
            <v>40491</v>
          </cell>
          <cell r="C707" t="str">
            <v>Future</v>
          </cell>
          <cell r="D707" t="e">
            <v>#N/A</v>
          </cell>
          <cell r="E707">
            <v>26.25413385826797</v>
          </cell>
          <cell r="F707">
            <v>79.049409448819816</v>
          </cell>
          <cell r="G707">
            <v>55.584842519684976</v>
          </cell>
          <cell r="H707">
            <v>55.584842519684976</v>
          </cell>
          <cell r="I707" t="e">
            <v>#N/A</v>
          </cell>
          <cell r="J707" t="e">
            <v>#N/A</v>
          </cell>
          <cell r="K707" t="e">
            <v>#N/A</v>
          </cell>
          <cell r="L707" t="e">
            <v>#N/A</v>
          </cell>
          <cell r="M707" t="e">
            <v>#N/A</v>
          </cell>
          <cell r="N707" t="e">
            <v>#N/A</v>
          </cell>
          <cell r="O707" t="e">
            <v>#N/A</v>
          </cell>
          <cell r="P707">
            <v>63.51</v>
          </cell>
          <cell r="Q707" t="str">
            <v/>
          </cell>
          <cell r="R707" t="e">
            <v>#N/A</v>
          </cell>
        </row>
        <row r="708">
          <cell r="A708">
            <v>40492</v>
          </cell>
          <cell r="B708">
            <v>40492</v>
          </cell>
          <cell r="C708" t="str">
            <v>Future</v>
          </cell>
          <cell r="D708" t="e">
            <v>#N/A</v>
          </cell>
          <cell r="E708">
            <v>26.004094488189232</v>
          </cell>
          <cell r="F708">
            <v>79.153700787402499</v>
          </cell>
          <cell r="G708">
            <v>55.531653543307023</v>
          </cell>
          <cell r="H708">
            <v>55.531653543307023</v>
          </cell>
          <cell r="I708" t="e">
            <v>#N/A</v>
          </cell>
          <cell r="J708" t="e">
            <v>#N/A</v>
          </cell>
          <cell r="K708" t="e">
            <v>#N/A</v>
          </cell>
          <cell r="L708" t="e">
            <v>#N/A</v>
          </cell>
          <cell r="M708" t="e">
            <v>#N/A</v>
          </cell>
          <cell r="N708" t="e">
            <v>#N/A</v>
          </cell>
          <cell r="O708" t="e">
            <v>#N/A</v>
          </cell>
          <cell r="P708">
            <v>63.51</v>
          </cell>
          <cell r="Q708" t="str">
            <v/>
          </cell>
          <cell r="R708" t="e">
            <v>#N/A</v>
          </cell>
        </row>
        <row r="709">
          <cell r="A709">
            <v>40493</v>
          </cell>
          <cell r="B709">
            <v>40493</v>
          </cell>
          <cell r="C709" t="str">
            <v>Future</v>
          </cell>
          <cell r="D709" t="e">
            <v>#N/A</v>
          </cell>
          <cell r="E709">
            <v>25.754055118110493</v>
          </cell>
          <cell r="F709">
            <v>79.257992125985183</v>
          </cell>
          <cell r="G709">
            <v>55.47846456692907</v>
          </cell>
          <cell r="H709">
            <v>55.47846456692907</v>
          </cell>
          <cell r="I709" t="e">
            <v>#N/A</v>
          </cell>
          <cell r="J709" t="e">
            <v>#N/A</v>
          </cell>
          <cell r="K709" t="e">
            <v>#N/A</v>
          </cell>
          <cell r="L709" t="e">
            <v>#N/A</v>
          </cell>
          <cell r="M709" t="e">
            <v>#N/A</v>
          </cell>
          <cell r="N709" t="e">
            <v>#N/A</v>
          </cell>
          <cell r="O709" t="e">
            <v>#N/A</v>
          </cell>
          <cell r="P709">
            <v>63.51</v>
          </cell>
          <cell r="Q709" t="str">
            <v/>
          </cell>
          <cell r="R709" t="e">
            <v>#N/A</v>
          </cell>
        </row>
        <row r="710">
          <cell r="A710">
            <v>40494</v>
          </cell>
          <cell r="B710">
            <v>40494</v>
          </cell>
          <cell r="C710" t="str">
            <v>Future</v>
          </cell>
          <cell r="D710" t="e">
            <v>#N/A</v>
          </cell>
          <cell r="E710">
            <v>25.504015748031755</v>
          </cell>
          <cell r="F710">
            <v>79.362283464567867</v>
          </cell>
          <cell r="G710">
            <v>55.425275590551117</v>
          </cell>
          <cell r="H710">
            <v>55.425275590551117</v>
          </cell>
          <cell r="I710" t="e">
            <v>#N/A</v>
          </cell>
          <cell r="J710" t="e">
            <v>#N/A</v>
          </cell>
          <cell r="K710" t="e">
            <v>#N/A</v>
          </cell>
          <cell r="L710" t="e">
            <v>#N/A</v>
          </cell>
          <cell r="M710" t="e">
            <v>#N/A</v>
          </cell>
          <cell r="N710" t="e">
            <v>#N/A</v>
          </cell>
          <cell r="O710" t="e">
            <v>#N/A</v>
          </cell>
          <cell r="P710">
            <v>63.51</v>
          </cell>
          <cell r="Q710" t="str">
            <v/>
          </cell>
          <cell r="R710" t="e">
            <v>#N/A</v>
          </cell>
        </row>
        <row r="711">
          <cell r="A711">
            <v>40497</v>
          </cell>
          <cell r="B711">
            <v>40497</v>
          </cell>
          <cell r="C711" t="str">
            <v>Future</v>
          </cell>
          <cell r="D711" t="e">
            <v>#N/A</v>
          </cell>
          <cell r="E711">
            <v>25.253976377953016</v>
          </cell>
          <cell r="F711">
            <v>79.46657480315055</v>
          </cell>
          <cell r="G711">
            <v>55.372086614173163</v>
          </cell>
          <cell r="H711">
            <v>55.372086614173163</v>
          </cell>
          <cell r="I711" t="e">
            <v>#N/A</v>
          </cell>
          <cell r="J711" t="e">
            <v>#N/A</v>
          </cell>
          <cell r="K711" t="e">
            <v>#N/A</v>
          </cell>
          <cell r="L711" t="e">
            <v>#N/A</v>
          </cell>
          <cell r="M711" t="e">
            <v>#N/A</v>
          </cell>
          <cell r="N711" t="e">
            <v>#N/A</v>
          </cell>
          <cell r="O711" t="e">
            <v>#N/A</v>
          </cell>
          <cell r="P711">
            <v>63.51</v>
          </cell>
          <cell r="Q711" t="str">
            <v/>
          </cell>
          <cell r="R711" t="e">
            <v>#N/A</v>
          </cell>
        </row>
        <row r="712">
          <cell r="A712">
            <v>40498</v>
          </cell>
          <cell r="B712">
            <v>40498</v>
          </cell>
          <cell r="C712" t="str">
            <v>Future</v>
          </cell>
          <cell r="D712" t="e">
            <v>#N/A</v>
          </cell>
          <cell r="E712">
            <v>25.003937007874278</v>
          </cell>
          <cell r="F712">
            <v>79.570866141733234</v>
          </cell>
          <cell r="G712">
            <v>55.31889763779521</v>
          </cell>
          <cell r="H712">
            <v>55.31889763779521</v>
          </cell>
          <cell r="I712" t="e">
            <v>#N/A</v>
          </cell>
          <cell r="J712" t="e">
            <v>#N/A</v>
          </cell>
          <cell r="K712" t="e">
            <v>#N/A</v>
          </cell>
          <cell r="L712" t="e">
            <v>#N/A</v>
          </cell>
          <cell r="M712" t="e">
            <v>#N/A</v>
          </cell>
          <cell r="N712" t="e">
            <v>#N/A</v>
          </cell>
          <cell r="O712" t="e">
            <v>#N/A</v>
          </cell>
          <cell r="P712">
            <v>63.51</v>
          </cell>
          <cell r="Q712" t="str">
            <v/>
          </cell>
          <cell r="R712" t="e">
            <v>#N/A</v>
          </cell>
        </row>
        <row r="713">
          <cell r="A713">
            <v>40499</v>
          </cell>
          <cell r="B713">
            <v>40499</v>
          </cell>
          <cell r="C713" t="str">
            <v>Future</v>
          </cell>
          <cell r="D713" t="e">
            <v>#N/A</v>
          </cell>
          <cell r="E713">
            <v>24.753897637795539</v>
          </cell>
          <cell r="F713">
            <v>79.675157480315917</v>
          </cell>
          <cell r="G713">
            <v>55.265708661417257</v>
          </cell>
          <cell r="H713">
            <v>55.265708661417257</v>
          </cell>
          <cell r="I713" t="e">
            <v>#N/A</v>
          </cell>
          <cell r="J713" t="e">
            <v>#N/A</v>
          </cell>
          <cell r="K713" t="e">
            <v>#N/A</v>
          </cell>
          <cell r="L713" t="e">
            <v>#N/A</v>
          </cell>
          <cell r="M713" t="e">
            <v>#N/A</v>
          </cell>
          <cell r="N713" t="e">
            <v>#N/A</v>
          </cell>
          <cell r="O713" t="e">
            <v>#N/A</v>
          </cell>
          <cell r="P713">
            <v>63.51</v>
          </cell>
          <cell r="Q713" t="str">
            <v/>
          </cell>
          <cell r="R713" t="e">
            <v>#N/A</v>
          </cell>
        </row>
        <row r="714">
          <cell r="A714">
            <v>40500</v>
          </cell>
          <cell r="B714">
            <v>40500</v>
          </cell>
          <cell r="C714" t="str">
            <v>Future</v>
          </cell>
          <cell r="D714" t="e">
            <v>#N/A</v>
          </cell>
          <cell r="E714">
            <v>24.503858267716801</v>
          </cell>
          <cell r="F714">
            <v>79.779448818898601</v>
          </cell>
          <cell r="G714">
            <v>55.212519685039304</v>
          </cell>
          <cell r="H714">
            <v>55.212519685039304</v>
          </cell>
          <cell r="I714" t="e">
            <v>#N/A</v>
          </cell>
          <cell r="J714" t="e">
            <v>#N/A</v>
          </cell>
          <cell r="K714" t="e">
            <v>#N/A</v>
          </cell>
          <cell r="L714" t="e">
            <v>#N/A</v>
          </cell>
          <cell r="M714" t="e">
            <v>#N/A</v>
          </cell>
          <cell r="N714" t="e">
            <v>#N/A</v>
          </cell>
          <cell r="O714" t="e">
            <v>#N/A</v>
          </cell>
          <cell r="P714">
            <v>63.51</v>
          </cell>
          <cell r="Q714" t="str">
            <v/>
          </cell>
          <cell r="R714" t="e">
            <v>#N/A</v>
          </cell>
        </row>
        <row r="715">
          <cell r="A715">
            <v>40501</v>
          </cell>
          <cell r="B715">
            <v>40501</v>
          </cell>
          <cell r="C715" t="str">
            <v>Future</v>
          </cell>
          <cell r="D715" t="e">
            <v>#N/A</v>
          </cell>
          <cell r="E715">
            <v>24.253818897638062</v>
          </cell>
          <cell r="F715">
            <v>79.883740157481284</v>
          </cell>
          <cell r="G715">
            <v>55.159330708661351</v>
          </cell>
          <cell r="H715">
            <v>55.159330708661351</v>
          </cell>
          <cell r="I715" t="e">
            <v>#N/A</v>
          </cell>
          <cell r="J715" t="e">
            <v>#N/A</v>
          </cell>
          <cell r="K715" t="e">
            <v>#N/A</v>
          </cell>
          <cell r="L715" t="e">
            <v>#N/A</v>
          </cell>
          <cell r="M715" t="e">
            <v>#N/A</v>
          </cell>
          <cell r="N715" t="e">
            <v>#N/A</v>
          </cell>
          <cell r="O715" t="e">
            <v>#N/A</v>
          </cell>
          <cell r="P715">
            <v>63.51</v>
          </cell>
          <cell r="Q715" t="str">
            <v/>
          </cell>
          <cell r="R715" t="e">
            <v>#N/A</v>
          </cell>
        </row>
        <row r="716">
          <cell r="A716">
            <v>40504</v>
          </cell>
          <cell r="B716">
            <v>40504</v>
          </cell>
          <cell r="C716" t="str">
            <v>Future</v>
          </cell>
          <cell r="D716" t="e">
            <v>#N/A</v>
          </cell>
          <cell r="E716">
            <v>24.003779527559324</v>
          </cell>
          <cell r="F716">
            <v>79.988031496063968</v>
          </cell>
          <cell r="G716">
            <v>55.106141732283398</v>
          </cell>
          <cell r="H716">
            <v>55.106141732283398</v>
          </cell>
          <cell r="I716" t="e">
            <v>#N/A</v>
          </cell>
          <cell r="J716" t="e">
            <v>#N/A</v>
          </cell>
          <cell r="K716" t="e">
            <v>#N/A</v>
          </cell>
          <cell r="L716" t="e">
            <v>#N/A</v>
          </cell>
          <cell r="M716" t="e">
            <v>#N/A</v>
          </cell>
          <cell r="N716" t="e">
            <v>#N/A</v>
          </cell>
          <cell r="O716" t="e">
            <v>#N/A</v>
          </cell>
          <cell r="P716">
            <v>63.51</v>
          </cell>
          <cell r="Q716" t="str">
            <v/>
          </cell>
          <cell r="R716" t="e">
            <v>#N/A</v>
          </cell>
        </row>
        <row r="717">
          <cell r="A717">
            <v>40505</v>
          </cell>
          <cell r="B717">
            <v>40505</v>
          </cell>
          <cell r="C717" t="str">
            <v>Future</v>
          </cell>
          <cell r="D717" t="e">
            <v>#N/A</v>
          </cell>
          <cell r="E717">
            <v>23.753740157480586</v>
          </cell>
          <cell r="F717">
            <v>80.092322834646652</v>
          </cell>
          <cell r="G717">
            <v>55.052952755905444</v>
          </cell>
          <cell r="H717">
            <v>55.052952755905444</v>
          </cell>
          <cell r="I717" t="e">
            <v>#N/A</v>
          </cell>
          <cell r="J717" t="e">
            <v>#N/A</v>
          </cell>
          <cell r="K717" t="e">
            <v>#N/A</v>
          </cell>
          <cell r="L717" t="e">
            <v>#N/A</v>
          </cell>
          <cell r="M717" t="e">
            <v>#N/A</v>
          </cell>
          <cell r="N717" t="e">
            <v>#N/A</v>
          </cell>
          <cell r="O717" t="e">
            <v>#N/A</v>
          </cell>
          <cell r="P717">
            <v>63.51</v>
          </cell>
          <cell r="Q717" t="str">
            <v/>
          </cell>
          <cell r="R717" t="e">
            <v>#N/A</v>
          </cell>
        </row>
        <row r="718">
          <cell r="A718">
            <v>40506</v>
          </cell>
          <cell r="B718">
            <v>40506</v>
          </cell>
          <cell r="C718" t="str">
            <v>Future</v>
          </cell>
          <cell r="D718" t="e">
            <v>#N/A</v>
          </cell>
          <cell r="E718">
            <v>23.503700787401847</v>
          </cell>
          <cell r="F718">
            <v>80.196614173229335</v>
          </cell>
          <cell r="G718">
            <v>54.999763779527491</v>
          </cell>
          <cell r="H718">
            <v>54.999763779527491</v>
          </cell>
          <cell r="I718" t="e">
            <v>#N/A</v>
          </cell>
          <cell r="J718" t="e">
            <v>#N/A</v>
          </cell>
          <cell r="K718" t="e">
            <v>#N/A</v>
          </cell>
          <cell r="L718" t="e">
            <v>#N/A</v>
          </cell>
          <cell r="M718" t="e">
            <v>#N/A</v>
          </cell>
          <cell r="N718" t="e">
            <v>#N/A</v>
          </cell>
          <cell r="O718" t="e">
            <v>#N/A</v>
          </cell>
          <cell r="P718">
            <v>63.51</v>
          </cell>
          <cell r="Q718" t="str">
            <v/>
          </cell>
          <cell r="R718" t="e">
            <v>#N/A</v>
          </cell>
        </row>
        <row r="719">
          <cell r="A719">
            <v>40508</v>
          </cell>
          <cell r="B719">
            <v>40508</v>
          </cell>
          <cell r="C719" t="str">
            <v>Future</v>
          </cell>
          <cell r="D719" t="e">
            <v>#N/A</v>
          </cell>
          <cell r="E719">
            <v>23.253661417323109</v>
          </cell>
          <cell r="F719">
            <v>80.300905511812019</v>
          </cell>
          <cell r="G719">
            <v>54.946574803149538</v>
          </cell>
          <cell r="H719">
            <v>54.946574803149538</v>
          </cell>
          <cell r="I719" t="e">
            <v>#N/A</v>
          </cell>
          <cell r="J719" t="e">
            <v>#N/A</v>
          </cell>
          <cell r="K719" t="e">
            <v>#N/A</v>
          </cell>
          <cell r="L719" t="e">
            <v>#N/A</v>
          </cell>
          <cell r="M719" t="e">
            <v>#N/A</v>
          </cell>
          <cell r="N719" t="e">
            <v>#N/A</v>
          </cell>
          <cell r="O719" t="e">
            <v>#N/A</v>
          </cell>
          <cell r="P719">
            <v>63.51</v>
          </cell>
          <cell r="Q719" t="str">
            <v/>
          </cell>
          <cell r="R719" t="e">
            <v>#N/A</v>
          </cell>
        </row>
        <row r="720">
          <cell r="A720">
            <v>40511</v>
          </cell>
          <cell r="B720">
            <v>40511</v>
          </cell>
          <cell r="C720" t="str">
            <v>Future</v>
          </cell>
          <cell r="D720" t="e">
            <v>#N/A</v>
          </cell>
          <cell r="E720">
            <v>23.00362204724437</v>
          </cell>
          <cell r="F720">
            <v>80.405196850394702</v>
          </cell>
          <cell r="G720">
            <v>54.893385826771585</v>
          </cell>
          <cell r="H720">
            <v>54.893385826771585</v>
          </cell>
          <cell r="I720" t="e">
            <v>#N/A</v>
          </cell>
          <cell r="J720" t="e">
            <v>#N/A</v>
          </cell>
          <cell r="K720" t="e">
            <v>#N/A</v>
          </cell>
          <cell r="L720" t="e">
            <v>#N/A</v>
          </cell>
          <cell r="M720" t="e">
            <v>#N/A</v>
          </cell>
          <cell r="N720" t="e">
            <v>#N/A</v>
          </cell>
          <cell r="O720" t="e">
            <v>#N/A</v>
          </cell>
          <cell r="P720">
            <v>63.51</v>
          </cell>
          <cell r="Q720" t="str">
            <v/>
          </cell>
          <cell r="R720" t="e">
            <v>#N/A</v>
          </cell>
        </row>
        <row r="721">
          <cell r="A721">
            <v>40512</v>
          </cell>
          <cell r="B721">
            <v>40512</v>
          </cell>
          <cell r="C721" t="str">
            <v>Future</v>
          </cell>
          <cell r="D721" t="e">
            <v>#N/A</v>
          </cell>
          <cell r="E721">
            <v>22.753582677165632</v>
          </cell>
          <cell r="F721">
            <v>80.509488188977386</v>
          </cell>
          <cell r="G721">
            <v>54.840196850393632</v>
          </cell>
          <cell r="H721">
            <v>54.840196850393632</v>
          </cell>
          <cell r="I721" t="e">
            <v>#N/A</v>
          </cell>
          <cell r="J721" t="e">
            <v>#N/A</v>
          </cell>
          <cell r="K721" t="e">
            <v>#N/A</v>
          </cell>
          <cell r="L721" t="e">
            <v>#N/A</v>
          </cell>
          <cell r="M721" t="e">
            <v>#N/A</v>
          </cell>
          <cell r="N721" t="e">
            <v>#N/A</v>
          </cell>
          <cell r="O721" t="e">
            <v>#N/A</v>
          </cell>
          <cell r="P721">
            <v>63.51</v>
          </cell>
          <cell r="Q721" t="str">
            <v/>
          </cell>
          <cell r="R721" t="e">
            <v>#N/A</v>
          </cell>
        </row>
        <row r="722">
          <cell r="A722">
            <v>40513</v>
          </cell>
          <cell r="B722">
            <v>40513</v>
          </cell>
          <cell r="C722" t="str">
            <v>Future</v>
          </cell>
          <cell r="D722" t="e">
            <v>#N/A</v>
          </cell>
          <cell r="E722">
            <v>22.503543307086893</v>
          </cell>
          <cell r="F722">
            <v>80.613779527560069</v>
          </cell>
          <cell r="G722">
            <v>54.787007874015679</v>
          </cell>
          <cell r="H722">
            <v>54.787007874015679</v>
          </cell>
          <cell r="I722" t="e">
            <v>#N/A</v>
          </cell>
          <cell r="J722" t="e">
            <v>#N/A</v>
          </cell>
          <cell r="K722" t="e">
            <v>#N/A</v>
          </cell>
          <cell r="L722" t="e">
            <v>#N/A</v>
          </cell>
          <cell r="M722" t="e">
            <v>#N/A</v>
          </cell>
          <cell r="N722" t="e">
            <v>#N/A</v>
          </cell>
          <cell r="O722" t="e">
            <v>#N/A</v>
          </cell>
          <cell r="P722">
            <v>63.51</v>
          </cell>
          <cell r="Q722" t="str">
            <v/>
          </cell>
          <cell r="R722" t="e">
            <v>#N/A</v>
          </cell>
        </row>
        <row r="723">
          <cell r="A723">
            <v>40514</v>
          </cell>
          <cell r="B723">
            <v>40514</v>
          </cell>
          <cell r="C723" t="str">
            <v>Future</v>
          </cell>
          <cell r="D723" t="e">
            <v>#N/A</v>
          </cell>
          <cell r="E723">
            <v>22.253503937008155</v>
          </cell>
          <cell r="F723">
            <v>80.718070866142753</v>
          </cell>
          <cell r="G723">
            <v>54.733818897637725</v>
          </cell>
          <cell r="H723">
            <v>54.733818897637725</v>
          </cell>
          <cell r="I723" t="e">
            <v>#N/A</v>
          </cell>
          <cell r="J723" t="e">
            <v>#N/A</v>
          </cell>
          <cell r="K723" t="e">
            <v>#N/A</v>
          </cell>
          <cell r="L723" t="e">
            <v>#N/A</v>
          </cell>
          <cell r="M723" t="e">
            <v>#N/A</v>
          </cell>
          <cell r="N723" t="e">
            <v>#N/A</v>
          </cell>
          <cell r="O723" t="e">
            <v>#N/A</v>
          </cell>
          <cell r="P723">
            <v>63.51</v>
          </cell>
          <cell r="Q723" t="str">
            <v/>
          </cell>
          <cell r="R723" t="e">
            <v>#N/A</v>
          </cell>
        </row>
        <row r="724">
          <cell r="A724">
            <v>40515</v>
          </cell>
          <cell r="B724">
            <v>40515</v>
          </cell>
          <cell r="C724" t="str">
            <v>Future</v>
          </cell>
          <cell r="D724" t="e">
            <v>#N/A</v>
          </cell>
          <cell r="E724">
            <v>22.003464566929416</v>
          </cell>
          <cell r="F724">
            <v>80.822362204725437</v>
          </cell>
          <cell r="G724">
            <v>54.680629921259772</v>
          </cell>
          <cell r="H724">
            <v>54.680629921259772</v>
          </cell>
          <cell r="I724" t="e">
            <v>#N/A</v>
          </cell>
          <cell r="J724" t="e">
            <v>#N/A</v>
          </cell>
          <cell r="K724" t="e">
            <v>#N/A</v>
          </cell>
          <cell r="L724" t="e">
            <v>#N/A</v>
          </cell>
          <cell r="M724" t="e">
            <v>#N/A</v>
          </cell>
          <cell r="N724" t="e">
            <v>#N/A</v>
          </cell>
          <cell r="O724" t="e">
            <v>#N/A</v>
          </cell>
          <cell r="P724">
            <v>63.51</v>
          </cell>
          <cell r="Q724" t="str">
            <v/>
          </cell>
          <cell r="R724" t="e">
            <v>#N/A</v>
          </cell>
        </row>
        <row r="725">
          <cell r="A725">
            <v>40518</v>
          </cell>
          <cell r="B725">
            <v>40518</v>
          </cell>
          <cell r="C725" t="str">
            <v>Future</v>
          </cell>
          <cell r="D725" t="e">
            <v>#N/A</v>
          </cell>
          <cell r="E725">
            <v>21.753425196850678</v>
          </cell>
          <cell r="F725">
            <v>80.92665354330812</v>
          </cell>
          <cell r="G725">
            <v>54.627440944881819</v>
          </cell>
          <cell r="H725">
            <v>54.627440944881819</v>
          </cell>
          <cell r="I725" t="e">
            <v>#N/A</v>
          </cell>
          <cell r="J725" t="e">
            <v>#N/A</v>
          </cell>
          <cell r="K725" t="e">
            <v>#N/A</v>
          </cell>
          <cell r="L725" t="e">
            <v>#N/A</v>
          </cell>
          <cell r="M725" t="e">
            <v>#N/A</v>
          </cell>
          <cell r="N725" t="e">
            <v>#N/A</v>
          </cell>
          <cell r="O725" t="e">
            <v>#N/A</v>
          </cell>
          <cell r="P725">
            <v>63.51</v>
          </cell>
          <cell r="Q725" t="str">
            <v/>
          </cell>
          <cell r="R725" t="e">
            <v>#N/A</v>
          </cell>
        </row>
        <row r="726">
          <cell r="A726">
            <v>40519</v>
          </cell>
          <cell r="B726">
            <v>40519</v>
          </cell>
          <cell r="C726" t="str">
            <v>Future</v>
          </cell>
          <cell r="D726" t="e">
            <v>#N/A</v>
          </cell>
          <cell r="E726">
            <v>21.50338582677194</v>
          </cell>
          <cell r="F726">
            <v>81.030944881890804</v>
          </cell>
          <cell r="G726">
            <v>54.574251968503866</v>
          </cell>
          <cell r="H726">
            <v>54.574251968503866</v>
          </cell>
          <cell r="I726" t="e">
            <v>#N/A</v>
          </cell>
          <cell r="J726" t="e">
            <v>#N/A</v>
          </cell>
          <cell r="K726" t="e">
            <v>#N/A</v>
          </cell>
          <cell r="L726" t="e">
            <v>#N/A</v>
          </cell>
          <cell r="M726" t="e">
            <v>#N/A</v>
          </cell>
          <cell r="N726" t="e">
            <v>#N/A</v>
          </cell>
          <cell r="O726" t="e">
            <v>#N/A</v>
          </cell>
          <cell r="P726">
            <v>63.51</v>
          </cell>
          <cell r="Q726" t="str">
            <v/>
          </cell>
          <cell r="R726" t="e">
            <v>#N/A</v>
          </cell>
        </row>
        <row r="727">
          <cell r="A727">
            <v>40520</v>
          </cell>
          <cell r="B727">
            <v>40520</v>
          </cell>
          <cell r="C727" t="str">
            <v>Future</v>
          </cell>
          <cell r="D727" t="e">
            <v>#N/A</v>
          </cell>
          <cell r="E727">
            <v>21.253346456693201</v>
          </cell>
          <cell r="F727">
            <v>81.135236220473487</v>
          </cell>
          <cell r="G727">
            <v>54.521062992125913</v>
          </cell>
          <cell r="H727">
            <v>54.521062992125913</v>
          </cell>
          <cell r="I727" t="e">
            <v>#N/A</v>
          </cell>
          <cell r="J727" t="e">
            <v>#N/A</v>
          </cell>
          <cell r="K727" t="e">
            <v>#N/A</v>
          </cell>
          <cell r="L727" t="e">
            <v>#N/A</v>
          </cell>
          <cell r="M727" t="e">
            <v>#N/A</v>
          </cell>
          <cell r="N727" t="e">
            <v>#N/A</v>
          </cell>
          <cell r="O727" t="e">
            <v>#N/A</v>
          </cell>
          <cell r="P727">
            <v>63.51</v>
          </cell>
          <cell r="Q727" t="str">
            <v/>
          </cell>
          <cell r="R727" t="e">
            <v>#N/A</v>
          </cell>
        </row>
        <row r="728">
          <cell r="A728">
            <v>40521</v>
          </cell>
          <cell r="B728">
            <v>40521</v>
          </cell>
          <cell r="C728" t="str">
            <v>Future</v>
          </cell>
          <cell r="D728" t="e">
            <v>#N/A</v>
          </cell>
          <cell r="E728">
            <v>21.003307086614463</v>
          </cell>
          <cell r="F728">
            <v>81.239527559056171</v>
          </cell>
          <cell r="G728">
            <v>54.46787401574796</v>
          </cell>
          <cell r="H728">
            <v>54.46787401574796</v>
          </cell>
          <cell r="I728" t="e">
            <v>#N/A</v>
          </cell>
          <cell r="J728" t="e">
            <v>#N/A</v>
          </cell>
          <cell r="K728" t="e">
            <v>#N/A</v>
          </cell>
          <cell r="L728" t="e">
            <v>#N/A</v>
          </cell>
          <cell r="M728" t="e">
            <v>#N/A</v>
          </cell>
          <cell r="N728" t="e">
            <v>#N/A</v>
          </cell>
          <cell r="O728" t="e">
            <v>#N/A</v>
          </cell>
          <cell r="P728">
            <v>63.51</v>
          </cell>
          <cell r="Q728" t="str">
            <v/>
          </cell>
          <cell r="R728" t="e">
            <v>#N/A</v>
          </cell>
        </row>
        <row r="729">
          <cell r="A729">
            <v>40522</v>
          </cell>
          <cell r="B729">
            <v>40522</v>
          </cell>
          <cell r="C729" t="str">
            <v>Future</v>
          </cell>
          <cell r="D729" t="e">
            <v>#N/A</v>
          </cell>
          <cell r="E729">
            <v>20.753267716535724</v>
          </cell>
          <cell r="F729">
            <v>81.343818897638855</v>
          </cell>
          <cell r="G729">
            <v>54.414685039370006</v>
          </cell>
          <cell r="H729">
            <v>54.414685039370006</v>
          </cell>
          <cell r="I729" t="e">
            <v>#N/A</v>
          </cell>
          <cell r="J729" t="e">
            <v>#N/A</v>
          </cell>
          <cell r="K729" t="e">
            <v>#N/A</v>
          </cell>
          <cell r="L729" t="e">
            <v>#N/A</v>
          </cell>
          <cell r="M729" t="e">
            <v>#N/A</v>
          </cell>
          <cell r="N729" t="e">
            <v>#N/A</v>
          </cell>
          <cell r="O729" t="e">
            <v>#N/A</v>
          </cell>
          <cell r="P729">
            <v>63.51</v>
          </cell>
          <cell r="Q729" t="str">
            <v/>
          </cell>
          <cell r="R729" t="e">
            <v>#N/A</v>
          </cell>
        </row>
        <row r="730">
          <cell r="A730">
            <v>40525</v>
          </cell>
          <cell r="B730">
            <v>40525</v>
          </cell>
          <cell r="C730" t="str">
            <v>Future</v>
          </cell>
          <cell r="D730" t="e">
            <v>#N/A</v>
          </cell>
          <cell r="E730">
            <v>20.503228346456986</v>
          </cell>
          <cell r="F730">
            <v>81.448110236221538</v>
          </cell>
          <cell r="G730">
            <v>54.361496062992053</v>
          </cell>
          <cell r="H730">
            <v>54.361496062992053</v>
          </cell>
          <cell r="I730" t="e">
            <v>#N/A</v>
          </cell>
          <cell r="J730" t="e">
            <v>#N/A</v>
          </cell>
          <cell r="K730" t="e">
            <v>#N/A</v>
          </cell>
          <cell r="L730" t="e">
            <v>#N/A</v>
          </cell>
          <cell r="M730" t="e">
            <v>#N/A</v>
          </cell>
          <cell r="N730" t="e">
            <v>#N/A</v>
          </cell>
          <cell r="O730" t="e">
            <v>#N/A</v>
          </cell>
          <cell r="P730">
            <v>63.51</v>
          </cell>
          <cell r="Q730" t="str">
            <v/>
          </cell>
          <cell r="R730" t="e">
            <v>#N/A</v>
          </cell>
        </row>
        <row r="731">
          <cell r="A731">
            <v>40526</v>
          </cell>
          <cell r="B731">
            <v>40526</v>
          </cell>
          <cell r="C731" t="str">
            <v>Future</v>
          </cell>
          <cell r="D731" t="e">
            <v>#N/A</v>
          </cell>
          <cell r="E731">
            <v>20.253188976378247</v>
          </cell>
          <cell r="F731">
            <v>81.552401574804222</v>
          </cell>
          <cell r="G731">
            <v>54.3083070866141</v>
          </cell>
          <cell r="H731">
            <v>54.3083070866141</v>
          </cell>
          <cell r="I731" t="e">
            <v>#N/A</v>
          </cell>
          <cell r="J731" t="e">
            <v>#N/A</v>
          </cell>
          <cell r="K731" t="e">
            <v>#N/A</v>
          </cell>
          <cell r="L731" t="e">
            <v>#N/A</v>
          </cell>
          <cell r="M731" t="e">
            <v>#N/A</v>
          </cell>
          <cell r="N731" t="e">
            <v>#N/A</v>
          </cell>
          <cell r="O731" t="e">
            <v>#N/A</v>
          </cell>
          <cell r="P731">
            <v>63.51</v>
          </cell>
          <cell r="Q731" t="str">
            <v/>
          </cell>
          <cell r="R731" t="e">
            <v>#N/A</v>
          </cell>
        </row>
        <row r="732">
          <cell r="A732">
            <v>40527</v>
          </cell>
          <cell r="B732">
            <v>40527</v>
          </cell>
          <cell r="C732" t="str">
            <v>Future</v>
          </cell>
          <cell r="D732" t="e">
            <v>#N/A</v>
          </cell>
          <cell r="E732">
            <v>20.003149606299509</v>
          </cell>
          <cell r="F732">
            <v>81.656692913386905</v>
          </cell>
          <cell r="G732">
            <v>54.255118110236147</v>
          </cell>
          <cell r="H732">
            <v>54.255118110236147</v>
          </cell>
          <cell r="I732" t="e">
            <v>#N/A</v>
          </cell>
          <cell r="J732" t="e">
            <v>#N/A</v>
          </cell>
          <cell r="K732" t="e">
            <v>#N/A</v>
          </cell>
          <cell r="L732" t="e">
            <v>#N/A</v>
          </cell>
          <cell r="M732" t="e">
            <v>#N/A</v>
          </cell>
          <cell r="N732" t="e">
            <v>#N/A</v>
          </cell>
          <cell r="O732" t="e">
            <v>#N/A</v>
          </cell>
          <cell r="P732">
            <v>63.51</v>
          </cell>
          <cell r="Q732" t="str">
            <v/>
          </cell>
          <cell r="R732" t="e">
            <v>#N/A</v>
          </cell>
        </row>
        <row r="733">
          <cell r="A733">
            <v>40528</v>
          </cell>
          <cell r="B733">
            <v>40528</v>
          </cell>
          <cell r="C733" t="str">
            <v>Future</v>
          </cell>
          <cell r="D733" t="e">
            <v>#N/A</v>
          </cell>
          <cell r="E733">
            <v>19.75311023622077</v>
          </cell>
          <cell r="F733">
            <v>81.760984251969589</v>
          </cell>
          <cell r="G733">
            <v>54.201929133858194</v>
          </cell>
          <cell r="H733">
            <v>54.201929133858194</v>
          </cell>
          <cell r="I733" t="e">
            <v>#N/A</v>
          </cell>
          <cell r="J733" t="e">
            <v>#N/A</v>
          </cell>
          <cell r="K733" t="e">
            <v>#N/A</v>
          </cell>
          <cell r="L733" t="e">
            <v>#N/A</v>
          </cell>
          <cell r="M733" t="e">
            <v>#N/A</v>
          </cell>
          <cell r="N733" t="e">
            <v>#N/A</v>
          </cell>
          <cell r="O733" t="e">
            <v>#N/A</v>
          </cell>
          <cell r="P733">
            <v>63.51</v>
          </cell>
          <cell r="Q733" t="str">
            <v/>
          </cell>
          <cell r="R733" t="e">
            <v>#N/A</v>
          </cell>
        </row>
        <row r="734">
          <cell r="A734">
            <v>40529</v>
          </cell>
          <cell r="B734">
            <v>40529</v>
          </cell>
          <cell r="C734" t="str">
            <v>Future</v>
          </cell>
          <cell r="D734" t="e">
            <v>#N/A</v>
          </cell>
          <cell r="E734">
            <v>19.503070866142032</v>
          </cell>
          <cell r="F734">
            <v>81.865275590552272</v>
          </cell>
          <cell r="G734">
            <v>54.14874015748024</v>
          </cell>
          <cell r="H734">
            <v>54.14874015748024</v>
          </cell>
          <cell r="I734" t="e">
            <v>#N/A</v>
          </cell>
          <cell r="J734" t="e">
            <v>#N/A</v>
          </cell>
          <cell r="K734" t="e">
            <v>#N/A</v>
          </cell>
          <cell r="L734" t="e">
            <v>#N/A</v>
          </cell>
          <cell r="M734" t="e">
            <v>#N/A</v>
          </cell>
          <cell r="N734" t="e">
            <v>#N/A</v>
          </cell>
          <cell r="O734" t="e">
            <v>#N/A</v>
          </cell>
          <cell r="P734">
            <v>63.51</v>
          </cell>
          <cell r="Q734" t="str">
            <v/>
          </cell>
          <cell r="R734" t="e">
            <v>#N/A</v>
          </cell>
        </row>
        <row r="735">
          <cell r="A735">
            <v>40532</v>
          </cell>
          <cell r="B735">
            <v>40532</v>
          </cell>
          <cell r="C735" t="str">
            <v>Future</v>
          </cell>
          <cell r="D735" t="e">
            <v>#N/A</v>
          </cell>
          <cell r="E735">
            <v>19.253031496063294</v>
          </cell>
          <cell r="F735">
            <v>81.969566929134956</v>
          </cell>
          <cell r="G735">
            <v>54.095551181102287</v>
          </cell>
          <cell r="H735">
            <v>54.095551181102287</v>
          </cell>
          <cell r="I735" t="e">
            <v>#N/A</v>
          </cell>
          <cell r="J735" t="e">
            <v>#N/A</v>
          </cell>
          <cell r="K735" t="e">
            <v>#N/A</v>
          </cell>
          <cell r="L735" t="e">
            <v>#N/A</v>
          </cell>
          <cell r="M735" t="e">
            <v>#N/A</v>
          </cell>
          <cell r="N735" t="e">
            <v>#N/A</v>
          </cell>
          <cell r="O735" t="e">
            <v>#N/A</v>
          </cell>
          <cell r="P735">
            <v>63.51</v>
          </cell>
          <cell r="Q735" t="str">
            <v/>
          </cell>
          <cell r="R735" t="e">
            <v>#N/A</v>
          </cell>
        </row>
        <row r="736">
          <cell r="A736">
            <v>40533</v>
          </cell>
          <cell r="B736">
            <v>40533</v>
          </cell>
          <cell r="C736" t="str">
            <v>Future</v>
          </cell>
          <cell r="D736" t="e">
            <v>#N/A</v>
          </cell>
          <cell r="E736">
            <v>19.002992125984555</v>
          </cell>
          <cell r="F736">
            <v>82.07385826771764</v>
          </cell>
          <cell r="G736">
            <v>54.042362204724334</v>
          </cell>
          <cell r="H736">
            <v>54.042362204724334</v>
          </cell>
          <cell r="I736" t="e">
            <v>#N/A</v>
          </cell>
          <cell r="J736" t="e">
            <v>#N/A</v>
          </cell>
          <cell r="K736" t="e">
            <v>#N/A</v>
          </cell>
          <cell r="L736" t="e">
            <v>#N/A</v>
          </cell>
          <cell r="M736" t="e">
            <v>#N/A</v>
          </cell>
          <cell r="N736" t="e">
            <v>#N/A</v>
          </cell>
          <cell r="O736" t="e">
            <v>#N/A</v>
          </cell>
          <cell r="P736">
            <v>63.51</v>
          </cell>
          <cell r="Q736" t="str">
            <v/>
          </cell>
          <cell r="R736" t="e">
            <v>#N/A</v>
          </cell>
        </row>
        <row r="737">
          <cell r="A737">
            <v>40534</v>
          </cell>
          <cell r="B737">
            <v>40534</v>
          </cell>
          <cell r="C737" t="str">
            <v>Future</v>
          </cell>
          <cell r="D737" t="e">
            <v>#N/A</v>
          </cell>
          <cell r="E737">
            <v>18.752952755905817</v>
          </cell>
          <cell r="F737">
            <v>82.178149606300323</v>
          </cell>
          <cell r="G737">
            <v>53.989173228346381</v>
          </cell>
          <cell r="H737">
            <v>53.989173228346381</v>
          </cell>
          <cell r="I737" t="e">
            <v>#N/A</v>
          </cell>
          <cell r="J737" t="e">
            <v>#N/A</v>
          </cell>
          <cell r="K737" t="e">
            <v>#N/A</v>
          </cell>
          <cell r="L737" t="e">
            <v>#N/A</v>
          </cell>
          <cell r="M737" t="e">
            <v>#N/A</v>
          </cell>
          <cell r="N737" t="e">
            <v>#N/A</v>
          </cell>
          <cell r="O737" t="e">
            <v>#N/A</v>
          </cell>
          <cell r="P737">
            <v>63.51</v>
          </cell>
          <cell r="Q737" t="str">
            <v/>
          </cell>
          <cell r="R737" t="e">
            <v>#N/A</v>
          </cell>
        </row>
        <row r="738">
          <cell r="A738">
            <v>40535</v>
          </cell>
          <cell r="B738">
            <v>40535</v>
          </cell>
          <cell r="C738" t="str">
            <v>Future</v>
          </cell>
          <cell r="D738" t="e">
            <v>#N/A</v>
          </cell>
          <cell r="E738">
            <v>18.502913385827078</v>
          </cell>
          <cell r="F738">
            <v>82.282440944883007</v>
          </cell>
          <cell r="G738">
            <v>53.935984251968428</v>
          </cell>
          <cell r="H738">
            <v>53.935984251968428</v>
          </cell>
          <cell r="I738" t="e">
            <v>#N/A</v>
          </cell>
          <cell r="J738" t="e">
            <v>#N/A</v>
          </cell>
          <cell r="K738" t="e">
            <v>#N/A</v>
          </cell>
          <cell r="L738" t="e">
            <v>#N/A</v>
          </cell>
          <cell r="M738" t="e">
            <v>#N/A</v>
          </cell>
          <cell r="N738" t="e">
            <v>#N/A</v>
          </cell>
          <cell r="O738" t="e">
            <v>#N/A</v>
          </cell>
          <cell r="P738">
            <v>63.51</v>
          </cell>
          <cell r="Q738" t="str">
            <v/>
          </cell>
          <cell r="R738" t="e">
            <v>#N/A</v>
          </cell>
        </row>
        <row r="739">
          <cell r="A739">
            <v>40539</v>
          </cell>
          <cell r="B739">
            <v>40539</v>
          </cell>
          <cell r="C739" t="str">
            <v>Future</v>
          </cell>
          <cell r="D739" t="e">
            <v>#N/A</v>
          </cell>
          <cell r="E739">
            <v>18.25287401574834</v>
          </cell>
          <cell r="F739">
            <v>82.38673228346569</v>
          </cell>
          <cell r="G739">
            <v>53.882795275590475</v>
          </cell>
          <cell r="H739">
            <v>53.882795275590475</v>
          </cell>
          <cell r="I739" t="e">
            <v>#N/A</v>
          </cell>
          <cell r="J739" t="e">
            <v>#N/A</v>
          </cell>
          <cell r="K739" t="e">
            <v>#N/A</v>
          </cell>
          <cell r="L739" t="e">
            <v>#N/A</v>
          </cell>
          <cell r="M739" t="e">
            <v>#N/A</v>
          </cell>
          <cell r="N739" t="e">
            <v>#N/A</v>
          </cell>
          <cell r="O739" t="e">
            <v>#N/A</v>
          </cell>
          <cell r="P739">
            <v>63.51</v>
          </cell>
          <cell r="Q739" t="str">
            <v/>
          </cell>
          <cell r="R739" t="e">
            <v>#N/A</v>
          </cell>
        </row>
        <row r="740">
          <cell r="A740">
            <v>40540</v>
          </cell>
          <cell r="B740">
            <v>40540</v>
          </cell>
          <cell r="C740" t="str">
            <v>Future</v>
          </cell>
          <cell r="D740" t="e">
            <v>#N/A</v>
          </cell>
          <cell r="E740">
            <v>18.002834645669601</v>
          </cell>
          <cell r="F740">
            <v>82.491023622048374</v>
          </cell>
          <cell r="G740">
            <v>53.829606299212521</v>
          </cell>
          <cell r="H740">
            <v>53.829606299212521</v>
          </cell>
          <cell r="I740" t="e">
            <v>#N/A</v>
          </cell>
          <cell r="J740" t="e">
            <v>#N/A</v>
          </cell>
          <cell r="K740" t="e">
            <v>#N/A</v>
          </cell>
          <cell r="L740" t="e">
            <v>#N/A</v>
          </cell>
          <cell r="M740" t="e">
            <v>#N/A</v>
          </cell>
          <cell r="N740" t="e">
            <v>#N/A</v>
          </cell>
          <cell r="O740" t="e">
            <v>#N/A</v>
          </cell>
          <cell r="P740">
            <v>63.51</v>
          </cell>
          <cell r="Q740" t="str">
            <v/>
          </cell>
          <cell r="R740" t="e">
            <v>#N/A</v>
          </cell>
        </row>
        <row r="741">
          <cell r="A741">
            <v>40541</v>
          </cell>
          <cell r="B741">
            <v>40541</v>
          </cell>
          <cell r="C741" t="str">
            <v>Future</v>
          </cell>
          <cell r="D741" t="e">
            <v>#N/A</v>
          </cell>
          <cell r="E741">
            <v>17.752795275590863</v>
          </cell>
          <cell r="F741">
            <v>82.595314960631057</v>
          </cell>
          <cell r="G741">
            <v>53.776417322834568</v>
          </cell>
          <cell r="H741">
            <v>53.776417322834568</v>
          </cell>
          <cell r="I741" t="e">
            <v>#N/A</v>
          </cell>
          <cell r="J741" t="e">
            <v>#N/A</v>
          </cell>
          <cell r="K741" t="e">
            <v>#N/A</v>
          </cell>
          <cell r="L741" t="e">
            <v>#N/A</v>
          </cell>
          <cell r="M741" t="e">
            <v>#N/A</v>
          </cell>
          <cell r="N741" t="e">
            <v>#N/A</v>
          </cell>
          <cell r="O741" t="e">
            <v>#N/A</v>
          </cell>
          <cell r="P741">
            <v>63.51</v>
          </cell>
          <cell r="Q741" t="str">
            <v/>
          </cell>
          <cell r="R741" t="e">
            <v>#N/A</v>
          </cell>
        </row>
        <row r="742">
          <cell r="A742">
            <v>40542</v>
          </cell>
          <cell r="B742">
            <v>40542</v>
          </cell>
          <cell r="C742" t="str">
            <v>Future</v>
          </cell>
          <cell r="D742" t="e">
            <v>#N/A</v>
          </cell>
          <cell r="E742">
            <v>17.502755905512124</v>
          </cell>
          <cell r="F742">
            <v>82.699606299213741</v>
          </cell>
          <cell r="G742">
            <v>53.723228346456615</v>
          </cell>
          <cell r="H742">
            <v>53.723228346456615</v>
          </cell>
          <cell r="I742" t="e">
            <v>#N/A</v>
          </cell>
          <cell r="J742" t="e">
            <v>#N/A</v>
          </cell>
          <cell r="K742" t="e">
            <v>#N/A</v>
          </cell>
          <cell r="L742" t="e">
            <v>#N/A</v>
          </cell>
          <cell r="M742" t="e">
            <v>#N/A</v>
          </cell>
          <cell r="N742" t="e">
            <v>#N/A</v>
          </cell>
          <cell r="O742" t="e">
            <v>#N/A</v>
          </cell>
          <cell r="P742">
            <v>63.51</v>
          </cell>
          <cell r="Q742" t="str">
            <v/>
          </cell>
          <cell r="R742" t="e">
            <v>#N/A</v>
          </cell>
        </row>
        <row r="743">
          <cell r="A743">
            <v>40543</v>
          </cell>
          <cell r="B743">
            <v>40543</v>
          </cell>
          <cell r="C743" t="str">
            <v>Future</v>
          </cell>
          <cell r="D743" t="e">
            <v>#N/A</v>
          </cell>
          <cell r="E743">
            <v>17.252716535433386</v>
          </cell>
          <cell r="F743">
            <v>82.803897637796425</v>
          </cell>
          <cell r="G743">
            <v>53.670039370078662</v>
          </cell>
          <cell r="H743">
            <v>53.670039370078662</v>
          </cell>
          <cell r="I743" t="e">
            <v>#N/A</v>
          </cell>
          <cell r="J743" t="e">
            <v>#N/A</v>
          </cell>
          <cell r="K743" t="e">
            <v>#N/A</v>
          </cell>
          <cell r="L743" t="e">
            <v>#N/A</v>
          </cell>
          <cell r="M743" t="e">
            <v>#N/A</v>
          </cell>
          <cell r="N743" t="e">
            <v>#N/A</v>
          </cell>
          <cell r="O743" t="e">
            <v>#N/A</v>
          </cell>
          <cell r="P743">
            <v>63.51</v>
          </cell>
          <cell r="Q743" t="str">
            <v/>
          </cell>
          <cell r="R743" t="e">
            <v>#N/A</v>
          </cell>
        </row>
        <row r="744">
          <cell r="A744">
            <v>40546</v>
          </cell>
          <cell r="B744">
            <v>40546</v>
          </cell>
          <cell r="C744" t="str">
            <v>Future</v>
          </cell>
          <cell r="D744" t="e">
            <v>#N/A</v>
          </cell>
          <cell r="E744">
            <v>17.002677165354648</v>
          </cell>
          <cell r="F744">
            <v>82.908188976379108</v>
          </cell>
          <cell r="G744">
            <v>53.616850393700709</v>
          </cell>
          <cell r="H744">
            <v>53.616850393700709</v>
          </cell>
          <cell r="I744" t="e">
            <v>#N/A</v>
          </cell>
          <cell r="J744" t="e">
            <v>#N/A</v>
          </cell>
          <cell r="K744" t="e">
            <v>#N/A</v>
          </cell>
          <cell r="L744" t="e">
            <v>#N/A</v>
          </cell>
          <cell r="M744" t="e">
            <v>#N/A</v>
          </cell>
          <cell r="N744" t="e">
            <v>#N/A</v>
          </cell>
          <cell r="O744" t="e">
            <v>#N/A</v>
          </cell>
          <cell r="P744">
            <v>63.51</v>
          </cell>
          <cell r="Q744" t="str">
            <v/>
          </cell>
          <cell r="R744" t="e">
            <v>#N/A</v>
          </cell>
        </row>
        <row r="745">
          <cell r="A745">
            <v>40547</v>
          </cell>
          <cell r="B745">
            <v>40547</v>
          </cell>
          <cell r="C745" t="str">
            <v>Future</v>
          </cell>
          <cell r="D745" t="e">
            <v>#N/A</v>
          </cell>
          <cell r="E745">
            <v>16.752637795275909</v>
          </cell>
          <cell r="F745">
            <v>83.012480314961792</v>
          </cell>
          <cell r="G745">
            <v>53.563661417322756</v>
          </cell>
          <cell r="H745">
            <v>53.563661417322756</v>
          </cell>
          <cell r="I745" t="e">
            <v>#N/A</v>
          </cell>
          <cell r="J745" t="e">
            <v>#N/A</v>
          </cell>
          <cell r="K745" t="e">
            <v>#N/A</v>
          </cell>
          <cell r="L745" t="e">
            <v>#N/A</v>
          </cell>
          <cell r="M745" t="e">
            <v>#N/A</v>
          </cell>
          <cell r="N745" t="e">
            <v>#N/A</v>
          </cell>
          <cell r="O745" t="e">
            <v>#N/A</v>
          </cell>
          <cell r="P745">
            <v>63.51</v>
          </cell>
          <cell r="Q745" t="str">
            <v/>
          </cell>
          <cell r="R745" t="e">
            <v>#N/A</v>
          </cell>
        </row>
        <row r="746">
          <cell r="A746">
            <v>40548</v>
          </cell>
          <cell r="B746">
            <v>40548</v>
          </cell>
          <cell r="C746" t="str">
            <v>Future</v>
          </cell>
          <cell r="D746" t="e">
            <v>#N/A</v>
          </cell>
          <cell r="E746">
            <v>16.502598425197171</v>
          </cell>
          <cell r="F746">
            <v>83.116771653544475</v>
          </cell>
          <cell r="G746">
            <v>53.510472440944802</v>
          </cell>
          <cell r="H746">
            <v>53.510472440944802</v>
          </cell>
          <cell r="I746" t="e">
            <v>#N/A</v>
          </cell>
          <cell r="J746" t="e">
            <v>#N/A</v>
          </cell>
          <cell r="K746" t="e">
            <v>#N/A</v>
          </cell>
          <cell r="L746" t="e">
            <v>#N/A</v>
          </cell>
          <cell r="M746" t="e">
            <v>#N/A</v>
          </cell>
          <cell r="N746" t="e">
            <v>#N/A</v>
          </cell>
          <cell r="O746" t="e">
            <v>#N/A</v>
          </cell>
          <cell r="P746">
            <v>63.51</v>
          </cell>
          <cell r="Q746" t="str">
            <v/>
          </cell>
          <cell r="R746" t="e">
            <v>#N/A</v>
          </cell>
        </row>
        <row r="747">
          <cell r="A747">
            <v>40549</v>
          </cell>
          <cell r="B747">
            <v>40549</v>
          </cell>
          <cell r="C747" t="str">
            <v>Future</v>
          </cell>
          <cell r="D747" t="e">
            <v>#N/A</v>
          </cell>
          <cell r="E747">
            <v>16.252559055118432</v>
          </cell>
          <cell r="F747">
            <v>83.221062992127159</v>
          </cell>
          <cell r="G747">
            <v>53.457283464566849</v>
          </cell>
          <cell r="H747">
            <v>53.457283464566849</v>
          </cell>
          <cell r="I747" t="e">
            <v>#N/A</v>
          </cell>
          <cell r="J747" t="e">
            <v>#N/A</v>
          </cell>
          <cell r="K747" t="e">
            <v>#N/A</v>
          </cell>
          <cell r="L747" t="e">
            <v>#N/A</v>
          </cell>
          <cell r="M747" t="e">
            <v>#N/A</v>
          </cell>
          <cell r="N747" t="e">
            <v>#N/A</v>
          </cell>
          <cell r="O747" t="e">
            <v>#N/A</v>
          </cell>
          <cell r="P747">
            <v>63.51</v>
          </cell>
          <cell r="Q747" t="str">
            <v/>
          </cell>
          <cell r="R747" t="e">
            <v>#N/A</v>
          </cell>
        </row>
        <row r="748">
          <cell r="A748">
            <v>40550</v>
          </cell>
          <cell r="B748">
            <v>40550</v>
          </cell>
          <cell r="C748" t="str">
            <v>Future</v>
          </cell>
          <cell r="D748" t="e">
            <v>#N/A</v>
          </cell>
          <cell r="E748">
            <v>16.002519685039694</v>
          </cell>
          <cell r="F748">
            <v>83.325354330709843</v>
          </cell>
          <cell r="G748">
            <v>53.404094488188896</v>
          </cell>
          <cell r="H748">
            <v>53.404094488188896</v>
          </cell>
          <cell r="I748" t="e">
            <v>#N/A</v>
          </cell>
          <cell r="J748" t="e">
            <v>#N/A</v>
          </cell>
          <cell r="K748" t="e">
            <v>#N/A</v>
          </cell>
          <cell r="L748" t="e">
            <v>#N/A</v>
          </cell>
          <cell r="M748" t="e">
            <v>#N/A</v>
          </cell>
          <cell r="N748" t="e">
            <v>#N/A</v>
          </cell>
          <cell r="O748" t="e">
            <v>#N/A</v>
          </cell>
          <cell r="P748">
            <v>63.51</v>
          </cell>
          <cell r="Q748" t="str">
            <v/>
          </cell>
          <cell r="R748" t="e">
            <v>#N/A</v>
          </cell>
        </row>
        <row r="749">
          <cell r="A749">
            <v>40553</v>
          </cell>
          <cell r="B749">
            <v>40553</v>
          </cell>
          <cell r="C749" t="str">
            <v>Future</v>
          </cell>
          <cell r="D749" t="e">
            <v>#N/A</v>
          </cell>
          <cell r="E749">
            <v>15.752480314960954</v>
          </cell>
          <cell r="F749">
            <v>83.429645669292526</v>
          </cell>
          <cell r="G749">
            <v>53.350905511810943</v>
          </cell>
          <cell r="H749">
            <v>53.350905511810943</v>
          </cell>
          <cell r="I749" t="e">
            <v>#N/A</v>
          </cell>
          <cell r="J749" t="e">
            <v>#N/A</v>
          </cell>
          <cell r="K749" t="e">
            <v>#N/A</v>
          </cell>
          <cell r="L749" t="e">
            <v>#N/A</v>
          </cell>
          <cell r="M749" t="e">
            <v>#N/A</v>
          </cell>
          <cell r="N749" t="e">
            <v>#N/A</v>
          </cell>
          <cell r="O749" t="e">
            <v>#N/A</v>
          </cell>
          <cell r="P749">
            <v>63.51</v>
          </cell>
          <cell r="Q749" t="str">
            <v/>
          </cell>
          <cell r="R749" t="e">
            <v>#N/A</v>
          </cell>
        </row>
        <row r="750">
          <cell r="A750">
            <v>40554</v>
          </cell>
          <cell r="B750">
            <v>40554</v>
          </cell>
          <cell r="C750" t="str">
            <v>Future</v>
          </cell>
          <cell r="D750" t="e">
            <v>#N/A</v>
          </cell>
          <cell r="E750">
            <v>15.502440944882213</v>
          </cell>
          <cell r="F750">
            <v>83.53393700787521</v>
          </cell>
          <cell r="G750">
            <v>53.29771653543299</v>
          </cell>
          <cell r="H750">
            <v>53.29771653543299</v>
          </cell>
          <cell r="I750" t="e">
            <v>#N/A</v>
          </cell>
          <cell r="J750" t="e">
            <v>#N/A</v>
          </cell>
          <cell r="K750" t="e">
            <v>#N/A</v>
          </cell>
          <cell r="L750" t="e">
            <v>#N/A</v>
          </cell>
          <cell r="M750" t="e">
            <v>#N/A</v>
          </cell>
          <cell r="N750" t="e">
            <v>#N/A</v>
          </cell>
          <cell r="O750" t="e">
            <v>#N/A</v>
          </cell>
          <cell r="P750">
            <v>63.51</v>
          </cell>
          <cell r="Q750" t="str">
            <v/>
          </cell>
          <cell r="R750" t="e">
            <v>#N/A</v>
          </cell>
        </row>
        <row r="751">
          <cell r="A751">
            <v>40555</v>
          </cell>
          <cell r="B751">
            <v>40555</v>
          </cell>
          <cell r="C751" t="str">
            <v>Future</v>
          </cell>
          <cell r="D751" t="e">
            <v>#N/A</v>
          </cell>
          <cell r="E751">
            <v>15.252401574803473</v>
          </cell>
          <cell r="F751">
            <v>83.638228346457893</v>
          </cell>
          <cell r="G751">
            <v>53.244527559055037</v>
          </cell>
          <cell r="H751">
            <v>53.244527559055037</v>
          </cell>
          <cell r="I751" t="e">
            <v>#N/A</v>
          </cell>
          <cell r="J751" t="e">
            <v>#N/A</v>
          </cell>
          <cell r="K751" t="e">
            <v>#N/A</v>
          </cell>
          <cell r="L751" t="e">
            <v>#N/A</v>
          </cell>
          <cell r="M751" t="e">
            <v>#N/A</v>
          </cell>
          <cell r="N751" t="e">
            <v>#N/A</v>
          </cell>
          <cell r="O751" t="e">
            <v>#N/A</v>
          </cell>
          <cell r="P751">
            <v>63.51</v>
          </cell>
          <cell r="Q751" t="str">
            <v/>
          </cell>
          <cell r="R751" t="e">
            <v>#N/A</v>
          </cell>
        </row>
        <row r="752">
          <cell r="A752">
            <v>40556</v>
          </cell>
          <cell r="B752">
            <v>40556</v>
          </cell>
          <cell r="C752" t="str">
            <v>Future</v>
          </cell>
          <cell r="D752" t="e">
            <v>#N/A</v>
          </cell>
          <cell r="E752">
            <v>15.002362204724733</v>
          </cell>
          <cell r="F752">
            <v>83.742519685040577</v>
          </cell>
          <cell r="G752">
            <v>53.191338582677083</v>
          </cell>
          <cell r="H752">
            <v>53.191338582677083</v>
          </cell>
          <cell r="I752" t="e">
            <v>#N/A</v>
          </cell>
          <cell r="J752" t="e">
            <v>#N/A</v>
          </cell>
          <cell r="K752" t="e">
            <v>#N/A</v>
          </cell>
          <cell r="L752" t="e">
            <v>#N/A</v>
          </cell>
          <cell r="M752" t="e">
            <v>#N/A</v>
          </cell>
          <cell r="N752" t="e">
            <v>#N/A</v>
          </cell>
          <cell r="O752" t="e">
            <v>#N/A</v>
          </cell>
          <cell r="P752">
            <v>63.51</v>
          </cell>
          <cell r="Q752" t="str">
            <v/>
          </cell>
          <cell r="R752" t="e">
            <v>#N/A</v>
          </cell>
        </row>
        <row r="753">
          <cell r="A753">
            <v>40557</v>
          </cell>
          <cell r="B753">
            <v>40557</v>
          </cell>
          <cell r="C753" t="str">
            <v>Future</v>
          </cell>
          <cell r="D753" t="e">
            <v>#N/A</v>
          </cell>
          <cell r="E753">
            <v>14.752322834645993</v>
          </cell>
          <cell r="F753">
            <v>83.84681102362326</v>
          </cell>
          <cell r="G753">
            <v>53.13814960629913</v>
          </cell>
          <cell r="H753">
            <v>53.13814960629913</v>
          </cell>
          <cell r="I753" t="e">
            <v>#N/A</v>
          </cell>
          <cell r="J753" t="e">
            <v>#N/A</v>
          </cell>
          <cell r="K753" t="e">
            <v>#N/A</v>
          </cell>
          <cell r="L753" t="e">
            <v>#N/A</v>
          </cell>
          <cell r="M753" t="e">
            <v>#N/A</v>
          </cell>
          <cell r="N753" t="e">
            <v>#N/A</v>
          </cell>
          <cell r="O753" t="e">
            <v>#N/A</v>
          </cell>
          <cell r="P753">
            <v>63.51</v>
          </cell>
          <cell r="Q753" t="str">
            <v/>
          </cell>
          <cell r="R753" t="e">
            <v>#N/A</v>
          </cell>
        </row>
        <row r="754">
          <cell r="A754">
            <v>40561</v>
          </cell>
          <cell r="B754">
            <v>40561</v>
          </cell>
          <cell r="C754" t="str">
            <v>Future</v>
          </cell>
          <cell r="D754" t="e">
            <v>#N/A</v>
          </cell>
          <cell r="E754">
            <v>14.502283464567252</v>
          </cell>
          <cell r="F754">
            <v>83.951102362205944</v>
          </cell>
          <cell r="G754">
            <v>53.084960629921177</v>
          </cell>
          <cell r="H754">
            <v>53.084960629921177</v>
          </cell>
          <cell r="I754" t="e">
            <v>#N/A</v>
          </cell>
          <cell r="J754" t="e">
            <v>#N/A</v>
          </cell>
          <cell r="K754" t="e">
            <v>#N/A</v>
          </cell>
          <cell r="L754" t="e">
            <v>#N/A</v>
          </cell>
          <cell r="M754" t="e">
            <v>#N/A</v>
          </cell>
          <cell r="N754" t="e">
            <v>#N/A</v>
          </cell>
          <cell r="O754" t="e">
            <v>#N/A</v>
          </cell>
          <cell r="P754">
            <v>63.51</v>
          </cell>
          <cell r="Q754" t="str">
            <v/>
          </cell>
          <cell r="R754" t="e">
            <v>#N/A</v>
          </cell>
        </row>
        <row r="755">
          <cell r="A755">
            <v>40562</v>
          </cell>
          <cell r="B755">
            <v>40562</v>
          </cell>
          <cell r="C755" t="str">
            <v>Future</v>
          </cell>
          <cell r="D755" t="e">
            <v>#N/A</v>
          </cell>
          <cell r="E755">
            <v>14.252244094488512</v>
          </cell>
          <cell r="F755">
            <v>84.055393700788628</v>
          </cell>
          <cell r="G755">
            <v>53.031771653543224</v>
          </cell>
          <cell r="H755">
            <v>53.031771653543224</v>
          </cell>
          <cell r="I755" t="e">
            <v>#N/A</v>
          </cell>
          <cell r="J755" t="e">
            <v>#N/A</v>
          </cell>
          <cell r="K755" t="e">
            <v>#N/A</v>
          </cell>
          <cell r="L755" t="e">
            <v>#N/A</v>
          </cell>
          <cell r="M755" t="e">
            <v>#N/A</v>
          </cell>
          <cell r="N755" t="e">
            <v>#N/A</v>
          </cell>
          <cell r="O755" t="e">
            <v>#N/A</v>
          </cell>
          <cell r="P755">
            <v>63.51</v>
          </cell>
          <cell r="Q755" t="str">
            <v/>
          </cell>
          <cell r="R755" t="e">
            <v>#N/A</v>
          </cell>
        </row>
        <row r="756">
          <cell r="A756">
            <v>40563</v>
          </cell>
          <cell r="B756">
            <v>40563</v>
          </cell>
          <cell r="C756" t="str">
            <v>Future</v>
          </cell>
          <cell r="D756" t="e">
            <v>#N/A</v>
          </cell>
          <cell r="E756">
            <v>14.002204724409772</v>
          </cell>
          <cell r="F756">
            <v>84.159685039371311</v>
          </cell>
          <cell r="G756">
            <v>52.978582677165271</v>
          </cell>
          <cell r="H756">
            <v>52.978582677165271</v>
          </cell>
          <cell r="I756" t="e">
            <v>#N/A</v>
          </cell>
          <cell r="J756" t="e">
            <v>#N/A</v>
          </cell>
          <cell r="K756" t="e">
            <v>#N/A</v>
          </cell>
          <cell r="L756" t="e">
            <v>#N/A</v>
          </cell>
          <cell r="M756" t="e">
            <v>#N/A</v>
          </cell>
          <cell r="N756" t="e">
            <v>#N/A</v>
          </cell>
          <cell r="O756" t="e">
            <v>#N/A</v>
          </cell>
          <cell r="P756">
            <v>63.51</v>
          </cell>
          <cell r="Q756" t="str">
            <v/>
          </cell>
          <cell r="R756" t="e">
            <v>#N/A</v>
          </cell>
        </row>
        <row r="757">
          <cell r="A757">
            <v>40564</v>
          </cell>
          <cell r="B757">
            <v>40564</v>
          </cell>
          <cell r="C757" t="str">
            <v>Future</v>
          </cell>
          <cell r="D757" t="e">
            <v>#N/A</v>
          </cell>
          <cell r="E757">
            <v>13.752165354331032</v>
          </cell>
          <cell r="F757">
            <v>84.263976377953995</v>
          </cell>
          <cell r="G757">
            <v>52.925393700787318</v>
          </cell>
          <cell r="H757">
            <v>52.925393700787318</v>
          </cell>
          <cell r="I757" t="e">
            <v>#N/A</v>
          </cell>
          <cell r="J757" t="e">
            <v>#N/A</v>
          </cell>
          <cell r="K757" t="e">
            <v>#N/A</v>
          </cell>
          <cell r="L757" t="e">
            <v>#N/A</v>
          </cell>
          <cell r="M757" t="e">
            <v>#N/A</v>
          </cell>
          <cell r="N757" t="e">
            <v>#N/A</v>
          </cell>
          <cell r="O757" t="e">
            <v>#N/A</v>
          </cell>
          <cell r="P757">
            <v>63.51</v>
          </cell>
          <cell r="Q757" t="str">
            <v/>
          </cell>
          <cell r="R757" t="e">
            <v>#N/A</v>
          </cell>
        </row>
        <row r="758">
          <cell r="A758">
            <v>40567</v>
          </cell>
          <cell r="B758">
            <v>40567</v>
          </cell>
          <cell r="C758" t="str">
            <v>Future</v>
          </cell>
          <cell r="D758" t="e">
            <v>#N/A</v>
          </cell>
          <cell r="E758">
            <v>13.502125984252292</v>
          </cell>
          <cell r="F758">
            <v>84.368267716536678</v>
          </cell>
          <cell r="G758">
            <v>52.872204724409364</v>
          </cell>
          <cell r="H758">
            <v>52.872204724409364</v>
          </cell>
          <cell r="I758" t="e">
            <v>#N/A</v>
          </cell>
          <cell r="J758" t="e">
            <v>#N/A</v>
          </cell>
          <cell r="K758" t="e">
            <v>#N/A</v>
          </cell>
          <cell r="L758" t="e">
            <v>#N/A</v>
          </cell>
          <cell r="M758" t="e">
            <v>#N/A</v>
          </cell>
          <cell r="N758" t="e">
            <v>#N/A</v>
          </cell>
          <cell r="O758" t="e">
            <v>#N/A</v>
          </cell>
          <cell r="P758">
            <v>63.51</v>
          </cell>
          <cell r="Q758" t="str">
            <v/>
          </cell>
          <cell r="R758" t="e">
            <v>#N/A</v>
          </cell>
        </row>
        <row r="759">
          <cell r="A759">
            <v>40568</v>
          </cell>
          <cell r="B759">
            <v>40568</v>
          </cell>
          <cell r="C759" t="str">
            <v>Future</v>
          </cell>
          <cell r="D759" t="e">
            <v>#N/A</v>
          </cell>
          <cell r="E759">
            <v>13.252086614173551</v>
          </cell>
          <cell r="F759">
            <v>84.472559055119362</v>
          </cell>
          <cell r="G759">
            <v>52.819015748031411</v>
          </cell>
          <cell r="H759">
            <v>52.819015748031411</v>
          </cell>
          <cell r="I759" t="e">
            <v>#N/A</v>
          </cell>
          <cell r="J759" t="e">
            <v>#N/A</v>
          </cell>
          <cell r="K759" t="e">
            <v>#N/A</v>
          </cell>
          <cell r="L759" t="e">
            <v>#N/A</v>
          </cell>
          <cell r="M759" t="e">
            <v>#N/A</v>
          </cell>
          <cell r="N759" t="e">
            <v>#N/A</v>
          </cell>
          <cell r="O759" t="e">
            <v>#N/A</v>
          </cell>
          <cell r="P759">
            <v>63.51</v>
          </cell>
          <cell r="Q759" t="str">
            <v/>
          </cell>
          <cell r="R759" t="e">
            <v>#N/A</v>
          </cell>
        </row>
        <row r="760">
          <cell r="A760">
            <v>40569</v>
          </cell>
          <cell r="B760">
            <v>40569</v>
          </cell>
          <cell r="C760" t="str">
            <v>Future</v>
          </cell>
          <cell r="D760" t="e">
            <v>#N/A</v>
          </cell>
          <cell r="E760">
            <v>13.002047244094811</v>
          </cell>
          <cell r="F760">
            <v>84.576850393702045</v>
          </cell>
          <cell r="G760">
            <v>52.765826771653458</v>
          </cell>
          <cell r="H760">
            <v>52.765826771653458</v>
          </cell>
          <cell r="I760" t="e">
            <v>#N/A</v>
          </cell>
          <cell r="J760" t="e">
            <v>#N/A</v>
          </cell>
          <cell r="K760" t="e">
            <v>#N/A</v>
          </cell>
          <cell r="L760" t="e">
            <v>#N/A</v>
          </cell>
          <cell r="M760" t="e">
            <v>#N/A</v>
          </cell>
          <cell r="N760" t="e">
            <v>#N/A</v>
          </cell>
          <cell r="O760" t="e">
            <v>#N/A</v>
          </cell>
          <cell r="P760">
            <v>63.51</v>
          </cell>
          <cell r="Q760" t="str">
            <v/>
          </cell>
          <cell r="R760" t="e">
            <v>#N/A</v>
          </cell>
        </row>
        <row r="761">
          <cell r="A761">
            <v>40570</v>
          </cell>
          <cell r="B761">
            <v>40570</v>
          </cell>
          <cell r="C761" t="str">
            <v>Future</v>
          </cell>
          <cell r="D761" t="e">
            <v>#N/A</v>
          </cell>
          <cell r="E761">
            <v>12.752007874016071</v>
          </cell>
          <cell r="F761">
            <v>84.681141732284729</v>
          </cell>
          <cell r="G761">
            <v>52.712637795275505</v>
          </cell>
          <cell r="H761">
            <v>52.712637795275505</v>
          </cell>
          <cell r="I761" t="e">
            <v>#N/A</v>
          </cell>
          <cell r="J761" t="e">
            <v>#N/A</v>
          </cell>
          <cell r="K761" t="e">
            <v>#N/A</v>
          </cell>
          <cell r="L761" t="e">
            <v>#N/A</v>
          </cell>
          <cell r="M761" t="e">
            <v>#N/A</v>
          </cell>
          <cell r="N761" t="e">
            <v>#N/A</v>
          </cell>
          <cell r="O761" t="e">
            <v>#N/A</v>
          </cell>
          <cell r="P761">
            <v>63.51</v>
          </cell>
          <cell r="Q761" t="str">
            <v/>
          </cell>
          <cell r="R761" t="e">
            <v>#N/A</v>
          </cell>
        </row>
        <row r="762">
          <cell r="A762">
            <v>40571</v>
          </cell>
          <cell r="B762">
            <v>40571</v>
          </cell>
          <cell r="C762" t="str">
            <v>Future</v>
          </cell>
          <cell r="D762" t="e">
            <v>#N/A</v>
          </cell>
          <cell r="E762">
            <v>12.501968503937331</v>
          </cell>
          <cell r="F762">
            <v>84.785433070867413</v>
          </cell>
          <cell r="G762">
            <v>52.659448818897552</v>
          </cell>
          <cell r="H762">
            <v>52.659448818897552</v>
          </cell>
          <cell r="I762" t="e">
            <v>#N/A</v>
          </cell>
          <cell r="J762" t="e">
            <v>#N/A</v>
          </cell>
          <cell r="K762" t="e">
            <v>#N/A</v>
          </cell>
          <cell r="L762" t="e">
            <v>#N/A</v>
          </cell>
          <cell r="M762" t="e">
            <v>#N/A</v>
          </cell>
          <cell r="N762" t="e">
            <v>#N/A</v>
          </cell>
          <cell r="O762" t="e">
            <v>#N/A</v>
          </cell>
          <cell r="P762">
            <v>63.51</v>
          </cell>
          <cell r="Q762" t="str">
            <v/>
          </cell>
          <cell r="R762" t="e">
            <v>#N/A</v>
          </cell>
        </row>
        <row r="763">
          <cell r="A763">
            <v>40574</v>
          </cell>
          <cell r="B763">
            <v>40574</v>
          </cell>
          <cell r="C763" t="str">
            <v>Future</v>
          </cell>
          <cell r="D763" t="e">
            <v>#N/A</v>
          </cell>
          <cell r="E763">
            <v>12.251929133858591</v>
          </cell>
          <cell r="F763">
            <v>84.889724409450096</v>
          </cell>
          <cell r="G763">
            <v>52.606259842519599</v>
          </cell>
          <cell r="H763">
            <v>52.606259842519599</v>
          </cell>
          <cell r="I763" t="e">
            <v>#N/A</v>
          </cell>
          <cell r="J763" t="e">
            <v>#N/A</v>
          </cell>
          <cell r="K763" t="e">
            <v>#N/A</v>
          </cell>
          <cell r="L763" t="e">
            <v>#N/A</v>
          </cell>
          <cell r="M763" t="e">
            <v>#N/A</v>
          </cell>
          <cell r="N763" t="e">
            <v>#N/A</v>
          </cell>
          <cell r="O763" t="e">
            <v>#N/A</v>
          </cell>
          <cell r="P763">
            <v>63.51</v>
          </cell>
          <cell r="Q763" t="str">
            <v/>
          </cell>
          <cell r="R763" t="e">
            <v>#N/A</v>
          </cell>
        </row>
        <row r="764">
          <cell r="A764">
            <v>40575</v>
          </cell>
          <cell r="B764">
            <v>40575</v>
          </cell>
          <cell r="C764" t="str">
            <v>Future</v>
          </cell>
          <cell r="D764" t="e">
            <v>#N/A</v>
          </cell>
          <cell r="E764">
            <v>12.00188976377985</v>
          </cell>
          <cell r="F764">
            <v>84.99401574803278</v>
          </cell>
          <cell r="G764">
            <v>52.553070866141645</v>
          </cell>
          <cell r="H764">
            <v>52.553070866141645</v>
          </cell>
          <cell r="I764" t="e">
            <v>#N/A</v>
          </cell>
          <cell r="J764" t="e">
            <v>#N/A</v>
          </cell>
          <cell r="K764" t="e">
            <v>#N/A</v>
          </cell>
          <cell r="L764" t="e">
            <v>#N/A</v>
          </cell>
          <cell r="M764" t="e">
            <v>#N/A</v>
          </cell>
          <cell r="N764" t="e">
            <v>#N/A</v>
          </cell>
          <cell r="O764" t="e">
            <v>#N/A</v>
          </cell>
          <cell r="P764">
            <v>63.51</v>
          </cell>
          <cell r="Q764" t="str">
            <v/>
          </cell>
          <cell r="R764" t="e">
            <v>#N/A</v>
          </cell>
        </row>
        <row r="765">
          <cell r="A765">
            <v>40576</v>
          </cell>
          <cell r="B765">
            <v>40576</v>
          </cell>
          <cell r="C765" t="str">
            <v>Future</v>
          </cell>
          <cell r="D765" t="e">
            <v>#N/A</v>
          </cell>
          <cell r="E765">
            <v>11.75185039370111</v>
          </cell>
          <cell r="F765">
            <v>85.098307086615463</v>
          </cell>
          <cell r="G765">
            <v>52.499881889763692</v>
          </cell>
          <cell r="H765">
            <v>52.499881889763692</v>
          </cell>
          <cell r="I765" t="e">
            <v>#N/A</v>
          </cell>
          <cell r="J765" t="e">
            <v>#N/A</v>
          </cell>
          <cell r="K765" t="e">
            <v>#N/A</v>
          </cell>
          <cell r="L765" t="e">
            <v>#N/A</v>
          </cell>
          <cell r="M765" t="e">
            <v>#N/A</v>
          </cell>
          <cell r="N765" t="e">
            <v>#N/A</v>
          </cell>
          <cell r="O765" t="e">
            <v>#N/A</v>
          </cell>
          <cell r="P765">
            <v>63.51</v>
          </cell>
          <cell r="Q765" t="str">
            <v/>
          </cell>
          <cell r="R765" t="e">
            <v>#N/A</v>
          </cell>
        </row>
        <row r="766">
          <cell r="A766">
            <v>40577</v>
          </cell>
          <cell r="B766">
            <v>40577</v>
          </cell>
          <cell r="C766" t="str">
            <v>Future</v>
          </cell>
          <cell r="D766" t="e">
            <v>#N/A</v>
          </cell>
          <cell r="E766">
            <v>11.50181102362237</v>
          </cell>
          <cell r="F766">
            <v>85.202598425198147</v>
          </cell>
          <cell r="G766">
            <v>52.446692913385739</v>
          </cell>
          <cell r="H766">
            <v>52.446692913385739</v>
          </cell>
          <cell r="I766" t="e">
            <v>#N/A</v>
          </cell>
          <cell r="J766" t="e">
            <v>#N/A</v>
          </cell>
          <cell r="K766" t="e">
            <v>#N/A</v>
          </cell>
          <cell r="L766" t="e">
            <v>#N/A</v>
          </cell>
          <cell r="M766" t="e">
            <v>#N/A</v>
          </cell>
          <cell r="N766" t="e">
            <v>#N/A</v>
          </cell>
          <cell r="O766" t="e">
            <v>#N/A</v>
          </cell>
          <cell r="P766">
            <v>63.51</v>
          </cell>
          <cell r="Q766" t="str">
            <v/>
          </cell>
          <cell r="R766" t="e">
            <v>#N/A</v>
          </cell>
        </row>
        <row r="767">
          <cell r="A767">
            <v>40578</v>
          </cell>
          <cell r="B767">
            <v>40578</v>
          </cell>
          <cell r="C767" t="str">
            <v>Future</v>
          </cell>
          <cell r="D767" t="e">
            <v>#N/A</v>
          </cell>
          <cell r="E767">
            <v>11.25177165354363</v>
          </cell>
          <cell r="F767">
            <v>85.306889763780831</v>
          </cell>
          <cell r="G767">
            <v>52.393503937007786</v>
          </cell>
          <cell r="H767">
            <v>52.393503937007786</v>
          </cell>
          <cell r="I767" t="e">
            <v>#N/A</v>
          </cell>
          <cell r="J767" t="e">
            <v>#N/A</v>
          </cell>
          <cell r="K767" t="e">
            <v>#N/A</v>
          </cell>
          <cell r="L767" t="e">
            <v>#N/A</v>
          </cell>
          <cell r="M767" t="e">
            <v>#N/A</v>
          </cell>
          <cell r="N767" t="e">
            <v>#N/A</v>
          </cell>
          <cell r="O767" t="e">
            <v>#N/A</v>
          </cell>
          <cell r="P767">
            <v>63.51</v>
          </cell>
          <cell r="Q767" t="str">
            <v/>
          </cell>
          <cell r="R767" t="e">
            <v>#N/A</v>
          </cell>
        </row>
        <row r="768">
          <cell r="A768">
            <v>40581</v>
          </cell>
          <cell r="B768">
            <v>40581</v>
          </cell>
          <cell r="C768" t="str">
            <v>Future</v>
          </cell>
          <cell r="D768" t="e">
            <v>#N/A</v>
          </cell>
          <cell r="E768">
            <v>11.001732283464889</v>
          </cell>
          <cell r="F768">
            <v>85.411181102363514</v>
          </cell>
          <cell r="G768">
            <v>52.340314960629833</v>
          </cell>
          <cell r="H768">
            <v>52.340314960629833</v>
          </cell>
          <cell r="I768" t="e">
            <v>#N/A</v>
          </cell>
          <cell r="J768" t="e">
            <v>#N/A</v>
          </cell>
          <cell r="K768" t="e">
            <v>#N/A</v>
          </cell>
          <cell r="L768" t="e">
            <v>#N/A</v>
          </cell>
          <cell r="M768" t="e">
            <v>#N/A</v>
          </cell>
          <cell r="N768" t="e">
            <v>#N/A</v>
          </cell>
          <cell r="O768" t="e">
            <v>#N/A</v>
          </cell>
          <cell r="P768">
            <v>63.51</v>
          </cell>
          <cell r="Q768" t="str">
            <v/>
          </cell>
          <cell r="R768" t="e">
            <v>#N/A</v>
          </cell>
        </row>
        <row r="769">
          <cell r="A769">
            <v>40582</v>
          </cell>
          <cell r="B769">
            <v>40582</v>
          </cell>
          <cell r="C769" t="str">
            <v>Future</v>
          </cell>
          <cell r="D769" t="e">
            <v>#N/A</v>
          </cell>
          <cell r="E769">
            <v>10.751692913386149</v>
          </cell>
          <cell r="F769">
            <v>85.515472440946198</v>
          </cell>
          <cell r="G769">
            <v>52.28712598425188</v>
          </cell>
          <cell r="H769">
            <v>52.28712598425188</v>
          </cell>
          <cell r="I769" t="e">
            <v>#N/A</v>
          </cell>
          <cell r="J769" t="e">
            <v>#N/A</v>
          </cell>
          <cell r="K769" t="e">
            <v>#N/A</v>
          </cell>
          <cell r="L769" t="e">
            <v>#N/A</v>
          </cell>
          <cell r="M769" t="e">
            <v>#N/A</v>
          </cell>
          <cell r="N769" t="e">
            <v>#N/A</v>
          </cell>
          <cell r="O769" t="e">
            <v>#N/A</v>
          </cell>
          <cell r="P769">
            <v>63.51</v>
          </cell>
          <cell r="Q769" t="str">
            <v/>
          </cell>
          <cell r="R769" t="e">
            <v>#N/A</v>
          </cell>
        </row>
        <row r="770">
          <cell r="A770">
            <v>40583</v>
          </cell>
          <cell r="B770">
            <v>40583</v>
          </cell>
          <cell r="C770" t="str">
            <v>Future</v>
          </cell>
          <cell r="D770" t="e">
            <v>#N/A</v>
          </cell>
          <cell r="E770">
            <v>10.501653543307409</v>
          </cell>
          <cell r="F770">
            <v>85.619763779528881</v>
          </cell>
          <cell r="G770">
            <v>52.233937007873926</v>
          </cell>
          <cell r="H770">
            <v>52.233937007873926</v>
          </cell>
          <cell r="I770" t="e">
            <v>#N/A</v>
          </cell>
          <cell r="J770" t="e">
            <v>#N/A</v>
          </cell>
          <cell r="K770" t="e">
            <v>#N/A</v>
          </cell>
          <cell r="L770" t="e">
            <v>#N/A</v>
          </cell>
          <cell r="M770" t="e">
            <v>#N/A</v>
          </cell>
          <cell r="N770" t="e">
            <v>#N/A</v>
          </cell>
          <cell r="O770" t="e">
            <v>#N/A</v>
          </cell>
          <cell r="P770">
            <v>63.51</v>
          </cell>
          <cell r="Q770" t="str">
            <v/>
          </cell>
          <cell r="R770" t="e">
            <v>#N/A</v>
          </cell>
        </row>
        <row r="771">
          <cell r="A771">
            <v>40584</v>
          </cell>
          <cell r="B771">
            <v>40584</v>
          </cell>
          <cell r="C771" t="str">
            <v>Future</v>
          </cell>
          <cell r="D771" t="e">
            <v>#N/A</v>
          </cell>
          <cell r="E771">
            <v>10.251614173228669</v>
          </cell>
          <cell r="F771">
            <v>85.724055118111565</v>
          </cell>
          <cell r="G771">
            <v>52.180748031495973</v>
          </cell>
          <cell r="H771">
            <v>52.180748031495973</v>
          </cell>
          <cell r="I771" t="e">
            <v>#N/A</v>
          </cell>
          <cell r="J771" t="e">
            <v>#N/A</v>
          </cell>
          <cell r="K771" t="e">
            <v>#N/A</v>
          </cell>
          <cell r="L771" t="e">
            <v>#N/A</v>
          </cell>
          <cell r="M771" t="e">
            <v>#N/A</v>
          </cell>
          <cell r="N771" t="e">
            <v>#N/A</v>
          </cell>
          <cell r="O771" t="e">
            <v>#N/A</v>
          </cell>
          <cell r="P771">
            <v>63.51</v>
          </cell>
          <cell r="Q771" t="str">
            <v/>
          </cell>
          <cell r="R771" t="e">
            <v>#N/A</v>
          </cell>
        </row>
        <row r="772">
          <cell r="A772">
            <v>40585</v>
          </cell>
          <cell r="B772">
            <v>40585</v>
          </cell>
          <cell r="C772" t="str">
            <v>Future</v>
          </cell>
          <cell r="D772" t="e">
            <v>#N/A</v>
          </cell>
          <cell r="E772">
            <v>10.001574803149929</v>
          </cell>
          <cell r="F772">
            <v>85.828346456694248</v>
          </cell>
          <cell r="G772">
            <v>52.12755905511802</v>
          </cell>
          <cell r="H772">
            <v>52.12755905511802</v>
          </cell>
          <cell r="I772" t="e">
            <v>#N/A</v>
          </cell>
          <cell r="J772" t="e">
            <v>#N/A</v>
          </cell>
          <cell r="K772" t="e">
            <v>#N/A</v>
          </cell>
          <cell r="L772" t="e">
            <v>#N/A</v>
          </cell>
          <cell r="M772" t="e">
            <v>#N/A</v>
          </cell>
          <cell r="N772" t="e">
            <v>#N/A</v>
          </cell>
          <cell r="O772" t="e">
            <v>#N/A</v>
          </cell>
          <cell r="P772">
            <v>63.51</v>
          </cell>
          <cell r="Q772" t="str">
            <v/>
          </cell>
          <cell r="R772" t="e">
            <v>#N/A</v>
          </cell>
        </row>
        <row r="773">
          <cell r="A773">
            <v>40588</v>
          </cell>
          <cell r="B773">
            <v>40588</v>
          </cell>
          <cell r="C773" t="str">
            <v>Future</v>
          </cell>
          <cell r="D773" t="e">
            <v>#N/A</v>
          </cell>
          <cell r="E773">
            <v>9.7515354330711883</v>
          </cell>
          <cell r="F773">
            <v>85.932637795276932</v>
          </cell>
          <cell r="G773">
            <v>52.074370078740067</v>
          </cell>
          <cell r="H773">
            <v>52.074370078740067</v>
          </cell>
          <cell r="I773" t="e">
            <v>#N/A</v>
          </cell>
          <cell r="J773" t="e">
            <v>#N/A</v>
          </cell>
          <cell r="K773" t="e">
            <v>#N/A</v>
          </cell>
          <cell r="L773" t="e">
            <v>#N/A</v>
          </cell>
          <cell r="M773" t="e">
            <v>#N/A</v>
          </cell>
          <cell r="N773" t="e">
            <v>#N/A</v>
          </cell>
          <cell r="O773" t="e">
            <v>#N/A</v>
          </cell>
          <cell r="P773">
            <v>63.51</v>
          </cell>
          <cell r="Q773" t="str">
            <v/>
          </cell>
          <cell r="R773" t="e">
            <v>#N/A</v>
          </cell>
        </row>
        <row r="774">
          <cell r="A774">
            <v>40589</v>
          </cell>
          <cell r="B774">
            <v>40589</v>
          </cell>
          <cell r="C774" t="str">
            <v>Future</v>
          </cell>
          <cell r="D774" t="e">
            <v>#N/A</v>
          </cell>
          <cell r="E774">
            <v>9.5014960629924481</v>
          </cell>
          <cell r="F774">
            <v>86.036929133859616</v>
          </cell>
          <cell r="G774">
            <v>52.021181102362114</v>
          </cell>
          <cell r="H774">
            <v>52.021181102362114</v>
          </cell>
          <cell r="I774" t="e">
            <v>#N/A</v>
          </cell>
          <cell r="J774" t="e">
            <v>#N/A</v>
          </cell>
          <cell r="K774" t="e">
            <v>#N/A</v>
          </cell>
          <cell r="L774" t="e">
            <v>#N/A</v>
          </cell>
          <cell r="M774" t="e">
            <v>#N/A</v>
          </cell>
          <cell r="N774" t="e">
            <v>#N/A</v>
          </cell>
          <cell r="O774" t="e">
            <v>#N/A</v>
          </cell>
          <cell r="P774">
            <v>63.51</v>
          </cell>
          <cell r="Q774" t="str">
            <v/>
          </cell>
          <cell r="R774" t="e">
            <v>#N/A</v>
          </cell>
        </row>
        <row r="775">
          <cell r="A775">
            <v>40590</v>
          </cell>
          <cell r="B775">
            <v>40590</v>
          </cell>
          <cell r="C775" t="str">
            <v>Future</v>
          </cell>
          <cell r="D775" t="e">
            <v>#N/A</v>
          </cell>
          <cell r="E775">
            <v>9.2514566929137079</v>
          </cell>
          <cell r="F775">
            <v>86.141220472442299</v>
          </cell>
          <cell r="G775">
            <v>51.967992125984161</v>
          </cell>
          <cell r="H775">
            <v>51.967992125984161</v>
          </cell>
          <cell r="I775" t="e">
            <v>#N/A</v>
          </cell>
          <cell r="J775" t="e">
            <v>#N/A</v>
          </cell>
          <cell r="K775" t="e">
            <v>#N/A</v>
          </cell>
          <cell r="L775" t="e">
            <v>#N/A</v>
          </cell>
          <cell r="M775" t="e">
            <v>#N/A</v>
          </cell>
          <cell r="N775" t="e">
            <v>#N/A</v>
          </cell>
          <cell r="O775" t="e">
            <v>#N/A</v>
          </cell>
          <cell r="P775">
            <v>63.51</v>
          </cell>
          <cell r="Q775" t="str">
            <v/>
          </cell>
          <cell r="R775" t="e">
            <v>#N/A</v>
          </cell>
        </row>
        <row r="776">
          <cell r="A776">
            <v>40591</v>
          </cell>
          <cell r="B776">
            <v>40591</v>
          </cell>
          <cell r="C776" t="str">
            <v>Future</v>
          </cell>
          <cell r="D776" t="e">
            <v>#N/A</v>
          </cell>
          <cell r="E776">
            <v>9.0014173228349676</v>
          </cell>
          <cell r="F776">
            <v>86.245511811024983</v>
          </cell>
          <cell r="G776">
            <v>51.914803149606207</v>
          </cell>
          <cell r="H776">
            <v>51.914803149606207</v>
          </cell>
          <cell r="I776" t="e">
            <v>#N/A</v>
          </cell>
          <cell r="J776" t="e">
            <v>#N/A</v>
          </cell>
          <cell r="K776" t="e">
            <v>#N/A</v>
          </cell>
          <cell r="L776" t="e">
            <v>#N/A</v>
          </cell>
          <cell r="M776" t="e">
            <v>#N/A</v>
          </cell>
          <cell r="N776" t="e">
            <v>#N/A</v>
          </cell>
          <cell r="O776" t="e">
            <v>#N/A</v>
          </cell>
          <cell r="P776">
            <v>63.51</v>
          </cell>
          <cell r="Q776" t="str">
            <v/>
          </cell>
          <cell r="R776" t="e">
            <v>#N/A</v>
          </cell>
        </row>
        <row r="777">
          <cell r="A777">
            <v>40592</v>
          </cell>
          <cell r="B777">
            <v>40592</v>
          </cell>
          <cell r="C777" t="str">
            <v>Future</v>
          </cell>
          <cell r="D777" t="e">
            <v>#N/A</v>
          </cell>
          <cell r="E777">
            <v>8.7513779527562274</v>
          </cell>
          <cell r="F777">
            <v>86.349803149607666</v>
          </cell>
          <cell r="G777">
            <v>51.861614173228254</v>
          </cell>
          <cell r="H777">
            <v>51.861614173228254</v>
          </cell>
          <cell r="I777" t="e">
            <v>#N/A</v>
          </cell>
          <cell r="J777" t="e">
            <v>#N/A</v>
          </cell>
          <cell r="K777" t="e">
            <v>#N/A</v>
          </cell>
          <cell r="L777" t="e">
            <v>#N/A</v>
          </cell>
          <cell r="M777" t="e">
            <v>#N/A</v>
          </cell>
          <cell r="N777" t="e">
            <v>#N/A</v>
          </cell>
          <cell r="O777" t="e">
            <v>#N/A</v>
          </cell>
          <cell r="P777">
            <v>63.51</v>
          </cell>
          <cell r="Q777" t="str">
            <v/>
          </cell>
          <cell r="R777" t="e">
            <v>#N/A</v>
          </cell>
        </row>
        <row r="778">
          <cell r="A778">
            <v>40596</v>
          </cell>
          <cell r="B778">
            <v>40596</v>
          </cell>
          <cell r="C778" t="str">
            <v>Future</v>
          </cell>
          <cell r="D778" t="e">
            <v>#N/A</v>
          </cell>
          <cell r="E778">
            <v>8.5013385826774872</v>
          </cell>
          <cell r="F778">
            <v>86.45409448819035</v>
          </cell>
          <cell r="G778">
            <v>51.808425196850301</v>
          </cell>
          <cell r="H778">
            <v>51.808425196850301</v>
          </cell>
          <cell r="I778" t="e">
            <v>#N/A</v>
          </cell>
          <cell r="J778" t="e">
            <v>#N/A</v>
          </cell>
          <cell r="K778" t="e">
            <v>#N/A</v>
          </cell>
          <cell r="L778" t="e">
            <v>#N/A</v>
          </cell>
          <cell r="M778" t="e">
            <v>#N/A</v>
          </cell>
          <cell r="N778" t="e">
            <v>#N/A</v>
          </cell>
          <cell r="O778" t="e">
            <v>#N/A</v>
          </cell>
          <cell r="P778">
            <v>63.51</v>
          </cell>
          <cell r="Q778" t="str">
            <v/>
          </cell>
          <cell r="R778" t="e">
            <v>#N/A</v>
          </cell>
        </row>
        <row r="779">
          <cell r="A779">
            <v>40597</v>
          </cell>
          <cell r="B779">
            <v>40597</v>
          </cell>
          <cell r="C779" t="str">
            <v>Future</v>
          </cell>
          <cell r="D779" t="e">
            <v>#N/A</v>
          </cell>
          <cell r="E779">
            <v>8.251299212598747</v>
          </cell>
          <cell r="F779">
            <v>86.558385826773034</v>
          </cell>
          <cell r="G779">
            <v>51.755236220472348</v>
          </cell>
          <cell r="H779">
            <v>51.755236220472348</v>
          </cell>
          <cell r="I779" t="e">
            <v>#N/A</v>
          </cell>
          <cell r="J779" t="e">
            <v>#N/A</v>
          </cell>
          <cell r="K779" t="e">
            <v>#N/A</v>
          </cell>
          <cell r="L779" t="e">
            <v>#N/A</v>
          </cell>
          <cell r="M779" t="e">
            <v>#N/A</v>
          </cell>
          <cell r="N779" t="e">
            <v>#N/A</v>
          </cell>
          <cell r="O779" t="e">
            <v>#N/A</v>
          </cell>
          <cell r="P779">
            <v>63.51</v>
          </cell>
          <cell r="Q779" t="str">
            <v/>
          </cell>
          <cell r="R779" t="e">
            <v>#N/A</v>
          </cell>
        </row>
        <row r="780">
          <cell r="A780">
            <v>40598</v>
          </cell>
          <cell r="B780">
            <v>40598</v>
          </cell>
          <cell r="C780" t="str">
            <v>Future</v>
          </cell>
          <cell r="D780" t="e">
            <v>#N/A</v>
          </cell>
          <cell r="E780">
            <v>8.0012598425200068</v>
          </cell>
          <cell r="F780">
            <v>86.662677165355717</v>
          </cell>
          <cell r="G780">
            <v>51.702047244094395</v>
          </cell>
          <cell r="H780">
            <v>51.702047244094395</v>
          </cell>
          <cell r="I780" t="e">
            <v>#N/A</v>
          </cell>
          <cell r="J780" t="e">
            <v>#N/A</v>
          </cell>
          <cell r="K780" t="e">
            <v>#N/A</v>
          </cell>
          <cell r="L780" t="e">
            <v>#N/A</v>
          </cell>
          <cell r="M780" t="e">
            <v>#N/A</v>
          </cell>
          <cell r="N780" t="e">
            <v>#N/A</v>
          </cell>
          <cell r="O780" t="e">
            <v>#N/A</v>
          </cell>
          <cell r="P780">
            <v>63.51</v>
          </cell>
          <cell r="Q780" t="str">
            <v/>
          </cell>
          <cell r="R780" t="e">
            <v>#N/A</v>
          </cell>
        </row>
        <row r="781">
          <cell r="A781">
            <v>40599</v>
          </cell>
          <cell r="B781">
            <v>40599</v>
          </cell>
          <cell r="C781" t="str">
            <v>Future</v>
          </cell>
          <cell r="D781" t="e">
            <v>#N/A</v>
          </cell>
          <cell r="E781">
            <v>7.7512204724412666</v>
          </cell>
          <cell r="F781">
            <v>86.766968503938401</v>
          </cell>
          <cell r="G781">
            <v>51.648858267716442</v>
          </cell>
          <cell r="H781">
            <v>51.648858267716442</v>
          </cell>
          <cell r="I781" t="e">
            <v>#N/A</v>
          </cell>
          <cell r="J781" t="e">
            <v>#N/A</v>
          </cell>
          <cell r="K781" t="e">
            <v>#N/A</v>
          </cell>
          <cell r="L781" t="e">
            <v>#N/A</v>
          </cell>
          <cell r="M781" t="e">
            <v>#N/A</v>
          </cell>
          <cell r="N781" t="e">
            <v>#N/A</v>
          </cell>
          <cell r="O781" t="e">
            <v>#N/A</v>
          </cell>
          <cell r="P781">
            <v>63.51</v>
          </cell>
          <cell r="Q781" t="str">
            <v/>
          </cell>
          <cell r="R781" t="e">
            <v>#N/A</v>
          </cell>
        </row>
        <row r="782">
          <cell r="A782">
            <v>40602</v>
          </cell>
          <cell r="B782">
            <v>40602</v>
          </cell>
          <cell r="C782" t="str">
            <v>Future</v>
          </cell>
          <cell r="D782" t="e">
            <v>#N/A</v>
          </cell>
          <cell r="E782">
            <v>7.5011811023625263</v>
          </cell>
          <cell r="F782">
            <v>86.871259842521084</v>
          </cell>
          <cell r="G782">
            <v>51.595669291338488</v>
          </cell>
          <cell r="H782">
            <v>51.595669291338488</v>
          </cell>
          <cell r="I782" t="e">
            <v>#N/A</v>
          </cell>
          <cell r="J782" t="e">
            <v>#N/A</v>
          </cell>
          <cell r="K782" t="e">
            <v>#N/A</v>
          </cell>
          <cell r="L782" t="e">
            <v>#N/A</v>
          </cell>
          <cell r="M782" t="e">
            <v>#N/A</v>
          </cell>
          <cell r="N782" t="e">
            <v>#N/A</v>
          </cell>
          <cell r="O782" t="e">
            <v>#N/A</v>
          </cell>
          <cell r="P782">
            <v>63.51</v>
          </cell>
          <cell r="Q782" t="str">
            <v/>
          </cell>
          <cell r="R782" t="e">
            <v>#N/A</v>
          </cell>
        </row>
        <row r="783">
          <cell r="A783">
            <v>40603</v>
          </cell>
          <cell r="B783">
            <v>40603</v>
          </cell>
          <cell r="C783" t="str">
            <v>Future</v>
          </cell>
          <cell r="D783" t="e">
            <v>#N/A</v>
          </cell>
          <cell r="E783">
            <v>7.2511417322837861</v>
          </cell>
          <cell r="F783">
            <v>86.975551181103768</v>
          </cell>
          <cell r="G783">
            <v>51.542480314960535</v>
          </cell>
          <cell r="H783">
            <v>51.542480314960535</v>
          </cell>
          <cell r="I783" t="e">
            <v>#N/A</v>
          </cell>
          <cell r="J783" t="e">
            <v>#N/A</v>
          </cell>
          <cell r="K783" t="e">
            <v>#N/A</v>
          </cell>
          <cell r="L783" t="e">
            <v>#N/A</v>
          </cell>
          <cell r="M783" t="e">
            <v>#N/A</v>
          </cell>
          <cell r="N783" t="e">
            <v>#N/A</v>
          </cell>
          <cell r="O783" t="e">
            <v>#N/A</v>
          </cell>
          <cell r="P783">
            <v>63.51</v>
          </cell>
          <cell r="Q783" t="str">
            <v/>
          </cell>
          <cell r="R783" t="e">
            <v>#N/A</v>
          </cell>
        </row>
        <row r="784">
          <cell r="A784">
            <v>40604</v>
          </cell>
          <cell r="B784">
            <v>40604</v>
          </cell>
          <cell r="C784" t="str">
            <v>Future</v>
          </cell>
          <cell r="D784" t="e">
            <v>#N/A</v>
          </cell>
          <cell r="E784">
            <v>7.0011023622050459</v>
          </cell>
          <cell r="F784">
            <v>87.079842519686451</v>
          </cell>
          <cell r="G784">
            <v>51.489291338582582</v>
          </cell>
          <cell r="H784">
            <v>51.489291338582582</v>
          </cell>
          <cell r="I784" t="e">
            <v>#N/A</v>
          </cell>
          <cell r="J784" t="e">
            <v>#N/A</v>
          </cell>
          <cell r="K784" t="e">
            <v>#N/A</v>
          </cell>
          <cell r="L784" t="e">
            <v>#N/A</v>
          </cell>
          <cell r="M784" t="e">
            <v>#N/A</v>
          </cell>
          <cell r="N784" t="e">
            <v>#N/A</v>
          </cell>
          <cell r="O784" t="e">
            <v>#N/A</v>
          </cell>
          <cell r="P784">
            <v>63.51</v>
          </cell>
          <cell r="Q784" t="str">
            <v/>
          </cell>
          <cell r="R784" t="e">
            <v>#N/A</v>
          </cell>
        </row>
        <row r="785">
          <cell r="A785">
            <v>40605</v>
          </cell>
          <cell r="B785">
            <v>40605</v>
          </cell>
          <cell r="C785" t="str">
            <v>Future</v>
          </cell>
          <cell r="D785" t="e">
            <v>#N/A</v>
          </cell>
          <cell r="E785">
            <v>6.7510629921263057</v>
          </cell>
          <cell r="F785">
            <v>87.184133858269135</v>
          </cell>
          <cell r="G785">
            <v>51.436102362204629</v>
          </cell>
          <cell r="H785">
            <v>51.436102362204629</v>
          </cell>
          <cell r="I785" t="e">
            <v>#N/A</v>
          </cell>
          <cell r="J785" t="e">
            <v>#N/A</v>
          </cell>
          <cell r="K785" t="e">
            <v>#N/A</v>
          </cell>
          <cell r="L785" t="e">
            <v>#N/A</v>
          </cell>
          <cell r="M785" t="e">
            <v>#N/A</v>
          </cell>
          <cell r="N785" t="e">
            <v>#N/A</v>
          </cell>
          <cell r="O785" t="e">
            <v>#N/A</v>
          </cell>
          <cell r="P785">
            <v>63.51</v>
          </cell>
          <cell r="Q785" t="str">
            <v/>
          </cell>
          <cell r="R785" t="e">
            <v>#N/A</v>
          </cell>
        </row>
        <row r="786">
          <cell r="A786">
            <v>40606</v>
          </cell>
          <cell r="B786">
            <v>40606</v>
          </cell>
          <cell r="C786" t="str">
            <v>Future</v>
          </cell>
          <cell r="D786" t="e">
            <v>#N/A</v>
          </cell>
          <cell r="E786">
            <v>6.5010236220475655</v>
          </cell>
          <cell r="F786">
            <v>87.288425196851819</v>
          </cell>
          <cell r="G786">
            <v>51.382913385826676</v>
          </cell>
          <cell r="H786">
            <v>51.382913385826676</v>
          </cell>
          <cell r="I786" t="e">
            <v>#N/A</v>
          </cell>
          <cell r="J786" t="e">
            <v>#N/A</v>
          </cell>
          <cell r="K786" t="e">
            <v>#N/A</v>
          </cell>
          <cell r="L786" t="e">
            <v>#N/A</v>
          </cell>
          <cell r="M786" t="e">
            <v>#N/A</v>
          </cell>
          <cell r="N786" t="e">
            <v>#N/A</v>
          </cell>
          <cell r="O786" t="e">
            <v>#N/A</v>
          </cell>
          <cell r="P786">
            <v>63.51</v>
          </cell>
          <cell r="Q786" t="str">
            <v/>
          </cell>
          <cell r="R786" t="e">
            <v>#N/A</v>
          </cell>
        </row>
        <row r="787">
          <cell r="A787">
            <v>40609</v>
          </cell>
          <cell r="B787">
            <v>40609</v>
          </cell>
          <cell r="C787" t="str">
            <v>Future</v>
          </cell>
          <cell r="D787" t="e">
            <v>#N/A</v>
          </cell>
          <cell r="E787">
            <v>6.2509842519688252</v>
          </cell>
          <cell r="F787">
            <v>87.392716535434502</v>
          </cell>
          <cell r="G787">
            <v>51.329724409448723</v>
          </cell>
          <cell r="H787">
            <v>51.329724409448723</v>
          </cell>
          <cell r="I787" t="e">
            <v>#N/A</v>
          </cell>
          <cell r="J787" t="e">
            <v>#N/A</v>
          </cell>
          <cell r="K787" t="e">
            <v>#N/A</v>
          </cell>
          <cell r="L787" t="e">
            <v>#N/A</v>
          </cell>
          <cell r="M787" t="e">
            <v>#N/A</v>
          </cell>
          <cell r="N787" t="e">
            <v>#N/A</v>
          </cell>
          <cell r="O787" t="e">
            <v>#N/A</v>
          </cell>
          <cell r="P787">
            <v>63.51</v>
          </cell>
          <cell r="Q787" t="str">
            <v/>
          </cell>
          <cell r="R787" t="e">
            <v>#N/A</v>
          </cell>
        </row>
        <row r="788">
          <cell r="A788">
            <v>40610</v>
          </cell>
          <cell r="B788">
            <v>40610</v>
          </cell>
          <cell r="C788" t="str">
            <v>Future</v>
          </cell>
          <cell r="D788" t="e">
            <v>#N/A</v>
          </cell>
          <cell r="E788">
            <v>6.000944881890085</v>
          </cell>
          <cell r="F788">
            <v>87.497007874017186</v>
          </cell>
          <cell r="G788">
            <v>51.276535433070769</v>
          </cell>
          <cell r="H788">
            <v>51.276535433070769</v>
          </cell>
          <cell r="I788" t="e">
            <v>#N/A</v>
          </cell>
          <cell r="J788" t="e">
            <v>#N/A</v>
          </cell>
          <cell r="K788" t="e">
            <v>#N/A</v>
          </cell>
          <cell r="L788" t="e">
            <v>#N/A</v>
          </cell>
          <cell r="M788" t="e">
            <v>#N/A</v>
          </cell>
          <cell r="N788" t="e">
            <v>#N/A</v>
          </cell>
          <cell r="O788" t="e">
            <v>#N/A</v>
          </cell>
          <cell r="P788">
            <v>63.51</v>
          </cell>
          <cell r="Q788" t="str">
            <v/>
          </cell>
          <cell r="R788" t="e">
            <v>#N/A</v>
          </cell>
        </row>
        <row r="789">
          <cell r="A789">
            <v>40611</v>
          </cell>
          <cell r="B789">
            <v>40611</v>
          </cell>
          <cell r="C789" t="str">
            <v>Future</v>
          </cell>
          <cell r="D789" t="e">
            <v>#N/A</v>
          </cell>
          <cell r="E789">
            <v>5.7509055118113448</v>
          </cell>
          <cell r="F789">
            <v>87.601299212599869</v>
          </cell>
          <cell r="G789">
            <v>51.223346456692816</v>
          </cell>
          <cell r="H789">
            <v>51.223346456692816</v>
          </cell>
          <cell r="I789" t="e">
            <v>#N/A</v>
          </cell>
          <cell r="J789" t="e">
            <v>#N/A</v>
          </cell>
          <cell r="K789" t="e">
            <v>#N/A</v>
          </cell>
          <cell r="L789" t="e">
            <v>#N/A</v>
          </cell>
          <cell r="M789" t="e">
            <v>#N/A</v>
          </cell>
          <cell r="N789" t="e">
            <v>#N/A</v>
          </cell>
          <cell r="O789" t="e">
            <v>#N/A</v>
          </cell>
          <cell r="P789">
            <v>63.51</v>
          </cell>
          <cell r="Q789" t="str">
            <v/>
          </cell>
          <cell r="R789" t="e">
            <v>#N/A</v>
          </cell>
        </row>
        <row r="790">
          <cell r="A790">
            <v>40612</v>
          </cell>
          <cell r="B790">
            <v>40612</v>
          </cell>
          <cell r="C790" t="str">
            <v>Future</v>
          </cell>
          <cell r="D790" t="e">
            <v>#N/A</v>
          </cell>
          <cell r="E790">
            <v>5.5008661417326046</v>
          </cell>
          <cell r="F790">
            <v>87.705590551182553</v>
          </cell>
          <cell r="G790">
            <v>51.170157480314863</v>
          </cell>
          <cell r="H790">
            <v>51.170157480314863</v>
          </cell>
          <cell r="I790" t="e">
            <v>#N/A</v>
          </cell>
          <cell r="J790" t="e">
            <v>#N/A</v>
          </cell>
          <cell r="K790" t="e">
            <v>#N/A</v>
          </cell>
          <cell r="L790" t="e">
            <v>#N/A</v>
          </cell>
          <cell r="M790" t="e">
            <v>#N/A</v>
          </cell>
          <cell r="N790" t="e">
            <v>#N/A</v>
          </cell>
          <cell r="O790" t="e">
            <v>#N/A</v>
          </cell>
          <cell r="P790">
            <v>63.51</v>
          </cell>
          <cell r="Q790" t="str">
            <v/>
          </cell>
          <cell r="R790" t="e">
            <v>#N/A</v>
          </cell>
        </row>
        <row r="791">
          <cell r="A791">
            <v>40613</v>
          </cell>
          <cell r="B791">
            <v>40613</v>
          </cell>
          <cell r="C791" t="str">
            <v>Future</v>
          </cell>
          <cell r="D791" t="e">
            <v>#N/A</v>
          </cell>
          <cell r="E791">
            <v>5.2508267716538644</v>
          </cell>
          <cell r="F791">
            <v>87.809881889765236</v>
          </cell>
          <cell r="G791">
            <v>51.11696850393691</v>
          </cell>
          <cell r="H791">
            <v>51.11696850393691</v>
          </cell>
          <cell r="I791" t="e">
            <v>#N/A</v>
          </cell>
          <cell r="J791" t="e">
            <v>#N/A</v>
          </cell>
          <cell r="K791" t="e">
            <v>#N/A</v>
          </cell>
          <cell r="L791" t="e">
            <v>#N/A</v>
          </cell>
          <cell r="M791" t="e">
            <v>#N/A</v>
          </cell>
          <cell r="N791" t="e">
            <v>#N/A</v>
          </cell>
          <cell r="O791" t="e">
            <v>#N/A</v>
          </cell>
          <cell r="P791">
            <v>63.51</v>
          </cell>
          <cell r="Q791" t="str">
            <v/>
          </cell>
          <cell r="R791" t="e">
            <v>#N/A</v>
          </cell>
        </row>
        <row r="792">
          <cell r="A792">
            <v>40616</v>
          </cell>
          <cell r="B792">
            <v>40616</v>
          </cell>
          <cell r="C792" t="str">
            <v>Future</v>
          </cell>
          <cell r="D792" t="e">
            <v>#N/A</v>
          </cell>
          <cell r="E792">
            <v>5.0007874015751241</v>
          </cell>
          <cell r="F792">
            <v>87.91417322834792</v>
          </cell>
          <cell r="G792">
            <v>51.063779527558957</v>
          </cell>
          <cell r="H792">
            <v>51.063779527558957</v>
          </cell>
          <cell r="I792" t="e">
            <v>#N/A</v>
          </cell>
          <cell r="J792" t="e">
            <v>#N/A</v>
          </cell>
          <cell r="K792" t="e">
            <v>#N/A</v>
          </cell>
          <cell r="L792" t="e">
            <v>#N/A</v>
          </cell>
          <cell r="M792" t="e">
            <v>#N/A</v>
          </cell>
          <cell r="N792" t="e">
            <v>#N/A</v>
          </cell>
          <cell r="O792" t="e">
            <v>#N/A</v>
          </cell>
          <cell r="P792">
            <v>63.51</v>
          </cell>
          <cell r="Q792" t="str">
            <v/>
          </cell>
          <cell r="R792" t="e">
            <v>#N/A</v>
          </cell>
        </row>
        <row r="793">
          <cell r="A793">
            <v>40617</v>
          </cell>
          <cell r="B793">
            <v>40617</v>
          </cell>
          <cell r="C793" t="str">
            <v>Future</v>
          </cell>
          <cell r="D793" t="e">
            <v>#N/A</v>
          </cell>
          <cell r="E793">
            <v>4.7507480314963839</v>
          </cell>
          <cell r="F793">
            <v>88.018464566930604</v>
          </cell>
          <cell r="G793">
            <v>51.010590551181004</v>
          </cell>
          <cell r="H793">
            <v>51.010590551181004</v>
          </cell>
          <cell r="I793" t="e">
            <v>#N/A</v>
          </cell>
          <cell r="J793" t="e">
            <v>#N/A</v>
          </cell>
          <cell r="K793" t="e">
            <v>#N/A</v>
          </cell>
          <cell r="L793" t="e">
            <v>#N/A</v>
          </cell>
          <cell r="M793" t="e">
            <v>#N/A</v>
          </cell>
          <cell r="N793" t="e">
            <v>#N/A</v>
          </cell>
          <cell r="O793" t="e">
            <v>#N/A</v>
          </cell>
          <cell r="P793">
            <v>63.51</v>
          </cell>
          <cell r="Q793" t="str">
            <v/>
          </cell>
          <cell r="R793" t="e">
            <v>#N/A</v>
          </cell>
        </row>
        <row r="794">
          <cell r="A794">
            <v>40618</v>
          </cell>
          <cell r="B794">
            <v>40618</v>
          </cell>
          <cell r="C794" t="str">
            <v>Future</v>
          </cell>
          <cell r="D794" t="e">
            <v>#N/A</v>
          </cell>
          <cell r="E794">
            <v>4.5007086614176437</v>
          </cell>
          <cell r="F794">
            <v>88.122755905513287</v>
          </cell>
          <cell r="G794">
            <v>50.95740157480305</v>
          </cell>
          <cell r="H794">
            <v>50.95740157480305</v>
          </cell>
          <cell r="I794" t="e">
            <v>#N/A</v>
          </cell>
          <cell r="J794" t="e">
            <v>#N/A</v>
          </cell>
          <cell r="K794" t="e">
            <v>#N/A</v>
          </cell>
          <cell r="L794" t="e">
            <v>#N/A</v>
          </cell>
          <cell r="M794" t="e">
            <v>#N/A</v>
          </cell>
          <cell r="N794" t="e">
            <v>#N/A</v>
          </cell>
          <cell r="O794" t="e">
            <v>#N/A</v>
          </cell>
          <cell r="P794">
            <v>63.51</v>
          </cell>
          <cell r="Q794" t="str">
            <v/>
          </cell>
          <cell r="R794" t="e">
            <v>#N/A</v>
          </cell>
        </row>
        <row r="795">
          <cell r="A795">
            <v>40619</v>
          </cell>
          <cell r="B795">
            <v>40619</v>
          </cell>
          <cell r="C795" t="str">
            <v>Future</v>
          </cell>
          <cell r="D795" t="e">
            <v>#N/A</v>
          </cell>
          <cell r="E795">
            <v>4.2506692913389035</v>
          </cell>
          <cell r="F795">
            <v>88.227047244095971</v>
          </cell>
          <cell r="G795">
            <v>50.904212598425097</v>
          </cell>
          <cell r="H795">
            <v>50.904212598425097</v>
          </cell>
          <cell r="I795" t="e">
            <v>#N/A</v>
          </cell>
          <cell r="J795" t="e">
            <v>#N/A</v>
          </cell>
          <cell r="K795" t="e">
            <v>#N/A</v>
          </cell>
          <cell r="L795" t="e">
            <v>#N/A</v>
          </cell>
          <cell r="M795" t="e">
            <v>#N/A</v>
          </cell>
          <cell r="N795" t="e">
            <v>#N/A</v>
          </cell>
          <cell r="O795" t="e">
            <v>#N/A</v>
          </cell>
          <cell r="P795">
            <v>63.51</v>
          </cell>
          <cell r="Q795" t="str">
            <v/>
          </cell>
          <cell r="R795" t="e">
            <v>#N/A</v>
          </cell>
        </row>
        <row r="796">
          <cell r="A796">
            <v>40620</v>
          </cell>
          <cell r="B796">
            <v>40620</v>
          </cell>
          <cell r="C796" t="str">
            <v>Future</v>
          </cell>
          <cell r="D796" t="e">
            <v>#N/A</v>
          </cell>
          <cell r="E796">
            <v>4.0006299212601633</v>
          </cell>
          <cell r="F796">
            <v>88.331338582678654</v>
          </cell>
          <cell r="G796">
            <v>50.851023622047144</v>
          </cell>
          <cell r="H796">
            <v>50.851023622047144</v>
          </cell>
          <cell r="I796" t="e">
            <v>#N/A</v>
          </cell>
          <cell r="J796" t="e">
            <v>#N/A</v>
          </cell>
          <cell r="K796" t="e">
            <v>#N/A</v>
          </cell>
          <cell r="L796" t="e">
            <v>#N/A</v>
          </cell>
          <cell r="M796" t="e">
            <v>#N/A</v>
          </cell>
          <cell r="N796" t="e">
            <v>#N/A</v>
          </cell>
          <cell r="O796" t="e">
            <v>#N/A</v>
          </cell>
          <cell r="P796">
            <v>63.51</v>
          </cell>
          <cell r="Q796" t="str">
            <v/>
          </cell>
          <cell r="R796" t="e">
            <v>#N/A</v>
          </cell>
        </row>
        <row r="797">
          <cell r="A797">
            <v>40623</v>
          </cell>
          <cell r="B797">
            <v>40623</v>
          </cell>
          <cell r="C797" t="str">
            <v>Future</v>
          </cell>
          <cell r="D797" t="e">
            <v>#N/A</v>
          </cell>
          <cell r="E797">
            <v>3.750590551181423</v>
          </cell>
          <cell r="F797">
            <v>88.435629921261338</v>
          </cell>
          <cell r="G797">
            <v>50.797834645669191</v>
          </cell>
          <cell r="H797">
            <v>50.797834645669191</v>
          </cell>
          <cell r="I797" t="e">
            <v>#N/A</v>
          </cell>
          <cell r="J797" t="e">
            <v>#N/A</v>
          </cell>
          <cell r="K797" t="e">
            <v>#N/A</v>
          </cell>
          <cell r="L797" t="e">
            <v>#N/A</v>
          </cell>
          <cell r="M797" t="e">
            <v>#N/A</v>
          </cell>
          <cell r="N797" t="e">
            <v>#N/A</v>
          </cell>
          <cell r="O797" t="e">
            <v>#N/A</v>
          </cell>
          <cell r="P797">
            <v>63.51</v>
          </cell>
          <cell r="Q797" t="str">
            <v/>
          </cell>
          <cell r="R797" t="e">
            <v>#N/A</v>
          </cell>
        </row>
        <row r="798">
          <cell r="A798">
            <v>40624</v>
          </cell>
          <cell r="B798">
            <v>40624</v>
          </cell>
          <cell r="C798" t="str">
            <v>Future</v>
          </cell>
          <cell r="D798" t="e">
            <v>#N/A</v>
          </cell>
          <cell r="E798">
            <v>3.5005511811026828</v>
          </cell>
          <cell r="F798">
            <v>88.539921259844022</v>
          </cell>
          <cell r="G798">
            <v>50.744645669291238</v>
          </cell>
          <cell r="H798">
            <v>50.744645669291238</v>
          </cell>
          <cell r="I798" t="e">
            <v>#N/A</v>
          </cell>
          <cell r="J798" t="e">
            <v>#N/A</v>
          </cell>
          <cell r="K798" t="e">
            <v>#N/A</v>
          </cell>
          <cell r="L798" t="e">
            <v>#N/A</v>
          </cell>
          <cell r="M798" t="e">
            <v>#N/A</v>
          </cell>
          <cell r="N798" t="e">
            <v>#N/A</v>
          </cell>
          <cell r="O798" t="e">
            <v>#N/A</v>
          </cell>
          <cell r="P798">
            <v>63.51</v>
          </cell>
          <cell r="Q798" t="str">
            <v/>
          </cell>
          <cell r="R798" t="e">
            <v>#N/A</v>
          </cell>
        </row>
        <row r="799">
          <cell r="A799">
            <v>40625</v>
          </cell>
          <cell r="B799">
            <v>40625</v>
          </cell>
          <cell r="C799" t="str">
            <v>Future</v>
          </cell>
          <cell r="D799" t="e">
            <v>#N/A</v>
          </cell>
          <cell r="E799">
            <v>3.2505118110239426</v>
          </cell>
          <cell r="F799">
            <v>88.644212598426705</v>
          </cell>
          <cell r="G799">
            <v>50.691456692913285</v>
          </cell>
          <cell r="H799">
            <v>50.691456692913285</v>
          </cell>
          <cell r="I799" t="e">
            <v>#N/A</v>
          </cell>
          <cell r="J799" t="e">
            <v>#N/A</v>
          </cell>
          <cell r="K799" t="e">
            <v>#N/A</v>
          </cell>
          <cell r="L799" t="e">
            <v>#N/A</v>
          </cell>
          <cell r="M799" t="e">
            <v>#N/A</v>
          </cell>
          <cell r="N799" t="e">
            <v>#N/A</v>
          </cell>
          <cell r="O799" t="e">
            <v>#N/A</v>
          </cell>
          <cell r="P799">
            <v>63.51</v>
          </cell>
          <cell r="Q799" t="str">
            <v/>
          </cell>
          <cell r="R799" t="e">
            <v>#N/A</v>
          </cell>
        </row>
        <row r="800">
          <cell r="A800">
            <v>40626</v>
          </cell>
          <cell r="B800">
            <v>40626</v>
          </cell>
          <cell r="C800" t="str">
            <v>Future</v>
          </cell>
          <cell r="D800" t="e">
            <v>#N/A</v>
          </cell>
          <cell r="E800">
            <v>3.0004724409452024</v>
          </cell>
          <cell r="F800">
            <v>88.748503937009389</v>
          </cell>
          <cell r="G800">
            <v>50.638267716535331</v>
          </cell>
          <cell r="H800">
            <v>50.638267716535331</v>
          </cell>
          <cell r="I800" t="e">
            <v>#N/A</v>
          </cell>
          <cell r="J800" t="e">
            <v>#N/A</v>
          </cell>
          <cell r="K800" t="e">
            <v>#N/A</v>
          </cell>
          <cell r="L800" t="e">
            <v>#N/A</v>
          </cell>
          <cell r="M800" t="e">
            <v>#N/A</v>
          </cell>
          <cell r="N800" t="e">
            <v>#N/A</v>
          </cell>
          <cell r="O800" t="e">
            <v>#N/A</v>
          </cell>
          <cell r="P800">
            <v>63.51</v>
          </cell>
          <cell r="Q800" t="str">
            <v/>
          </cell>
          <cell r="R800" t="e">
            <v>#N/A</v>
          </cell>
        </row>
        <row r="801">
          <cell r="A801">
            <v>40627</v>
          </cell>
          <cell r="B801">
            <v>40627</v>
          </cell>
          <cell r="C801" t="str">
            <v>Future</v>
          </cell>
          <cell r="D801" t="e">
            <v>#N/A</v>
          </cell>
          <cell r="E801">
            <v>2.7504330708664622</v>
          </cell>
          <cell r="F801">
            <v>88.852795275592072</v>
          </cell>
          <cell r="G801">
            <v>50.585078740157378</v>
          </cell>
          <cell r="H801">
            <v>50.585078740157378</v>
          </cell>
          <cell r="I801" t="e">
            <v>#N/A</v>
          </cell>
          <cell r="J801" t="e">
            <v>#N/A</v>
          </cell>
          <cell r="K801" t="e">
            <v>#N/A</v>
          </cell>
          <cell r="L801" t="e">
            <v>#N/A</v>
          </cell>
          <cell r="M801" t="e">
            <v>#N/A</v>
          </cell>
          <cell r="N801" t="e">
            <v>#N/A</v>
          </cell>
          <cell r="O801" t="e">
            <v>#N/A</v>
          </cell>
          <cell r="P801">
            <v>63.51</v>
          </cell>
          <cell r="Q801" t="str">
            <v/>
          </cell>
          <cell r="R801" t="e">
            <v>#N/A</v>
          </cell>
        </row>
        <row r="802">
          <cell r="A802">
            <v>40630</v>
          </cell>
          <cell r="B802">
            <v>40630</v>
          </cell>
          <cell r="C802" t="str">
            <v>Future</v>
          </cell>
          <cell r="D802" t="e">
            <v>#N/A</v>
          </cell>
          <cell r="E802">
            <v>2.5003937007877219</v>
          </cell>
          <cell r="F802">
            <v>88.957086614174756</v>
          </cell>
          <cell r="G802">
            <v>50.531889763779425</v>
          </cell>
          <cell r="H802">
            <v>50.531889763779425</v>
          </cell>
          <cell r="I802" t="e">
            <v>#N/A</v>
          </cell>
          <cell r="J802" t="e">
            <v>#N/A</v>
          </cell>
          <cell r="K802" t="e">
            <v>#N/A</v>
          </cell>
          <cell r="L802" t="e">
            <v>#N/A</v>
          </cell>
          <cell r="M802" t="e">
            <v>#N/A</v>
          </cell>
          <cell r="N802" t="e">
            <v>#N/A</v>
          </cell>
          <cell r="O802" t="e">
            <v>#N/A</v>
          </cell>
          <cell r="P802">
            <v>63.51</v>
          </cell>
          <cell r="Q802" t="str">
            <v/>
          </cell>
          <cell r="R802" t="e">
            <v>#N/A</v>
          </cell>
        </row>
        <row r="803">
          <cell r="A803">
            <v>40631</v>
          </cell>
          <cell r="B803">
            <v>40631</v>
          </cell>
          <cell r="C803" t="str">
            <v>Future</v>
          </cell>
          <cell r="D803" t="e">
            <v>#N/A</v>
          </cell>
          <cell r="E803">
            <v>2.2503543307089817</v>
          </cell>
          <cell r="F803">
            <v>89.061377952757439</v>
          </cell>
          <cell r="G803">
            <v>50.478700787401472</v>
          </cell>
          <cell r="H803">
            <v>50.478700787401472</v>
          </cell>
          <cell r="I803" t="e">
            <v>#N/A</v>
          </cell>
          <cell r="J803" t="e">
            <v>#N/A</v>
          </cell>
          <cell r="K803" t="e">
            <v>#N/A</v>
          </cell>
          <cell r="L803" t="e">
            <v>#N/A</v>
          </cell>
          <cell r="M803" t="e">
            <v>#N/A</v>
          </cell>
          <cell r="N803" t="e">
            <v>#N/A</v>
          </cell>
          <cell r="O803" t="e">
            <v>#N/A</v>
          </cell>
          <cell r="P803">
            <v>63.51</v>
          </cell>
          <cell r="Q803" t="str">
            <v/>
          </cell>
          <cell r="R803" t="e">
            <v>#N/A</v>
          </cell>
        </row>
        <row r="804">
          <cell r="A804">
            <v>40632</v>
          </cell>
          <cell r="B804">
            <v>40632</v>
          </cell>
          <cell r="C804" t="str">
            <v>Future</v>
          </cell>
          <cell r="D804" t="e">
            <v>#N/A</v>
          </cell>
          <cell r="E804">
            <v>2.0003149606302415</v>
          </cell>
          <cell r="F804">
            <v>89.165669291340123</v>
          </cell>
          <cell r="G804">
            <v>50.425511811023519</v>
          </cell>
          <cell r="H804">
            <v>50.425511811023519</v>
          </cell>
          <cell r="I804" t="e">
            <v>#N/A</v>
          </cell>
          <cell r="J804" t="e">
            <v>#N/A</v>
          </cell>
          <cell r="K804" t="e">
            <v>#N/A</v>
          </cell>
          <cell r="L804" t="e">
            <v>#N/A</v>
          </cell>
          <cell r="M804" t="e">
            <v>#N/A</v>
          </cell>
          <cell r="N804" t="e">
            <v>#N/A</v>
          </cell>
          <cell r="O804" t="e">
            <v>#N/A</v>
          </cell>
          <cell r="P804">
            <v>63.51</v>
          </cell>
          <cell r="Q804" t="str">
            <v/>
          </cell>
          <cell r="R804" t="e">
            <v>#N/A</v>
          </cell>
        </row>
        <row r="805">
          <cell r="A805">
            <v>40633</v>
          </cell>
          <cell r="B805">
            <v>40633</v>
          </cell>
          <cell r="C805" t="str">
            <v>Future</v>
          </cell>
          <cell r="D805" t="e">
            <v>#N/A</v>
          </cell>
          <cell r="E805">
            <v>1.7502755905515013</v>
          </cell>
          <cell r="F805">
            <v>89.269960629922807</v>
          </cell>
          <cell r="G805">
            <v>50.372322834645566</v>
          </cell>
          <cell r="H805">
            <v>50.372322834645566</v>
          </cell>
          <cell r="I805" t="e">
            <v>#N/A</v>
          </cell>
          <cell r="J805" t="e">
            <v>#N/A</v>
          </cell>
          <cell r="K805" t="e">
            <v>#N/A</v>
          </cell>
          <cell r="L805" t="e">
            <v>#N/A</v>
          </cell>
          <cell r="M805" t="e">
            <v>#N/A</v>
          </cell>
          <cell r="N805" t="e">
            <v>#N/A</v>
          </cell>
          <cell r="O805" t="e">
            <v>#N/A</v>
          </cell>
          <cell r="P805">
            <v>63.51</v>
          </cell>
          <cell r="Q805" t="str">
            <v/>
          </cell>
          <cell r="R805" t="e">
            <v>#N/A</v>
          </cell>
        </row>
        <row r="806">
          <cell r="A806">
            <v>40634</v>
          </cell>
          <cell r="B806">
            <v>40634</v>
          </cell>
          <cell r="C806" t="str">
            <v>Future</v>
          </cell>
          <cell r="D806" t="e">
            <v>#N/A</v>
          </cell>
          <cell r="E806">
            <v>1.5002362204727611</v>
          </cell>
          <cell r="F806">
            <v>89.37425196850549</v>
          </cell>
          <cell r="G806">
            <v>50.319133858267612</v>
          </cell>
          <cell r="H806">
            <v>50.319133858267612</v>
          </cell>
          <cell r="I806" t="e">
            <v>#N/A</v>
          </cell>
          <cell r="J806" t="e">
            <v>#N/A</v>
          </cell>
          <cell r="K806" t="e">
            <v>#N/A</v>
          </cell>
          <cell r="L806" t="e">
            <v>#N/A</v>
          </cell>
          <cell r="M806" t="e">
            <v>#N/A</v>
          </cell>
          <cell r="N806" t="e">
            <v>#N/A</v>
          </cell>
          <cell r="O806" t="e">
            <v>#N/A</v>
          </cell>
          <cell r="P806">
            <v>63.51</v>
          </cell>
          <cell r="Q806" t="str">
            <v/>
          </cell>
          <cell r="R806" t="e">
            <v>#N/A</v>
          </cell>
        </row>
        <row r="807">
          <cell r="A807">
            <v>40637</v>
          </cell>
          <cell r="B807">
            <v>40637</v>
          </cell>
          <cell r="C807" t="str">
            <v>Future</v>
          </cell>
          <cell r="D807" t="e">
            <v>#N/A</v>
          </cell>
          <cell r="E807">
            <v>1.2501968503940208</v>
          </cell>
          <cell r="F807">
            <v>89.478543307088174</v>
          </cell>
          <cell r="G807">
            <v>50.265944881889659</v>
          </cell>
          <cell r="H807">
            <v>50.265944881889659</v>
          </cell>
          <cell r="I807" t="e">
            <v>#N/A</v>
          </cell>
          <cell r="J807" t="e">
            <v>#N/A</v>
          </cell>
          <cell r="K807" t="e">
            <v>#N/A</v>
          </cell>
          <cell r="L807" t="e">
            <v>#N/A</v>
          </cell>
          <cell r="M807" t="e">
            <v>#N/A</v>
          </cell>
          <cell r="N807" t="e">
            <v>#N/A</v>
          </cell>
          <cell r="O807" t="e">
            <v>#N/A</v>
          </cell>
          <cell r="P807">
            <v>63.51</v>
          </cell>
          <cell r="Q807" t="str">
            <v/>
          </cell>
          <cell r="R807" t="e">
            <v>#N/A</v>
          </cell>
        </row>
        <row r="808">
          <cell r="A808">
            <v>40638</v>
          </cell>
          <cell r="B808">
            <v>40638</v>
          </cell>
          <cell r="C808" t="str">
            <v>Future</v>
          </cell>
          <cell r="D808" t="e">
            <v>#N/A</v>
          </cell>
          <cell r="E808">
            <v>1.0001574803152806</v>
          </cell>
          <cell r="F808">
            <v>89.582834645670857</v>
          </cell>
          <cell r="G808">
            <v>50.212755905511706</v>
          </cell>
          <cell r="H808">
            <v>50.212755905511706</v>
          </cell>
          <cell r="I808" t="e">
            <v>#N/A</v>
          </cell>
          <cell r="J808" t="e">
            <v>#N/A</v>
          </cell>
          <cell r="K808" t="e">
            <v>#N/A</v>
          </cell>
          <cell r="L808" t="e">
            <v>#N/A</v>
          </cell>
          <cell r="M808" t="e">
            <v>#N/A</v>
          </cell>
          <cell r="N808" t="e">
            <v>#N/A</v>
          </cell>
          <cell r="O808" t="e">
            <v>#N/A</v>
          </cell>
          <cell r="P808">
            <v>63.51</v>
          </cell>
          <cell r="Q808" t="str">
            <v/>
          </cell>
          <cell r="R808" t="e">
            <v>#N/A</v>
          </cell>
        </row>
        <row r="809">
          <cell r="A809">
            <v>40639</v>
          </cell>
          <cell r="B809">
            <v>40639</v>
          </cell>
          <cell r="C809" t="str">
            <v>Future</v>
          </cell>
          <cell r="D809" t="e">
            <v>#N/A</v>
          </cell>
          <cell r="E809">
            <v>0.7501181102365404</v>
          </cell>
          <cell r="F809">
            <v>89.687125984253541</v>
          </cell>
          <cell r="G809">
            <v>50.159566929133753</v>
          </cell>
          <cell r="H809">
            <v>50.159566929133753</v>
          </cell>
          <cell r="I809" t="e">
            <v>#N/A</v>
          </cell>
          <cell r="J809" t="e">
            <v>#N/A</v>
          </cell>
          <cell r="K809" t="e">
            <v>#N/A</v>
          </cell>
          <cell r="L809" t="e">
            <v>#N/A</v>
          </cell>
          <cell r="M809" t="e">
            <v>#N/A</v>
          </cell>
          <cell r="N809" t="e">
            <v>#N/A</v>
          </cell>
          <cell r="O809" t="e">
            <v>#N/A</v>
          </cell>
          <cell r="P809">
            <v>63.51</v>
          </cell>
          <cell r="Q809" t="str">
            <v/>
          </cell>
          <cell r="R809" t="e">
            <v>#N/A</v>
          </cell>
        </row>
        <row r="810">
          <cell r="A810">
            <v>40640</v>
          </cell>
          <cell r="B810">
            <v>40640</v>
          </cell>
          <cell r="C810" t="str">
            <v>Future</v>
          </cell>
          <cell r="D810" t="e">
            <v>#N/A</v>
          </cell>
          <cell r="E810">
            <v>0.50007874015780018</v>
          </cell>
          <cell r="F810">
            <v>89.791417322836224</v>
          </cell>
          <cell r="G810">
            <v>50.1063779527558</v>
          </cell>
          <cell r="H810">
            <v>50.1063779527558</v>
          </cell>
          <cell r="I810" t="e">
            <v>#N/A</v>
          </cell>
          <cell r="J810" t="e">
            <v>#N/A</v>
          </cell>
          <cell r="K810" t="e">
            <v>#N/A</v>
          </cell>
          <cell r="L810" t="e">
            <v>#N/A</v>
          </cell>
          <cell r="M810" t="e">
            <v>#N/A</v>
          </cell>
          <cell r="N810" t="e">
            <v>#N/A</v>
          </cell>
          <cell r="O810" t="e">
            <v>#N/A</v>
          </cell>
          <cell r="P810">
            <v>63.51</v>
          </cell>
          <cell r="Q810" t="str">
            <v/>
          </cell>
          <cell r="R810" t="e">
            <v>#N/A</v>
          </cell>
        </row>
        <row r="811">
          <cell r="A811">
            <v>40641</v>
          </cell>
          <cell r="B811">
            <v>40641</v>
          </cell>
          <cell r="C811" t="str">
            <v>Future</v>
          </cell>
          <cell r="D811" t="e">
            <v>#N/A</v>
          </cell>
          <cell r="E811">
            <v>0.25003937007906002</v>
          </cell>
          <cell r="F811">
            <v>89.895708661418908</v>
          </cell>
          <cell r="G811">
            <v>50.053188976377847</v>
          </cell>
          <cell r="H811">
            <v>50.053188976377847</v>
          </cell>
          <cell r="I811" t="e">
            <v>#N/A</v>
          </cell>
          <cell r="J811" t="e">
            <v>#N/A</v>
          </cell>
          <cell r="K811">
            <v>90</v>
          </cell>
          <cell r="L811">
            <v>50</v>
          </cell>
          <cell r="M811" t="e">
            <v>#N/A</v>
          </cell>
          <cell r="N811">
            <v>80</v>
          </cell>
          <cell r="O811" t="e">
            <v>#N/A</v>
          </cell>
          <cell r="P811">
            <v>63.51</v>
          </cell>
          <cell r="Q811" t="str">
            <v/>
          </cell>
          <cell r="R811" t="e">
            <v>#N/A</v>
          </cell>
        </row>
        <row r="812">
          <cell r="A812" t="str">
            <v/>
          </cell>
          <cell r="B812" t="str">
            <v/>
          </cell>
          <cell r="C812" t="str">
            <v>Future</v>
          </cell>
          <cell r="D812" t="e">
            <v>#N/A</v>
          </cell>
          <cell r="E812">
            <v>3.198552533945076E-13</v>
          </cell>
          <cell r="F812">
            <v>90.000000000001592</v>
          </cell>
          <cell r="G812">
            <v>49.999999999999893</v>
          </cell>
          <cell r="H812">
            <v>49.999999999999893</v>
          </cell>
          <cell r="I812" t="e">
            <v>#N/A</v>
          </cell>
          <cell r="J812" t="e">
            <v>#N/A</v>
          </cell>
          <cell r="K812">
            <v>90</v>
          </cell>
          <cell r="L812">
            <v>50</v>
          </cell>
          <cell r="M812" t="e">
            <v>#N/A</v>
          </cell>
          <cell r="N812">
            <v>80</v>
          </cell>
          <cell r="O812" t="e">
            <v>#N/A</v>
          </cell>
          <cell r="P812" t="str">
            <v/>
          </cell>
          <cell r="Q812" t="str">
            <v/>
          </cell>
          <cell r="R812" t="e">
            <v>#N/A</v>
          </cell>
        </row>
        <row r="813">
          <cell r="A813" t="str">
            <v/>
          </cell>
          <cell r="B813" t="str">
            <v/>
          </cell>
          <cell r="C813" t="str">
            <v>Future</v>
          </cell>
          <cell r="D813" t="e">
            <v>#N/A</v>
          </cell>
          <cell r="E813">
            <v>-0.25003937007842031</v>
          </cell>
          <cell r="F813">
            <v>90.104291338584275</v>
          </cell>
          <cell r="G813">
            <v>49.94681102362194</v>
          </cell>
          <cell r="H813">
            <v>49.94681102362194</v>
          </cell>
          <cell r="I813" t="e">
            <v>#N/A</v>
          </cell>
          <cell r="J813" t="e">
            <v>#N/A</v>
          </cell>
          <cell r="K813">
            <v>90</v>
          </cell>
          <cell r="L813">
            <v>50</v>
          </cell>
          <cell r="M813" t="e">
            <v>#N/A</v>
          </cell>
          <cell r="N813">
            <v>80</v>
          </cell>
          <cell r="O813" t="e">
            <v>#N/A</v>
          </cell>
          <cell r="P813" t="str">
            <v/>
          </cell>
          <cell r="Q813" t="str">
            <v/>
          </cell>
          <cell r="R813" t="e">
            <v>#N/A</v>
          </cell>
        </row>
        <row r="814">
          <cell r="A814" t="str">
            <v/>
          </cell>
          <cell r="B814" t="str">
            <v/>
          </cell>
          <cell r="C814" t="str">
            <v>Future</v>
          </cell>
          <cell r="D814" t="e">
            <v>#N/A</v>
          </cell>
          <cell r="E814">
            <v>-0.50007874015716047</v>
          </cell>
          <cell r="F814">
            <v>90.208582677166959</v>
          </cell>
          <cell r="G814">
            <v>49.893622047243987</v>
          </cell>
          <cell r="H814">
            <v>49.893622047243987</v>
          </cell>
          <cell r="I814" t="e">
            <v>#N/A</v>
          </cell>
          <cell r="J814" t="e">
            <v>#N/A</v>
          </cell>
          <cell r="K814">
            <v>90</v>
          </cell>
          <cell r="L814">
            <v>50</v>
          </cell>
          <cell r="M814" t="e">
            <v>#N/A</v>
          </cell>
          <cell r="N814">
            <v>80</v>
          </cell>
          <cell r="O814" t="e">
            <v>#N/A</v>
          </cell>
          <cell r="P814" t="str">
            <v/>
          </cell>
          <cell r="Q814" t="str">
            <v/>
          </cell>
          <cell r="R814" t="e">
            <v>#N/A</v>
          </cell>
        </row>
        <row r="815">
          <cell r="A815" t="str">
            <v/>
          </cell>
          <cell r="B815" t="str">
            <v/>
          </cell>
          <cell r="C815" t="str">
            <v>Future</v>
          </cell>
          <cell r="D815" t="e">
            <v>#N/A</v>
          </cell>
          <cell r="E815">
            <v>-0.75011811023590069</v>
          </cell>
          <cell r="F815">
            <v>90.312874015749642</v>
          </cell>
          <cell r="G815">
            <v>49.840433070866034</v>
          </cell>
          <cell r="H815">
            <v>49.840433070866034</v>
          </cell>
          <cell r="I815" t="e">
            <v>#N/A</v>
          </cell>
          <cell r="J815" t="e">
            <v>#N/A</v>
          </cell>
          <cell r="K815">
            <v>90</v>
          </cell>
          <cell r="L815">
            <v>50</v>
          </cell>
          <cell r="M815" t="e">
            <v>#N/A</v>
          </cell>
          <cell r="N815">
            <v>80</v>
          </cell>
          <cell r="O815" t="e">
            <v>#N/A</v>
          </cell>
          <cell r="P815" t="str">
            <v/>
          </cell>
          <cell r="Q815" t="str">
            <v/>
          </cell>
          <cell r="R815" t="e">
            <v>#N/A</v>
          </cell>
        </row>
        <row r="816">
          <cell r="A816" t="str">
            <v/>
          </cell>
          <cell r="B816" t="str">
            <v/>
          </cell>
          <cell r="C816" t="str">
            <v>Future</v>
          </cell>
          <cell r="D816" t="e">
            <v>#N/A</v>
          </cell>
          <cell r="E816">
            <v>-1.0001574803146409</v>
          </cell>
          <cell r="F816">
            <v>90.417165354332326</v>
          </cell>
          <cell r="G816">
            <v>49.787244094488081</v>
          </cell>
          <cell r="H816">
            <v>49.787244094488081</v>
          </cell>
          <cell r="I816" t="e">
            <v>#N/A</v>
          </cell>
          <cell r="J816" t="e">
            <v>#N/A</v>
          </cell>
          <cell r="K816">
            <v>90</v>
          </cell>
          <cell r="L816">
            <v>50</v>
          </cell>
          <cell r="M816" t="e">
            <v>#N/A</v>
          </cell>
          <cell r="N816">
            <v>80</v>
          </cell>
          <cell r="O816" t="e">
            <v>#N/A</v>
          </cell>
          <cell r="P816" t="str">
            <v/>
          </cell>
          <cell r="Q816" t="str">
            <v/>
          </cell>
          <cell r="R816" t="e">
            <v>#N/A</v>
          </cell>
        </row>
        <row r="817">
          <cell r="A817" t="str">
            <v/>
          </cell>
          <cell r="B817" t="str">
            <v/>
          </cell>
          <cell r="C817" t="str">
            <v>Future</v>
          </cell>
          <cell r="D817" t="e">
            <v>#N/A</v>
          </cell>
          <cell r="E817">
            <v>-1.2501968503933811</v>
          </cell>
          <cell r="F817">
            <v>90.52145669291501</v>
          </cell>
          <cell r="G817">
            <v>49.734055118110128</v>
          </cell>
          <cell r="H817">
            <v>49.734055118110128</v>
          </cell>
          <cell r="I817" t="e">
            <v>#N/A</v>
          </cell>
          <cell r="J817" t="e">
            <v>#N/A</v>
          </cell>
          <cell r="K817">
            <v>90</v>
          </cell>
          <cell r="L817">
            <v>50</v>
          </cell>
          <cell r="M817" t="e">
            <v>#N/A</v>
          </cell>
          <cell r="N817">
            <v>80</v>
          </cell>
          <cell r="O817" t="e">
            <v>#N/A</v>
          </cell>
          <cell r="P817" t="str">
            <v/>
          </cell>
          <cell r="Q817" t="str">
            <v/>
          </cell>
          <cell r="R817" t="e">
            <v>#N/A</v>
          </cell>
        </row>
        <row r="818">
          <cell r="A818" t="str">
            <v/>
          </cell>
          <cell r="B818" t="str">
            <v/>
          </cell>
          <cell r="C818" t="str">
            <v>Future</v>
          </cell>
          <cell r="D818" t="e">
            <v>#N/A</v>
          </cell>
          <cell r="E818">
            <v>-1.5002362204721214</v>
          </cell>
          <cell r="F818">
            <v>90.625748031497693</v>
          </cell>
          <cell r="G818">
            <v>49.680866141732174</v>
          </cell>
          <cell r="H818">
            <v>49.680866141732174</v>
          </cell>
          <cell r="I818" t="e">
            <v>#N/A</v>
          </cell>
          <cell r="J818" t="e">
            <v>#N/A</v>
          </cell>
          <cell r="K818">
            <v>90</v>
          </cell>
          <cell r="L818">
            <v>50</v>
          </cell>
          <cell r="M818" t="e">
            <v>#N/A</v>
          </cell>
          <cell r="N818">
            <v>80</v>
          </cell>
          <cell r="O818" t="e">
            <v>#N/A</v>
          </cell>
          <cell r="P818" t="str">
            <v/>
          </cell>
          <cell r="Q818" t="str">
            <v/>
          </cell>
          <cell r="R818" t="e">
            <v>#N/A</v>
          </cell>
        </row>
        <row r="819">
          <cell r="A819" t="str">
            <v/>
          </cell>
          <cell r="B819" t="str">
            <v/>
          </cell>
          <cell r="C819" t="str">
            <v>Future</v>
          </cell>
          <cell r="D819" t="e">
            <v>#N/A</v>
          </cell>
          <cell r="E819">
            <v>-1.7502755905508616</v>
          </cell>
          <cell r="F819">
            <v>90.730039370080377</v>
          </cell>
          <cell r="G819">
            <v>49.627677165354221</v>
          </cell>
          <cell r="H819">
            <v>49.627677165354221</v>
          </cell>
          <cell r="I819" t="e">
            <v>#N/A</v>
          </cell>
          <cell r="J819" t="e">
            <v>#N/A</v>
          </cell>
          <cell r="K819">
            <v>90</v>
          </cell>
          <cell r="L819">
            <v>50</v>
          </cell>
          <cell r="M819" t="e">
            <v>#N/A</v>
          </cell>
          <cell r="N819">
            <v>80</v>
          </cell>
          <cell r="O819" t="e">
            <v>#N/A</v>
          </cell>
          <cell r="P819" t="str">
            <v/>
          </cell>
          <cell r="Q819" t="str">
            <v/>
          </cell>
          <cell r="R819" t="e">
            <v>#N/A</v>
          </cell>
        </row>
        <row r="820">
          <cell r="A820" t="str">
            <v/>
          </cell>
          <cell r="B820" t="str">
            <v/>
          </cell>
          <cell r="C820" t="str">
            <v>Future</v>
          </cell>
          <cell r="D820" t="e">
            <v>#N/A</v>
          </cell>
          <cell r="E820">
            <v>-2.0003149606296016</v>
          </cell>
          <cell r="F820">
            <v>90.83433070866306</v>
          </cell>
          <cell r="G820">
            <v>49.574488188976268</v>
          </cell>
          <cell r="H820">
            <v>49.574488188976268</v>
          </cell>
          <cell r="I820" t="e">
            <v>#N/A</v>
          </cell>
          <cell r="J820" t="e">
            <v>#N/A</v>
          </cell>
          <cell r="K820">
            <v>90</v>
          </cell>
          <cell r="L820">
            <v>50</v>
          </cell>
          <cell r="M820" t="e">
            <v>#N/A</v>
          </cell>
          <cell r="N820">
            <v>80</v>
          </cell>
          <cell r="O820" t="e">
            <v>#N/A</v>
          </cell>
          <cell r="P820" t="str">
            <v/>
          </cell>
          <cell r="Q820" t="str">
            <v/>
          </cell>
          <cell r="R820" t="e">
            <v>#N/A</v>
          </cell>
        </row>
        <row r="821">
          <cell r="A821" t="str">
            <v/>
          </cell>
          <cell r="B821" t="str">
            <v/>
          </cell>
          <cell r="C821" t="str">
            <v>Future</v>
          </cell>
          <cell r="D821" t="e">
            <v>#N/A</v>
          </cell>
          <cell r="E821">
            <v>-2.2503543307083418</v>
          </cell>
          <cell r="F821">
            <v>90.938622047245744</v>
          </cell>
          <cell r="G821">
            <v>49.521299212598315</v>
          </cell>
          <cell r="H821">
            <v>49.521299212598315</v>
          </cell>
          <cell r="I821" t="e">
            <v>#N/A</v>
          </cell>
          <cell r="J821" t="e">
            <v>#N/A</v>
          </cell>
          <cell r="K821">
            <v>90</v>
          </cell>
          <cell r="L821">
            <v>50</v>
          </cell>
          <cell r="M821" t="e">
            <v>#N/A</v>
          </cell>
          <cell r="N821">
            <v>80</v>
          </cell>
          <cell r="O821" t="e">
            <v>#N/A</v>
          </cell>
          <cell r="P821" t="str">
            <v/>
          </cell>
          <cell r="Q821" t="str">
            <v/>
          </cell>
          <cell r="R821" t="e">
            <v>#N/A</v>
          </cell>
        </row>
        <row r="822">
          <cell r="A822" t="str">
            <v/>
          </cell>
          <cell r="B822" t="str">
            <v/>
          </cell>
          <cell r="C822" t="str">
            <v>Future</v>
          </cell>
          <cell r="D822" t="e">
            <v>#N/A</v>
          </cell>
          <cell r="E822">
            <v>-2.500393700787082</v>
          </cell>
          <cell r="F822">
            <v>91.042913385828427</v>
          </cell>
          <cell r="G822">
            <v>49.468110236220362</v>
          </cell>
          <cell r="H822">
            <v>49.468110236220362</v>
          </cell>
          <cell r="I822" t="e">
            <v>#N/A</v>
          </cell>
          <cell r="J822" t="e">
            <v>#N/A</v>
          </cell>
          <cell r="K822">
            <v>90</v>
          </cell>
          <cell r="L822">
            <v>50</v>
          </cell>
          <cell r="M822" t="e">
            <v>#N/A</v>
          </cell>
          <cell r="N822">
            <v>80</v>
          </cell>
          <cell r="O822" t="e">
            <v>#N/A</v>
          </cell>
          <cell r="P822" t="str">
            <v/>
          </cell>
          <cell r="Q822" t="str">
            <v/>
          </cell>
          <cell r="R822" t="e">
            <v>#N/A</v>
          </cell>
        </row>
        <row r="823">
          <cell r="A823" t="str">
            <v/>
          </cell>
          <cell r="B823" t="str">
            <v/>
          </cell>
          <cell r="C823" t="str">
            <v>Future</v>
          </cell>
          <cell r="D823" t="e">
            <v>#N/A</v>
          </cell>
          <cell r="E823">
            <v>-2.7504330708658222</v>
          </cell>
          <cell r="F823">
            <v>91.147204724411111</v>
          </cell>
          <cell r="G823">
            <v>49.414921259842409</v>
          </cell>
          <cell r="H823">
            <v>49.414921259842409</v>
          </cell>
          <cell r="I823" t="e">
            <v>#N/A</v>
          </cell>
          <cell r="J823" t="e">
            <v>#N/A</v>
          </cell>
          <cell r="K823">
            <v>90</v>
          </cell>
          <cell r="L823">
            <v>50</v>
          </cell>
          <cell r="M823" t="e">
            <v>#N/A</v>
          </cell>
          <cell r="N823">
            <v>80</v>
          </cell>
          <cell r="O823" t="e">
            <v>#N/A</v>
          </cell>
          <cell r="P823" t="str">
            <v/>
          </cell>
          <cell r="Q823" t="str">
            <v/>
          </cell>
          <cell r="R823" t="e">
            <v>#N/A</v>
          </cell>
        </row>
        <row r="824">
          <cell r="A824" t="str">
            <v/>
          </cell>
          <cell r="B824" t="str">
            <v/>
          </cell>
          <cell r="C824" t="str">
            <v>Future</v>
          </cell>
          <cell r="D824" t="e">
            <v>#N/A</v>
          </cell>
          <cell r="E824">
            <v>-3.0004724409445624</v>
          </cell>
          <cell r="F824">
            <v>91.251496062993795</v>
          </cell>
          <cell r="G824">
            <v>49.361732283464455</v>
          </cell>
          <cell r="H824">
            <v>49.361732283464455</v>
          </cell>
          <cell r="I824" t="e">
            <v>#N/A</v>
          </cell>
          <cell r="J824" t="e">
            <v>#N/A</v>
          </cell>
          <cell r="K824">
            <v>90</v>
          </cell>
          <cell r="L824">
            <v>50</v>
          </cell>
          <cell r="M824" t="e">
            <v>#N/A</v>
          </cell>
          <cell r="N824">
            <v>80</v>
          </cell>
          <cell r="O824" t="e">
            <v>#N/A</v>
          </cell>
          <cell r="P824" t="str">
            <v/>
          </cell>
          <cell r="Q824" t="str">
            <v/>
          </cell>
          <cell r="R824" t="e">
            <v>#N/A</v>
          </cell>
        </row>
        <row r="825">
          <cell r="A825" t="str">
            <v/>
          </cell>
          <cell r="B825" t="str">
            <v/>
          </cell>
          <cell r="C825" t="str">
            <v>Future</v>
          </cell>
          <cell r="D825" t="e">
            <v>#N/A</v>
          </cell>
          <cell r="E825">
            <v>-3.2505118110233027</v>
          </cell>
          <cell r="F825">
            <v>91.355787401576478</v>
          </cell>
          <cell r="G825">
            <v>49.308543307086502</v>
          </cell>
          <cell r="H825">
            <v>49.308543307086502</v>
          </cell>
          <cell r="I825" t="e">
            <v>#N/A</v>
          </cell>
          <cell r="J825" t="e">
            <v>#N/A</v>
          </cell>
          <cell r="K825">
            <v>90</v>
          </cell>
          <cell r="L825">
            <v>50</v>
          </cell>
          <cell r="M825" t="e">
            <v>#N/A</v>
          </cell>
          <cell r="N825">
            <v>80</v>
          </cell>
          <cell r="O825" t="e">
            <v>#N/A</v>
          </cell>
          <cell r="P825" t="str">
            <v/>
          </cell>
          <cell r="Q825" t="str">
            <v/>
          </cell>
          <cell r="R825" t="e">
            <v>#N/A</v>
          </cell>
        </row>
        <row r="826">
          <cell r="A826" t="str">
            <v/>
          </cell>
          <cell r="B826" t="str">
            <v/>
          </cell>
          <cell r="C826" t="str">
            <v>Future</v>
          </cell>
          <cell r="D826" t="e">
            <v>#N/A</v>
          </cell>
          <cell r="E826">
            <v>-3.5005511811020429</v>
          </cell>
          <cell r="F826">
            <v>91.460078740159162</v>
          </cell>
          <cell r="G826">
            <v>49.255354330708549</v>
          </cell>
          <cell r="H826">
            <v>49.255354330708549</v>
          </cell>
          <cell r="I826" t="e">
            <v>#N/A</v>
          </cell>
          <cell r="J826" t="e">
            <v>#N/A</v>
          </cell>
          <cell r="K826">
            <v>90</v>
          </cell>
          <cell r="L826">
            <v>50</v>
          </cell>
          <cell r="M826" t="e">
            <v>#N/A</v>
          </cell>
          <cell r="N826">
            <v>80</v>
          </cell>
          <cell r="O826" t="e">
            <v>#N/A</v>
          </cell>
          <cell r="P826" t="str">
            <v/>
          </cell>
          <cell r="Q826" t="str">
            <v/>
          </cell>
          <cell r="R826" t="e">
            <v>#N/A</v>
          </cell>
        </row>
        <row r="827">
          <cell r="A827" t="str">
            <v/>
          </cell>
          <cell r="B827" t="str">
            <v/>
          </cell>
          <cell r="C827" t="str">
            <v>Future</v>
          </cell>
          <cell r="D827" t="e">
            <v>#N/A</v>
          </cell>
          <cell r="E827">
            <v>-3.7505905511807831</v>
          </cell>
          <cell r="F827">
            <v>91.564370078741845</v>
          </cell>
          <cell r="G827">
            <v>49.202165354330596</v>
          </cell>
          <cell r="H827">
            <v>49.202165354330596</v>
          </cell>
          <cell r="I827" t="e">
            <v>#N/A</v>
          </cell>
          <cell r="J827" t="e">
            <v>#N/A</v>
          </cell>
          <cell r="K827">
            <v>90</v>
          </cell>
          <cell r="L827">
            <v>50</v>
          </cell>
          <cell r="M827" t="e">
            <v>#N/A</v>
          </cell>
          <cell r="N827">
            <v>80</v>
          </cell>
          <cell r="O827" t="e">
            <v>#N/A</v>
          </cell>
          <cell r="P827" t="str">
            <v/>
          </cell>
          <cell r="Q827" t="str">
            <v/>
          </cell>
          <cell r="R827" t="e">
            <v>#N/A</v>
          </cell>
        </row>
        <row r="828">
          <cell r="A828" t="str">
            <v/>
          </cell>
          <cell r="B828" t="str">
            <v/>
          </cell>
          <cell r="C828" t="str">
            <v>Future</v>
          </cell>
          <cell r="D828" t="e">
            <v>#N/A</v>
          </cell>
          <cell r="E828">
            <v>-4.0006299212595229</v>
          </cell>
          <cell r="F828">
            <v>91.668661417324529</v>
          </cell>
          <cell r="G828">
            <v>49.148976377952643</v>
          </cell>
          <cell r="H828">
            <v>49.148976377952643</v>
          </cell>
          <cell r="I828" t="e">
            <v>#N/A</v>
          </cell>
          <cell r="J828" t="e">
            <v>#N/A</v>
          </cell>
          <cell r="K828">
            <v>90</v>
          </cell>
          <cell r="L828">
            <v>50</v>
          </cell>
          <cell r="M828" t="e">
            <v>#N/A</v>
          </cell>
          <cell r="N828">
            <v>80</v>
          </cell>
          <cell r="O828" t="e">
            <v>#N/A</v>
          </cell>
          <cell r="P828" t="str">
            <v/>
          </cell>
          <cell r="Q828" t="str">
            <v/>
          </cell>
          <cell r="R828" t="e">
            <v>#N/A</v>
          </cell>
        </row>
        <row r="829">
          <cell r="A829" t="str">
            <v/>
          </cell>
          <cell r="B829" t="str">
            <v/>
          </cell>
          <cell r="C829" t="str">
            <v>Future</v>
          </cell>
          <cell r="D829" t="e">
            <v>#N/A</v>
          </cell>
          <cell r="E829">
            <v>-4.2506692913382631</v>
          </cell>
          <cell r="F829">
            <v>91.772952755907212</v>
          </cell>
          <cell r="G829">
            <v>49.09578740157469</v>
          </cell>
          <cell r="H829">
            <v>49.09578740157469</v>
          </cell>
          <cell r="I829" t="e">
            <v>#N/A</v>
          </cell>
          <cell r="J829" t="e">
            <v>#N/A</v>
          </cell>
          <cell r="K829">
            <v>90</v>
          </cell>
          <cell r="L829">
            <v>50</v>
          </cell>
          <cell r="M829" t="e">
            <v>#N/A</v>
          </cell>
          <cell r="N829">
            <v>80</v>
          </cell>
          <cell r="O829" t="e">
            <v>#N/A</v>
          </cell>
          <cell r="P829" t="str">
            <v/>
          </cell>
          <cell r="Q829" t="str">
            <v/>
          </cell>
          <cell r="R829" t="e">
            <v>#N/A</v>
          </cell>
        </row>
        <row r="830">
          <cell r="A830" t="str">
            <v/>
          </cell>
          <cell r="B830" t="str">
            <v/>
          </cell>
          <cell r="C830" t="str">
            <v>Future</v>
          </cell>
          <cell r="D830" t="e">
            <v>#N/A</v>
          </cell>
          <cell r="E830">
            <v>-4.5007086614170033</v>
          </cell>
          <cell r="F830">
            <v>91.877244094489896</v>
          </cell>
          <cell r="G830">
            <v>49.042598425196736</v>
          </cell>
          <cell r="H830">
            <v>49.042598425196736</v>
          </cell>
          <cell r="I830" t="e">
            <v>#N/A</v>
          </cell>
          <cell r="J830" t="e">
            <v>#N/A</v>
          </cell>
          <cell r="K830">
            <v>90</v>
          </cell>
          <cell r="L830">
            <v>50</v>
          </cell>
          <cell r="M830" t="e">
            <v>#N/A</v>
          </cell>
          <cell r="N830">
            <v>80</v>
          </cell>
          <cell r="O830" t="e">
            <v>#N/A</v>
          </cell>
          <cell r="P830" t="str">
            <v/>
          </cell>
          <cell r="Q830" t="str">
            <v/>
          </cell>
          <cell r="R830" t="e">
            <v>#N/A</v>
          </cell>
        </row>
        <row r="831">
          <cell r="A831" t="str">
            <v/>
          </cell>
          <cell r="B831" t="str">
            <v/>
          </cell>
          <cell r="C831" t="str">
            <v>Future</v>
          </cell>
          <cell r="D831" t="e">
            <v>#N/A</v>
          </cell>
          <cell r="E831">
            <v>-4.7507480314957435</v>
          </cell>
          <cell r="F831">
            <v>91.98153543307258</v>
          </cell>
          <cell r="G831">
            <v>48.989409448818783</v>
          </cell>
          <cell r="H831">
            <v>48.989409448818783</v>
          </cell>
          <cell r="I831" t="e">
            <v>#N/A</v>
          </cell>
          <cell r="J831" t="e">
            <v>#N/A</v>
          </cell>
          <cell r="K831">
            <v>90</v>
          </cell>
          <cell r="L831">
            <v>50</v>
          </cell>
          <cell r="M831" t="e">
            <v>#N/A</v>
          </cell>
          <cell r="N831">
            <v>80</v>
          </cell>
          <cell r="O831" t="e">
            <v>#N/A</v>
          </cell>
          <cell r="P831" t="str">
            <v/>
          </cell>
          <cell r="Q831" t="str">
            <v/>
          </cell>
          <cell r="R831" t="e">
            <v>#N/A</v>
          </cell>
        </row>
        <row r="832">
          <cell r="A832" t="str">
            <v/>
          </cell>
          <cell r="B832" t="str">
            <v/>
          </cell>
          <cell r="C832" t="str">
            <v>Future</v>
          </cell>
          <cell r="D832" t="e">
            <v>#N/A</v>
          </cell>
          <cell r="E832">
            <v>-5.0007874015744838</v>
          </cell>
          <cell r="F832">
            <v>92.085826771655263</v>
          </cell>
          <cell r="G832">
            <v>48.93622047244083</v>
          </cell>
          <cell r="H832">
            <v>48.93622047244083</v>
          </cell>
          <cell r="I832" t="e">
            <v>#N/A</v>
          </cell>
          <cell r="J832" t="e">
            <v>#N/A</v>
          </cell>
          <cell r="K832">
            <v>90</v>
          </cell>
          <cell r="L832">
            <v>50</v>
          </cell>
          <cell r="M832" t="e">
            <v>#N/A</v>
          </cell>
          <cell r="N832">
            <v>80</v>
          </cell>
          <cell r="O832" t="e">
            <v>#N/A</v>
          </cell>
          <cell r="P832" t="str">
            <v/>
          </cell>
          <cell r="Q832" t="str">
            <v/>
          </cell>
          <cell r="R832" t="e">
            <v>#N/A</v>
          </cell>
        </row>
        <row r="833">
          <cell r="A833" t="str">
            <v/>
          </cell>
          <cell r="B833" t="str">
            <v/>
          </cell>
          <cell r="C833" t="str">
            <v>Future</v>
          </cell>
          <cell r="D833" t="e">
            <v>#N/A</v>
          </cell>
          <cell r="E833">
            <v>-5.250826771653224</v>
          </cell>
          <cell r="F833">
            <v>92.190118110237947</v>
          </cell>
          <cell r="G833">
            <v>48.883031496062877</v>
          </cell>
          <cell r="H833">
            <v>48.883031496062877</v>
          </cell>
          <cell r="I833" t="e">
            <v>#N/A</v>
          </cell>
          <cell r="J833" t="e">
            <v>#N/A</v>
          </cell>
          <cell r="K833">
            <v>90</v>
          </cell>
          <cell r="L833">
            <v>50</v>
          </cell>
          <cell r="M833" t="e">
            <v>#N/A</v>
          </cell>
          <cell r="N833">
            <v>80</v>
          </cell>
          <cell r="O833" t="e">
            <v>#N/A</v>
          </cell>
          <cell r="P833" t="str">
            <v/>
          </cell>
          <cell r="Q833" t="str">
            <v/>
          </cell>
          <cell r="R833" t="e">
            <v>#N/A</v>
          </cell>
        </row>
        <row r="834">
          <cell r="A834" t="str">
            <v/>
          </cell>
          <cell r="B834" t="str">
            <v/>
          </cell>
          <cell r="C834" t="str">
            <v>Future</v>
          </cell>
          <cell r="D834" t="e">
            <v>#N/A</v>
          </cell>
          <cell r="E834">
            <v>-5.5008661417319642</v>
          </cell>
          <cell r="F834">
            <v>92.29440944882063</v>
          </cell>
          <cell r="G834">
            <v>48.829842519684924</v>
          </cell>
          <cell r="H834">
            <v>48.829842519684924</v>
          </cell>
          <cell r="I834" t="e">
            <v>#N/A</v>
          </cell>
          <cell r="J834" t="e">
            <v>#N/A</v>
          </cell>
          <cell r="K834">
            <v>90</v>
          </cell>
          <cell r="L834">
            <v>50</v>
          </cell>
          <cell r="M834" t="e">
            <v>#N/A</v>
          </cell>
          <cell r="N834">
            <v>80</v>
          </cell>
          <cell r="O834" t="e">
            <v>#N/A</v>
          </cell>
          <cell r="P834" t="str">
            <v/>
          </cell>
          <cell r="Q834" t="str">
            <v/>
          </cell>
          <cell r="R834" t="e">
            <v>#N/A</v>
          </cell>
        </row>
        <row r="835">
          <cell r="A835" t="str">
            <v/>
          </cell>
          <cell r="B835" t="str">
            <v/>
          </cell>
          <cell r="C835" t="str">
            <v>Future</v>
          </cell>
          <cell r="D835" t="e">
            <v>#N/A</v>
          </cell>
          <cell r="E835">
            <v>-5.7509055118107044</v>
          </cell>
          <cell r="F835">
            <v>92.398700787403314</v>
          </cell>
          <cell r="G835">
            <v>48.776653543306971</v>
          </cell>
          <cell r="H835">
            <v>48.776653543306971</v>
          </cell>
          <cell r="I835" t="e">
            <v>#N/A</v>
          </cell>
          <cell r="J835" t="e">
            <v>#N/A</v>
          </cell>
          <cell r="K835">
            <v>90</v>
          </cell>
          <cell r="L835">
            <v>50</v>
          </cell>
          <cell r="M835" t="e">
            <v>#N/A</v>
          </cell>
          <cell r="N835">
            <v>80</v>
          </cell>
          <cell r="O835" t="e">
            <v>#N/A</v>
          </cell>
          <cell r="P835" t="str">
            <v/>
          </cell>
          <cell r="Q835" t="str">
            <v/>
          </cell>
          <cell r="R835" t="e">
            <v>#N/A</v>
          </cell>
        </row>
        <row r="836">
          <cell r="A836" t="str">
            <v/>
          </cell>
          <cell r="B836" t="str">
            <v/>
          </cell>
          <cell r="C836" t="str">
            <v>Future</v>
          </cell>
          <cell r="D836" t="e">
            <v>#N/A</v>
          </cell>
          <cell r="E836">
            <v>-6.0009448818894446</v>
          </cell>
          <cell r="F836">
            <v>92.502992125985998</v>
          </cell>
          <cell r="G836">
            <v>48.723464566929017</v>
          </cell>
          <cell r="H836">
            <v>48.723464566929017</v>
          </cell>
          <cell r="I836" t="e">
            <v>#N/A</v>
          </cell>
          <cell r="J836" t="e">
            <v>#N/A</v>
          </cell>
          <cell r="K836">
            <v>90</v>
          </cell>
          <cell r="L836">
            <v>50</v>
          </cell>
          <cell r="M836" t="e">
            <v>#N/A</v>
          </cell>
          <cell r="N836">
            <v>80</v>
          </cell>
          <cell r="O836" t="e">
            <v>#N/A</v>
          </cell>
          <cell r="P836" t="str">
            <v/>
          </cell>
          <cell r="Q836" t="str">
            <v/>
          </cell>
          <cell r="R836" t="e">
            <v>#N/A</v>
          </cell>
        </row>
        <row r="837">
          <cell r="A837" t="str">
            <v/>
          </cell>
          <cell r="B837" t="str">
            <v/>
          </cell>
          <cell r="C837" t="str">
            <v>Future</v>
          </cell>
          <cell r="D837" t="e">
            <v>#N/A</v>
          </cell>
          <cell r="E837">
            <v>-6.2509842519681849</v>
          </cell>
          <cell r="F837">
            <v>92.607283464568681</v>
          </cell>
          <cell r="G837">
            <v>48.670275590551064</v>
          </cell>
          <cell r="H837">
            <v>48.670275590551064</v>
          </cell>
          <cell r="I837" t="e">
            <v>#N/A</v>
          </cell>
          <cell r="J837" t="e">
            <v>#N/A</v>
          </cell>
          <cell r="K837">
            <v>90</v>
          </cell>
          <cell r="L837">
            <v>50</v>
          </cell>
          <cell r="M837" t="e">
            <v>#N/A</v>
          </cell>
          <cell r="N837">
            <v>80</v>
          </cell>
          <cell r="O837" t="e">
            <v>#N/A</v>
          </cell>
          <cell r="P837" t="str">
            <v/>
          </cell>
          <cell r="Q837" t="str">
            <v/>
          </cell>
          <cell r="R837" t="e">
            <v>#N/A</v>
          </cell>
        </row>
        <row r="838">
          <cell r="A838" t="str">
            <v/>
          </cell>
          <cell r="B838" t="str">
            <v/>
          </cell>
          <cell r="C838" t="str">
            <v>Future</v>
          </cell>
          <cell r="D838" t="e">
            <v>#N/A</v>
          </cell>
          <cell r="E838">
            <v>-6.5010236220469251</v>
          </cell>
          <cell r="F838">
            <v>92.711574803151365</v>
          </cell>
          <cell r="G838">
            <v>48.617086614173111</v>
          </cell>
          <cell r="H838">
            <v>48.617086614173111</v>
          </cell>
          <cell r="I838" t="e">
            <v>#N/A</v>
          </cell>
          <cell r="J838" t="e">
            <v>#N/A</v>
          </cell>
          <cell r="K838">
            <v>90</v>
          </cell>
          <cell r="L838">
            <v>50</v>
          </cell>
          <cell r="M838" t="e">
            <v>#N/A</v>
          </cell>
          <cell r="N838">
            <v>80</v>
          </cell>
          <cell r="O838" t="e">
            <v>#N/A</v>
          </cell>
          <cell r="P838" t="str">
            <v/>
          </cell>
          <cell r="Q838" t="str">
            <v/>
          </cell>
          <cell r="R838" t="e">
            <v>#N/A</v>
          </cell>
        </row>
        <row r="839">
          <cell r="A839" t="str">
            <v/>
          </cell>
          <cell r="B839" t="str">
            <v/>
          </cell>
          <cell r="C839" t="str">
            <v>Future</v>
          </cell>
          <cell r="D839" t="e">
            <v>#N/A</v>
          </cell>
          <cell r="E839">
            <v>-6.7510629921256653</v>
          </cell>
          <cell r="F839">
            <v>92.815866141734048</v>
          </cell>
          <cell r="G839">
            <v>48.563897637795158</v>
          </cell>
          <cell r="H839">
            <v>48.563897637795158</v>
          </cell>
          <cell r="I839" t="e">
            <v>#N/A</v>
          </cell>
          <cell r="J839" t="e">
            <v>#N/A</v>
          </cell>
          <cell r="K839">
            <v>90</v>
          </cell>
          <cell r="L839">
            <v>50</v>
          </cell>
          <cell r="M839" t="e">
            <v>#N/A</v>
          </cell>
          <cell r="N839">
            <v>80</v>
          </cell>
          <cell r="O839" t="e">
            <v>#N/A</v>
          </cell>
          <cell r="P839" t="str">
            <v/>
          </cell>
          <cell r="Q839" t="str">
            <v/>
          </cell>
          <cell r="R839" t="e">
            <v>#N/A</v>
          </cell>
        </row>
        <row r="840">
          <cell r="A840" t="str">
            <v/>
          </cell>
          <cell r="B840" t="str">
            <v/>
          </cell>
          <cell r="C840" t="str">
            <v>Future</v>
          </cell>
          <cell r="D840" t="e">
            <v>#N/A</v>
          </cell>
          <cell r="E840">
            <v>-7.0011023622044055</v>
          </cell>
          <cell r="F840">
            <v>92.920157480316732</v>
          </cell>
          <cell r="G840">
            <v>48.510708661417205</v>
          </cell>
          <cell r="H840">
            <v>48.510708661417205</v>
          </cell>
          <cell r="I840" t="e">
            <v>#N/A</v>
          </cell>
          <cell r="J840" t="e">
            <v>#N/A</v>
          </cell>
          <cell r="K840">
            <v>90</v>
          </cell>
          <cell r="L840">
            <v>50</v>
          </cell>
          <cell r="M840" t="e">
            <v>#N/A</v>
          </cell>
          <cell r="N840">
            <v>80</v>
          </cell>
          <cell r="O840" t="e">
            <v>#N/A</v>
          </cell>
          <cell r="P840" t="str">
            <v/>
          </cell>
          <cell r="Q840" t="str">
            <v/>
          </cell>
          <cell r="R840" t="e">
            <v>#N/A</v>
          </cell>
        </row>
        <row r="841">
          <cell r="A841" t="str">
            <v/>
          </cell>
          <cell r="B841" t="str">
            <v/>
          </cell>
          <cell r="C841" t="str">
            <v>Future</v>
          </cell>
          <cell r="D841" t="e">
            <v>#N/A</v>
          </cell>
          <cell r="E841">
            <v>-7.2511417322831457</v>
          </cell>
          <cell r="F841">
            <v>93.024448818899415</v>
          </cell>
          <cell r="G841">
            <v>48.457519685039252</v>
          </cell>
          <cell r="H841">
            <v>48.457519685039252</v>
          </cell>
          <cell r="I841" t="e">
            <v>#N/A</v>
          </cell>
          <cell r="J841" t="e">
            <v>#N/A</v>
          </cell>
          <cell r="K841">
            <v>90</v>
          </cell>
          <cell r="L841">
            <v>50</v>
          </cell>
          <cell r="M841" t="e">
            <v>#N/A</v>
          </cell>
          <cell r="N841">
            <v>80</v>
          </cell>
          <cell r="O841" t="e">
            <v>#N/A</v>
          </cell>
          <cell r="P841" t="str">
            <v/>
          </cell>
          <cell r="Q841" t="str">
            <v/>
          </cell>
          <cell r="R841" t="e">
            <v>#N/A</v>
          </cell>
        </row>
        <row r="842">
          <cell r="A842" t="str">
            <v/>
          </cell>
          <cell r="B842" t="str">
            <v/>
          </cell>
          <cell r="C842" t="str">
            <v>Future</v>
          </cell>
          <cell r="D842" t="e">
            <v>#N/A</v>
          </cell>
          <cell r="E842">
            <v>-7.501181102361886</v>
          </cell>
          <cell r="F842">
            <v>93.128740157482099</v>
          </cell>
          <cell r="G842">
            <v>48.404330708661298</v>
          </cell>
          <cell r="H842">
            <v>48.404330708661298</v>
          </cell>
          <cell r="I842" t="e">
            <v>#N/A</v>
          </cell>
          <cell r="J842" t="e">
            <v>#N/A</v>
          </cell>
          <cell r="K842">
            <v>90</v>
          </cell>
          <cell r="L842">
            <v>50</v>
          </cell>
          <cell r="M842" t="e">
            <v>#N/A</v>
          </cell>
          <cell r="N842">
            <v>80</v>
          </cell>
          <cell r="O842" t="e">
            <v>#N/A</v>
          </cell>
          <cell r="P842" t="str">
            <v/>
          </cell>
          <cell r="Q842" t="str">
            <v/>
          </cell>
          <cell r="R842" t="e">
            <v>#N/A</v>
          </cell>
        </row>
        <row r="843">
          <cell r="A843" t="str">
            <v/>
          </cell>
          <cell r="B843" t="str">
            <v/>
          </cell>
          <cell r="C843" t="str">
            <v>Future</v>
          </cell>
          <cell r="D843" t="e">
            <v>#N/A</v>
          </cell>
          <cell r="E843">
            <v>-7.7512204724406262</v>
          </cell>
          <cell r="F843">
            <v>93.233031496064783</v>
          </cell>
          <cell r="G843">
            <v>48.351141732283345</v>
          </cell>
          <cell r="H843">
            <v>48.351141732283345</v>
          </cell>
          <cell r="I843" t="e">
            <v>#N/A</v>
          </cell>
          <cell r="J843" t="e">
            <v>#N/A</v>
          </cell>
          <cell r="K843">
            <v>90</v>
          </cell>
          <cell r="L843">
            <v>50</v>
          </cell>
          <cell r="M843" t="e">
            <v>#N/A</v>
          </cell>
          <cell r="N843">
            <v>80</v>
          </cell>
          <cell r="O843" t="e">
            <v>#N/A</v>
          </cell>
          <cell r="P843" t="str">
            <v/>
          </cell>
          <cell r="Q843" t="str">
            <v/>
          </cell>
          <cell r="R843" t="e">
            <v>#N/A</v>
          </cell>
        </row>
        <row r="844">
          <cell r="A844" t="str">
            <v/>
          </cell>
          <cell r="B844" t="str">
            <v/>
          </cell>
          <cell r="C844" t="str">
            <v>Future</v>
          </cell>
          <cell r="D844" t="e">
            <v>#N/A</v>
          </cell>
          <cell r="E844">
            <v>-8.0012598425193655</v>
          </cell>
          <cell r="F844">
            <v>93.337322834647466</v>
          </cell>
          <cell r="G844">
            <v>48.297952755905392</v>
          </cell>
          <cell r="H844">
            <v>48.297952755905392</v>
          </cell>
          <cell r="I844" t="e">
            <v>#N/A</v>
          </cell>
          <cell r="J844" t="e">
            <v>#N/A</v>
          </cell>
          <cell r="K844">
            <v>90</v>
          </cell>
          <cell r="L844">
            <v>50</v>
          </cell>
          <cell r="M844" t="e">
            <v>#N/A</v>
          </cell>
          <cell r="N844">
            <v>80</v>
          </cell>
          <cell r="O844" t="e">
            <v>#N/A</v>
          </cell>
          <cell r="P844" t="str">
            <v/>
          </cell>
          <cell r="Q844" t="str">
            <v/>
          </cell>
          <cell r="R844" t="e">
            <v>#N/A</v>
          </cell>
        </row>
        <row r="845">
          <cell r="A845" t="str">
            <v/>
          </cell>
          <cell r="B845" t="str">
            <v/>
          </cell>
          <cell r="C845" t="str">
            <v>Future</v>
          </cell>
          <cell r="D845" t="e">
            <v>#N/A</v>
          </cell>
          <cell r="E845">
            <v>-8.2512992125981057</v>
          </cell>
          <cell r="F845">
            <v>93.44161417323015</v>
          </cell>
          <cell r="G845">
            <v>48.244763779527439</v>
          </cell>
          <cell r="H845">
            <v>48.244763779527439</v>
          </cell>
          <cell r="I845" t="e">
            <v>#N/A</v>
          </cell>
          <cell r="J845" t="e">
            <v>#N/A</v>
          </cell>
          <cell r="K845">
            <v>90</v>
          </cell>
          <cell r="L845">
            <v>50</v>
          </cell>
          <cell r="M845" t="e">
            <v>#N/A</v>
          </cell>
          <cell r="N845">
            <v>80</v>
          </cell>
          <cell r="O845" t="e">
            <v>#N/A</v>
          </cell>
          <cell r="P845" t="str">
            <v/>
          </cell>
          <cell r="Q845" t="str">
            <v/>
          </cell>
          <cell r="R845" t="e">
            <v>#N/A</v>
          </cell>
        </row>
        <row r="846">
          <cell r="A846" t="str">
            <v/>
          </cell>
          <cell r="B846" t="str">
            <v/>
          </cell>
          <cell r="C846" t="str">
            <v>Future</v>
          </cell>
          <cell r="D846" t="e">
            <v>#N/A</v>
          </cell>
          <cell r="E846">
            <v>-8.5013385826768459</v>
          </cell>
          <cell r="F846">
            <v>93.545905511812833</v>
          </cell>
          <cell r="G846">
            <v>48.191574803149486</v>
          </cell>
          <cell r="H846">
            <v>48.191574803149486</v>
          </cell>
          <cell r="I846" t="e">
            <v>#N/A</v>
          </cell>
          <cell r="J846" t="e">
            <v>#N/A</v>
          </cell>
          <cell r="K846">
            <v>90</v>
          </cell>
          <cell r="L846">
            <v>50</v>
          </cell>
          <cell r="M846" t="e">
            <v>#N/A</v>
          </cell>
          <cell r="N846">
            <v>80</v>
          </cell>
          <cell r="O846" t="e">
            <v>#N/A</v>
          </cell>
          <cell r="P846" t="str">
            <v/>
          </cell>
          <cell r="Q846" t="str">
            <v/>
          </cell>
          <cell r="R846" t="e">
            <v>#N/A</v>
          </cell>
        </row>
        <row r="847">
          <cell r="A847" t="str">
            <v/>
          </cell>
          <cell r="B847" t="str">
            <v/>
          </cell>
          <cell r="C847" t="str">
            <v>Future</v>
          </cell>
          <cell r="D847" t="e">
            <v>#N/A</v>
          </cell>
          <cell r="E847">
            <v>-8.7513779527555862</v>
          </cell>
          <cell r="F847">
            <v>93.650196850395517</v>
          </cell>
          <cell r="G847">
            <v>48.138385826771533</v>
          </cell>
          <cell r="H847">
            <v>48.138385826771533</v>
          </cell>
          <cell r="I847" t="e">
            <v>#N/A</v>
          </cell>
          <cell r="J847" t="e">
            <v>#N/A</v>
          </cell>
          <cell r="K847">
            <v>90</v>
          </cell>
          <cell r="L847">
            <v>50</v>
          </cell>
          <cell r="M847" t="e">
            <v>#N/A</v>
          </cell>
          <cell r="N847">
            <v>80</v>
          </cell>
          <cell r="O847" t="e">
            <v>#N/A</v>
          </cell>
          <cell r="P847" t="str">
            <v/>
          </cell>
          <cell r="Q847" t="str">
            <v/>
          </cell>
          <cell r="R847" t="e">
            <v>#N/A</v>
          </cell>
        </row>
        <row r="848">
          <cell r="A848" t="str">
            <v/>
          </cell>
          <cell r="B848" t="str">
            <v/>
          </cell>
          <cell r="C848" t="str">
            <v>Future</v>
          </cell>
          <cell r="D848" t="e">
            <v>#N/A</v>
          </cell>
          <cell r="E848">
            <v>-9.0014173228343264</v>
          </cell>
          <cell r="F848">
            <v>93.7544881889782</v>
          </cell>
          <cell r="G848">
            <v>48.085196850393579</v>
          </cell>
          <cell r="H848">
            <v>48.085196850393579</v>
          </cell>
          <cell r="I848" t="e">
            <v>#N/A</v>
          </cell>
          <cell r="J848" t="e">
            <v>#N/A</v>
          </cell>
          <cell r="K848">
            <v>90</v>
          </cell>
          <cell r="L848">
            <v>50</v>
          </cell>
          <cell r="M848" t="e">
            <v>#N/A</v>
          </cell>
          <cell r="N848">
            <v>80</v>
          </cell>
          <cell r="O848" t="e">
            <v>#N/A</v>
          </cell>
          <cell r="P848" t="str">
            <v/>
          </cell>
          <cell r="Q848" t="str">
            <v/>
          </cell>
          <cell r="R848" t="e">
            <v>#N/A</v>
          </cell>
        </row>
        <row r="849">
          <cell r="A849" t="str">
            <v/>
          </cell>
          <cell r="B849" t="str">
            <v/>
          </cell>
          <cell r="C849" t="str">
            <v>Future</v>
          </cell>
          <cell r="D849" t="e">
            <v>#N/A</v>
          </cell>
          <cell r="E849">
            <v>-9.2514566929130666</v>
          </cell>
          <cell r="F849">
            <v>93.858779527560884</v>
          </cell>
          <cell r="G849">
            <v>48.032007874015626</v>
          </cell>
          <cell r="H849">
            <v>48.032007874015626</v>
          </cell>
          <cell r="I849" t="e">
            <v>#N/A</v>
          </cell>
          <cell r="J849" t="e">
            <v>#N/A</v>
          </cell>
          <cell r="K849">
            <v>90</v>
          </cell>
          <cell r="L849">
            <v>50</v>
          </cell>
          <cell r="M849" t="e">
            <v>#N/A</v>
          </cell>
          <cell r="N849">
            <v>80</v>
          </cell>
          <cell r="O849" t="e">
            <v>#N/A</v>
          </cell>
          <cell r="P849" t="str">
            <v/>
          </cell>
          <cell r="Q849" t="str">
            <v/>
          </cell>
          <cell r="R849" t="e">
            <v>#N/A</v>
          </cell>
        </row>
        <row r="850">
          <cell r="A850" t="str">
            <v/>
          </cell>
          <cell r="B850" t="str">
            <v/>
          </cell>
          <cell r="C850" t="str">
            <v>Future</v>
          </cell>
          <cell r="D850" t="e">
            <v>#N/A</v>
          </cell>
          <cell r="E850">
            <v>-9.5014960629918068</v>
          </cell>
          <cell r="F850">
            <v>93.963070866143568</v>
          </cell>
          <cell r="G850">
            <v>47.978818897637673</v>
          </cell>
          <cell r="H850">
            <v>47.978818897637673</v>
          </cell>
          <cell r="I850" t="e">
            <v>#N/A</v>
          </cell>
          <cell r="J850" t="e">
            <v>#N/A</v>
          </cell>
          <cell r="K850">
            <v>90</v>
          </cell>
          <cell r="L850">
            <v>50</v>
          </cell>
          <cell r="M850" t="e">
            <v>#N/A</v>
          </cell>
          <cell r="N850">
            <v>80</v>
          </cell>
          <cell r="O850" t="e">
            <v>#N/A</v>
          </cell>
          <cell r="P850" t="str">
            <v/>
          </cell>
          <cell r="Q850" t="str">
            <v/>
          </cell>
          <cell r="R850" t="e">
            <v>#N/A</v>
          </cell>
        </row>
        <row r="851">
          <cell r="A851" t="str">
            <v/>
          </cell>
          <cell r="B851" t="str">
            <v/>
          </cell>
          <cell r="C851" t="str">
            <v>Future</v>
          </cell>
          <cell r="D851" t="e">
            <v>#N/A</v>
          </cell>
          <cell r="E851">
            <v>-9.751535433070547</v>
          </cell>
          <cell r="F851">
            <v>94.067362204726251</v>
          </cell>
          <cell r="G851">
            <v>47.92562992125972</v>
          </cell>
          <cell r="H851">
            <v>47.92562992125972</v>
          </cell>
          <cell r="I851" t="e">
            <v>#N/A</v>
          </cell>
          <cell r="J851" t="e">
            <v>#N/A</v>
          </cell>
          <cell r="K851">
            <v>90</v>
          </cell>
          <cell r="L851">
            <v>50</v>
          </cell>
          <cell r="M851" t="e">
            <v>#N/A</v>
          </cell>
          <cell r="N851">
            <v>80</v>
          </cell>
          <cell r="O851" t="e">
            <v>#N/A</v>
          </cell>
          <cell r="P851" t="str">
            <v/>
          </cell>
          <cell r="Q851" t="str">
            <v/>
          </cell>
          <cell r="R851" t="e">
            <v>#N/A</v>
          </cell>
        </row>
        <row r="852">
          <cell r="A852" t="str">
            <v/>
          </cell>
          <cell r="B852" t="str">
            <v/>
          </cell>
          <cell r="C852" t="str">
            <v>Future</v>
          </cell>
          <cell r="D852" t="e">
            <v>#N/A</v>
          </cell>
          <cell r="E852">
            <v>-10.001574803149287</v>
          </cell>
          <cell r="F852">
            <v>94.171653543308935</v>
          </cell>
          <cell r="G852">
            <v>47.872440944881767</v>
          </cell>
          <cell r="H852">
            <v>47.872440944881767</v>
          </cell>
          <cell r="I852" t="e">
            <v>#N/A</v>
          </cell>
          <cell r="J852" t="e">
            <v>#N/A</v>
          </cell>
          <cell r="K852">
            <v>90</v>
          </cell>
          <cell r="L852">
            <v>50</v>
          </cell>
          <cell r="M852" t="e">
            <v>#N/A</v>
          </cell>
          <cell r="N852">
            <v>80</v>
          </cell>
          <cell r="O852" t="e">
            <v>#N/A</v>
          </cell>
          <cell r="P852" t="str">
            <v/>
          </cell>
          <cell r="Q852" t="str">
            <v/>
          </cell>
          <cell r="R852" t="e">
            <v>#N/A</v>
          </cell>
        </row>
        <row r="853">
          <cell r="A853" t="str">
            <v/>
          </cell>
          <cell r="B853" t="str">
            <v/>
          </cell>
          <cell r="C853" t="str">
            <v>Future</v>
          </cell>
          <cell r="D853" t="e">
            <v>#N/A</v>
          </cell>
          <cell r="E853">
            <v>-10.251614173228027</v>
          </cell>
          <cell r="F853">
            <v>94.275944881891618</v>
          </cell>
          <cell r="G853">
            <v>47.819251968503814</v>
          </cell>
          <cell r="H853">
            <v>47.819251968503814</v>
          </cell>
          <cell r="I853" t="e">
            <v>#N/A</v>
          </cell>
          <cell r="J853" t="e">
            <v>#N/A</v>
          </cell>
          <cell r="K853">
            <v>90</v>
          </cell>
          <cell r="L853">
            <v>50</v>
          </cell>
          <cell r="M853" t="e">
            <v>#N/A</v>
          </cell>
          <cell r="N853">
            <v>80</v>
          </cell>
          <cell r="O853" t="e">
            <v>#N/A</v>
          </cell>
          <cell r="P853" t="str">
            <v/>
          </cell>
          <cell r="Q853" t="str">
            <v/>
          </cell>
          <cell r="R853" t="e">
            <v>#N/A</v>
          </cell>
        </row>
        <row r="854">
          <cell r="A854" t="str">
            <v/>
          </cell>
          <cell r="B854" t="str">
            <v/>
          </cell>
          <cell r="C854" t="str">
            <v>Future</v>
          </cell>
          <cell r="D854" t="e">
            <v>#N/A</v>
          </cell>
          <cell r="E854">
            <v>-10.501653543306768</v>
          </cell>
          <cell r="F854">
            <v>94.380236220474302</v>
          </cell>
          <cell r="G854">
            <v>47.76606299212586</v>
          </cell>
          <cell r="H854">
            <v>47.76606299212586</v>
          </cell>
          <cell r="I854" t="e">
            <v>#N/A</v>
          </cell>
          <cell r="J854" t="e">
            <v>#N/A</v>
          </cell>
          <cell r="K854">
            <v>90</v>
          </cell>
          <cell r="L854">
            <v>50</v>
          </cell>
          <cell r="M854" t="e">
            <v>#N/A</v>
          </cell>
          <cell r="N854">
            <v>80</v>
          </cell>
          <cell r="O854" t="e">
            <v>#N/A</v>
          </cell>
          <cell r="P854" t="str">
            <v/>
          </cell>
          <cell r="Q854" t="str">
            <v/>
          </cell>
          <cell r="R854" t="e">
            <v>#N/A</v>
          </cell>
        </row>
        <row r="855">
          <cell r="A855" t="str">
            <v/>
          </cell>
          <cell r="B855" t="str">
            <v/>
          </cell>
          <cell r="C855" t="str">
            <v>Future</v>
          </cell>
          <cell r="D855" t="e">
            <v>#N/A</v>
          </cell>
          <cell r="E855">
            <v>-10.751692913385508</v>
          </cell>
          <cell r="F855">
            <v>94.484527559056986</v>
          </cell>
          <cell r="G855">
            <v>47.712874015747907</v>
          </cell>
          <cell r="H855">
            <v>47.712874015747907</v>
          </cell>
          <cell r="I855" t="e">
            <v>#N/A</v>
          </cell>
          <cell r="J855" t="e">
            <v>#N/A</v>
          </cell>
          <cell r="K855">
            <v>90</v>
          </cell>
          <cell r="L855">
            <v>50</v>
          </cell>
          <cell r="M855" t="e">
            <v>#N/A</v>
          </cell>
          <cell r="N855">
            <v>80</v>
          </cell>
          <cell r="O855" t="e">
            <v>#N/A</v>
          </cell>
          <cell r="P855" t="str">
            <v/>
          </cell>
          <cell r="Q855" t="str">
            <v/>
          </cell>
          <cell r="R855" t="e">
            <v>#N/A</v>
          </cell>
        </row>
        <row r="856">
          <cell r="A856" t="str">
            <v/>
          </cell>
          <cell r="B856" t="str">
            <v/>
          </cell>
          <cell r="C856" t="str">
            <v>Future</v>
          </cell>
          <cell r="D856" t="e">
            <v>#N/A</v>
          </cell>
          <cell r="E856">
            <v>-11.001732283464248</v>
          </cell>
          <cell r="F856">
            <v>94.588818897639669</v>
          </cell>
          <cell r="G856">
            <v>47.659685039369954</v>
          </cell>
          <cell r="H856">
            <v>47.659685039369954</v>
          </cell>
          <cell r="I856" t="e">
            <v>#N/A</v>
          </cell>
          <cell r="J856" t="e">
            <v>#N/A</v>
          </cell>
          <cell r="K856">
            <v>90</v>
          </cell>
          <cell r="L856">
            <v>50</v>
          </cell>
          <cell r="M856" t="e">
            <v>#N/A</v>
          </cell>
          <cell r="N856">
            <v>80</v>
          </cell>
          <cell r="O856" t="e">
            <v>#N/A</v>
          </cell>
          <cell r="P856" t="str">
            <v/>
          </cell>
          <cell r="Q856" t="str">
            <v/>
          </cell>
          <cell r="R856" t="e">
            <v>#N/A</v>
          </cell>
        </row>
        <row r="857">
          <cell r="A857" t="str">
            <v/>
          </cell>
          <cell r="B857" t="str">
            <v/>
          </cell>
          <cell r="C857" t="str">
            <v>Future</v>
          </cell>
          <cell r="D857" t="e">
            <v>#N/A</v>
          </cell>
          <cell r="E857">
            <v>-11.251771653542988</v>
          </cell>
          <cell r="F857">
            <v>94.693110236222353</v>
          </cell>
          <cell r="G857">
            <v>47.606496062992001</v>
          </cell>
          <cell r="H857">
            <v>47.606496062992001</v>
          </cell>
          <cell r="I857" t="e">
            <v>#N/A</v>
          </cell>
          <cell r="J857" t="e">
            <v>#N/A</v>
          </cell>
          <cell r="K857">
            <v>90</v>
          </cell>
          <cell r="L857">
            <v>50</v>
          </cell>
          <cell r="M857" t="e">
            <v>#N/A</v>
          </cell>
          <cell r="N857">
            <v>80</v>
          </cell>
          <cell r="O857" t="e">
            <v>#N/A</v>
          </cell>
          <cell r="P857" t="str">
            <v/>
          </cell>
          <cell r="Q857" t="str">
            <v/>
          </cell>
          <cell r="R857" t="e">
            <v>#N/A</v>
          </cell>
        </row>
        <row r="858">
          <cell r="A858" t="str">
            <v/>
          </cell>
          <cell r="B858" t="str">
            <v/>
          </cell>
          <cell r="C858" t="str">
            <v>Future</v>
          </cell>
          <cell r="D858" t="e">
            <v>#N/A</v>
          </cell>
          <cell r="E858">
            <v>-11.501811023621729</v>
          </cell>
          <cell r="F858">
            <v>94.797401574805036</v>
          </cell>
          <cell r="G858">
            <v>47.553307086614048</v>
          </cell>
          <cell r="H858">
            <v>47.553307086614048</v>
          </cell>
          <cell r="I858" t="e">
            <v>#N/A</v>
          </cell>
          <cell r="J858" t="e">
            <v>#N/A</v>
          </cell>
          <cell r="K858">
            <v>90</v>
          </cell>
          <cell r="L858">
            <v>50</v>
          </cell>
          <cell r="M858" t="e">
            <v>#N/A</v>
          </cell>
          <cell r="N858">
            <v>80</v>
          </cell>
          <cell r="O858" t="e">
            <v>#N/A</v>
          </cell>
          <cell r="P858" t="str">
            <v/>
          </cell>
          <cell r="Q858" t="str">
            <v/>
          </cell>
          <cell r="R858" t="e">
            <v>#N/A</v>
          </cell>
        </row>
        <row r="859">
          <cell r="A859" t="str">
            <v/>
          </cell>
          <cell r="B859" t="str">
            <v/>
          </cell>
          <cell r="C859" t="str">
            <v>Future</v>
          </cell>
          <cell r="D859" t="e">
            <v>#N/A</v>
          </cell>
          <cell r="E859">
            <v>-11.751850393700469</v>
          </cell>
          <cell r="F859">
            <v>94.90169291338772</v>
          </cell>
          <cell r="G859">
            <v>47.500118110236095</v>
          </cell>
          <cell r="H859">
            <v>47.500118110236095</v>
          </cell>
          <cell r="I859" t="e">
            <v>#N/A</v>
          </cell>
          <cell r="J859" t="e">
            <v>#N/A</v>
          </cell>
          <cell r="K859">
            <v>90</v>
          </cell>
          <cell r="L859">
            <v>50</v>
          </cell>
          <cell r="M859" t="e">
            <v>#N/A</v>
          </cell>
          <cell r="N859">
            <v>80</v>
          </cell>
          <cell r="O859" t="e">
            <v>#N/A</v>
          </cell>
          <cell r="P859" t="str">
            <v/>
          </cell>
          <cell r="Q859" t="str">
            <v/>
          </cell>
          <cell r="R859" t="e">
            <v>#N/A</v>
          </cell>
        </row>
        <row r="860">
          <cell r="A860" t="str">
            <v/>
          </cell>
          <cell r="B860" t="str">
            <v/>
          </cell>
          <cell r="C860" t="str">
            <v>Future</v>
          </cell>
          <cell r="D860" t="e">
            <v>#N/A</v>
          </cell>
          <cell r="E860">
            <v>-12.001889763779209</v>
          </cell>
          <cell r="F860">
            <v>95.005984251970403</v>
          </cell>
          <cell r="G860">
            <v>47.446929133858141</v>
          </cell>
          <cell r="H860">
            <v>47.446929133858141</v>
          </cell>
          <cell r="I860" t="e">
            <v>#N/A</v>
          </cell>
          <cell r="J860" t="e">
            <v>#N/A</v>
          </cell>
          <cell r="K860">
            <v>90</v>
          </cell>
          <cell r="L860">
            <v>50</v>
          </cell>
          <cell r="M860" t="e">
            <v>#N/A</v>
          </cell>
          <cell r="N860">
            <v>80</v>
          </cell>
          <cell r="O860" t="e">
            <v>#N/A</v>
          </cell>
          <cell r="P860" t="str">
            <v/>
          </cell>
          <cell r="Q860" t="str">
            <v/>
          </cell>
          <cell r="R860" t="e">
            <v>#N/A</v>
          </cell>
        </row>
        <row r="861">
          <cell r="A861" t="str">
            <v/>
          </cell>
          <cell r="B861" t="str">
            <v/>
          </cell>
          <cell r="C861" t="str">
            <v>Future</v>
          </cell>
          <cell r="D861" t="e">
            <v>#N/A</v>
          </cell>
          <cell r="E861">
            <v>-12.251929133857949</v>
          </cell>
          <cell r="F861">
            <v>95.110275590553087</v>
          </cell>
          <cell r="G861">
            <v>47.393740157480188</v>
          </cell>
          <cell r="H861">
            <v>47.393740157480188</v>
          </cell>
          <cell r="I861" t="e">
            <v>#N/A</v>
          </cell>
          <cell r="J861" t="e">
            <v>#N/A</v>
          </cell>
          <cell r="K861">
            <v>90</v>
          </cell>
          <cell r="L861">
            <v>50</v>
          </cell>
          <cell r="M861" t="e">
            <v>#N/A</v>
          </cell>
          <cell r="N861">
            <v>80</v>
          </cell>
          <cell r="O861" t="e">
            <v>#N/A</v>
          </cell>
          <cell r="P861" t="str">
            <v/>
          </cell>
          <cell r="Q861" t="str">
            <v/>
          </cell>
          <cell r="R861" t="e">
            <v>#N/A</v>
          </cell>
        </row>
        <row r="862">
          <cell r="A862" t="str">
            <v/>
          </cell>
          <cell r="B862" t="str">
            <v/>
          </cell>
          <cell r="C862" t="str">
            <v>Future</v>
          </cell>
          <cell r="D862" t="e">
            <v>#N/A</v>
          </cell>
          <cell r="E862">
            <v>-12.501968503936689</v>
          </cell>
          <cell r="F862">
            <v>95.214566929135771</v>
          </cell>
          <cell r="G862">
            <v>47.340551181102235</v>
          </cell>
          <cell r="H862">
            <v>47.340551181102235</v>
          </cell>
          <cell r="I862" t="e">
            <v>#N/A</v>
          </cell>
          <cell r="J862" t="e">
            <v>#N/A</v>
          </cell>
          <cell r="K862">
            <v>90</v>
          </cell>
          <cell r="L862">
            <v>50</v>
          </cell>
          <cell r="M862" t="e">
            <v>#N/A</v>
          </cell>
          <cell r="N862">
            <v>80</v>
          </cell>
          <cell r="O862" t="e">
            <v>#N/A</v>
          </cell>
          <cell r="P862" t="str">
            <v/>
          </cell>
          <cell r="Q862" t="str">
            <v/>
          </cell>
          <cell r="R862" t="e">
            <v>#N/A</v>
          </cell>
        </row>
        <row r="863">
          <cell r="A863" t="str">
            <v/>
          </cell>
          <cell r="B863" t="str">
            <v/>
          </cell>
          <cell r="C863" t="str">
            <v>Future</v>
          </cell>
          <cell r="D863" t="e">
            <v>#N/A</v>
          </cell>
          <cell r="E863">
            <v>-12.75200787401543</v>
          </cell>
          <cell r="F863">
            <v>95.318858267718454</v>
          </cell>
          <cell r="G863">
            <v>47.287362204724282</v>
          </cell>
          <cell r="H863">
            <v>47.287362204724282</v>
          </cell>
          <cell r="I863" t="e">
            <v>#N/A</v>
          </cell>
          <cell r="J863" t="e">
            <v>#N/A</v>
          </cell>
          <cell r="K863">
            <v>90</v>
          </cell>
          <cell r="L863">
            <v>50</v>
          </cell>
          <cell r="M863" t="e">
            <v>#N/A</v>
          </cell>
          <cell r="N863">
            <v>80</v>
          </cell>
          <cell r="O863" t="e">
            <v>#N/A</v>
          </cell>
          <cell r="P863" t="str">
            <v/>
          </cell>
          <cell r="Q863" t="str">
            <v/>
          </cell>
          <cell r="R863" t="e">
            <v>#N/A</v>
          </cell>
        </row>
        <row r="864">
          <cell r="A864" t="str">
            <v/>
          </cell>
          <cell r="B864" t="str">
            <v/>
          </cell>
          <cell r="C864" t="str">
            <v>Future</v>
          </cell>
          <cell r="D864" t="e">
            <v>#N/A</v>
          </cell>
          <cell r="E864">
            <v>-13.00204724409417</v>
          </cell>
          <cell r="F864">
            <v>95.423149606301138</v>
          </cell>
          <cell r="G864">
            <v>47.234173228346329</v>
          </cell>
          <cell r="H864">
            <v>47.234173228346329</v>
          </cell>
          <cell r="I864" t="e">
            <v>#N/A</v>
          </cell>
          <cell r="J864" t="e">
            <v>#N/A</v>
          </cell>
          <cell r="K864">
            <v>90</v>
          </cell>
          <cell r="L864">
            <v>50</v>
          </cell>
          <cell r="M864" t="e">
            <v>#N/A</v>
          </cell>
          <cell r="N864">
            <v>80</v>
          </cell>
          <cell r="O864" t="e">
            <v>#N/A</v>
          </cell>
          <cell r="P864" t="str">
            <v/>
          </cell>
          <cell r="Q864" t="str">
            <v/>
          </cell>
          <cell r="R864" t="e">
            <v>#N/A</v>
          </cell>
        </row>
        <row r="865">
          <cell r="A865" t="str">
            <v/>
          </cell>
          <cell r="B865" t="str">
            <v/>
          </cell>
          <cell r="C865" t="str">
            <v>Future</v>
          </cell>
          <cell r="D865" t="e">
            <v>#N/A</v>
          </cell>
          <cell r="E865">
            <v>-13.25208661417291</v>
          </cell>
          <cell r="F865">
            <v>95.527440944883821</v>
          </cell>
          <cell r="G865">
            <v>47.180984251968376</v>
          </cell>
          <cell r="H865">
            <v>47.180984251968376</v>
          </cell>
          <cell r="I865" t="e">
            <v>#N/A</v>
          </cell>
          <cell r="J865" t="e">
            <v>#N/A</v>
          </cell>
          <cell r="K865">
            <v>90</v>
          </cell>
          <cell r="L865">
            <v>50</v>
          </cell>
          <cell r="M865" t="e">
            <v>#N/A</v>
          </cell>
          <cell r="N865">
            <v>80</v>
          </cell>
          <cell r="O865" t="e">
            <v>#N/A</v>
          </cell>
          <cell r="P865" t="str">
            <v/>
          </cell>
          <cell r="Q865" t="str">
            <v/>
          </cell>
          <cell r="R865" t="e">
            <v>#N/A</v>
          </cell>
        </row>
        <row r="866">
          <cell r="A866" t="str">
            <v/>
          </cell>
          <cell r="B866" t="str">
            <v/>
          </cell>
          <cell r="C866" t="str">
            <v>Future</v>
          </cell>
          <cell r="D866" t="e">
            <v>#N/A</v>
          </cell>
          <cell r="E866">
            <v>-13.50212598425165</v>
          </cell>
          <cell r="F866">
            <v>95.631732283466505</v>
          </cell>
          <cell r="G866">
            <v>47.127795275590422</v>
          </cell>
          <cell r="H866">
            <v>47.127795275590422</v>
          </cell>
          <cell r="I866" t="e">
            <v>#N/A</v>
          </cell>
          <cell r="J866" t="e">
            <v>#N/A</v>
          </cell>
          <cell r="K866">
            <v>90</v>
          </cell>
          <cell r="L866">
            <v>50</v>
          </cell>
          <cell r="M866" t="e">
            <v>#N/A</v>
          </cell>
          <cell r="N866">
            <v>80</v>
          </cell>
          <cell r="O866" t="e">
            <v>#N/A</v>
          </cell>
          <cell r="P866" t="str">
            <v/>
          </cell>
          <cell r="Q866" t="str">
            <v/>
          </cell>
          <cell r="R866" t="e">
            <v>#N/A</v>
          </cell>
        </row>
        <row r="867">
          <cell r="A867" t="str">
            <v/>
          </cell>
          <cell r="B867" t="str">
            <v/>
          </cell>
          <cell r="C867" t="str">
            <v>Future</v>
          </cell>
          <cell r="D867" t="e">
            <v>#N/A</v>
          </cell>
          <cell r="E867">
            <v>-13.752165354330391</v>
          </cell>
          <cell r="F867">
            <v>95.736023622049188</v>
          </cell>
          <cell r="G867">
            <v>47.074606299212469</v>
          </cell>
          <cell r="H867">
            <v>47.074606299212469</v>
          </cell>
          <cell r="I867" t="e">
            <v>#N/A</v>
          </cell>
          <cell r="J867" t="e">
            <v>#N/A</v>
          </cell>
          <cell r="K867">
            <v>90</v>
          </cell>
          <cell r="L867">
            <v>50</v>
          </cell>
          <cell r="M867" t="e">
            <v>#N/A</v>
          </cell>
          <cell r="N867">
            <v>80</v>
          </cell>
          <cell r="O867" t="e">
            <v>#N/A</v>
          </cell>
          <cell r="P867" t="str">
            <v/>
          </cell>
          <cell r="Q867" t="str">
            <v/>
          </cell>
          <cell r="R867" t="e">
            <v>#N/A</v>
          </cell>
        </row>
        <row r="868">
          <cell r="A868" t="str">
            <v/>
          </cell>
          <cell r="B868" t="str">
            <v/>
          </cell>
          <cell r="C868" t="str">
            <v>Future</v>
          </cell>
          <cell r="D868" t="e">
            <v>#N/A</v>
          </cell>
          <cell r="E868">
            <v>-14.002204724409131</v>
          </cell>
          <cell r="F868">
            <v>95.840314960631872</v>
          </cell>
          <cell r="G868">
            <v>47.021417322834516</v>
          </cell>
          <cell r="H868">
            <v>47.021417322834516</v>
          </cell>
          <cell r="I868" t="e">
            <v>#N/A</v>
          </cell>
          <cell r="J868" t="e">
            <v>#N/A</v>
          </cell>
          <cell r="K868">
            <v>90</v>
          </cell>
          <cell r="L868">
            <v>50</v>
          </cell>
          <cell r="M868" t="e">
            <v>#N/A</v>
          </cell>
          <cell r="N868">
            <v>80</v>
          </cell>
          <cell r="O868" t="e">
            <v>#N/A</v>
          </cell>
          <cell r="P868" t="str">
            <v/>
          </cell>
          <cell r="Q868" t="str">
            <v/>
          </cell>
          <cell r="R868" t="e">
            <v>#N/A</v>
          </cell>
        </row>
        <row r="869">
          <cell r="A869" t="str">
            <v/>
          </cell>
          <cell r="B869" t="str">
            <v/>
          </cell>
          <cell r="C869" t="str">
            <v>Future</v>
          </cell>
          <cell r="D869" t="e">
            <v>#N/A</v>
          </cell>
          <cell r="E869">
            <v>-14.252244094487871</v>
          </cell>
          <cell r="F869">
            <v>95.944606299214556</v>
          </cell>
          <cell r="G869">
            <v>46.968228346456563</v>
          </cell>
          <cell r="H869">
            <v>46.968228346456563</v>
          </cell>
          <cell r="I869" t="e">
            <v>#N/A</v>
          </cell>
          <cell r="J869" t="e">
            <v>#N/A</v>
          </cell>
          <cell r="K869">
            <v>90</v>
          </cell>
          <cell r="L869">
            <v>50</v>
          </cell>
          <cell r="M869" t="e">
            <v>#N/A</v>
          </cell>
          <cell r="N869">
            <v>80</v>
          </cell>
          <cell r="O869" t="e">
            <v>#N/A</v>
          </cell>
          <cell r="P869" t="str">
            <v/>
          </cell>
          <cell r="Q869" t="str">
            <v/>
          </cell>
          <cell r="R869" t="e">
            <v>#N/A</v>
          </cell>
        </row>
        <row r="870">
          <cell r="A870" t="str">
            <v/>
          </cell>
          <cell r="B870" t="str">
            <v/>
          </cell>
          <cell r="C870" t="str">
            <v>Future</v>
          </cell>
          <cell r="D870" t="e">
            <v>#N/A</v>
          </cell>
          <cell r="E870">
            <v>-14.502283464566611</v>
          </cell>
          <cell r="F870">
            <v>96.048897637797239</v>
          </cell>
          <cell r="G870">
            <v>46.91503937007861</v>
          </cell>
          <cell r="H870">
            <v>46.91503937007861</v>
          </cell>
          <cell r="I870" t="e">
            <v>#N/A</v>
          </cell>
          <cell r="J870" t="e">
            <v>#N/A</v>
          </cell>
          <cell r="K870">
            <v>90</v>
          </cell>
          <cell r="L870">
            <v>50</v>
          </cell>
          <cell r="M870" t="e">
            <v>#N/A</v>
          </cell>
          <cell r="N870">
            <v>80</v>
          </cell>
          <cell r="O870" t="e">
            <v>#N/A</v>
          </cell>
          <cell r="P870" t="str">
            <v/>
          </cell>
          <cell r="Q870" t="str">
            <v/>
          </cell>
          <cell r="R870" t="e">
            <v>#N/A</v>
          </cell>
        </row>
        <row r="871">
          <cell r="A871" t="str">
            <v/>
          </cell>
          <cell r="B871" t="str">
            <v/>
          </cell>
          <cell r="C871" t="str">
            <v>Future</v>
          </cell>
          <cell r="D871" t="e">
            <v>#N/A</v>
          </cell>
          <cell r="E871">
            <v>-14.752322834645351</v>
          </cell>
          <cell r="F871">
            <v>96.153188976379923</v>
          </cell>
          <cell r="G871">
            <v>46.861850393700657</v>
          </cell>
          <cell r="H871">
            <v>46.861850393700657</v>
          </cell>
          <cell r="I871" t="e">
            <v>#N/A</v>
          </cell>
          <cell r="J871" t="e">
            <v>#N/A</v>
          </cell>
          <cell r="K871">
            <v>90</v>
          </cell>
          <cell r="L871">
            <v>50</v>
          </cell>
          <cell r="M871" t="e">
            <v>#N/A</v>
          </cell>
          <cell r="N871">
            <v>80</v>
          </cell>
          <cell r="O871" t="e">
            <v>#N/A</v>
          </cell>
          <cell r="P871" t="str">
            <v/>
          </cell>
          <cell r="Q871" t="str">
            <v/>
          </cell>
          <cell r="R871" t="e">
            <v>#N/A</v>
          </cell>
        </row>
        <row r="872">
          <cell r="A872" t="str">
            <v/>
          </cell>
          <cell r="B872" t="str">
            <v/>
          </cell>
          <cell r="C872" t="str">
            <v>Future</v>
          </cell>
          <cell r="D872" t="e">
            <v>#N/A</v>
          </cell>
          <cell r="E872">
            <v>-15.002362204724092</v>
          </cell>
          <cell r="F872">
            <v>96.257480314962606</v>
          </cell>
          <cell r="G872">
            <v>46.808661417322703</v>
          </cell>
          <cell r="H872">
            <v>46.808661417322703</v>
          </cell>
          <cell r="I872" t="e">
            <v>#N/A</v>
          </cell>
          <cell r="J872" t="e">
            <v>#N/A</v>
          </cell>
          <cell r="K872">
            <v>90</v>
          </cell>
          <cell r="L872">
            <v>50</v>
          </cell>
          <cell r="M872" t="e">
            <v>#N/A</v>
          </cell>
          <cell r="N872">
            <v>80</v>
          </cell>
          <cell r="O872" t="e">
            <v>#N/A</v>
          </cell>
          <cell r="P872" t="str">
            <v/>
          </cell>
          <cell r="Q872" t="str">
            <v/>
          </cell>
          <cell r="R872" t="e">
            <v>#N/A</v>
          </cell>
        </row>
        <row r="873">
          <cell r="A873" t="str">
            <v/>
          </cell>
          <cell r="B873" t="str">
            <v/>
          </cell>
          <cell r="C873" t="str">
            <v>Future</v>
          </cell>
          <cell r="D873" t="e">
            <v>#N/A</v>
          </cell>
          <cell r="E873">
            <v>-15.252401574802832</v>
          </cell>
          <cell r="F873">
            <v>96.36177165354529</v>
          </cell>
          <cell r="G873">
            <v>46.75547244094475</v>
          </cell>
          <cell r="H873">
            <v>46.75547244094475</v>
          </cell>
          <cell r="I873" t="e">
            <v>#N/A</v>
          </cell>
          <cell r="J873" t="e">
            <v>#N/A</v>
          </cell>
          <cell r="K873">
            <v>90</v>
          </cell>
          <cell r="L873">
            <v>50</v>
          </cell>
          <cell r="M873" t="e">
            <v>#N/A</v>
          </cell>
          <cell r="N873">
            <v>80</v>
          </cell>
          <cell r="O873" t="e">
            <v>#N/A</v>
          </cell>
          <cell r="P873" t="str">
            <v/>
          </cell>
          <cell r="Q873" t="str">
            <v/>
          </cell>
          <cell r="R873" t="e">
            <v>#N/A</v>
          </cell>
        </row>
        <row r="874">
          <cell r="A874" t="str">
            <v/>
          </cell>
          <cell r="B874" t="str">
            <v/>
          </cell>
          <cell r="C874" t="str">
            <v>Future</v>
          </cell>
          <cell r="D874" t="e">
            <v>#N/A</v>
          </cell>
          <cell r="E874">
            <v>-15.502440944881572</v>
          </cell>
          <cell r="F874">
            <v>96.466062992127974</v>
          </cell>
          <cell r="G874">
            <v>46.702283464566797</v>
          </cell>
          <cell r="H874">
            <v>46.702283464566797</v>
          </cell>
          <cell r="I874" t="e">
            <v>#N/A</v>
          </cell>
          <cell r="J874" t="e">
            <v>#N/A</v>
          </cell>
          <cell r="K874">
            <v>90</v>
          </cell>
          <cell r="L874">
            <v>50</v>
          </cell>
          <cell r="M874" t="e">
            <v>#N/A</v>
          </cell>
          <cell r="N874">
            <v>80</v>
          </cell>
          <cell r="O874" t="e">
            <v>#N/A</v>
          </cell>
          <cell r="P874" t="str">
            <v/>
          </cell>
          <cell r="Q874" t="str">
            <v/>
          </cell>
          <cell r="R874" t="e">
            <v>#N/A</v>
          </cell>
        </row>
        <row r="875">
          <cell r="A875" t="str">
            <v/>
          </cell>
          <cell r="B875" t="str">
            <v/>
          </cell>
          <cell r="C875" t="str">
            <v>Future</v>
          </cell>
          <cell r="D875" t="e">
            <v>#N/A</v>
          </cell>
          <cell r="E875">
            <v>-15.752480314960312</v>
          </cell>
          <cell r="F875">
            <v>96.570354330710657</v>
          </cell>
          <cell r="G875">
            <v>46.649094488188844</v>
          </cell>
          <cell r="H875">
            <v>46.649094488188844</v>
          </cell>
          <cell r="I875" t="e">
            <v>#N/A</v>
          </cell>
          <cell r="J875" t="e">
            <v>#N/A</v>
          </cell>
          <cell r="K875">
            <v>90</v>
          </cell>
          <cell r="L875">
            <v>50</v>
          </cell>
          <cell r="M875" t="e">
            <v>#N/A</v>
          </cell>
          <cell r="N875">
            <v>80</v>
          </cell>
          <cell r="O875" t="e">
            <v>#N/A</v>
          </cell>
          <cell r="P875" t="str">
            <v/>
          </cell>
          <cell r="Q875" t="str">
            <v/>
          </cell>
          <cell r="R875" t="e">
            <v>#N/A</v>
          </cell>
        </row>
        <row r="876">
          <cell r="A876" t="str">
            <v/>
          </cell>
          <cell r="B876" t="str">
            <v/>
          </cell>
          <cell r="C876" t="str">
            <v>Future</v>
          </cell>
          <cell r="D876" t="e">
            <v>#N/A</v>
          </cell>
          <cell r="E876">
            <v>-16.002519685039051</v>
          </cell>
          <cell r="F876">
            <v>96.674645669293341</v>
          </cell>
          <cell r="G876">
            <v>46.595905511810891</v>
          </cell>
          <cell r="H876">
            <v>46.595905511810891</v>
          </cell>
          <cell r="I876" t="e">
            <v>#N/A</v>
          </cell>
          <cell r="J876" t="e">
            <v>#N/A</v>
          </cell>
          <cell r="K876">
            <v>90</v>
          </cell>
          <cell r="L876">
            <v>50</v>
          </cell>
          <cell r="M876" t="e">
            <v>#N/A</v>
          </cell>
          <cell r="N876">
            <v>80</v>
          </cell>
          <cell r="O876" t="e">
            <v>#N/A</v>
          </cell>
          <cell r="P876" t="str">
            <v/>
          </cell>
          <cell r="Q876" t="str">
            <v/>
          </cell>
          <cell r="R876" t="e">
            <v>#N/A</v>
          </cell>
        </row>
        <row r="877">
          <cell r="A877" t="str">
            <v/>
          </cell>
          <cell r="B877" t="str">
            <v/>
          </cell>
          <cell r="C877" t="str">
            <v>Future</v>
          </cell>
          <cell r="D877" t="e">
            <v>#N/A</v>
          </cell>
          <cell r="E877">
            <v>-16.252559055117789</v>
          </cell>
          <cell r="F877">
            <v>96.778937007876024</v>
          </cell>
          <cell r="G877">
            <v>46.542716535432938</v>
          </cell>
          <cell r="H877">
            <v>46.542716535432938</v>
          </cell>
          <cell r="I877" t="e">
            <v>#N/A</v>
          </cell>
          <cell r="J877" t="e">
            <v>#N/A</v>
          </cell>
          <cell r="K877">
            <v>90</v>
          </cell>
          <cell r="L877">
            <v>50</v>
          </cell>
          <cell r="M877" t="e">
            <v>#N/A</v>
          </cell>
          <cell r="N877">
            <v>80</v>
          </cell>
          <cell r="O877" t="e">
            <v>#N/A</v>
          </cell>
          <cell r="P877" t="str">
            <v/>
          </cell>
          <cell r="Q877" t="str">
            <v/>
          </cell>
          <cell r="R877" t="e">
            <v>#N/A</v>
          </cell>
        </row>
        <row r="878">
          <cell r="A878" t="str">
            <v/>
          </cell>
          <cell r="B878" t="str">
            <v/>
          </cell>
          <cell r="C878" t="str">
            <v>Future</v>
          </cell>
          <cell r="D878" t="e">
            <v>#N/A</v>
          </cell>
          <cell r="E878">
            <v>-16.502598425196528</v>
          </cell>
          <cell r="F878">
            <v>96.883228346458708</v>
          </cell>
          <cell r="G878">
            <v>46.489527559054984</v>
          </cell>
          <cell r="H878">
            <v>46.489527559054984</v>
          </cell>
          <cell r="I878" t="e">
            <v>#N/A</v>
          </cell>
          <cell r="J878" t="e">
            <v>#N/A</v>
          </cell>
          <cell r="K878">
            <v>90</v>
          </cell>
          <cell r="L878">
            <v>50</v>
          </cell>
          <cell r="M878" t="e">
            <v>#N/A</v>
          </cell>
          <cell r="N878">
            <v>80</v>
          </cell>
          <cell r="O878" t="e">
            <v>#N/A</v>
          </cell>
          <cell r="P878" t="str">
            <v/>
          </cell>
          <cell r="Q878" t="str">
            <v/>
          </cell>
          <cell r="R878" t="e">
            <v>#N/A</v>
          </cell>
        </row>
        <row r="879">
          <cell r="A879" t="str">
            <v/>
          </cell>
          <cell r="B879" t="str">
            <v/>
          </cell>
          <cell r="C879" t="str">
            <v>Future</v>
          </cell>
          <cell r="D879" t="e">
            <v>#N/A</v>
          </cell>
          <cell r="E879">
            <v>-16.752637795275266</v>
          </cell>
          <cell r="F879">
            <v>96.987519685041391</v>
          </cell>
          <cell r="G879">
            <v>46.436338582677031</v>
          </cell>
          <cell r="H879">
            <v>46.436338582677031</v>
          </cell>
          <cell r="I879" t="e">
            <v>#N/A</v>
          </cell>
          <cell r="J879" t="e">
            <v>#N/A</v>
          </cell>
          <cell r="K879">
            <v>90</v>
          </cell>
          <cell r="L879">
            <v>50</v>
          </cell>
          <cell r="M879" t="e">
            <v>#N/A</v>
          </cell>
          <cell r="N879">
            <v>80</v>
          </cell>
          <cell r="O879" t="e">
            <v>#N/A</v>
          </cell>
          <cell r="P879" t="str">
            <v/>
          </cell>
          <cell r="Q879" t="str">
            <v/>
          </cell>
          <cell r="R879" t="e">
            <v>#N/A</v>
          </cell>
        </row>
        <row r="880">
          <cell r="A880" t="str">
            <v/>
          </cell>
          <cell r="B880" t="str">
            <v/>
          </cell>
          <cell r="C880" t="str">
            <v>Future</v>
          </cell>
          <cell r="D880" t="e">
            <v>#N/A</v>
          </cell>
          <cell r="E880">
            <v>-17.002677165354005</v>
          </cell>
          <cell r="F880">
            <v>97.091811023624075</v>
          </cell>
          <cell r="G880">
            <v>46.383149606299078</v>
          </cell>
          <cell r="H880">
            <v>46.383149606299078</v>
          </cell>
          <cell r="I880" t="e">
            <v>#N/A</v>
          </cell>
          <cell r="J880" t="e">
            <v>#N/A</v>
          </cell>
          <cell r="K880">
            <v>90</v>
          </cell>
          <cell r="L880">
            <v>50</v>
          </cell>
          <cell r="M880" t="e">
            <v>#N/A</v>
          </cell>
          <cell r="N880">
            <v>80</v>
          </cell>
          <cell r="O880" t="e">
            <v>#N/A</v>
          </cell>
          <cell r="P880" t="str">
            <v/>
          </cell>
          <cell r="Q880" t="str">
            <v/>
          </cell>
          <cell r="R880" t="e">
            <v>#N/A</v>
          </cell>
        </row>
        <row r="881">
          <cell r="A881" t="str">
            <v/>
          </cell>
          <cell r="B881" t="str">
            <v/>
          </cell>
          <cell r="C881" t="str">
            <v>Future</v>
          </cell>
          <cell r="D881" t="e">
            <v>#N/A</v>
          </cell>
          <cell r="E881">
            <v>-17.252716535432743</v>
          </cell>
          <cell r="F881">
            <v>97.196102362206759</v>
          </cell>
          <cell r="G881">
            <v>46.329960629921125</v>
          </cell>
          <cell r="H881">
            <v>46.329960629921125</v>
          </cell>
          <cell r="I881" t="e">
            <v>#N/A</v>
          </cell>
          <cell r="J881" t="e">
            <v>#N/A</v>
          </cell>
          <cell r="K881">
            <v>90</v>
          </cell>
          <cell r="L881">
            <v>50</v>
          </cell>
          <cell r="M881" t="e">
            <v>#N/A</v>
          </cell>
          <cell r="N881">
            <v>80</v>
          </cell>
          <cell r="O881" t="e">
            <v>#N/A</v>
          </cell>
          <cell r="P881" t="str">
            <v/>
          </cell>
          <cell r="Q881" t="str">
            <v/>
          </cell>
          <cell r="R881" t="e">
            <v>#N/A</v>
          </cell>
        </row>
        <row r="882">
          <cell r="A882" t="str">
            <v/>
          </cell>
          <cell r="B882" t="str">
            <v/>
          </cell>
          <cell r="C882" t="str">
            <v>Future</v>
          </cell>
          <cell r="D882" t="e">
            <v>#N/A</v>
          </cell>
          <cell r="E882">
            <v>-17.502755905511481</v>
          </cell>
          <cell r="F882">
            <v>97.300393700789442</v>
          </cell>
          <cell r="G882">
            <v>46.276771653543172</v>
          </cell>
          <cell r="H882">
            <v>46.276771653543172</v>
          </cell>
          <cell r="I882" t="e">
            <v>#N/A</v>
          </cell>
          <cell r="J882" t="e">
            <v>#N/A</v>
          </cell>
          <cell r="K882">
            <v>90</v>
          </cell>
          <cell r="L882">
            <v>50</v>
          </cell>
          <cell r="M882" t="e">
            <v>#N/A</v>
          </cell>
          <cell r="N882">
            <v>80</v>
          </cell>
          <cell r="O882" t="e">
            <v>#N/A</v>
          </cell>
          <cell r="P882" t="str">
            <v/>
          </cell>
          <cell r="Q882" t="str">
            <v/>
          </cell>
          <cell r="R882" t="e">
            <v>#N/A</v>
          </cell>
        </row>
        <row r="883">
          <cell r="A883" t="str">
            <v/>
          </cell>
          <cell r="B883" t="str">
            <v/>
          </cell>
          <cell r="C883" t="str">
            <v>Future</v>
          </cell>
          <cell r="D883" t="e">
            <v>#N/A</v>
          </cell>
          <cell r="E883">
            <v>-17.75279527559022</v>
          </cell>
          <cell r="F883">
            <v>97.404685039372126</v>
          </cell>
          <cell r="G883">
            <v>46.223582677165219</v>
          </cell>
          <cell r="H883">
            <v>46.223582677165219</v>
          </cell>
          <cell r="I883" t="e">
            <v>#N/A</v>
          </cell>
          <cell r="J883" t="e">
            <v>#N/A</v>
          </cell>
          <cell r="K883">
            <v>90</v>
          </cell>
          <cell r="L883">
            <v>50</v>
          </cell>
          <cell r="M883" t="e">
            <v>#N/A</v>
          </cell>
          <cell r="N883">
            <v>80</v>
          </cell>
          <cell r="O883" t="e">
            <v>#N/A</v>
          </cell>
          <cell r="P883" t="str">
            <v/>
          </cell>
          <cell r="Q883" t="str">
            <v/>
          </cell>
          <cell r="R883" t="e">
            <v>#N/A</v>
          </cell>
        </row>
        <row r="884">
          <cell r="A884" t="str">
            <v/>
          </cell>
          <cell r="B884" t="str">
            <v/>
          </cell>
          <cell r="C884" t="str">
            <v>Future</v>
          </cell>
          <cell r="D884" t="e">
            <v>#N/A</v>
          </cell>
          <cell r="E884">
            <v>-18.002834645668958</v>
          </cell>
          <cell r="F884">
            <v>97.508976377954809</v>
          </cell>
          <cell r="G884">
            <v>46.170393700787265</v>
          </cell>
          <cell r="H884">
            <v>46.170393700787265</v>
          </cell>
          <cell r="I884" t="e">
            <v>#N/A</v>
          </cell>
          <cell r="J884" t="e">
            <v>#N/A</v>
          </cell>
          <cell r="K884">
            <v>90</v>
          </cell>
          <cell r="L884">
            <v>50</v>
          </cell>
          <cell r="M884" t="e">
            <v>#N/A</v>
          </cell>
          <cell r="N884">
            <v>80</v>
          </cell>
          <cell r="O884" t="e">
            <v>#N/A</v>
          </cell>
          <cell r="P884" t="str">
            <v/>
          </cell>
          <cell r="Q884" t="str">
            <v/>
          </cell>
          <cell r="R884" t="e">
            <v>#N/A</v>
          </cell>
        </row>
        <row r="885">
          <cell r="A885" t="str">
            <v/>
          </cell>
          <cell r="B885" t="str">
            <v/>
          </cell>
          <cell r="C885" t="str">
            <v>Future</v>
          </cell>
          <cell r="D885" t="e">
            <v>#N/A</v>
          </cell>
          <cell r="E885">
            <v>-18.252874015747697</v>
          </cell>
          <cell r="F885">
            <v>97.613267716537493</v>
          </cell>
          <cell r="G885">
            <v>46.117204724409312</v>
          </cell>
          <cell r="H885">
            <v>46.117204724409312</v>
          </cell>
          <cell r="I885" t="e">
            <v>#N/A</v>
          </cell>
          <cell r="J885" t="e">
            <v>#N/A</v>
          </cell>
          <cell r="K885">
            <v>90</v>
          </cell>
          <cell r="L885">
            <v>50</v>
          </cell>
          <cell r="M885" t="e">
            <v>#N/A</v>
          </cell>
          <cell r="N885">
            <v>80</v>
          </cell>
          <cell r="O885" t="e">
            <v>#N/A</v>
          </cell>
          <cell r="P885" t="str">
            <v/>
          </cell>
          <cell r="Q885" t="str">
            <v/>
          </cell>
          <cell r="R885" t="e">
            <v>#N/A</v>
          </cell>
        </row>
        <row r="886">
          <cell r="A886" t="str">
            <v/>
          </cell>
          <cell r="B886" t="str">
            <v/>
          </cell>
          <cell r="C886" t="str">
            <v>Future</v>
          </cell>
          <cell r="D886" t="e">
            <v>#N/A</v>
          </cell>
          <cell r="E886">
            <v>-18.502913385826435</v>
          </cell>
          <cell r="F886">
            <v>97.717559055120176</v>
          </cell>
          <cell r="G886">
            <v>46.064015748031359</v>
          </cell>
          <cell r="H886">
            <v>46.064015748031359</v>
          </cell>
          <cell r="I886" t="e">
            <v>#N/A</v>
          </cell>
          <cell r="J886" t="e">
            <v>#N/A</v>
          </cell>
          <cell r="K886">
            <v>90</v>
          </cell>
          <cell r="L886">
            <v>50</v>
          </cell>
          <cell r="M886" t="e">
            <v>#N/A</v>
          </cell>
          <cell r="N886">
            <v>80</v>
          </cell>
          <cell r="O886" t="e">
            <v>#N/A</v>
          </cell>
          <cell r="P886" t="str">
            <v/>
          </cell>
          <cell r="Q886" t="str">
            <v/>
          </cell>
          <cell r="R886" t="e">
            <v>#N/A</v>
          </cell>
        </row>
        <row r="887">
          <cell r="A887" t="str">
            <v/>
          </cell>
          <cell r="B887" t="str">
            <v/>
          </cell>
          <cell r="C887" t="str">
            <v>Future</v>
          </cell>
          <cell r="D887" t="e">
            <v>#N/A</v>
          </cell>
          <cell r="E887">
            <v>-18.752952755905174</v>
          </cell>
          <cell r="F887">
            <v>97.82185039370286</v>
          </cell>
          <cell r="G887">
            <v>46.010826771653406</v>
          </cell>
          <cell r="H887">
            <v>46.010826771653406</v>
          </cell>
          <cell r="I887" t="e">
            <v>#N/A</v>
          </cell>
          <cell r="J887" t="e">
            <v>#N/A</v>
          </cell>
          <cell r="K887">
            <v>90</v>
          </cell>
          <cell r="L887">
            <v>50</v>
          </cell>
          <cell r="M887" t="e">
            <v>#N/A</v>
          </cell>
          <cell r="N887">
            <v>80</v>
          </cell>
          <cell r="O887" t="e">
            <v>#N/A</v>
          </cell>
          <cell r="P887" t="str">
            <v/>
          </cell>
          <cell r="Q887" t="str">
            <v/>
          </cell>
          <cell r="R887" t="e">
            <v>#N/A</v>
          </cell>
        </row>
        <row r="888">
          <cell r="A888" t="str">
            <v/>
          </cell>
          <cell r="B888" t="str">
            <v/>
          </cell>
          <cell r="C888" t="str">
            <v>Future</v>
          </cell>
          <cell r="D888" t="e">
            <v>#N/A</v>
          </cell>
          <cell r="E888">
            <v>-19.002992125983912</v>
          </cell>
          <cell r="F888">
            <v>97.926141732285544</v>
          </cell>
          <cell r="G888">
            <v>45.957637795275453</v>
          </cell>
          <cell r="H888">
            <v>45.957637795275453</v>
          </cell>
          <cell r="I888" t="e">
            <v>#N/A</v>
          </cell>
          <cell r="J888" t="e">
            <v>#N/A</v>
          </cell>
          <cell r="K888">
            <v>90</v>
          </cell>
          <cell r="L888">
            <v>50</v>
          </cell>
          <cell r="M888" t="e">
            <v>#N/A</v>
          </cell>
          <cell r="N888">
            <v>80</v>
          </cell>
          <cell r="O888" t="e">
            <v>#N/A</v>
          </cell>
          <cell r="P888" t="str">
            <v/>
          </cell>
          <cell r="Q888" t="str">
            <v/>
          </cell>
          <cell r="R888" t="e">
            <v>#N/A</v>
          </cell>
        </row>
        <row r="889">
          <cell r="A889" t="str">
            <v/>
          </cell>
          <cell r="B889" t="str">
            <v/>
          </cell>
          <cell r="C889" t="str">
            <v>Future</v>
          </cell>
          <cell r="D889" t="e">
            <v>#N/A</v>
          </cell>
          <cell r="E889">
            <v>-19.253031496062651</v>
          </cell>
          <cell r="F889">
            <v>98.030433070868227</v>
          </cell>
          <cell r="G889">
            <v>45.9044488188975</v>
          </cell>
          <cell r="H889">
            <v>45.9044488188975</v>
          </cell>
          <cell r="I889" t="e">
            <v>#N/A</v>
          </cell>
          <cell r="J889" t="e">
            <v>#N/A</v>
          </cell>
          <cell r="K889">
            <v>90</v>
          </cell>
          <cell r="L889">
            <v>50</v>
          </cell>
          <cell r="M889" t="e">
            <v>#N/A</v>
          </cell>
          <cell r="N889">
            <v>80</v>
          </cell>
          <cell r="O889" t="e">
            <v>#N/A</v>
          </cell>
          <cell r="P889" t="str">
            <v/>
          </cell>
          <cell r="Q889" t="str">
            <v/>
          </cell>
          <cell r="R889" t="e">
            <v>#N/A</v>
          </cell>
        </row>
        <row r="890">
          <cell r="A890" t="str">
            <v/>
          </cell>
          <cell r="B890" t="str">
            <v/>
          </cell>
          <cell r="C890" t="str">
            <v>Future</v>
          </cell>
          <cell r="D890" t="e">
            <v>#N/A</v>
          </cell>
          <cell r="E890">
            <v>-19.503070866141389</v>
          </cell>
          <cell r="F890">
            <v>98.134724409450911</v>
          </cell>
          <cell r="G890">
            <v>45.851259842519546</v>
          </cell>
          <cell r="H890">
            <v>45.851259842519546</v>
          </cell>
          <cell r="I890" t="e">
            <v>#N/A</v>
          </cell>
          <cell r="J890" t="e">
            <v>#N/A</v>
          </cell>
          <cell r="K890">
            <v>90</v>
          </cell>
          <cell r="L890">
            <v>50</v>
          </cell>
          <cell r="M890" t="e">
            <v>#N/A</v>
          </cell>
          <cell r="N890">
            <v>80</v>
          </cell>
          <cell r="O890" t="e">
            <v>#N/A</v>
          </cell>
          <cell r="P890" t="str">
            <v/>
          </cell>
          <cell r="Q890" t="str">
            <v/>
          </cell>
          <cell r="R890" t="e">
            <v>#N/A</v>
          </cell>
        </row>
        <row r="891">
          <cell r="A891" t="str">
            <v/>
          </cell>
          <cell r="B891" t="str">
            <v/>
          </cell>
          <cell r="C891" t="str">
            <v>Future</v>
          </cell>
          <cell r="D891" t="e">
            <v>#N/A</v>
          </cell>
          <cell r="E891">
            <v>-19.753110236220127</v>
          </cell>
          <cell r="F891">
            <v>98.239015748033594</v>
          </cell>
          <cell r="G891">
            <v>45.798070866141593</v>
          </cell>
          <cell r="H891">
            <v>45.798070866141593</v>
          </cell>
          <cell r="I891" t="e">
            <v>#N/A</v>
          </cell>
          <cell r="J891" t="e">
            <v>#N/A</v>
          </cell>
          <cell r="K891">
            <v>90</v>
          </cell>
          <cell r="L891">
            <v>50</v>
          </cell>
          <cell r="M891" t="e">
            <v>#N/A</v>
          </cell>
          <cell r="N891">
            <v>80</v>
          </cell>
          <cell r="O891" t="e">
            <v>#N/A</v>
          </cell>
          <cell r="P891" t="str">
            <v/>
          </cell>
          <cell r="Q891" t="str">
            <v/>
          </cell>
          <cell r="R891" t="e">
            <v>#N/A</v>
          </cell>
        </row>
        <row r="892">
          <cell r="A892" t="str">
            <v/>
          </cell>
          <cell r="B892" t="str">
            <v/>
          </cell>
          <cell r="C892" t="str">
            <v>Future</v>
          </cell>
          <cell r="D892" t="e">
            <v>#N/A</v>
          </cell>
          <cell r="E892">
            <v>-20.003149606298866</v>
          </cell>
          <cell r="F892">
            <v>98.343307086616278</v>
          </cell>
          <cell r="G892">
            <v>45.74488188976364</v>
          </cell>
          <cell r="H892">
            <v>45.74488188976364</v>
          </cell>
          <cell r="I892" t="e">
            <v>#N/A</v>
          </cell>
          <cell r="J892" t="e">
            <v>#N/A</v>
          </cell>
          <cell r="K892">
            <v>90</v>
          </cell>
          <cell r="L892">
            <v>50</v>
          </cell>
          <cell r="M892" t="e">
            <v>#N/A</v>
          </cell>
          <cell r="N892">
            <v>80</v>
          </cell>
          <cell r="O892" t="e">
            <v>#N/A</v>
          </cell>
          <cell r="P892" t="str">
            <v/>
          </cell>
          <cell r="Q892" t="str">
            <v/>
          </cell>
          <cell r="R892" t="e">
            <v>#N/A</v>
          </cell>
        </row>
        <row r="893">
          <cell r="A893" t="str">
            <v/>
          </cell>
          <cell r="B893" t="str">
            <v/>
          </cell>
          <cell r="C893" t="str">
            <v>Future</v>
          </cell>
          <cell r="D893" t="e">
            <v>#N/A</v>
          </cell>
          <cell r="E893">
            <v>-20.253188976377604</v>
          </cell>
          <cell r="F893">
            <v>98.447598425198962</v>
          </cell>
          <cell r="G893">
            <v>45.691692913385687</v>
          </cell>
          <cell r="H893">
            <v>45.691692913385687</v>
          </cell>
          <cell r="I893" t="e">
            <v>#N/A</v>
          </cell>
          <cell r="J893" t="e">
            <v>#N/A</v>
          </cell>
          <cell r="K893">
            <v>90</v>
          </cell>
          <cell r="L893">
            <v>50</v>
          </cell>
          <cell r="M893" t="e">
            <v>#N/A</v>
          </cell>
          <cell r="N893">
            <v>80</v>
          </cell>
          <cell r="O893" t="e">
            <v>#N/A</v>
          </cell>
          <cell r="P893" t="str">
            <v/>
          </cell>
          <cell r="Q893" t="str">
            <v/>
          </cell>
          <cell r="R893" t="e">
            <v>#N/A</v>
          </cell>
        </row>
        <row r="894">
          <cell r="A894" t="str">
            <v/>
          </cell>
          <cell r="B894" t="str">
            <v/>
          </cell>
          <cell r="C894" t="str">
            <v>Future</v>
          </cell>
          <cell r="D894" t="e">
            <v>#N/A</v>
          </cell>
          <cell r="E894">
            <v>-20.503228346456343</v>
          </cell>
          <cell r="F894">
            <v>98.551889763781645</v>
          </cell>
          <cell r="G894">
            <v>45.638503937007734</v>
          </cell>
          <cell r="H894">
            <v>45.638503937007734</v>
          </cell>
          <cell r="I894" t="e">
            <v>#N/A</v>
          </cell>
          <cell r="J894" t="e">
            <v>#N/A</v>
          </cell>
          <cell r="K894">
            <v>90</v>
          </cell>
          <cell r="L894">
            <v>50</v>
          </cell>
          <cell r="M894" t="e">
            <v>#N/A</v>
          </cell>
          <cell r="N894">
            <v>80</v>
          </cell>
          <cell r="O894" t="e">
            <v>#N/A</v>
          </cell>
          <cell r="P894" t="str">
            <v/>
          </cell>
          <cell r="Q894" t="str">
            <v/>
          </cell>
          <cell r="R894" t="e">
            <v>#N/A</v>
          </cell>
        </row>
        <row r="895">
          <cell r="A895" t="str">
            <v/>
          </cell>
          <cell r="B895" t="str">
            <v/>
          </cell>
          <cell r="C895" t="str">
            <v>Future</v>
          </cell>
          <cell r="D895" t="e">
            <v>#N/A</v>
          </cell>
          <cell r="E895">
            <v>-20.753267716535081</v>
          </cell>
          <cell r="F895">
            <v>98.656181102364329</v>
          </cell>
          <cell r="G895">
            <v>45.585314960629781</v>
          </cell>
          <cell r="H895">
            <v>45.585314960629781</v>
          </cell>
          <cell r="I895" t="e">
            <v>#N/A</v>
          </cell>
          <cell r="J895" t="e">
            <v>#N/A</v>
          </cell>
          <cell r="K895">
            <v>90</v>
          </cell>
          <cell r="L895">
            <v>50</v>
          </cell>
          <cell r="M895" t="e">
            <v>#N/A</v>
          </cell>
          <cell r="N895">
            <v>80</v>
          </cell>
          <cell r="O895" t="e">
            <v>#N/A</v>
          </cell>
          <cell r="P895" t="str">
            <v/>
          </cell>
          <cell r="Q895" t="str">
            <v/>
          </cell>
          <cell r="R895" t="e">
            <v>#N/A</v>
          </cell>
        </row>
        <row r="896">
          <cell r="A896" t="str">
            <v/>
          </cell>
          <cell r="B896" t="str">
            <v/>
          </cell>
          <cell r="C896" t="str">
            <v>Future</v>
          </cell>
          <cell r="D896" t="e">
            <v>#N/A</v>
          </cell>
          <cell r="E896">
            <v>-21.00330708661382</v>
          </cell>
          <cell r="F896">
            <v>98.760472440947012</v>
          </cell>
          <cell r="G896">
            <v>45.532125984251827</v>
          </cell>
          <cell r="H896">
            <v>45.532125984251827</v>
          </cell>
          <cell r="I896" t="e">
            <v>#N/A</v>
          </cell>
          <cell r="J896" t="e">
            <v>#N/A</v>
          </cell>
          <cell r="K896">
            <v>90</v>
          </cell>
          <cell r="L896">
            <v>50</v>
          </cell>
          <cell r="M896" t="e">
            <v>#N/A</v>
          </cell>
          <cell r="N896">
            <v>80</v>
          </cell>
          <cell r="O896" t="e">
            <v>#N/A</v>
          </cell>
          <cell r="P896" t="str">
            <v/>
          </cell>
          <cell r="Q896" t="str">
            <v/>
          </cell>
          <cell r="R896" t="e">
            <v>#N/A</v>
          </cell>
        </row>
        <row r="897">
          <cell r="A897" t="str">
            <v/>
          </cell>
          <cell r="B897" t="str">
            <v/>
          </cell>
          <cell r="C897" t="str">
            <v>Future</v>
          </cell>
          <cell r="D897" t="e">
            <v>#N/A</v>
          </cell>
          <cell r="E897">
            <v>-21.253346456692558</v>
          </cell>
          <cell r="F897">
            <v>98.864763779529696</v>
          </cell>
          <cell r="G897">
            <v>45.478937007873874</v>
          </cell>
          <cell r="H897">
            <v>45.478937007873874</v>
          </cell>
          <cell r="I897" t="e">
            <v>#N/A</v>
          </cell>
          <cell r="J897" t="e">
            <v>#N/A</v>
          </cell>
          <cell r="K897">
            <v>90</v>
          </cell>
          <cell r="L897">
            <v>50</v>
          </cell>
          <cell r="M897" t="e">
            <v>#N/A</v>
          </cell>
          <cell r="N897">
            <v>80</v>
          </cell>
          <cell r="O897" t="e">
            <v>#N/A</v>
          </cell>
          <cell r="P897" t="str">
            <v/>
          </cell>
          <cell r="Q897" t="str">
            <v/>
          </cell>
          <cell r="R897" t="e">
            <v>#N/A</v>
          </cell>
        </row>
        <row r="898">
          <cell r="A898" t="str">
            <v/>
          </cell>
          <cell r="B898" t="str">
            <v/>
          </cell>
          <cell r="C898" t="str">
            <v>Future</v>
          </cell>
          <cell r="D898" t="e">
            <v>#N/A</v>
          </cell>
          <cell r="E898">
            <v>-21.503385826771297</v>
          </cell>
          <cell r="F898">
            <v>98.969055118112379</v>
          </cell>
          <cell r="G898">
            <v>45.425748031495921</v>
          </cell>
          <cell r="H898">
            <v>45.425748031495921</v>
          </cell>
          <cell r="I898" t="e">
            <v>#N/A</v>
          </cell>
          <cell r="J898" t="e">
            <v>#N/A</v>
          </cell>
          <cell r="K898">
            <v>90</v>
          </cell>
          <cell r="L898">
            <v>50</v>
          </cell>
          <cell r="M898" t="e">
            <v>#N/A</v>
          </cell>
          <cell r="N898">
            <v>80</v>
          </cell>
          <cell r="O898" t="e">
            <v>#N/A</v>
          </cell>
          <cell r="P898" t="str">
            <v/>
          </cell>
          <cell r="Q898" t="str">
            <v/>
          </cell>
          <cell r="R898" t="e">
            <v>#N/A</v>
          </cell>
        </row>
        <row r="899">
          <cell r="A899" t="str">
            <v/>
          </cell>
          <cell r="B899" t="str">
            <v/>
          </cell>
          <cell r="C899" t="str">
            <v>Future</v>
          </cell>
          <cell r="D899" t="e">
            <v>#N/A</v>
          </cell>
          <cell r="E899">
            <v>-21.753425196850035</v>
          </cell>
          <cell r="F899">
            <v>99.073346456695063</v>
          </cell>
          <cell r="G899">
            <v>45.372559055117968</v>
          </cell>
          <cell r="H899">
            <v>45.372559055117968</v>
          </cell>
          <cell r="I899" t="e">
            <v>#N/A</v>
          </cell>
          <cell r="J899" t="e">
            <v>#N/A</v>
          </cell>
          <cell r="K899">
            <v>90</v>
          </cell>
          <cell r="L899">
            <v>50</v>
          </cell>
          <cell r="M899" t="e">
            <v>#N/A</v>
          </cell>
          <cell r="N899">
            <v>80</v>
          </cell>
          <cell r="O899" t="e">
            <v>#N/A</v>
          </cell>
          <cell r="P899" t="str">
            <v/>
          </cell>
          <cell r="Q899" t="str">
            <v/>
          </cell>
          <cell r="R899" t="e">
            <v>#N/A</v>
          </cell>
        </row>
        <row r="900">
          <cell r="A900" t="str">
            <v/>
          </cell>
          <cell r="B900" t="str">
            <v/>
          </cell>
          <cell r="C900" t="str">
            <v>Future</v>
          </cell>
          <cell r="D900" t="e">
            <v>#N/A</v>
          </cell>
          <cell r="E900">
            <v>-22.003464566928773</v>
          </cell>
          <cell r="F900">
            <v>99.177637795277747</v>
          </cell>
          <cell r="G900">
            <v>45.319370078740015</v>
          </cell>
          <cell r="H900">
            <v>45.319370078740015</v>
          </cell>
          <cell r="I900" t="e">
            <v>#N/A</v>
          </cell>
          <cell r="J900" t="e">
            <v>#N/A</v>
          </cell>
          <cell r="K900">
            <v>90</v>
          </cell>
          <cell r="L900">
            <v>50</v>
          </cell>
          <cell r="M900" t="e">
            <v>#N/A</v>
          </cell>
          <cell r="N900">
            <v>80</v>
          </cell>
          <cell r="O900" t="e">
            <v>#N/A</v>
          </cell>
          <cell r="P900" t="str">
            <v/>
          </cell>
          <cell r="Q900" t="str">
            <v/>
          </cell>
          <cell r="R900" t="e">
            <v>#N/A</v>
          </cell>
        </row>
        <row r="901">
          <cell r="A901" t="str">
            <v/>
          </cell>
          <cell r="B901" t="str">
            <v/>
          </cell>
          <cell r="C901" t="str">
            <v>Future</v>
          </cell>
          <cell r="D901" t="e">
            <v>#N/A</v>
          </cell>
          <cell r="E901">
            <v>-22.253503937007512</v>
          </cell>
          <cell r="F901">
            <v>99.28192913386043</v>
          </cell>
          <cell r="G901">
            <v>45.266181102362061</v>
          </cell>
          <cell r="H901">
            <v>45.266181102362061</v>
          </cell>
          <cell r="I901" t="e">
            <v>#N/A</v>
          </cell>
          <cell r="J901" t="e">
            <v>#N/A</v>
          </cell>
          <cell r="K901">
            <v>90</v>
          </cell>
          <cell r="L901">
            <v>50</v>
          </cell>
          <cell r="M901" t="e">
            <v>#N/A</v>
          </cell>
          <cell r="N901">
            <v>80</v>
          </cell>
          <cell r="O901" t="e">
            <v>#N/A</v>
          </cell>
          <cell r="P901" t="str">
            <v/>
          </cell>
          <cell r="Q901" t="str">
            <v/>
          </cell>
          <cell r="R901" t="e">
            <v>#N/A</v>
          </cell>
        </row>
        <row r="902">
          <cell r="A902" t="str">
            <v/>
          </cell>
          <cell r="B902" t="str">
            <v/>
          </cell>
          <cell r="C902" t="str">
            <v>Future</v>
          </cell>
          <cell r="D902" t="e">
            <v>#N/A</v>
          </cell>
          <cell r="E902">
            <v>-22.50354330708625</v>
          </cell>
          <cell r="F902">
            <v>99.386220472443114</v>
          </cell>
          <cell r="G902">
            <v>45.212992125984108</v>
          </cell>
          <cell r="H902">
            <v>45.212992125984108</v>
          </cell>
          <cell r="I902" t="e">
            <v>#N/A</v>
          </cell>
          <cell r="J902" t="e">
            <v>#N/A</v>
          </cell>
          <cell r="K902">
            <v>90</v>
          </cell>
          <cell r="L902">
            <v>50</v>
          </cell>
          <cell r="M902" t="e">
            <v>#N/A</v>
          </cell>
          <cell r="N902">
            <v>80</v>
          </cell>
          <cell r="O902" t="e">
            <v>#N/A</v>
          </cell>
          <cell r="P902" t="str">
            <v/>
          </cell>
          <cell r="Q902" t="str">
            <v/>
          </cell>
          <cell r="R902" t="e">
            <v>#N/A</v>
          </cell>
        </row>
        <row r="903">
          <cell r="A903" t="str">
            <v/>
          </cell>
          <cell r="B903" t="str">
            <v/>
          </cell>
          <cell r="C903" t="str">
            <v>Future</v>
          </cell>
          <cell r="D903" t="e">
            <v>#N/A</v>
          </cell>
          <cell r="E903">
            <v>-22.753582677164989</v>
          </cell>
          <cell r="F903">
            <v>99.490511811025797</v>
          </cell>
          <cell r="G903">
            <v>45.159803149606155</v>
          </cell>
          <cell r="H903">
            <v>45.159803149606155</v>
          </cell>
          <cell r="I903" t="e">
            <v>#N/A</v>
          </cell>
          <cell r="J903" t="e">
            <v>#N/A</v>
          </cell>
          <cell r="K903">
            <v>90</v>
          </cell>
          <cell r="L903">
            <v>50</v>
          </cell>
          <cell r="M903" t="e">
            <v>#N/A</v>
          </cell>
          <cell r="N903">
            <v>80</v>
          </cell>
          <cell r="O903" t="e">
            <v>#N/A</v>
          </cell>
          <cell r="P903" t="str">
            <v/>
          </cell>
          <cell r="Q903" t="str">
            <v/>
          </cell>
          <cell r="R903" t="e">
            <v>#N/A</v>
          </cell>
        </row>
        <row r="904">
          <cell r="A904" t="str">
            <v/>
          </cell>
          <cell r="B904" t="str">
            <v/>
          </cell>
          <cell r="C904" t="str">
            <v>Future</v>
          </cell>
          <cell r="D904" t="e">
            <v>#N/A</v>
          </cell>
          <cell r="E904">
            <v>-23.003622047243727</v>
          </cell>
          <cell r="F904">
            <v>99.594803149608481</v>
          </cell>
          <cell r="G904">
            <v>45.106614173228202</v>
          </cell>
          <cell r="H904">
            <v>45.106614173228202</v>
          </cell>
          <cell r="I904" t="e">
            <v>#N/A</v>
          </cell>
          <cell r="J904" t="e">
            <v>#N/A</v>
          </cell>
          <cell r="K904">
            <v>90</v>
          </cell>
          <cell r="L904">
            <v>50</v>
          </cell>
          <cell r="M904" t="e">
            <v>#N/A</v>
          </cell>
          <cell r="N904">
            <v>80</v>
          </cell>
          <cell r="O904" t="e">
            <v>#N/A</v>
          </cell>
          <cell r="P904" t="str">
            <v/>
          </cell>
          <cell r="Q904" t="str">
            <v/>
          </cell>
          <cell r="R904" t="e">
            <v>#N/A</v>
          </cell>
        </row>
        <row r="905">
          <cell r="A905" t="str">
            <v/>
          </cell>
          <cell r="B905" t="str">
            <v/>
          </cell>
          <cell r="C905" t="str">
            <v>Future</v>
          </cell>
          <cell r="D905" t="e">
            <v>#N/A</v>
          </cell>
          <cell r="E905">
            <v>-23.253661417322466</v>
          </cell>
          <cell r="F905">
            <v>99.699094488191164</v>
          </cell>
          <cell r="G905">
            <v>45.053425196850249</v>
          </cell>
          <cell r="H905">
            <v>45.053425196850249</v>
          </cell>
          <cell r="I905" t="e">
            <v>#N/A</v>
          </cell>
          <cell r="J905" t="e">
            <v>#N/A</v>
          </cell>
          <cell r="K905">
            <v>90</v>
          </cell>
          <cell r="L905">
            <v>50</v>
          </cell>
          <cell r="M905" t="e">
            <v>#N/A</v>
          </cell>
          <cell r="N905">
            <v>80</v>
          </cell>
          <cell r="O905" t="e">
            <v>#N/A</v>
          </cell>
          <cell r="P905" t="str">
            <v/>
          </cell>
          <cell r="Q905" t="str">
            <v/>
          </cell>
          <cell r="R905" t="e">
            <v>#N/A</v>
          </cell>
        </row>
        <row r="906">
          <cell r="A906" t="str">
            <v/>
          </cell>
          <cell r="B906" t="str">
            <v/>
          </cell>
          <cell r="C906" t="str">
            <v>Future</v>
          </cell>
          <cell r="D906" t="e">
            <v>#N/A</v>
          </cell>
          <cell r="E906">
            <v>-23.503700787401204</v>
          </cell>
          <cell r="F906">
            <v>99.803385826773848</v>
          </cell>
          <cell r="G906">
            <v>45.000236220472296</v>
          </cell>
          <cell r="H906">
            <v>45.000236220472296</v>
          </cell>
          <cell r="I906" t="e">
            <v>#N/A</v>
          </cell>
          <cell r="J906" t="e">
            <v>#N/A</v>
          </cell>
          <cell r="K906">
            <v>90</v>
          </cell>
          <cell r="L906">
            <v>50</v>
          </cell>
          <cell r="M906" t="e">
            <v>#N/A</v>
          </cell>
          <cell r="N906">
            <v>80</v>
          </cell>
          <cell r="O906" t="e">
            <v>#N/A</v>
          </cell>
          <cell r="P906" t="str">
            <v/>
          </cell>
          <cell r="Q906" t="str">
            <v/>
          </cell>
          <cell r="R906" t="e">
            <v>#N/A</v>
          </cell>
        </row>
        <row r="907">
          <cell r="A907" t="str">
            <v/>
          </cell>
          <cell r="B907" t="str">
            <v/>
          </cell>
          <cell r="C907" t="str">
            <v>Future</v>
          </cell>
          <cell r="D907" t="e">
            <v>#N/A</v>
          </cell>
          <cell r="E907">
            <v>-23.753740157479942</v>
          </cell>
          <cell r="F907">
            <v>99.907677165356532</v>
          </cell>
          <cell r="G907">
            <v>44.947047244094342</v>
          </cell>
          <cell r="H907">
            <v>44.947047244094342</v>
          </cell>
          <cell r="I907" t="e">
            <v>#N/A</v>
          </cell>
          <cell r="J907" t="e">
            <v>#N/A</v>
          </cell>
          <cell r="K907">
            <v>90</v>
          </cell>
          <cell r="L907">
            <v>50</v>
          </cell>
          <cell r="M907" t="e">
            <v>#N/A</v>
          </cell>
          <cell r="N907">
            <v>80</v>
          </cell>
          <cell r="O907" t="e">
            <v>#N/A</v>
          </cell>
          <cell r="P907" t="str">
            <v/>
          </cell>
          <cell r="Q907" t="str">
            <v/>
          </cell>
          <cell r="R907" t="e">
            <v>#N/A</v>
          </cell>
        </row>
        <row r="908">
          <cell r="A908" t="str">
            <v/>
          </cell>
          <cell r="B908" t="str">
            <v/>
          </cell>
          <cell r="C908" t="str">
            <v>Future</v>
          </cell>
          <cell r="D908" t="e">
            <v>#N/A</v>
          </cell>
          <cell r="E908">
            <v>-24.003779527558681</v>
          </cell>
          <cell r="F908">
            <v>100.01196850393922</v>
          </cell>
          <cell r="G908">
            <v>44.893858267716389</v>
          </cell>
          <cell r="H908">
            <v>44.893858267716389</v>
          </cell>
          <cell r="I908" t="e">
            <v>#N/A</v>
          </cell>
          <cell r="J908" t="e">
            <v>#N/A</v>
          </cell>
          <cell r="K908">
            <v>90</v>
          </cell>
          <cell r="L908">
            <v>50</v>
          </cell>
          <cell r="M908" t="e">
            <v>#N/A</v>
          </cell>
          <cell r="N908">
            <v>80</v>
          </cell>
          <cell r="O908" t="e">
            <v>#N/A</v>
          </cell>
          <cell r="P908" t="str">
            <v/>
          </cell>
          <cell r="Q908" t="str">
            <v/>
          </cell>
          <cell r="R908" t="e">
            <v>#N/A</v>
          </cell>
        </row>
        <row r="909">
          <cell r="A909" t="str">
            <v/>
          </cell>
          <cell r="B909" t="str">
            <v/>
          </cell>
          <cell r="C909" t="str">
            <v>Future</v>
          </cell>
          <cell r="D909" t="e">
            <v>#N/A</v>
          </cell>
          <cell r="E909">
            <v>-24.253818897637419</v>
          </cell>
          <cell r="F909">
            <v>100.1162598425219</v>
          </cell>
          <cell r="G909">
            <v>44.840669291338436</v>
          </cell>
          <cell r="H909">
            <v>44.840669291338436</v>
          </cell>
          <cell r="I909" t="e">
            <v>#N/A</v>
          </cell>
          <cell r="J909" t="e">
            <v>#N/A</v>
          </cell>
          <cell r="K909">
            <v>90</v>
          </cell>
          <cell r="L909">
            <v>50</v>
          </cell>
          <cell r="M909" t="e">
            <v>#N/A</v>
          </cell>
          <cell r="N909">
            <v>80</v>
          </cell>
          <cell r="O909" t="e">
            <v>#N/A</v>
          </cell>
          <cell r="P909" t="str">
            <v/>
          </cell>
          <cell r="Q909" t="str">
            <v/>
          </cell>
          <cell r="R909" t="e">
            <v>#N/A</v>
          </cell>
        </row>
        <row r="910">
          <cell r="A910" t="str">
            <v/>
          </cell>
          <cell r="B910" t="str">
            <v/>
          </cell>
          <cell r="C910" t="str">
            <v>Future</v>
          </cell>
          <cell r="D910" t="e">
            <v>#N/A</v>
          </cell>
          <cell r="E910">
            <v>-24.503858267716158</v>
          </cell>
          <cell r="F910">
            <v>100.22055118110458</v>
          </cell>
          <cell r="G910">
            <v>44.787480314960483</v>
          </cell>
          <cell r="H910">
            <v>44.787480314960483</v>
          </cell>
          <cell r="I910" t="e">
            <v>#N/A</v>
          </cell>
          <cell r="J910" t="e">
            <v>#N/A</v>
          </cell>
          <cell r="K910">
            <v>90</v>
          </cell>
          <cell r="L910">
            <v>50</v>
          </cell>
          <cell r="M910" t="e">
            <v>#N/A</v>
          </cell>
          <cell r="N910">
            <v>80</v>
          </cell>
          <cell r="O910" t="e">
            <v>#N/A</v>
          </cell>
          <cell r="P910" t="str">
            <v/>
          </cell>
          <cell r="Q910" t="str">
            <v/>
          </cell>
          <cell r="R910" t="e">
            <v>#N/A</v>
          </cell>
        </row>
        <row r="911">
          <cell r="A911" t="str">
            <v/>
          </cell>
          <cell r="B911" t="str">
            <v/>
          </cell>
          <cell r="C911" t="str">
            <v>Future</v>
          </cell>
          <cell r="D911" t="e">
            <v>#N/A</v>
          </cell>
          <cell r="E911">
            <v>-24.753897637794896</v>
          </cell>
          <cell r="F911">
            <v>100.32484251968727</v>
          </cell>
          <cell r="G911">
            <v>44.73429133858253</v>
          </cell>
          <cell r="H911">
            <v>44.73429133858253</v>
          </cell>
          <cell r="I911" t="e">
            <v>#N/A</v>
          </cell>
          <cell r="J911" t="e">
            <v>#N/A</v>
          </cell>
          <cell r="K911">
            <v>90</v>
          </cell>
          <cell r="L911">
            <v>50</v>
          </cell>
          <cell r="M911" t="e">
            <v>#N/A</v>
          </cell>
          <cell r="N911">
            <v>80</v>
          </cell>
          <cell r="O911" t="e">
            <v>#N/A</v>
          </cell>
          <cell r="P911" t="str">
            <v/>
          </cell>
          <cell r="Q911" t="str">
            <v/>
          </cell>
          <cell r="R911" t="e">
            <v>#N/A</v>
          </cell>
        </row>
        <row r="912">
          <cell r="A912" t="str">
            <v/>
          </cell>
          <cell r="B912" t="str">
            <v/>
          </cell>
          <cell r="C912" t="str">
            <v>Future</v>
          </cell>
          <cell r="D912" t="e">
            <v>#N/A</v>
          </cell>
          <cell r="E912">
            <v>-25.003937007873635</v>
          </cell>
          <cell r="F912">
            <v>100.42913385826995</v>
          </cell>
          <cell r="G912">
            <v>44.681102362204577</v>
          </cell>
          <cell r="H912">
            <v>44.681102362204577</v>
          </cell>
          <cell r="I912" t="e">
            <v>#N/A</v>
          </cell>
          <cell r="J912" t="e">
            <v>#N/A</v>
          </cell>
          <cell r="K912">
            <v>90</v>
          </cell>
          <cell r="L912">
            <v>50</v>
          </cell>
          <cell r="M912" t="e">
            <v>#N/A</v>
          </cell>
          <cell r="N912">
            <v>80</v>
          </cell>
          <cell r="O912" t="e">
            <v>#N/A</v>
          </cell>
          <cell r="P912" t="str">
            <v/>
          </cell>
          <cell r="Q912" t="str">
            <v/>
          </cell>
          <cell r="R912" t="e">
            <v>#N/A</v>
          </cell>
        </row>
        <row r="913">
          <cell r="A913" t="str">
            <v/>
          </cell>
          <cell r="B913" t="str">
            <v/>
          </cell>
          <cell r="C913" t="str">
            <v>Future</v>
          </cell>
          <cell r="D913" t="e">
            <v>#N/A</v>
          </cell>
          <cell r="E913">
            <v>-25.253976377952373</v>
          </cell>
          <cell r="F913">
            <v>100.53342519685263</v>
          </cell>
          <cell r="G913">
            <v>44.627913385826623</v>
          </cell>
          <cell r="H913">
            <v>44.627913385826623</v>
          </cell>
          <cell r="I913" t="e">
            <v>#N/A</v>
          </cell>
          <cell r="J913" t="e">
            <v>#N/A</v>
          </cell>
          <cell r="K913">
            <v>90</v>
          </cell>
          <cell r="L913">
            <v>50</v>
          </cell>
          <cell r="M913" t="e">
            <v>#N/A</v>
          </cell>
          <cell r="N913">
            <v>80</v>
          </cell>
          <cell r="O913" t="e">
            <v>#N/A</v>
          </cell>
          <cell r="P913" t="str">
            <v/>
          </cell>
          <cell r="Q913" t="str">
            <v/>
          </cell>
          <cell r="R913" t="e">
            <v>#N/A</v>
          </cell>
        </row>
        <row r="914">
          <cell r="A914" t="str">
            <v/>
          </cell>
          <cell r="B914" t="str">
            <v/>
          </cell>
          <cell r="C914" t="str">
            <v>Future</v>
          </cell>
          <cell r="D914" t="e">
            <v>#N/A</v>
          </cell>
          <cell r="E914">
            <v>-25.504015748031112</v>
          </cell>
          <cell r="F914">
            <v>100.63771653543532</v>
          </cell>
          <cell r="G914">
            <v>44.57472440944867</v>
          </cell>
          <cell r="H914">
            <v>44.57472440944867</v>
          </cell>
          <cell r="I914" t="e">
            <v>#N/A</v>
          </cell>
          <cell r="J914" t="e">
            <v>#N/A</v>
          </cell>
          <cell r="K914">
            <v>90</v>
          </cell>
          <cell r="L914">
            <v>50</v>
          </cell>
          <cell r="M914" t="e">
            <v>#N/A</v>
          </cell>
          <cell r="N914">
            <v>80</v>
          </cell>
          <cell r="O914" t="e">
            <v>#N/A</v>
          </cell>
          <cell r="P914" t="str">
            <v/>
          </cell>
          <cell r="Q914" t="str">
            <v/>
          </cell>
          <cell r="R914" t="e">
            <v>#N/A</v>
          </cell>
        </row>
        <row r="915">
          <cell r="A915" t="str">
            <v/>
          </cell>
          <cell r="B915" t="str">
            <v/>
          </cell>
          <cell r="C915" t="str">
            <v>Future</v>
          </cell>
          <cell r="D915" t="e">
            <v>#N/A</v>
          </cell>
          <cell r="E915">
            <v>-25.75405511810985</v>
          </cell>
          <cell r="F915">
            <v>100.742007874018</v>
          </cell>
          <cell r="G915">
            <v>44.521535433070717</v>
          </cell>
          <cell r="H915">
            <v>44.521535433070717</v>
          </cell>
          <cell r="I915" t="e">
            <v>#N/A</v>
          </cell>
          <cell r="J915" t="e">
            <v>#N/A</v>
          </cell>
          <cell r="K915">
            <v>90</v>
          </cell>
          <cell r="L915">
            <v>50</v>
          </cell>
          <cell r="M915" t="e">
            <v>#N/A</v>
          </cell>
          <cell r="N915">
            <v>80</v>
          </cell>
          <cell r="O915" t="e">
            <v>#N/A</v>
          </cell>
          <cell r="P915" t="str">
            <v/>
          </cell>
          <cell r="Q915" t="str">
            <v/>
          </cell>
          <cell r="R915" t="e">
            <v>#N/A</v>
          </cell>
        </row>
        <row r="916">
          <cell r="A916" t="str">
            <v/>
          </cell>
          <cell r="B916" t="str">
            <v/>
          </cell>
          <cell r="C916" t="str">
            <v>Future</v>
          </cell>
          <cell r="D916" t="e">
            <v>#N/A</v>
          </cell>
          <cell r="E916">
            <v>-26.004094488188588</v>
          </cell>
          <cell r="F916">
            <v>100.84629921260068</v>
          </cell>
          <cell r="G916">
            <v>44.468346456692764</v>
          </cell>
          <cell r="H916">
            <v>44.468346456692764</v>
          </cell>
          <cell r="I916" t="e">
            <v>#N/A</v>
          </cell>
          <cell r="J916" t="e">
            <v>#N/A</v>
          </cell>
          <cell r="K916">
            <v>90</v>
          </cell>
          <cell r="L916">
            <v>50</v>
          </cell>
          <cell r="M916" t="e">
            <v>#N/A</v>
          </cell>
          <cell r="N916">
            <v>80</v>
          </cell>
          <cell r="O916" t="e">
            <v>#N/A</v>
          </cell>
          <cell r="P916" t="str">
            <v/>
          </cell>
          <cell r="Q916" t="str">
            <v/>
          </cell>
          <cell r="R916" t="e">
            <v>#N/A</v>
          </cell>
        </row>
        <row r="917">
          <cell r="A917" t="str">
            <v/>
          </cell>
          <cell r="B917" t="str">
            <v/>
          </cell>
          <cell r="C917" t="str">
            <v>Future</v>
          </cell>
          <cell r="D917" t="e">
            <v>#N/A</v>
          </cell>
          <cell r="E917">
            <v>-26.254133858267327</v>
          </cell>
          <cell r="F917">
            <v>100.95059055118337</v>
          </cell>
          <cell r="G917">
            <v>44.415157480314811</v>
          </cell>
          <cell r="H917">
            <v>44.415157480314811</v>
          </cell>
          <cell r="I917" t="e">
            <v>#N/A</v>
          </cell>
          <cell r="J917" t="e">
            <v>#N/A</v>
          </cell>
          <cell r="K917">
            <v>90</v>
          </cell>
          <cell r="L917">
            <v>50</v>
          </cell>
          <cell r="M917" t="e">
            <v>#N/A</v>
          </cell>
          <cell r="N917">
            <v>80</v>
          </cell>
          <cell r="O917" t="e">
            <v>#N/A</v>
          </cell>
          <cell r="P917" t="str">
            <v/>
          </cell>
          <cell r="Q917" t="str">
            <v/>
          </cell>
          <cell r="R917" t="e">
            <v>#N/A</v>
          </cell>
        </row>
        <row r="918">
          <cell r="A918" t="str">
            <v/>
          </cell>
          <cell r="B918" t="str">
            <v/>
          </cell>
          <cell r="C918" t="str">
            <v>Future</v>
          </cell>
          <cell r="D918" t="e">
            <v>#N/A</v>
          </cell>
          <cell r="E918">
            <v>-26.504173228346065</v>
          </cell>
          <cell r="F918">
            <v>101.05488188976605</v>
          </cell>
          <cell r="G918">
            <v>44.361968503936858</v>
          </cell>
          <cell r="H918">
            <v>44.361968503936858</v>
          </cell>
          <cell r="I918" t="e">
            <v>#N/A</v>
          </cell>
          <cell r="J918" t="e">
            <v>#N/A</v>
          </cell>
          <cell r="K918">
            <v>90</v>
          </cell>
          <cell r="L918">
            <v>50</v>
          </cell>
          <cell r="M918" t="e">
            <v>#N/A</v>
          </cell>
          <cell r="N918">
            <v>80</v>
          </cell>
          <cell r="O918" t="e">
            <v>#N/A</v>
          </cell>
          <cell r="P918" t="str">
            <v/>
          </cell>
          <cell r="Q918" t="str">
            <v/>
          </cell>
          <cell r="R918" t="e">
            <v>#N/A</v>
          </cell>
        </row>
        <row r="919">
          <cell r="A919" t="str">
            <v/>
          </cell>
          <cell r="B919" t="str">
            <v/>
          </cell>
          <cell r="C919" t="str">
            <v>Future</v>
          </cell>
          <cell r="D919" t="e">
            <v>#N/A</v>
          </cell>
          <cell r="E919">
            <v>-26.754212598424804</v>
          </cell>
          <cell r="F919">
            <v>101.15917322834873</v>
          </cell>
          <cell r="G919">
            <v>44.308779527558904</v>
          </cell>
          <cell r="H919">
            <v>44.308779527558904</v>
          </cell>
          <cell r="I919" t="e">
            <v>#N/A</v>
          </cell>
          <cell r="J919" t="e">
            <v>#N/A</v>
          </cell>
          <cell r="K919">
            <v>90</v>
          </cell>
          <cell r="L919">
            <v>50</v>
          </cell>
          <cell r="M919" t="e">
            <v>#N/A</v>
          </cell>
          <cell r="N919">
            <v>80</v>
          </cell>
          <cell r="O919" t="e">
            <v>#N/A</v>
          </cell>
          <cell r="P919" t="str">
            <v/>
          </cell>
          <cell r="Q919" t="str">
            <v/>
          </cell>
          <cell r="R919" t="e">
            <v>#N/A</v>
          </cell>
        </row>
        <row r="920">
          <cell r="A920" t="str">
            <v/>
          </cell>
          <cell r="B920" t="str">
            <v/>
          </cell>
          <cell r="C920" t="str">
            <v>Future</v>
          </cell>
          <cell r="D920" t="e">
            <v>#N/A</v>
          </cell>
          <cell r="E920">
            <v>-27.004251968503542</v>
          </cell>
          <cell r="F920">
            <v>101.26346456693142</v>
          </cell>
          <cell r="G920">
            <v>44.255590551180951</v>
          </cell>
          <cell r="H920">
            <v>44.255590551180951</v>
          </cell>
          <cell r="I920" t="e">
            <v>#N/A</v>
          </cell>
          <cell r="J920" t="e">
            <v>#N/A</v>
          </cell>
          <cell r="K920">
            <v>90</v>
          </cell>
          <cell r="L920">
            <v>50</v>
          </cell>
          <cell r="M920" t="e">
            <v>#N/A</v>
          </cell>
          <cell r="N920">
            <v>80</v>
          </cell>
          <cell r="O920" t="e">
            <v>#N/A</v>
          </cell>
          <cell r="P920" t="str">
            <v/>
          </cell>
          <cell r="Q920" t="str">
            <v/>
          </cell>
          <cell r="R920" t="e">
            <v>#N/A</v>
          </cell>
        </row>
        <row r="921">
          <cell r="A921" t="str">
            <v/>
          </cell>
          <cell r="B921" t="str">
            <v/>
          </cell>
          <cell r="C921" t="str">
            <v>Future</v>
          </cell>
          <cell r="D921" t="e">
            <v>#N/A</v>
          </cell>
          <cell r="E921">
            <v>-27.254291338582281</v>
          </cell>
          <cell r="F921">
            <v>101.3677559055141</v>
          </cell>
          <cell r="G921">
            <v>44.202401574802998</v>
          </cell>
          <cell r="H921">
            <v>44.202401574802998</v>
          </cell>
          <cell r="I921" t="e">
            <v>#N/A</v>
          </cell>
          <cell r="J921" t="e">
            <v>#N/A</v>
          </cell>
          <cell r="K921">
            <v>90</v>
          </cell>
          <cell r="L921">
            <v>50</v>
          </cell>
          <cell r="M921" t="e">
            <v>#N/A</v>
          </cell>
          <cell r="N921">
            <v>80</v>
          </cell>
          <cell r="O921" t="e">
            <v>#N/A</v>
          </cell>
          <cell r="P921" t="str">
            <v/>
          </cell>
          <cell r="Q921" t="str">
            <v/>
          </cell>
          <cell r="R921" t="e">
            <v>#N/A</v>
          </cell>
        </row>
        <row r="922">
          <cell r="A922" t="str">
            <v/>
          </cell>
          <cell r="B922" t="str">
            <v/>
          </cell>
          <cell r="C922" t="str">
            <v>Future</v>
          </cell>
          <cell r="D922" t="e">
            <v>#N/A</v>
          </cell>
          <cell r="E922">
            <v>-27.504330708661019</v>
          </cell>
          <cell r="F922">
            <v>101.47204724409679</v>
          </cell>
          <cell r="G922">
            <v>44.149212598425045</v>
          </cell>
          <cell r="H922">
            <v>44.149212598425045</v>
          </cell>
          <cell r="I922" t="e">
            <v>#N/A</v>
          </cell>
          <cell r="J922" t="e">
            <v>#N/A</v>
          </cell>
          <cell r="K922">
            <v>90</v>
          </cell>
          <cell r="L922">
            <v>50</v>
          </cell>
          <cell r="M922" t="e">
            <v>#N/A</v>
          </cell>
          <cell r="N922">
            <v>80</v>
          </cell>
          <cell r="O922" t="e">
            <v>#N/A</v>
          </cell>
          <cell r="P922" t="str">
            <v/>
          </cell>
          <cell r="Q922" t="str">
            <v/>
          </cell>
          <cell r="R922" t="e">
            <v>#N/A</v>
          </cell>
        </row>
        <row r="923">
          <cell r="A923" t="str">
            <v/>
          </cell>
          <cell r="B923" t="str">
            <v/>
          </cell>
          <cell r="C923" t="str">
            <v>Future</v>
          </cell>
          <cell r="D923" t="e">
            <v>#N/A</v>
          </cell>
          <cell r="E923">
            <v>-27.754370078739758</v>
          </cell>
          <cell r="F923">
            <v>101.57633858267947</v>
          </cell>
          <cell r="G923">
            <v>44.096023622047092</v>
          </cell>
          <cell r="H923">
            <v>44.096023622047092</v>
          </cell>
          <cell r="I923" t="e">
            <v>#N/A</v>
          </cell>
          <cell r="J923" t="e">
            <v>#N/A</v>
          </cell>
          <cell r="K923">
            <v>90</v>
          </cell>
          <cell r="L923">
            <v>50</v>
          </cell>
          <cell r="M923" t="e">
            <v>#N/A</v>
          </cell>
          <cell r="N923">
            <v>80</v>
          </cell>
          <cell r="O923" t="e">
            <v>#N/A</v>
          </cell>
          <cell r="P923" t="str">
            <v/>
          </cell>
          <cell r="Q923" t="str">
            <v/>
          </cell>
          <cell r="R923" t="e">
            <v>#N/A</v>
          </cell>
        </row>
        <row r="924">
          <cell r="A924" t="str">
            <v/>
          </cell>
          <cell r="B924" t="str">
            <v/>
          </cell>
          <cell r="C924" t="str">
            <v>Future</v>
          </cell>
          <cell r="D924" t="e">
            <v>#N/A</v>
          </cell>
          <cell r="E924">
            <v>-28.004409448818496</v>
          </cell>
          <cell r="F924">
            <v>101.68062992126215</v>
          </cell>
          <cell r="G924">
            <v>44.042834645669139</v>
          </cell>
          <cell r="H924">
            <v>44.042834645669139</v>
          </cell>
          <cell r="I924" t="e">
            <v>#N/A</v>
          </cell>
          <cell r="J924" t="e">
            <v>#N/A</v>
          </cell>
          <cell r="K924">
            <v>90</v>
          </cell>
          <cell r="L924">
            <v>50</v>
          </cell>
          <cell r="M924" t="e">
            <v>#N/A</v>
          </cell>
          <cell r="N924">
            <v>80</v>
          </cell>
          <cell r="O924" t="e">
            <v>#N/A</v>
          </cell>
          <cell r="P924" t="str">
            <v/>
          </cell>
          <cell r="Q924" t="str">
            <v/>
          </cell>
          <cell r="R924" t="e">
            <v>#N/A</v>
          </cell>
        </row>
        <row r="925">
          <cell r="A925" t="str">
            <v/>
          </cell>
          <cell r="B925" t="str">
            <v/>
          </cell>
          <cell r="C925" t="str">
            <v>Future</v>
          </cell>
          <cell r="D925" t="e">
            <v>#N/A</v>
          </cell>
          <cell r="E925">
            <v>-28.254448818897234</v>
          </cell>
          <cell r="F925">
            <v>101.78492125984484</v>
          </cell>
          <cell r="G925">
            <v>43.989645669291185</v>
          </cell>
          <cell r="H925">
            <v>43.989645669291185</v>
          </cell>
          <cell r="I925" t="e">
            <v>#N/A</v>
          </cell>
          <cell r="J925" t="e">
            <v>#N/A</v>
          </cell>
          <cell r="K925">
            <v>90</v>
          </cell>
          <cell r="L925">
            <v>50</v>
          </cell>
          <cell r="M925" t="e">
            <v>#N/A</v>
          </cell>
          <cell r="N925">
            <v>80</v>
          </cell>
          <cell r="O925" t="e">
            <v>#N/A</v>
          </cell>
          <cell r="P925" t="str">
            <v/>
          </cell>
          <cell r="Q925" t="str">
            <v/>
          </cell>
          <cell r="R925" t="e">
            <v>#N/A</v>
          </cell>
        </row>
        <row r="926">
          <cell r="A926" t="str">
            <v/>
          </cell>
          <cell r="B926" t="str">
            <v/>
          </cell>
          <cell r="C926" t="str">
            <v>Future</v>
          </cell>
          <cell r="D926" t="e">
            <v>#N/A</v>
          </cell>
          <cell r="E926">
            <v>-28.504488188975973</v>
          </cell>
          <cell r="F926">
            <v>101.88921259842752</v>
          </cell>
          <cell r="G926">
            <v>43.936456692913232</v>
          </cell>
          <cell r="H926">
            <v>43.936456692913232</v>
          </cell>
          <cell r="I926" t="e">
            <v>#N/A</v>
          </cell>
          <cell r="J926" t="e">
            <v>#N/A</v>
          </cell>
          <cell r="K926">
            <v>90</v>
          </cell>
          <cell r="L926">
            <v>50</v>
          </cell>
          <cell r="M926" t="e">
            <v>#N/A</v>
          </cell>
          <cell r="N926">
            <v>80</v>
          </cell>
          <cell r="O926" t="e">
            <v>#N/A</v>
          </cell>
          <cell r="P926" t="str">
            <v/>
          </cell>
          <cell r="Q926" t="str">
            <v/>
          </cell>
          <cell r="R926" t="e">
            <v>#N/A</v>
          </cell>
        </row>
        <row r="927">
          <cell r="A927" t="str">
            <v/>
          </cell>
          <cell r="B927" t="str">
            <v/>
          </cell>
          <cell r="C927" t="str">
            <v>Future</v>
          </cell>
          <cell r="D927" t="e">
            <v>#N/A</v>
          </cell>
          <cell r="E927">
            <v>-28.754527559054711</v>
          </cell>
          <cell r="F927">
            <v>101.9935039370102</v>
          </cell>
          <cell r="G927">
            <v>43.883267716535279</v>
          </cell>
          <cell r="H927">
            <v>43.883267716535279</v>
          </cell>
          <cell r="I927" t="e">
            <v>#N/A</v>
          </cell>
          <cell r="J927" t="e">
            <v>#N/A</v>
          </cell>
          <cell r="K927">
            <v>90</v>
          </cell>
          <cell r="L927">
            <v>50</v>
          </cell>
          <cell r="M927" t="e">
            <v>#N/A</v>
          </cell>
          <cell r="N927">
            <v>80</v>
          </cell>
          <cell r="O927" t="e">
            <v>#N/A</v>
          </cell>
          <cell r="P927" t="str">
            <v/>
          </cell>
          <cell r="Q927" t="str">
            <v/>
          </cell>
          <cell r="R927" t="e">
            <v>#N/A</v>
          </cell>
        </row>
        <row r="928">
          <cell r="A928" t="str">
            <v/>
          </cell>
          <cell r="B928" t="str">
            <v/>
          </cell>
          <cell r="C928" t="str">
            <v>Future</v>
          </cell>
          <cell r="D928" t="e">
            <v>#N/A</v>
          </cell>
          <cell r="E928">
            <v>-29.00456692913345</v>
          </cell>
          <cell r="F928">
            <v>102.09779527559289</v>
          </cell>
          <cell r="G928">
            <v>43.830078740157326</v>
          </cell>
          <cell r="H928">
            <v>43.830078740157326</v>
          </cell>
          <cell r="I928" t="e">
            <v>#N/A</v>
          </cell>
          <cell r="J928" t="e">
            <v>#N/A</v>
          </cell>
          <cell r="K928">
            <v>90</v>
          </cell>
          <cell r="L928">
            <v>50</v>
          </cell>
          <cell r="M928" t="e">
            <v>#N/A</v>
          </cell>
          <cell r="N928">
            <v>80</v>
          </cell>
          <cell r="O928" t="e">
            <v>#N/A</v>
          </cell>
          <cell r="P928" t="str">
            <v/>
          </cell>
          <cell r="Q928" t="str">
            <v/>
          </cell>
          <cell r="R928" t="e">
            <v>#N/A</v>
          </cell>
        </row>
        <row r="929">
          <cell r="A929" t="str">
            <v/>
          </cell>
          <cell r="B929" t="str">
            <v/>
          </cell>
          <cell r="C929" t="str">
            <v>Future</v>
          </cell>
          <cell r="D929" t="e">
            <v>#N/A</v>
          </cell>
          <cell r="E929">
            <v>-29.254606299212188</v>
          </cell>
          <cell r="F929">
            <v>102.20208661417557</v>
          </cell>
          <cell r="G929">
            <v>43.776889763779373</v>
          </cell>
          <cell r="H929">
            <v>43.776889763779373</v>
          </cell>
          <cell r="I929" t="e">
            <v>#N/A</v>
          </cell>
          <cell r="J929" t="e">
            <v>#N/A</v>
          </cell>
          <cell r="K929">
            <v>90</v>
          </cell>
          <cell r="L929">
            <v>50</v>
          </cell>
          <cell r="M929" t="e">
            <v>#N/A</v>
          </cell>
          <cell r="N929">
            <v>80</v>
          </cell>
          <cell r="O929" t="e">
            <v>#N/A</v>
          </cell>
          <cell r="P929" t="str">
            <v/>
          </cell>
          <cell r="Q929" t="str">
            <v/>
          </cell>
          <cell r="R929" t="e">
            <v>#N/A</v>
          </cell>
        </row>
        <row r="930">
          <cell r="A930" t="str">
            <v/>
          </cell>
          <cell r="B930" t="str">
            <v/>
          </cell>
          <cell r="C930" t="str">
            <v>Future</v>
          </cell>
          <cell r="D930" t="e">
            <v>#N/A</v>
          </cell>
          <cell r="E930">
            <v>-29.504645669290927</v>
          </cell>
          <cell r="F930">
            <v>102.30637795275825</v>
          </cell>
          <cell r="G930">
            <v>43.72370078740142</v>
          </cell>
          <cell r="H930">
            <v>43.72370078740142</v>
          </cell>
          <cell r="I930" t="e">
            <v>#N/A</v>
          </cell>
          <cell r="J930" t="e">
            <v>#N/A</v>
          </cell>
          <cell r="K930">
            <v>90</v>
          </cell>
          <cell r="L930">
            <v>50</v>
          </cell>
          <cell r="M930" t="e">
            <v>#N/A</v>
          </cell>
          <cell r="N930">
            <v>80</v>
          </cell>
          <cell r="O930" t="e">
            <v>#N/A</v>
          </cell>
          <cell r="P930" t="str">
            <v/>
          </cell>
          <cell r="Q930" t="str">
            <v/>
          </cell>
          <cell r="R930" t="e">
            <v>#N/A</v>
          </cell>
        </row>
        <row r="931">
          <cell r="A931" t="str">
            <v/>
          </cell>
          <cell r="B931" t="str">
            <v/>
          </cell>
          <cell r="C931" t="str">
            <v>Future</v>
          </cell>
          <cell r="D931" t="e">
            <v>#N/A</v>
          </cell>
          <cell r="E931">
            <v>-29.754685039369665</v>
          </cell>
          <cell r="F931">
            <v>102.41066929134094</v>
          </cell>
          <cell r="G931">
            <v>43.670511811023466</v>
          </cell>
          <cell r="H931">
            <v>43.670511811023466</v>
          </cell>
          <cell r="I931" t="e">
            <v>#N/A</v>
          </cell>
          <cell r="J931" t="e">
            <v>#N/A</v>
          </cell>
          <cell r="K931">
            <v>90</v>
          </cell>
          <cell r="L931">
            <v>50</v>
          </cell>
          <cell r="M931" t="e">
            <v>#N/A</v>
          </cell>
          <cell r="N931">
            <v>80</v>
          </cell>
          <cell r="O931" t="e">
            <v>#N/A</v>
          </cell>
          <cell r="P931" t="str">
            <v/>
          </cell>
          <cell r="Q931" t="str">
            <v/>
          </cell>
          <cell r="R931" t="e">
            <v>#N/A</v>
          </cell>
        </row>
        <row r="932">
          <cell r="A932" t="str">
            <v/>
          </cell>
          <cell r="B932" t="str">
            <v/>
          </cell>
          <cell r="C932" t="str">
            <v>Future</v>
          </cell>
          <cell r="D932" t="e">
            <v>#N/A</v>
          </cell>
          <cell r="E932">
            <v>-30.004724409448404</v>
          </cell>
          <cell r="F932">
            <v>102.51496062992362</v>
          </cell>
          <cell r="G932">
            <v>43.617322834645513</v>
          </cell>
          <cell r="H932">
            <v>43.617322834645513</v>
          </cell>
          <cell r="I932" t="e">
            <v>#N/A</v>
          </cell>
          <cell r="J932" t="e">
            <v>#N/A</v>
          </cell>
          <cell r="K932">
            <v>90</v>
          </cell>
          <cell r="L932">
            <v>50</v>
          </cell>
          <cell r="M932" t="e">
            <v>#N/A</v>
          </cell>
          <cell r="N932">
            <v>80</v>
          </cell>
          <cell r="O932" t="e">
            <v>#N/A</v>
          </cell>
          <cell r="P932" t="str">
            <v/>
          </cell>
          <cell r="Q932" t="str">
            <v/>
          </cell>
          <cell r="R932" t="e">
            <v>#N/A</v>
          </cell>
        </row>
        <row r="933">
          <cell r="A933" t="str">
            <v/>
          </cell>
          <cell r="B933" t="str">
            <v/>
          </cell>
          <cell r="C933" t="str">
            <v>Future</v>
          </cell>
          <cell r="D933" t="e">
            <v>#N/A</v>
          </cell>
          <cell r="E933">
            <v>-30.254763779527142</v>
          </cell>
          <cell r="F933">
            <v>102.6192519685063</v>
          </cell>
          <cell r="G933">
            <v>43.56413385826756</v>
          </cell>
          <cell r="H933">
            <v>43.56413385826756</v>
          </cell>
          <cell r="I933" t="e">
            <v>#N/A</v>
          </cell>
          <cell r="J933" t="e">
            <v>#N/A</v>
          </cell>
          <cell r="K933">
            <v>90</v>
          </cell>
          <cell r="L933">
            <v>50</v>
          </cell>
          <cell r="M933" t="e">
            <v>#N/A</v>
          </cell>
          <cell r="N933">
            <v>80</v>
          </cell>
          <cell r="O933" t="e">
            <v>#N/A</v>
          </cell>
          <cell r="P933" t="str">
            <v/>
          </cell>
          <cell r="Q933" t="str">
            <v/>
          </cell>
          <cell r="R933" t="e">
            <v>#N/A</v>
          </cell>
        </row>
        <row r="934">
          <cell r="A934" t="str">
            <v/>
          </cell>
          <cell r="B934" t="str">
            <v/>
          </cell>
          <cell r="C934" t="str">
            <v>Future</v>
          </cell>
          <cell r="D934" t="e">
            <v>#N/A</v>
          </cell>
          <cell r="E934">
            <v>-30.50480314960588</v>
          </cell>
          <cell r="F934">
            <v>102.72354330708899</v>
          </cell>
          <cell r="G934">
            <v>43.510944881889607</v>
          </cell>
          <cell r="H934">
            <v>43.510944881889607</v>
          </cell>
          <cell r="I934" t="e">
            <v>#N/A</v>
          </cell>
          <cell r="J934" t="e">
            <v>#N/A</v>
          </cell>
          <cell r="K934">
            <v>90</v>
          </cell>
          <cell r="L934">
            <v>50</v>
          </cell>
          <cell r="M934" t="e">
            <v>#N/A</v>
          </cell>
          <cell r="N934">
            <v>80</v>
          </cell>
          <cell r="O934" t="e">
            <v>#N/A</v>
          </cell>
          <cell r="P934" t="str">
            <v/>
          </cell>
          <cell r="Q934" t="str">
            <v/>
          </cell>
          <cell r="R934" t="e">
            <v>#N/A</v>
          </cell>
        </row>
        <row r="935">
          <cell r="A935" t="str">
            <v/>
          </cell>
          <cell r="B935" t="str">
            <v/>
          </cell>
          <cell r="C935" t="str">
            <v>Future</v>
          </cell>
          <cell r="D935" t="e">
            <v>#N/A</v>
          </cell>
          <cell r="E935">
            <v>-30.754842519684619</v>
          </cell>
          <cell r="F935">
            <v>102.82783464567167</v>
          </cell>
          <cell r="G935">
            <v>43.457755905511654</v>
          </cell>
          <cell r="H935">
            <v>43.457755905511654</v>
          </cell>
          <cell r="I935" t="e">
            <v>#N/A</v>
          </cell>
          <cell r="J935" t="e">
            <v>#N/A</v>
          </cell>
          <cell r="K935">
            <v>90</v>
          </cell>
          <cell r="L935">
            <v>50</v>
          </cell>
          <cell r="M935" t="e">
            <v>#N/A</v>
          </cell>
          <cell r="N935">
            <v>80</v>
          </cell>
          <cell r="O935" t="e">
            <v>#N/A</v>
          </cell>
          <cell r="P935" t="str">
            <v/>
          </cell>
          <cell r="Q935" t="str">
            <v/>
          </cell>
          <cell r="R935" t="e">
            <v>#N/A</v>
          </cell>
        </row>
        <row r="936">
          <cell r="A936" t="str">
            <v/>
          </cell>
          <cell r="B936" t="str">
            <v/>
          </cell>
          <cell r="C936" t="str">
            <v>Future</v>
          </cell>
          <cell r="D936" t="e">
            <v>#N/A</v>
          </cell>
          <cell r="E936">
            <v>-31.004881889763357</v>
          </cell>
          <cell r="F936">
            <v>102.93212598425436</v>
          </cell>
          <cell r="G936">
            <v>43.404566929133701</v>
          </cell>
          <cell r="H936">
            <v>43.404566929133701</v>
          </cell>
          <cell r="I936" t="e">
            <v>#N/A</v>
          </cell>
          <cell r="J936" t="e">
            <v>#N/A</v>
          </cell>
          <cell r="K936">
            <v>90</v>
          </cell>
          <cell r="L936">
            <v>50</v>
          </cell>
          <cell r="M936" t="e">
            <v>#N/A</v>
          </cell>
          <cell r="N936">
            <v>80</v>
          </cell>
          <cell r="O936" t="e">
            <v>#N/A</v>
          </cell>
          <cell r="P936" t="str">
            <v/>
          </cell>
          <cell r="Q936" t="str">
            <v/>
          </cell>
          <cell r="R936" t="e">
            <v>#N/A</v>
          </cell>
        </row>
        <row r="937">
          <cell r="A937" t="str">
            <v/>
          </cell>
          <cell r="B937" t="str">
            <v/>
          </cell>
          <cell r="C937" t="str">
            <v>Future</v>
          </cell>
          <cell r="D937" t="e">
            <v>#N/A</v>
          </cell>
          <cell r="E937">
            <v>-31.254921259842096</v>
          </cell>
          <cell r="F937">
            <v>103.03641732283704</v>
          </cell>
          <cell r="G937">
            <v>43.351377952755747</v>
          </cell>
          <cell r="H937">
            <v>43.351377952755747</v>
          </cell>
          <cell r="I937" t="e">
            <v>#N/A</v>
          </cell>
          <cell r="J937" t="e">
            <v>#N/A</v>
          </cell>
          <cell r="K937">
            <v>90</v>
          </cell>
          <cell r="L937">
            <v>50</v>
          </cell>
          <cell r="M937" t="e">
            <v>#N/A</v>
          </cell>
          <cell r="N937">
            <v>80</v>
          </cell>
          <cell r="O937" t="e">
            <v>#N/A</v>
          </cell>
          <cell r="P937" t="str">
            <v/>
          </cell>
          <cell r="Q937" t="str">
            <v/>
          </cell>
          <cell r="R937" t="e">
            <v>#N/A</v>
          </cell>
        </row>
        <row r="938">
          <cell r="A938" t="str">
            <v/>
          </cell>
          <cell r="B938" t="str">
            <v/>
          </cell>
          <cell r="C938" t="str">
            <v>Future</v>
          </cell>
          <cell r="D938" t="e">
            <v>#N/A</v>
          </cell>
          <cell r="E938">
            <v>-31.504960629920834</v>
          </cell>
          <cell r="F938">
            <v>103.14070866141972</v>
          </cell>
          <cell r="G938">
            <v>43.298188976377794</v>
          </cell>
          <cell r="H938">
            <v>43.298188976377794</v>
          </cell>
          <cell r="I938" t="e">
            <v>#N/A</v>
          </cell>
          <cell r="J938" t="e">
            <v>#N/A</v>
          </cell>
          <cell r="K938">
            <v>90</v>
          </cell>
          <cell r="L938">
            <v>50</v>
          </cell>
          <cell r="M938" t="e">
            <v>#N/A</v>
          </cell>
          <cell r="N938">
            <v>80</v>
          </cell>
          <cell r="O938" t="e">
            <v>#N/A</v>
          </cell>
          <cell r="P938" t="str">
            <v/>
          </cell>
          <cell r="Q938" t="str">
            <v/>
          </cell>
          <cell r="R938" t="e">
            <v>#N/A</v>
          </cell>
        </row>
        <row r="939">
          <cell r="A939" t="str">
            <v/>
          </cell>
          <cell r="B939" t="str">
            <v/>
          </cell>
          <cell r="C939" t="str">
            <v>Future</v>
          </cell>
          <cell r="D939" t="e">
            <v>#N/A</v>
          </cell>
          <cell r="E939">
            <v>-31.754999999999573</v>
          </cell>
          <cell r="F939">
            <v>103.24500000000241</v>
          </cell>
          <cell r="G939">
            <v>43.244999999999841</v>
          </cell>
          <cell r="H939">
            <v>43.244999999999841</v>
          </cell>
          <cell r="I939" t="e">
            <v>#N/A</v>
          </cell>
          <cell r="J939" t="e">
            <v>#N/A</v>
          </cell>
          <cell r="K939">
            <v>90</v>
          </cell>
          <cell r="L939">
            <v>50</v>
          </cell>
          <cell r="M939" t="e">
            <v>#N/A</v>
          </cell>
          <cell r="N939">
            <v>80</v>
          </cell>
          <cell r="O939" t="e">
            <v>#N/A</v>
          </cell>
          <cell r="P939" t="str">
            <v/>
          </cell>
          <cell r="Q939" t="str">
            <v/>
          </cell>
          <cell r="R939" t="e">
            <v>#N/A</v>
          </cell>
        </row>
        <row r="940">
          <cell r="A940" t="str">
            <v/>
          </cell>
          <cell r="B940" t="str">
            <v/>
          </cell>
          <cell r="C940" t="str">
            <v>Future</v>
          </cell>
          <cell r="D940" t="e">
            <v>#N/A</v>
          </cell>
          <cell r="E940">
            <v>-32.005039370078315</v>
          </cell>
          <cell r="F940">
            <v>103.34929133858509</v>
          </cell>
          <cell r="G940">
            <v>43.191811023621888</v>
          </cell>
          <cell r="H940">
            <v>43.191811023621888</v>
          </cell>
          <cell r="I940" t="e">
            <v>#N/A</v>
          </cell>
          <cell r="J940" t="e">
            <v>#N/A</v>
          </cell>
          <cell r="K940">
            <v>90</v>
          </cell>
          <cell r="L940">
            <v>50</v>
          </cell>
          <cell r="M940" t="e">
            <v>#N/A</v>
          </cell>
          <cell r="N940">
            <v>80</v>
          </cell>
          <cell r="O940" t="e">
            <v>#N/A</v>
          </cell>
          <cell r="P940" t="str">
            <v/>
          </cell>
          <cell r="Q940" t="str">
            <v/>
          </cell>
          <cell r="R940" t="e">
            <v>#N/A</v>
          </cell>
        </row>
        <row r="941">
          <cell r="A941" t="str">
            <v/>
          </cell>
          <cell r="B941" t="str">
            <v/>
          </cell>
          <cell r="C941" t="str">
            <v>Future</v>
          </cell>
          <cell r="D941" t="e">
            <v>#N/A</v>
          </cell>
          <cell r="E941">
            <v>-32.255078740157053</v>
          </cell>
          <cell r="F941">
            <v>103.45358267716777</v>
          </cell>
          <cell r="G941">
            <v>43.138622047243935</v>
          </cell>
          <cell r="H941">
            <v>43.138622047243935</v>
          </cell>
          <cell r="I941" t="e">
            <v>#N/A</v>
          </cell>
          <cell r="J941" t="e">
            <v>#N/A</v>
          </cell>
          <cell r="K941">
            <v>90</v>
          </cell>
          <cell r="L941">
            <v>50</v>
          </cell>
          <cell r="M941" t="e">
            <v>#N/A</v>
          </cell>
          <cell r="N941">
            <v>80</v>
          </cell>
          <cell r="O941" t="e">
            <v>#N/A</v>
          </cell>
          <cell r="P941" t="str">
            <v/>
          </cell>
          <cell r="Q941" t="str">
            <v/>
          </cell>
          <cell r="R941" t="e">
            <v>#N/A</v>
          </cell>
        </row>
        <row r="942">
          <cell r="A942" t="str">
            <v/>
          </cell>
          <cell r="B942" t="str">
            <v/>
          </cell>
          <cell r="C942" t="str">
            <v>Future</v>
          </cell>
          <cell r="D942" t="e">
            <v>#N/A</v>
          </cell>
          <cell r="E942">
            <v>-32.505118110235792</v>
          </cell>
          <cell r="F942">
            <v>103.55787401575046</v>
          </cell>
          <cell r="G942">
            <v>43.085433070865982</v>
          </cell>
          <cell r="H942">
            <v>43.085433070865982</v>
          </cell>
          <cell r="I942" t="e">
            <v>#N/A</v>
          </cell>
          <cell r="J942" t="e">
            <v>#N/A</v>
          </cell>
          <cell r="K942">
            <v>90</v>
          </cell>
          <cell r="L942">
            <v>50</v>
          </cell>
          <cell r="M942" t="e">
            <v>#N/A</v>
          </cell>
          <cell r="N942">
            <v>80</v>
          </cell>
          <cell r="O942" t="e">
            <v>#N/A</v>
          </cell>
          <cell r="P942" t="str">
            <v/>
          </cell>
          <cell r="Q942" t="str">
            <v/>
          </cell>
          <cell r="R942" t="e">
            <v>#N/A</v>
          </cell>
        </row>
        <row r="943">
          <cell r="A943" t="str">
            <v/>
          </cell>
          <cell r="B943" t="str">
            <v/>
          </cell>
          <cell r="C943" t="str">
            <v>Future</v>
          </cell>
          <cell r="D943" t="e">
            <v>#N/A</v>
          </cell>
          <cell r="E943">
            <v>-32.75515748031453</v>
          </cell>
          <cell r="F943">
            <v>103.66216535433314</v>
          </cell>
          <cell r="G943">
            <v>43.032244094488028</v>
          </cell>
          <cell r="H943">
            <v>43.032244094488028</v>
          </cell>
          <cell r="I943" t="e">
            <v>#N/A</v>
          </cell>
          <cell r="J943" t="e">
            <v>#N/A</v>
          </cell>
          <cell r="K943">
            <v>90</v>
          </cell>
          <cell r="L943">
            <v>50</v>
          </cell>
          <cell r="M943" t="e">
            <v>#N/A</v>
          </cell>
          <cell r="N943">
            <v>80</v>
          </cell>
          <cell r="O943" t="e">
            <v>#N/A</v>
          </cell>
          <cell r="P943" t="str">
            <v/>
          </cell>
          <cell r="Q943" t="str">
            <v/>
          </cell>
          <cell r="R943" t="e">
            <v>#N/A</v>
          </cell>
        </row>
        <row r="944">
          <cell r="A944" t="str">
            <v/>
          </cell>
          <cell r="B944" t="str">
            <v/>
          </cell>
          <cell r="C944" t="str">
            <v>Future</v>
          </cell>
          <cell r="D944" t="e">
            <v>#N/A</v>
          </cell>
          <cell r="E944">
            <v>-33.005196850393268</v>
          </cell>
          <cell r="F944">
            <v>103.76645669291582</v>
          </cell>
          <cell r="G944">
            <v>42.979055118110075</v>
          </cell>
          <cell r="H944">
            <v>42.979055118110075</v>
          </cell>
          <cell r="I944" t="e">
            <v>#N/A</v>
          </cell>
          <cell r="J944" t="e">
            <v>#N/A</v>
          </cell>
          <cell r="K944">
            <v>90</v>
          </cell>
          <cell r="L944">
            <v>50</v>
          </cell>
          <cell r="M944" t="e">
            <v>#N/A</v>
          </cell>
          <cell r="N944">
            <v>80</v>
          </cell>
          <cell r="O944" t="e">
            <v>#N/A</v>
          </cell>
          <cell r="P944" t="str">
            <v/>
          </cell>
          <cell r="Q944" t="str">
            <v/>
          </cell>
          <cell r="R944" t="e">
            <v>#N/A</v>
          </cell>
        </row>
        <row r="945">
          <cell r="A945" t="str">
            <v/>
          </cell>
          <cell r="B945" t="str">
            <v/>
          </cell>
          <cell r="C945" t="str">
            <v>Future</v>
          </cell>
          <cell r="D945" t="e">
            <v>#N/A</v>
          </cell>
          <cell r="E945">
            <v>-33.255236220472007</v>
          </cell>
          <cell r="F945">
            <v>103.87074803149851</v>
          </cell>
          <cell r="G945">
            <v>42.925866141732122</v>
          </cell>
          <cell r="H945">
            <v>42.925866141732122</v>
          </cell>
          <cell r="I945" t="e">
            <v>#N/A</v>
          </cell>
          <cell r="J945" t="e">
            <v>#N/A</v>
          </cell>
          <cell r="K945">
            <v>90</v>
          </cell>
          <cell r="L945">
            <v>50</v>
          </cell>
          <cell r="M945" t="e">
            <v>#N/A</v>
          </cell>
          <cell r="N945">
            <v>80</v>
          </cell>
          <cell r="O945" t="e">
            <v>#N/A</v>
          </cell>
          <cell r="P945" t="str">
            <v/>
          </cell>
          <cell r="Q945" t="str">
            <v/>
          </cell>
          <cell r="R945" t="e">
            <v>#N/A</v>
          </cell>
        </row>
        <row r="946">
          <cell r="A946" t="str">
            <v/>
          </cell>
          <cell r="B946" t="str">
            <v/>
          </cell>
          <cell r="C946" t="str">
            <v>Future</v>
          </cell>
          <cell r="D946" t="e">
            <v>#N/A</v>
          </cell>
          <cell r="E946">
            <v>-33.505275590550745</v>
          </cell>
          <cell r="F946">
            <v>103.97503937008119</v>
          </cell>
          <cell r="G946">
            <v>42.872677165354169</v>
          </cell>
          <cell r="H946">
            <v>42.872677165354169</v>
          </cell>
          <cell r="I946" t="e">
            <v>#N/A</v>
          </cell>
          <cell r="J946" t="e">
            <v>#N/A</v>
          </cell>
          <cell r="K946">
            <v>90</v>
          </cell>
          <cell r="L946">
            <v>50</v>
          </cell>
          <cell r="M946" t="e">
            <v>#N/A</v>
          </cell>
          <cell r="N946">
            <v>80</v>
          </cell>
          <cell r="O946" t="e">
            <v>#N/A</v>
          </cell>
          <cell r="P946" t="str">
            <v/>
          </cell>
          <cell r="Q946" t="str">
            <v/>
          </cell>
          <cell r="R946" t="e">
            <v>#N/A</v>
          </cell>
        </row>
        <row r="947">
          <cell r="A947" t="str">
            <v/>
          </cell>
          <cell r="B947" t="str">
            <v/>
          </cell>
          <cell r="C947" t="str">
            <v>Future</v>
          </cell>
          <cell r="D947" t="e">
            <v>#N/A</v>
          </cell>
          <cell r="E947">
            <v>-33.755314960629484</v>
          </cell>
          <cell r="F947">
            <v>104.07933070866387</v>
          </cell>
          <cell r="G947">
            <v>42.819488188976216</v>
          </cell>
          <cell r="H947">
            <v>42.819488188976216</v>
          </cell>
          <cell r="I947" t="e">
            <v>#N/A</v>
          </cell>
          <cell r="J947" t="e">
            <v>#N/A</v>
          </cell>
          <cell r="K947">
            <v>90</v>
          </cell>
          <cell r="L947">
            <v>50</v>
          </cell>
          <cell r="M947" t="e">
            <v>#N/A</v>
          </cell>
          <cell r="N947">
            <v>80</v>
          </cell>
          <cell r="O947" t="e">
            <v>#N/A</v>
          </cell>
          <cell r="P947" t="str">
            <v/>
          </cell>
          <cell r="Q947" t="str">
            <v/>
          </cell>
          <cell r="R947" t="e">
            <v>#N/A</v>
          </cell>
        </row>
        <row r="948">
          <cell r="A948" t="str">
            <v/>
          </cell>
          <cell r="B948" t="str">
            <v/>
          </cell>
          <cell r="C948" t="str">
            <v>Future</v>
          </cell>
          <cell r="D948" t="e">
            <v>#N/A</v>
          </cell>
          <cell r="E948">
            <v>-34.005354330708222</v>
          </cell>
          <cell r="F948">
            <v>104.18362204724656</v>
          </cell>
          <cell r="G948">
            <v>42.766299212598263</v>
          </cell>
          <cell r="H948">
            <v>42.766299212598263</v>
          </cell>
          <cell r="I948" t="e">
            <v>#N/A</v>
          </cell>
          <cell r="J948" t="e">
            <v>#N/A</v>
          </cell>
          <cell r="K948">
            <v>90</v>
          </cell>
          <cell r="L948">
            <v>50</v>
          </cell>
          <cell r="M948" t="e">
            <v>#N/A</v>
          </cell>
          <cell r="N948">
            <v>80</v>
          </cell>
          <cell r="O948" t="e">
            <v>#N/A</v>
          </cell>
          <cell r="P948" t="str">
            <v/>
          </cell>
          <cell r="Q948" t="str">
            <v/>
          </cell>
          <cell r="R948" t="e">
            <v>#N/A</v>
          </cell>
        </row>
        <row r="949">
          <cell r="A949" t="str">
            <v/>
          </cell>
          <cell r="B949" t="str">
            <v/>
          </cell>
          <cell r="C949" t="str">
            <v>Future</v>
          </cell>
          <cell r="D949" t="e">
            <v>#N/A</v>
          </cell>
          <cell r="E949">
            <v>-34.255393700786961</v>
          </cell>
          <cell r="F949">
            <v>104.28791338582924</v>
          </cell>
          <cell r="G949">
            <v>42.713110236220309</v>
          </cell>
          <cell r="H949">
            <v>42.713110236220309</v>
          </cell>
          <cell r="I949" t="e">
            <v>#N/A</v>
          </cell>
          <cell r="J949" t="e">
            <v>#N/A</v>
          </cell>
          <cell r="K949">
            <v>90</v>
          </cell>
          <cell r="L949">
            <v>50</v>
          </cell>
          <cell r="M949" t="e">
            <v>#N/A</v>
          </cell>
          <cell r="N949">
            <v>80</v>
          </cell>
          <cell r="O949" t="e">
            <v>#N/A</v>
          </cell>
          <cell r="P949" t="str">
            <v/>
          </cell>
          <cell r="Q949" t="str">
            <v/>
          </cell>
          <cell r="R949" t="e">
            <v>#N/A</v>
          </cell>
        </row>
        <row r="950">
          <cell r="A950" t="str">
            <v/>
          </cell>
          <cell r="B950" t="str">
            <v/>
          </cell>
          <cell r="C950" t="str">
            <v>Future</v>
          </cell>
          <cell r="D950" t="e">
            <v>#N/A</v>
          </cell>
          <cell r="E950">
            <v>-34.505433070865699</v>
          </cell>
          <cell r="F950">
            <v>104.39220472441193</v>
          </cell>
          <cell r="G950">
            <v>42.659921259842356</v>
          </cell>
          <cell r="H950">
            <v>42.659921259842356</v>
          </cell>
          <cell r="I950" t="e">
            <v>#N/A</v>
          </cell>
          <cell r="J950" t="e">
            <v>#N/A</v>
          </cell>
          <cell r="K950">
            <v>90</v>
          </cell>
          <cell r="L950">
            <v>50</v>
          </cell>
          <cell r="M950" t="e">
            <v>#N/A</v>
          </cell>
          <cell r="N950">
            <v>80</v>
          </cell>
          <cell r="O950" t="e">
            <v>#N/A</v>
          </cell>
          <cell r="P950" t="str">
            <v/>
          </cell>
          <cell r="Q950" t="str">
            <v/>
          </cell>
          <cell r="R950" t="e">
            <v>#N/A</v>
          </cell>
        </row>
        <row r="951">
          <cell r="A951" t="str">
            <v/>
          </cell>
          <cell r="B951" t="str">
            <v/>
          </cell>
          <cell r="C951" t="str">
            <v>Future</v>
          </cell>
          <cell r="D951" t="e">
            <v>#N/A</v>
          </cell>
          <cell r="E951">
            <v>-34.755472440944438</v>
          </cell>
          <cell r="F951">
            <v>104.49649606299461</v>
          </cell>
          <cell r="G951">
            <v>42.606732283464403</v>
          </cell>
          <cell r="H951">
            <v>42.606732283464403</v>
          </cell>
          <cell r="I951" t="e">
            <v>#N/A</v>
          </cell>
          <cell r="J951" t="e">
            <v>#N/A</v>
          </cell>
          <cell r="K951">
            <v>90</v>
          </cell>
          <cell r="L951">
            <v>50</v>
          </cell>
          <cell r="M951" t="e">
            <v>#N/A</v>
          </cell>
          <cell r="N951">
            <v>80</v>
          </cell>
          <cell r="O951" t="e">
            <v>#N/A</v>
          </cell>
          <cell r="P951" t="str">
            <v/>
          </cell>
          <cell r="Q951" t="str">
            <v/>
          </cell>
          <cell r="R951" t="e">
            <v>#N/A</v>
          </cell>
        </row>
        <row r="952">
          <cell r="A952" t="str">
            <v/>
          </cell>
          <cell r="B952" t="str">
            <v/>
          </cell>
          <cell r="C952" t="str">
            <v>Future</v>
          </cell>
          <cell r="D952" t="e">
            <v>#N/A</v>
          </cell>
          <cell r="E952">
            <v>-35.005511811023176</v>
          </cell>
          <cell r="F952">
            <v>104.60078740157729</v>
          </cell>
          <cell r="G952">
            <v>42.55354330708645</v>
          </cell>
          <cell r="H952">
            <v>42.55354330708645</v>
          </cell>
          <cell r="I952" t="e">
            <v>#N/A</v>
          </cell>
          <cell r="J952" t="e">
            <v>#N/A</v>
          </cell>
          <cell r="K952">
            <v>90</v>
          </cell>
          <cell r="L952">
            <v>50</v>
          </cell>
          <cell r="M952" t="e">
            <v>#N/A</v>
          </cell>
          <cell r="N952">
            <v>80</v>
          </cell>
          <cell r="O952" t="e">
            <v>#N/A</v>
          </cell>
          <cell r="P952" t="str">
            <v/>
          </cell>
          <cell r="Q952" t="str">
            <v/>
          </cell>
          <cell r="R952" t="e">
            <v>#N/A</v>
          </cell>
        </row>
        <row r="953">
          <cell r="A953" t="str">
            <v/>
          </cell>
          <cell r="B953" t="str">
            <v/>
          </cell>
          <cell r="C953" t="str">
            <v>Future</v>
          </cell>
          <cell r="D953" t="e">
            <v>#N/A</v>
          </cell>
          <cell r="E953">
            <v>-35.255551181101914</v>
          </cell>
          <cell r="F953">
            <v>104.70507874015998</v>
          </cell>
          <cell r="G953">
            <v>42.500354330708497</v>
          </cell>
          <cell r="H953">
            <v>42.500354330708497</v>
          </cell>
          <cell r="I953" t="e">
            <v>#N/A</v>
          </cell>
          <cell r="J953" t="e">
            <v>#N/A</v>
          </cell>
          <cell r="K953">
            <v>90</v>
          </cell>
          <cell r="L953">
            <v>50</v>
          </cell>
          <cell r="M953" t="e">
            <v>#N/A</v>
          </cell>
          <cell r="N953">
            <v>80</v>
          </cell>
          <cell r="O953" t="e">
            <v>#N/A</v>
          </cell>
          <cell r="P953" t="str">
            <v/>
          </cell>
          <cell r="Q953" t="str">
            <v/>
          </cell>
          <cell r="R953" t="e">
            <v>#N/A</v>
          </cell>
        </row>
        <row r="954">
          <cell r="A954" t="str">
            <v/>
          </cell>
          <cell r="B954" t="str">
            <v/>
          </cell>
          <cell r="C954" t="str">
            <v>Future</v>
          </cell>
          <cell r="D954" t="e">
            <v>#N/A</v>
          </cell>
          <cell r="E954">
            <v>-35.505590551180653</v>
          </cell>
          <cell r="F954">
            <v>104.80937007874266</v>
          </cell>
          <cell r="G954">
            <v>42.447165354330544</v>
          </cell>
          <cell r="H954">
            <v>42.447165354330544</v>
          </cell>
          <cell r="I954" t="e">
            <v>#N/A</v>
          </cell>
          <cell r="J954" t="e">
            <v>#N/A</v>
          </cell>
          <cell r="K954">
            <v>90</v>
          </cell>
          <cell r="L954">
            <v>50</v>
          </cell>
          <cell r="M954" t="e">
            <v>#N/A</v>
          </cell>
          <cell r="N954">
            <v>80</v>
          </cell>
          <cell r="O954" t="e">
            <v>#N/A</v>
          </cell>
          <cell r="P954" t="str">
            <v/>
          </cell>
          <cell r="Q954" t="str">
            <v/>
          </cell>
          <cell r="R954" t="e">
            <v>#N/A</v>
          </cell>
        </row>
        <row r="955">
          <cell r="A955" t="str">
            <v/>
          </cell>
          <cell r="B955" t="str">
            <v/>
          </cell>
          <cell r="C955" t="str">
            <v>Future</v>
          </cell>
          <cell r="D955" t="e">
            <v>#N/A</v>
          </cell>
          <cell r="E955">
            <v>-35.755629921259391</v>
          </cell>
          <cell r="F955">
            <v>104.91366141732534</v>
          </cell>
          <cell r="G955">
            <v>42.39397637795259</v>
          </cell>
          <cell r="H955">
            <v>42.39397637795259</v>
          </cell>
          <cell r="I955" t="e">
            <v>#N/A</v>
          </cell>
          <cell r="J955" t="e">
            <v>#N/A</v>
          </cell>
          <cell r="K955">
            <v>90</v>
          </cell>
          <cell r="L955">
            <v>50</v>
          </cell>
          <cell r="M955" t="e">
            <v>#N/A</v>
          </cell>
          <cell r="N955">
            <v>80</v>
          </cell>
          <cell r="O955" t="e">
            <v>#N/A</v>
          </cell>
          <cell r="P955" t="str">
            <v/>
          </cell>
          <cell r="Q955" t="str">
            <v/>
          </cell>
          <cell r="R955" t="e">
            <v>#N/A</v>
          </cell>
        </row>
        <row r="956">
          <cell r="A956" t="str">
            <v/>
          </cell>
          <cell r="B956" t="str">
            <v/>
          </cell>
          <cell r="C956" t="str">
            <v>Future</v>
          </cell>
          <cell r="D956" t="e">
            <v>#N/A</v>
          </cell>
          <cell r="E956">
            <v>-36.00566929133813</v>
          </cell>
          <cell r="F956">
            <v>105.01795275590803</v>
          </cell>
          <cell r="G956">
            <v>42.340787401574637</v>
          </cell>
          <cell r="H956">
            <v>42.340787401574637</v>
          </cell>
          <cell r="I956" t="e">
            <v>#N/A</v>
          </cell>
          <cell r="J956" t="e">
            <v>#N/A</v>
          </cell>
          <cell r="K956">
            <v>90</v>
          </cell>
          <cell r="L956">
            <v>50</v>
          </cell>
          <cell r="M956" t="e">
            <v>#N/A</v>
          </cell>
          <cell r="N956">
            <v>80</v>
          </cell>
          <cell r="O956" t="e">
            <v>#N/A</v>
          </cell>
          <cell r="P956" t="str">
            <v/>
          </cell>
          <cell r="Q956" t="str">
            <v/>
          </cell>
          <cell r="R956" t="e">
            <v>#N/A</v>
          </cell>
        </row>
        <row r="957">
          <cell r="A957" t="str">
            <v/>
          </cell>
          <cell r="B957" t="str">
            <v/>
          </cell>
          <cell r="C957" t="str">
            <v>Future</v>
          </cell>
          <cell r="D957" t="e">
            <v>#N/A</v>
          </cell>
          <cell r="E957">
            <v>-36.255708661416868</v>
          </cell>
          <cell r="F957">
            <v>105.12224409449071</v>
          </cell>
          <cell r="G957">
            <v>42.287598425196684</v>
          </cell>
          <cell r="H957">
            <v>42.287598425196684</v>
          </cell>
          <cell r="I957" t="e">
            <v>#N/A</v>
          </cell>
          <cell r="J957" t="e">
            <v>#N/A</v>
          </cell>
          <cell r="K957">
            <v>90</v>
          </cell>
          <cell r="L957">
            <v>50</v>
          </cell>
          <cell r="M957" t="e">
            <v>#N/A</v>
          </cell>
          <cell r="N957">
            <v>80</v>
          </cell>
          <cell r="O957" t="e">
            <v>#N/A</v>
          </cell>
          <cell r="P957" t="str">
            <v/>
          </cell>
          <cell r="Q957" t="str">
            <v/>
          </cell>
          <cell r="R957" t="e">
            <v>#N/A</v>
          </cell>
        </row>
        <row r="958">
          <cell r="A958" t="str">
            <v/>
          </cell>
          <cell r="B958" t="str">
            <v/>
          </cell>
          <cell r="C958" t="str">
            <v>Future</v>
          </cell>
          <cell r="D958" t="e">
            <v>#N/A</v>
          </cell>
          <cell r="E958">
            <v>-36.505748031495607</v>
          </cell>
          <cell r="F958">
            <v>105.22653543307339</v>
          </cell>
          <cell r="G958">
            <v>42.234409448818731</v>
          </cell>
          <cell r="H958">
            <v>42.234409448818731</v>
          </cell>
          <cell r="I958" t="e">
            <v>#N/A</v>
          </cell>
          <cell r="J958" t="e">
            <v>#N/A</v>
          </cell>
          <cell r="K958">
            <v>90</v>
          </cell>
          <cell r="L958">
            <v>50</v>
          </cell>
          <cell r="M958" t="e">
            <v>#N/A</v>
          </cell>
          <cell r="N958">
            <v>80</v>
          </cell>
          <cell r="O958" t="e">
            <v>#N/A</v>
          </cell>
          <cell r="P958" t="str">
            <v/>
          </cell>
          <cell r="Q958" t="str">
            <v/>
          </cell>
          <cell r="R958" t="e">
            <v>#N/A</v>
          </cell>
        </row>
        <row r="959">
          <cell r="A959" t="str">
            <v/>
          </cell>
          <cell r="B959" t="str">
            <v/>
          </cell>
          <cell r="C959" t="str">
            <v>Future</v>
          </cell>
          <cell r="D959" t="e">
            <v>#N/A</v>
          </cell>
          <cell r="E959">
            <v>-36.755787401574345</v>
          </cell>
          <cell r="F959">
            <v>105.33082677165608</v>
          </cell>
          <cell r="G959">
            <v>42.181220472440778</v>
          </cell>
          <cell r="H959">
            <v>42.181220472440778</v>
          </cell>
          <cell r="I959" t="e">
            <v>#N/A</v>
          </cell>
          <cell r="J959" t="e">
            <v>#N/A</v>
          </cell>
          <cell r="K959">
            <v>90</v>
          </cell>
          <cell r="L959">
            <v>50</v>
          </cell>
          <cell r="M959" t="e">
            <v>#N/A</v>
          </cell>
          <cell r="N959">
            <v>80</v>
          </cell>
          <cell r="O959" t="e">
            <v>#N/A</v>
          </cell>
          <cell r="P959" t="str">
            <v/>
          </cell>
          <cell r="Q959" t="str">
            <v/>
          </cell>
          <cell r="R959" t="e">
            <v>#N/A</v>
          </cell>
        </row>
        <row r="960">
          <cell r="A960" t="str">
            <v/>
          </cell>
          <cell r="B960" t="str">
            <v/>
          </cell>
          <cell r="C960" t="str">
            <v>Future</v>
          </cell>
          <cell r="D960" t="e">
            <v>#N/A</v>
          </cell>
          <cell r="E960">
            <v>-37.005826771653084</v>
          </cell>
          <cell r="F960">
            <v>105.43511811023876</v>
          </cell>
          <cell r="G960">
            <v>42.128031496062825</v>
          </cell>
          <cell r="H960">
            <v>42.128031496062825</v>
          </cell>
          <cell r="I960" t="e">
            <v>#N/A</v>
          </cell>
          <cell r="J960" t="e">
            <v>#N/A</v>
          </cell>
          <cell r="K960">
            <v>90</v>
          </cell>
          <cell r="L960">
            <v>50</v>
          </cell>
          <cell r="M960" t="e">
            <v>#N/A</v>
          </cell>
          <cell r="N960">
            <v>80</v>
          </cell>
          <cell r="O960" t="e">
            <v>#N/A</v>
          </cell>
          <cell r="P960" t="str">
            <v/>
          </cell>
          <cell r="Q960" t="str">
            <v/>
          </cell>
          <cell r="R960" t="e">
            <v>#N/A</v>
          </cell>
        </row>
        <row r="961">
          <cell r="A961" t="str">
            <v/>
          </cell>
          <cell r="B961" t="str">
            <v/>
          </cell>
          <cell r="C961" t="str">
            <v>Future</v>
          </cell>
          <cell r="D961" t="e">
            <v>#N/A</v>
          </cell>
          <cell r="E961">
            <v>-37.255866141731822</v>
          </cell>
          <cell r="F961">
            <v>105.53940944882144</v>
          </cell>
          <cell r="G961">
            <v>42.074842519684871</v>
          </cell>
          <cell r="H961">
            <v>42.074842519684871</v>
          </cell>
          <cell r="I961" t="e">
            <v>#N/A</v>
          </cell>
          <cell r="J961" t="e">
            <v>#N/A</v>
          </cell>
          <cell r="K961">
            <v>90</v>
          </cell>
          <cell r="L961">
            <v>50</v>
          </cell>
          <cell r="M961" t="e">
            <v>#N/A</v>
          </cell>
          <cell r="N961">
            <v>80</v>
          </cell>
          <cell r="O961" t="e">
            <v>#N/A</v>
          </cell>
          <cell r="P961" t="str">
            <v/>
          </cell>
          <cell r="Q961" t="str">
            <v/>
          </cell>
          <cell r="R961" t="e">
            <v>#N/A</v>
          </cell>
        </row>
        <row r="962">
          <cell r="A962" t="str">
            <v/>
          </cell>
          <cell r="B962" t="str">
            <v/>
          </cell>
          <cell r="C962" t="str">
            <v>Future</v>
          </cell>
          <cell r="D962" t="e">
            <v>#N/A</v>
          </cell>
          <cell r="E962">
            <v>-37.50590551181056</v>
          </cell>
          <cell r="F962">
            <v>105.64370078740413</v>
          </cell>
          <cell r="G962">
            <v>42.021653543306918</v>
          </cell>
          <cell r="H962">
            <v>42.021653543306918</v>
          </cell>
          <cell r="I962" t="e">
            <v>#N/A</v>
          </cell>
          <cell r="J962" t="e">
            <v>#N/A</v>
          </cell>
          <cell r="K962">
            <v>90</v>
          </cell>
          <cell r="L962">
            <v>50</v>
          </cell>
          <cell r="M962" t="e">
            <v>#N/A</v>
          </cell>
          <cell r="N962">
            <v>80</v>
          </cell>
          <cell r="O962" t="e">
            <v>#N/A</v>
          </cell>
          <cell r="P962" t="str">
            <v/>
          </cell>
          <cell r="Q962" t="str">
            <v/>
          </cell>
          <cell r="R962" t="e">
            <v>#N/A</v>
          </cell>
        </row>
        <row r="963">
          <cell r="A963" t="str">
            <v/>
          </cell>
          <cell r="B963" t="str">
            <v/>
          </cell>
          <cell r="C963" t="str">
            <v>Future</v>
          </cell>
          <cell r="D963" t="e">
            <v>#N/A</v>
          </cell>
          <cell r="E963">
            <v>-37.755944881889299</v>
          </cell>
          <cell r="F963">
            <v>105.74799212598681</v>
          </cell>
          <cell r="G963">
            <v>41.968464566928965</v>
          </cell>
          <cell r="H963">
            <v>41.968464566928965</v>
          </cell>
          <cell r="I963" t="e">
            <v>#N/A</v>
          </cell>
          <cell r="J963" t="e">
            <v>#N/A</v>
          </cell>
          <cell r="K963">
            <v>90</v>
          </cell>
          <cell r="L963">
            <v>50</v>
          </cell>
          <cell r="M963" t="e">
            <v>#N/A</v>
          </cell>
          <cell r="N963">
            <v>80</v>
          </cell>
          <cell r="O963" t="e">
            <v>#N/A</v>
          </cell>
          <cell r="P963" t="str">
            <v/>
          </cell>
          <cell r="Q963" t="str">
            <v/>
          </cell>
          <cell r="R963" t="e">
            <v>#N/A</v>
          </cell>
        </row>
        <row r="964">
          <cell r="A964" t="str">
            <v/>
          </cell>
          <cell r="B964" t="str">
            <v/>
          </cell>
          <cell r="C964" t="str">
            <v>Future</v>
          </cell>
          <cell r="D964" t="e">
            <v>#N/A</v>
          </cell>
          <cell r="E964">
            <v>-38.005984251968037</v>
          </cell>
          <cell r="F964">
            <v>105.8522834645695</v>
          </cell>
          <cell r="G964">
            <v>41.915275590551012</v>
          </cell>
          <cell r="H964">
            <v>41.915275590551012</v>
          </cell>
          <cell r="I964" t="e">
            <v>#N/A</v>
          </cell>
          <cell r="J964" t="e">
            <v>#N/A</v>
          </cell>
          <cell r="K964">
            <v>90</v>
          </cell>
          <cell r="L964">
            <v>50</v>
          </cell>
          <cell r="M964" t="e">
            <v>#N/A</v>
          </cell>
          <cell r="N964">
            <v>80</v>
          </cell>
          <cell r="O964" t="e">
            <v>#N/A</v>
          </cell>
          <cell r="P964" t="str">
            <v/>
          </cell>
          <cell r="Q964" t="str">
            <v/>
          </cell>
          <cell r="R964" t="e">
            <v>#N/A</v>
          </cell>
        </row>
        <row r="965">
          <cell r="A965" t="str">
            <v/>
          </cell>
          <cell r="B965" t="str">
            <v/>
          </cell>
          <cell r="C965" t="str">
            <v>Future</v>
          </cell>
          <cell r="D965" t="e">
            <v>#N/A</v>
          </cell>
          <cell r="E965">
            <v>-38.256023622046776</v>
          </cell>
          <cell r="F965">
            <v>105.95657480315218</v>
          </cell>
          <cell r="G965">
            <v>41.862086614173059</v>
          </cell>
          <cell r="H965">
            <v>41.862086614173059</v>
          </cell>
          <cell r="I965" t="e">
            <v>#N/A</v>
          </cell>
          <cell r="J965" t="e">
            <v>#N/A</v>
          </cell>
          <cell r="K965">
            <v>90</v>
          </cell>
          <cell r="L965">
            <v>50</v>
          </cell>
          <cell r="M965" t="e">
            <v>#N/A</v>
          </cell>
          <cell r="N965">
            <v>80</v>
          </cell>
          <cell r="O965" t="e">
            <v>#N/A</v>
          </cell>
          <cell r="P965" t="str">
            <v/>
          </cell>
          <cell r="Q965" t="str">
            <v/>
          </cell>
          <cell r="R965" t="e">
            <v>#N/A</v>
          </cell>
        </row>
        <row r="966">
          <cell r="A966" t="str">
            <v/>
          </cell>
          <cell r="B966" t="str">
            <v/>
          </cell>
          <cell r="C966" t="str">
            <v>Future</v>
          </cell>
          <cell r="D966" t="e">
            <v>#N/A</v>
          </cell>
          <cell r="E966">
            <v>-38.506062992125514</v>
          </cell>
          <cell r="F966">
            <v>106.06086614173486</v>
          </cell>
          <cell r="G966">
            <v>41.808897637795106</v>
          </cell>
          <cell r="H966">
            <v>41.808897637795106</v>
          </cell>
          <cell r="I966" t="e">
            <v>#N/A</v>
          </cell>
          <cell r="J966" t="e">
            <v>#N/A</v>
          </cell>
          <cell r="K966">
            <v>90</v>
          </cell>
          <cell r="L966">
            <v>50</v>
          </cell>
          <cell r="M966" t="e">
            <v>#N/A</v>
          </cell>
          <cell r="N966">
            <v>80</v>
          </cell>
          <cell r="O966" t="e">
            <v>#N/A</v>
          </cell>
          <cell r="P966" t="str">
            <v/>
          </cell>
          <cell r="Q966" t="str">
            <v/>
          </cell>
          <cell r="R966" t="e">
            <v>#N/A</v>
          </cell>
        </row>
        <row r="967">
          <cell r="A967" t="str">
            <v/>
          </cell>
          <cell r="B967" t="str">
            <v/>
          </cell>
          <cell r="C967" t="str">
            <v>Future</v>
          </cell>
          <cell r="D967" t="e">
            <v>#N/A</v>
          </cell>
          <cell r="E967">
            <v>-38.756102362204253</v>
          </cell>
          <cell r="F967">
            <v>106.16515748031755</v>
          </cell>
          <cell r="G967">
            <v>41.755708661417152</v>
          </cell>
          <cell r="H967">
            <v>41.755708661417152</v>
          </cell>
          <cell r="I967" t="e">
            <v>#N/A</v>
          </cell>
          <cell r="J967" t="e">
            <v>#N/A</v>
          </cell>
          <cell r="K967">
            <v>90</v>
          </cell>
          <cell r="L967">
            <v>50</v>
          </cell>
          <cell r="M967" t="e">
            <v>#N/A</v>
          </cell>
          <cell r="N967">
            <v>80</v>
          </cell>
          <cell r="O967" t="e">
            <v>#N/A</v>
          </cell>
          <cell r="P967" t="str">
            <v/>
          </cell>
          <cell r="Q967" t="str">
            <v/>
          </cell>
          <cell r="R967" t="e">
            <v>#N/A</v>
          </cell>
        </row>
        <row r="968">
          <cell r="A968" t="str">
            <v/>
          </cell>
          <cell r="B968" t="str">
            <v/>
          </cell>
          <cell r="C968" t="str">
            <v>Future</v>
          </cell>
          <cell r="D968" t="e">
            <v>#N/A</v>
          </cell>
          <cell r="E968">
            <v>-39.006141732282991</v>
          </cell>
          <cell r="F968">
            <v>106.26944881890023</v>
          </cell>
          <cell r="G968">
            <v>41.702519685039199</v>
          </cell>
          <cell r="H968">
            <v>41.702519685039199</v>
          </cell>
          <cell r="I968" t="e">
            <v>#N/A</v>
          </cell>
          <cell r="J968" t="e">
            <v>#N/A</v>
          </cell>
          <cell r="K968">
            <v>90</v>
          </cell>
          <cell r="L968">
            <v>50</v>
          </cell>
          <cell r="M968" t="e">
            <v>#N/A</v>
          </cell>
          <cell r="N968">
            <v>80</v>
          </cell>
          <cell r="O968" t="e">
            <v>#N/A</v>
          </cell>
          <cell r="P968" t="str">
            <v/>
          </cell>
          <cell r="Q968" t="str">
            <v/>
          </cell>
          <cell r="R968" t="e">
            <v>#N/A</v>
          </cell>
        </row>
        <row r="969">
          <cell r="A969" t="str">
            <v/>
          </cell>
          <cell r="B969" t="str">
            <v/>
          </cell>
          <cell r="C969" t="str">
            <v>Future</v>
          </cell>
          <cell r="D969" t="e">
            <v>#N/A</v>
          </cell>
          <cell r="E969">
            <v>-39.25618110236173</v>
          </cell>
          <cell r="F969">
            <v>106.37374015748291</v>
          </cell>
          <cell r="G969">
            <v>41.649330708661246</v>
          </cell>
          <cell r="H969">
            <v>41.649330708661246</v>
          </cell>
          <cell r="I969" t="e">
            <v>#N/A</v>
          </cell>
          <cell r="J969" t="e">
            <v>#N/A</v>
          </cell>
          <cell r="K969">
            <v>90</v>
          </cell>
          <cell r="L969">
            <v>50</v>
          </cell>
          <cell r="M969" t="e">
            <v>#N/A</v>
          </cell>
          <cell r="N969">
            <v>80</v>
          </cell>
          <cell r="O969" t="e">
            <v>#N/A</v>
          </cell>
          <cell r="P969" t="str">
            <v/>
          </cell>
          <cell r="Q969" t="str">
            <v/>
          </cell>
          <cell r="R969" t="e">
            <v>#N/A</v>
          </cell>
        </row>
        <row r="970">
          <cell r="A970" t="str">
            <v/>
          </cell>
          <cell r="B970" t="str">
            <v/>
          </cell>
          <cell r="C970" t="str">
            <v>Future</v>
          </cell>
          <cell r="D970" t="e">
            <v>#N/A</v>
          </cell>
          <cell r="E970">
            <v>-39.506220472440468</v>
          </cell>
          <cell r="F970">
            <v>106.4780314960656</v>
          </cell>
          <cell r="G970">
            <v>41.596141732283293</v>
          </cell>
          <cell r="H970">
            <v>41.596141732283293</v>
          </cell>
          <cell r="I970" t="e">
            <v>#N/A</v>
          </cell>
          <cell r="J970" t="e">
            <v>#N/A</v>
          </cell>
          <cell r="K970">
            <v>90</v>
          </cell>
          <cell r="L970">
            <v>50</v>
          </cell>
          <cell r="M970" t="e">
            <v>#N/A</v>
          </cell>
          <cell r="N970">
            <v>80</v>
          </cell>
          <cell r="O970" t="e">
            <v>#N/A</v>
          </cell>
          <cell r="P970" t="str">
            <v/>
          </cell>
          <cell r="Q970" t="str">
            <v/>
          </cell>
          <cell r="R970" t="e">
            <v>#N/A</v>
          </cell>
        </row>
        <row r="971">
          <cell r="A971" t="str">
            <v/>
          </cell>
          <cell r="B971" t="str">
            <v/>
          </cell>
          <cell r="C971" t="str">
            <v>Future</v>
          </cell>
          <cell r="D971" t="e">
            <v>#N/A</v>
          </cell>
          <cell r="E971">
            <v>-39.756259842519206</v>
          </cell>
          <cell r="F971">
            <v>106.58232283464828</v>
          </cell>
          <cell r="G971">
            <v>41.54295275590534</v>
          </cell>
          <cell r="H971">
            <v>41.54295275590534</v>
          </cell>
          <cell r="I971" t="e">
            <v>#N/A</v>
          </cell>
          <cell r="J971" t="e">
            <v>#N/A</v>
          </cell>
          <cell r="K971">
            <v>90</v>
          </cell>
          <cell r="L971">
            <v>50</v>
          </cell>
          <cell r="M971" t="e">
            <v>#N/A</v>
          </cell>
          <cell r="N971">
            <v>80</v>
          </cell>
          <cell r="O971" t="e">
            <v>#N/A</v>
          </cell>
          <cell r="P971" t="str">
            <v/>
          </cell>
          <cell r="Q971" t="str">
            <v/>
          </cell>
          <cell r="R971" t="e">
            <v>#N/A</v>
          </cell>
        </row>
        <row r="972">
          <cell r="A972" t="str">
            <v/>
          </cell>
          <cell r="B972" t="str">
            <v/>
          </cell>
          <cell r="C972" t="str">
            <v>Future</v>
          </cell>
          <cell r="D972" t="e">
            <v>#N/A</v>
          </cell>
          <cell r="E972">
            <v>-40.006299212597945</v>
          </cell>
          <cell r="F972">
            <v>106.68661417323096</v>
          </cell>
          <cell r="G972">
            <v>41.489763779527387</v>
          </cell>
          <cell r="H972">
            <v>41.489763779527387</v>
          </cell>
          <cell r="I972" t="e">
            <v>#N/A</v>
          </cell>
          <cell r="J972" t="e">
            <v>#N/A</v>
          </cell>
          <cell r="K972">
            <v>90</v>
          </cell>
          <cell r="L972">
            <v>50</v>
          </cell>
          <cell r="M972" t="e">
            <v>#N/A</v>
          </cell>
          <cell r="N972">
            <v>80</v>
          </cell>
          <cell r="O972" t="e">
            <v>#N/A</v>
          </cell>
          <cell r="P972" t="str">
            <v/>
          </cell>
          <cell r="Q972" t="str">
            <v/>
          </cell>
          <cell r="R972" t="e">
            <v>#N/A</v>
          </cell>
        </row>
        <row r="973">
          <cell r="A973" t="str">
            <v/>
          </cell>
          <cell r="B973" t="str">
            <v/>
          </cell>
          <cell r="C973" t="str">
            <v>Future</v>
          </cell>
          <cell r="D973" t="e">
            <v>#N/A</v>
          </cell>
          <cell r="E973">
            <v>-40.256338582676683</v>
          </cell>
          <cell r="F973">
            <v>106.79090551181365</v>
          </cell>
          <cell r="G973">
            <v>41.436574803149433</v>
          </cell>
          <cell r="H973">
            <v>41.436574803149433</v>
          </cell>
          <cell r="I973" t="e">
            <v>#N/A</v>
          </cell>
          <cell r="J973" t="e">
            <v>#N/A</v>
          </cell>
          <cell r="K973">
            <v>90</v>
          </cell>
          <cell r="L973">
            <v>50</v>
          </cell>
          <cell r="M973" t="e">
            <v>#N/A</v>
          </cell>
          <cell r="N973">
            <v>80</v>
          </cell>
          <cell r="O973" t="e">
            <v>#N/A</v>
          </cell>
          <cell r="P973" t="str">
            <v/>
          </cell>
          <cell r="Q973" t="str">
            <v/>
          </cell>
          <cell r="R973" t="e">
            <v>#N/A</v>
          </cell>
        </row>
        <row r="974">
          <cell r="A974" t="str">
            <v/>
          </cell>
          <cell r="B974" t="str">
            <v/>
          </cell>
          <cell r="C974" t="str">
            <v>Future</v>
          </cell>
          <cell r="D974" t="e">
            <v>#N/A</v>
          </cell>
          <cell r="E974">
            <v>-40.506377952755422</v>
          </cell>
          <cell r="F974">
            <v>106.89519685039633</v>
          </cell>
          <cell r="G974">
            <v>41.38338582677148</v>
          </cell>
          <cell r="H974">
            <v>41.38338582677148</v>
          </cell>
          <cell r="I974" t="e">
            <v>#N/A</v>
          </cell>
          <cell r="J974" t="e">
            <v>#N/A</v>
          </cell>
          <cell r="K974">
            <v>90</v>
          </cell>
          <cell r="L974">
            <v>50</v>
          </cell>
          <cell r="M974" t="e">
            <v>#N/A</v>
          </cell>
          <cell r="N974">
            <v>80</v>
          </cell>
          <cell r="O974" t="e">
            <v>#N/A</v>
          </cell>
          <cell r="P974" t="str">
            <v/>
          </cell>
          <cell r="Q974" t="str">
            <v/>
          </cell>
          <cell r="R974" t="e">
            <v>#N/A</v>
          </cell>
        </row>
        <row r="975">
          <cell r="A975" t="str">
            <v/>
          </cell>
          <cell r="B975" t="str">
            <v/>
          </cell>
          <cell r="C975" t="str">
            <v>Future</v>
          </cell>
          <cell r="D975" t="e">
            <v>#N/A</v>
          </cell>
          <cell r="E975">
            <v>-40.75641732283416</v>
          </cell>
          <cell r="F975">
            <v>106.99948818897902</v>
          </cell>
          <cell r="G975">
            <v>41.330196850393527</v>
          </cell>
          <cell r="H975">
            <v>41.330196850393527</v>
          </cell>
          <cell r="I975" t="e">
            <v>#N/A</v>
          </cell>
          <cell r="J975" t="e">
            <v>#N/A</v>
          </cell>
          <cell r="K975">
            <v>90</v>
          </cell>
          <cell r="L975">
            <v>50</v>
          </cell>
          <cell r="M975" t="e">
            <v>#N/A</v>
          </cell>
          <cell r="N975">
            <v>80</v>
          </cell>
          <cell r="O975" t="e">
            <v>#N/A</v>
          </cell>
          <cell r="P975" t="str">
            <v/>
          </cell>
          <cell r="Q975" t="str">
            <v/>
          </cell>
          <cell r="R975" t="e">
            <v>#N/A</v>
          </cell>
        </row>
        <row r="976">
          <cell r="A976" t="str">
            <v/>
          </cell>
          <cell r="B976" t="str">
            <v/>
          </cell>
          <cell r="C976" t="str">
            <v>Future</v>
          </cell>
          <cell r="D976" t="e">
            <v>#N/A</v>
          </cell>
          <cell r="E976">
            <v>-41.006456692912899</v>
          </cell>
          <cell r="F976">
            <v>107.1037795275617</v>
          </cell>
          <cell r="G976">
            <v>41.277007874015574</v>
          </cell>
          <cell r="H976">
            <v>41.277007874015574</v>
          </cell>
          <cell r="I976" t="e">
            <v>#N/A</v>
          </cell>
          <cell r="J976" t="e">
            <v>#N/A</v>
          </cell>
          <cell r="K976">
            <v>90</v>
          </cell>
          <cell r="L976">
            <v>50</v>
          </cell>
          <cell r="M976" t="e">
            <v>#N/A</v>
          </cell>
          <cell r="N976">
            <v>80</v>
          </cell>
          <cell r="O976" t="e">
            <v>#N/A</v>
          </cell>
          <cell r="P976" t="str">
            <v/>
          </cell>
          <cell r="Q976" t="str">
            <v/>
          </cell>
          <cell r="R976" t="e">
            <v>#N/A</v>
          </cell>
        </row>
        <row r="977">
          <cell r="A977" t="str">
            <v/>
          </cell>
          <cell r="B977" t="str">
            <v/>
          </cell>
          <cell r="C977" t="str">
            <v>Future</v>
          </cell>
          <cell r="D977" t="e">
            <v>#N/A</v>
          </cell>
          <cell r="E977">
            <v>-41.256496062991637</v>
          </cell>
          <cell r="F977">
            <v>107.20807086614438</v>
          </cell>
          <cell r="G977">
            <v>41.223818897637621</v>
          </cell>
          <cell r="H977">
            <v>41.223818897637621</v>
          </cell>
          <cell r="I977" t="e">
            <v>#N/A</v>
          </cell>
          <cell r="J977" t="e">
            <v>#N/A</v>
          </cell>
          <cell r="K977">
            <v>90</v>
          </cell>
          <cell r="L977">
            <v>50</v>
          </cell>
          <cell r="M977" t="e">
            <v>#N/A</v>
          </cell>
          <cell r="N977">
            <v>80</v>
          </cell>
          <cell r="O977" t="e">
            <v>#N/A</v>
          </cell>
          <cell r="P977" t="str">
            <v/>
          </cell>
          <cell r="Q977" t="str">
            <v/>
          </cell>
          <cell r="R977" t="e">
            <v>#N/A</v>
          </cell>
        </row>
        <row r="978">
          <cell r="A978" t="str">
            <v/>
          </cell>
          <cell r="B978" t="str">
            <v/>
          </cell>
          <cell r="C978" t="str">
            <v>Future</v>
          </cell>
          <cell r="D978" t="e">
            <v>#N/A</v>
          </cell>
          <cell r="E978">
            <v>-41.506535433070376</v>
          </cell>
          <cell r="F978">
            <v>107.31236220472707</v>
          </cell>
          <cell r="G978">
            <v>41.170629921259668</v>
          </cell>
          <cell r="H978">
            <v>41.170629921259668</v>
          </cell>
          <cell r="I978" t="e">
            <v>#N/A</v>
          </cell>
          <cell r="J978" t="e">
            <v>#N/A</v>
          </cell>
          <cell r="K978">
            <v>90</v>
          </cell>
          <cell r="L978">
            <v>50</v>
          </cell>
          <cell r="M978" t="e">
            <v>#N/A</v>
          </cell>
          <cell r="N978">
            <v>80</v>
          </cell>
          <cell r="O978" t="e">
            <v>#N/A</v>
          </cell>
          <cell r="P978" t="str">
            <v/>
          </cell>
          <cell r="Q978" t="str">
            <v/>
          </cell>
          <cell r="R978" t="e">
            <v>#N/A</v>
          </cell>
        </row>
        <row r="979">
          <cell r="A979" t="str">
            <v/>
          </cell>
          <cell r="B979" t="str">
            <v/>
          </cell>
          <cell r="C979" t="str">
            <v>Future</v>
          </cell>
          <cell r="D979" t="e">
            <v>#N/A</v>
          </cell>
          <cell r="E979">
            <v>-41.756574803149114</v>
          </cell>
          <cell r="F979">
            <v>107.41665354330975</v>
          </cell>
          <cell r="G979">
            <v>41.117440944881714</v>
          </cell>
          <cell r="H979">
            <v>41.117440944881714</v>
          </cell>
          <cell r="I979" t="e">
            <v>#N/A</v>
          </cell>
          <cell r="J979" t="e">
            <v>#N/A</v>
          </cell>
          <cell r="K979">
            <v>90</v>
          </cell>
          <cell r="L979">
            <v>50</v>
          </cell>
          <cell r="M979" t="e">
            <v>#N/A</v>
          </cell>
          <cell r="N979">
            <v>80</v>
          </cell>
          <cell r="O979" t="e">
            <v>#N/A</v>
          </cell>
          <cell r="P979" t="str">
            <v/>
          </cell>
          <cell r="Q979" t="str">
            <v/>
          </cell>
          <cell r="R979" t="e">
            <v>#N/A</v>
          </cell>
        </row>
        <row r="980">
          <cell r="A980" t="str">
            <v/>
          </cell>
          <cell r="B980" t="str">
            <v/>
          </cell>
          <cell r="C980" t="str">
            <v>Future</v>
          </cell>
          <cell r="D980" t="e">
            <v>#N/A</v>
          </cell>
          <cell r="E980">
            <v>-42.006614173227852</v>
          </cell>
          <cell r="F980">
            <v>107.52094488189243</v>
          </cell>
          <cell r="G980">
            <v>41.064251968503761</v>
          </cell>
          <cell r="H980">
            <v>41.064251968503761</v>
          </cell>
          <cell r="I980" t="e">
            <v>#N/A</v>
          </cell>
          <cell r="J980" t="e">
            <v>#N/A</v>
          </cell>
          <cell r="K980">
            <v>90</v>
          </cell>
          <cell r="L980">
            <v>50</v>
          </cell>
          <cell r="M980" t="e">
            <v>#N/A</v>
          </cell>
          <cell r="N980">
            <v>80</v>
          </cell>
          <cell r="O980" t="e">
            <v>#N/A</v>
          </cell>
          <cell r="P980" t="str">
            <v/>
          </cell>
          <cell r="Q980" t="str">
            <v/>
          </cell>
          <cell r="R980" t="e">
            <v>#N/A</v>
          </cell>
        </row>
        <row r="981">
          <cell r="A981" t="str">
            <v/>
          </cell>
          <cell r="B981" t="str">
            <v/>
          </cell>
          <cell r="C981" t="str">
            <v>Future</v>
          </cell>
          <cell r="D981" t="e">
            <v>#N/A</v>
          </cell>
          <cell r="E981">
            <v>-42.256653543306591</v>
          </cell>
          <cell r="F981">
            <v>107.62523622047512</v>
          </cell>
          <cell r="G981">
            <v>41.011062992125808</v>
          </cell>
          <cell r="H981">
            <v>41.011062992125808</v>
          </cell>
          <cell r="I981" t="e">
            <v>#N/A</v>
          </cell>
          <cell r="J981" t="e">
            <v>#N/A</v>
          </cell>
          <cell r="K981">
            <v>90</v>
          </cell>
          <cell r="L981">
            <v>50</v>
          </cell>
          <cell r="M981" t="e">
            <v>#N/A</v>
          </cell>
          <cell r="N981">
            <v>80</v>
          </cell>
          <cell r="O981" t="e">
            <v>#N/A</v>
          </cell>
          <cell r="P981" t="str">
            <v/>
          </cell>
          <cell r="Q981" t="str">
            <v/>
          </cell>
          <cell r="R981" t="e">
            <v>#N/A</v>
          </cell>
        </row>
        <row r="982">
          <cell r="A982" t="str">
            <v/>
          </cell>
          <cell r="B982" t="str">
            <v/>
          </cell>
          <cell r="C982" t="str">
            <v>Future</v>
          </cell>
          <cell r="D982" t="e">
            <v>#N/A</v>
          </cell>
          <cell r="E982">
            <v>-42.506692913385329</v>
          </cell>
          <cell r="F982">
            <v>107.7295275590578</v>
          </cell>
          <cell r="G982">
            <v>40.957874015747855</v>
          </cell>
          <cell r="H982">
            <v>40.957874015747855</v>
          </cell>
          <cell r="I982" t="e">
            <v>#N/A</v>
          </cell>
          <cell r="J982" t="e">
            <v>#N/A</v>
          </cell>
          <cell r="K982">
            <v>90</v>
          </cell>
          <cell r="L982">
            <v>50</v>
          </cell>
          <cell r="M982" t="e">
            <v>#N/A</v>
          </cell>
          <cell r="N982">
            <v>80</v>
          </cell>
          <cell r="O982" t="e">
            <v>#N/A</v>
          </cell>
          <cell r="P982" t="str">
            <v/>
          </cell>
          <cell r="Q982" t="str">
            <v/>
          </cell>
          <cell r="R982" t="e">
            <v>#N/A</v>
          </cell>
        </row>
        <row r="983">
          <cell r="A983" t="str">
            <v/>
          </cell>
          <cell r="B983" t="str">
            <v/>
          </cell>
          <cell r="C983" t="str">
            <v>Future</v>
          </cell>
          <cell r="D983" t="e">
            <v>#N/A</v>
          </cell>
          <cell r="E983">
            <v>-42.756732283464068</v>
          </cell>
          <cell r="F983">
            <v>107.83381889764048</v>
          </cell>
          <cell r="G983">
            <v>40.904685039369902</v>
          </cell>
          <cell r="H983">
            <v>40.904685039369902</v>
          </cell>
          <cell r="I983" t="e">
            <v>#N/A</v>
          </cell>
          <cell r="J983" t="e">
            <v>#N/A</v>
          </cell>
          <cell r="K983">
            <v>90</v>
          </cell>
          <cell r="L983">
            <v>50</v>
          </cell>
          <cell r="M983" t="e">
            <v>#N/A</v>
          </cell>
          <cell r="N983">
            <v>80</v>
          </cell>
          <cell r="O983" t="e">
            <v>#N/A</v>
          </cell>
          <cell r="P983" t="str">
            <v/>
          </cell>
          <cell r="Q983" t="str">
            <v/>
          </cell>
          <cell r="R983" t="e">
            <v>#N/A</v>
          </cell>
        </row>
        <row r="984">
          <cell r="A984" t="str">
            <v/>
          </cell>
          <cell r="B984" t="str">
            <v/>
          </cell>
          <cell r="C984" t="str">
            <v>Future</v>
          </cell>
          <cell r="D984" t="e">
            <v>#N/A</v>
          </cell>
          <cell r="E984">
            <v>-43.006771653542806</v>
          </cell>
          <cell r="F984">
            <v>107.93811023622317</v>
          </cell>
          <cell r="G984">
            <v>40.851496062991949</v>
          </cell>
          <cell r="H984">
            <v>40.851496062991949</v>
          </cell>
          <cell r="I984" t="e">
            <v>#N/A</v>
          </cell>
          <cell r="J984" t="e">
            <v>#N/A</v>
          </cell>
          <cell r="K984">
            <v>90</v>
          </cell>
          <cell r="L984">
            <v>50</v>
          </cell>
          <cell r="M984" t="e">
            <v>#N/A</v>
          </cell>
          <cell r="N984">
            <v>80</v>
          </cell>
          <cell r="O984" t="e">
            <v>#N/A</v>
          </cell>
          <cell r="P984" t="str">
            <v/>
          </cell>
          <cell r="Q984" t="str">
            <v/>
          </cell>
          <cell r="R984" t="e">
            <v>#N/A</v>
          </cell>
        </row>
        <row r="985">
          <cell r="A985" t="str">
            <v/>
          </cell>
          <cell r="B985" t="str">
            <v/>
          </cell>
          <cell r="C985" t="str">
            <v>Future</v>
          </cell>
          <cell r="D985" t="e">
            <v>#N/A</v>
          </cell>
          <cell r="E985">
            <v>-43.256811023621545</v>
          </cell>
          <cell r="F985">
            <v>108.04240157480585</v>
          </cell>
          <cell r="G985">
            <v>40.798307086613995</v>
          </cell>
          <cell r="H985">
            <v>40.798307086613995</v>
          </cell>
          <cell r="I985" t="e">
            <v>#N/A</v>
          </cell>
          <cell r="J985" t="e">
            <v>#N/A</v>
          </cell>
          <cell r="K985">
            <v>90</v>
          </cell>
          <cell r="L985">
            <v>50</v>
          </cell>
          <cell r="M985" t="e">
            <v>#N/A</v>
          </cell>
          <cell r="N985">
            <v>80</v>
          </cell>
          <cell r="O985" t="e">
            <v>#N/A</v>
          </cell>
          <cell r="P985" t="str">
            <v/>
          </cell>
          <cell r="Q985" t="str">
            <v/>
          </cell>
          <cell r="R985" t="e">
            <v>#N/A</v>
          </cell>
        </row>
        <row r="986">
          <cell r="A986" t="str">
            <v/>
          </cell>
          <cell r="B986" t="str">
            <v/>
          </cell>
          <cell r="C986" t="str">
            <v>Future</v>
          </cell>
          <cell r="D986" t="e">
            <v>#N/A</v>
          </cell>
          <cell r="E986">
            <v>-43.506850393700283</v>
          </cell>
          <cell r="F986">
            <v>108.14669291338853</v>
          </cell>
          <cell r="G986">
            <v>40.745118110236042</v>
          </cell>
          <cell r="H986">
            <v>40.745118110236042</v>
          </cell>
          <cell r="I986" t="e">
            <v>#N/A</v>
          </cell>
          <cell r="J986" t="e">
            <v>#N/A</v>
          </cell>
          <cell r="K986">
            <v>90</v>
          </cell>
          <cell r="L986">
            <v>50</v>
          </cell>
          <cell r="M986" t="e">
            <v>#N/A</v>
          </cell>
          <cell r="N986">
            <v>80</v>
          </cell>
          <cell r="O986" t="e">
            <v>#N/A</v>
          </cell>
          <cell r="P986" t="str">
            <v/>
          </cell>
          <cell r="Q986" t="str">
            <v/>
          </cell>
          <cell r="R986" t="e">
            <v>#N/A</v>
          </cell>
        </row>
        <row r="987">
          <cell r="A987" t="str">
            <v/>
          </cell>
          <cell r="B987" t="str">
            <v/>
          </cell>
          <cell r="C987" t="str">
            <v>Future</v>
          </cell>
          <cell r="D987" t="e">
            <v>#N/A</v>
          </cell>
          <cell r="E987">
            <v>-43.756889763779022</v>
          </cell>
          <cell r="F987">
            <v>108.25098425197122</v>
          </cell>
          <cell r="G987">
            <v>40.691929133858089</v>
          </cell>
          <cell r="H987">
            <v>40.691929133858089</v>
          </cell>
          <cell r="I987" t="e">
            <v>#N/A</v>
          </cell>
          <cell r="J987" t="e">
            <v>#N/A</v>
          </cell>
          <cell r="K987">
            <v>90</v>
          </cell>
          <cell r="L987">
            <v>50</v>
          </cell>
          <cell r="M987" t="e">
            <v>#N/A</v>
          </cell>
          <cell r="N987">
            <v>80</v>
          </cell>
          <cell r="O987" t="e">
            <v>#N/A</v>
          </cell>
          <cell r="P987" t="str">
            <v/>
          </cell>
          <cell r="Q987" t="str">
            <v/>
          </cell>
          <cell r="R987" t="e">
            <v>#N/A</v>
          </cell>
        </row>
        <row r="988">
          <cell r="A988" t="str">
            <v/>
          </cell>
          <cell r="B988" t="str">
            <v/>
          </cell>
          <cell r="C988" t="str">
            <v>Future</v>
          </cell>
          <cell r="D988" t="e">
            <v>#N/A</v>
          </cell>
          <cell r="E988">
            <v>-44.00692913385776</v>
          </cell>
          <cell r="F988">
            <v>108.3552755905539</v>
          </cell>
          <cell r="G988">
            <v>40.638740157480136</v>
          </cell>
          <cell r="H988">
            <v>40.638740157480136</v>
          </cell>
          <cell r="I988" t="e">
            <v>#N/A</v>
          </cell>
          <cell r="J988" t="e">
            <v>#N/A</v>
          </cell>
          <cell r="K988">
            <v>90</v>
          </cell>
          <cell r="L988">
            <v>50</v>
          </cell>
          <cell r="M988" t="e">
            <v>#N/A</v>
          </cell>
          <cell r="N988">
            <v>80</v>
          </cell>
          <cell r="O988" t="e">
            <v>#N/A</v>
          </cell>
          <cell r="P988" t="str">
            <v/>
          </cell>
          <cell r="Q988" t="str">
            <v/>
          </cell>
          <cell r="R988" t="e">
            <v>#N/A</v>
          </cell>
        </row>
        <row r="989">
          <cell r="A989" t="str">
            <v/>
          </cell>
          <cell r="B989" t="str">
            <v/>
          </cell>
          <cell r="C989" t="str">
            <v>Future</v>
          </cell>
          <cell r="D989" t="e">
            <v>#N/A</v>
          </cell>
          <cell r="E989">
            <v>-44.256968503936498</v>
          </cell>
          <cell r="F989">
            <v>108.45956692913659</v>
          </cell>
          <cell r="G989">
            <v>40.585551181102183</v>
          </cell>
          <cell r="H989">
            <v>40.585551181102183</v>
          </cell>
          <cell r="I989" t="e">
            <v>#N/A</v>
          </cell>
          <cell r="J989" t="e">
            <v>#N/A</v>
          </cell>
          <cell r="K989">
            <v>90</v>
          </cell>
          <cell r="L989">
            <v>50</v>
          </cell>
          <cell r="M989" t="e">
            <v>#N/A</v>
          </cell>
          <cell r="N989">
            <v>80</v>
          </cell>
          <cell r="O989" t="e">
            <v>#N/A</v>
          </cell>
          <cell r="P989" t="str">
            <v/>
          </cell>
          <cell r="Q989" t="str">
            <v/>
          </cell>
          <cell r="R989" t="e">
            <v>#N/A</v>
          </cell>
        </row>
        <row r="990">
          <cell r="A990" t="str">
            <v/>
          </cell>
          <cell r="B990" t="str">
            <v/>
          </cell>
          <cell r="C990" t="str">
            <v>Future</v>
          </cell>
          <cell r="D990" t="e">
            <v>#N/A</v>
          </cell>
          <cell r="E990">
            <v>-44.507007874015237</v>
          </cell>
          <cell r="F990">
            <v>108.56385826771927</v>
          </cell>
          <cell r="G990">
            <v>40.53236220472423</v>
          </cell>
          <cell r="H990">
            <v>40.53236220472423</v>
          </cell>
          <cell r="I990" t="e">
            <v>#N/A</v>
          </cell>
          <cell r="J990" t="e">
            <v>#N/A</v>
          </cell>
          <cell r="K990">
            <v>90</v>
          </cell>
          <cell r="L990">
            <v>50</v>
          </cell>
          <cell r="M990" t="e">
            <v>#N/A</v>
          </cell>
          <cell r="N990">
            <v>80</v>
          </cell>
          <cell r="O990" t="e">
            <v>#N/A</v>
          </cell>
          <cell r="P990" t="str">
            <v/>
          </cell>
          <cell r="Q990" t="str">
            <v/>
          </cell>
          <cell r="R990" t="e">
            <v>#N/A</v>
          </cell>
        </row>
        <row r="991">
          <cell r="A991" t="str">
            <v/>
          </cell>
          <cell r="B991" t="str">
            <v/>
          </cell>
          <cell r="C991" t="str">
            <v>Future</v>
          </cell>
          <cell r="D991" t="e">
            <v>#N/A</v>
          </cell>
          <cell r="E991">
            <v>-44.757047244093975</v>
          </cell>
          <cell r="F991">
            <v>108.66814960630195</v>
          </cell>
          <cell r="G991">
            <v>40.479173228346276</v>
          </cell>
          <cell r="H991">
            <v>40.479173228346276</v>
          </cell>
          <cell r="I991" t="e">
            <v>#N/A</v>
          </cell>
          <cell r="J991" t="e">
            <v>#N/A</v>
          </cell>
          <cell r="K991">
            <v>90</v>
          </cell>
          <cell r="L991">
            <v>50</v>
          </cell>
          <cell r="M991" t="e">
            <v>#N/A</v>
          </cell>
          <cell r="N991">
            <v>80</v>
          </cell>
          <cell r="O991" t="e">
            <v>#N/A</v>
          </cell>
          <cell r="P991" t="str">
            <v/>
          </cell>
          <cell r="Q991" t="str">
            <v/>
          </cell>
          <cell r="R991" t="e">
            <v>#N/A</v>
          </cell>
        </row>
        <row r="992">
          <cell r="A992" t="str">
            <v/>
          </cell>
          <cell r="B992" t="str">
            <v/>
          </cell>
          <cell r="C992" t="str">
            <v>Future</v>
          </cell>
          <cell r="D992" t="e">
            <v>#N/A</v>
          </cell>
          <cell r="E992">
            <v>-45.007086614172714</v>
          </cell>
          <cell r="F992">
            <v>108.77244094488464</v>
          </cell>
          <cell r="G992">
            <v>40.425984251968323</v>
          </cell>
          <cell r="H992">
            <v>40.425984251968323</v>
          </cell>
          <cell r="I992" t="e">
            <v>#N/A</v>
          </cell>
          <cell r="J992" t="e">
            <v>#N/A</v>
          </cell>
          <cell r="K992">
            <v>90</v>
          </cell>
          <cell r="L992">
            <v>50</v>
          </cell>
          <cell r="M992" t="e">
            <v>#N/A</v>
          </cell>
          <cell r="N992">
            <v>80</v>
          </cell>
          <cell r="O992" t="e">
            <v>#N/A</v>
          </cell>
          <cell r="P992" t="str">
            <v/>
          </cell>
          <cell r="Q992" t="str">
            <v/>
          </cell>
          <cell r="R992" t="e">
            <v>#N/A</v>
          </cell>
        </row>
        <row r="993">
          <cell r="A993" t="str">
            <v/>
          </cell>
          <cell r="B993" t="str">
            <v/>
          </cell>
          <cell r="C993" t="str">
            <v>Future</v>
          </cell>
          <cell r="D993" t="e">
            <v>#N/A</v>
          </cell>
          <cell r="E993">
            <v>-45.257125984251452</v>
          </cell>
          <cell r="F993">
            <v>108.87673228346732</v>
          </cell>
          <cell r="G993">
            <v>40.37279527559037</v>
          </cell>
          <cell r="H993">
            <v>40.37279527559037</v>
          </cell>
          <cell r="I993" t="e">
            <v>#N/A</v>
          </cell>
          <cell r="J993" t="e">
            <v>#N/A</v>
          </cell>
          <cell r="K993">
            <v>90</v>
          </cell>
          <cell r="L993">
            <v>50</v>
          </cell>
          <cell r="M993" t="e">
            <v>#N/A</v>
          </cell>
          <cell r="N993">
            <v>80</v>
          </cell>
          <cell r="O993" t="e">
            <v>#N/A</v>
          </cell>
          <cell r="P993" t="str">
            <v/>
          </cell>
          <cell r="Q993" t="str">
            <v/>
          </cell>
          <cell r="R993" t="e">
            <v>#N/A</v>
          </cell>
        </row>
        <row r="994">
          <cell r="A994" t="str">
            <v/>
          </cell>
          <cell r="B994" t="str">
            <v/>
          </cell>
          <cell r="C994" t="str">
            <v>Future</v>
          </cell>
          <cell r="D994" t="e">
            <v>#N/A</v>
          </cell>
          <cell r="E994">
            <v>-45.507165354330191</v>
          </cell>
          <cell r="F994">
            <v>108.98102362205</v>
          </cell>
          <cell r="G994">
            <v>40.319606299212417</v>
          </cell>
          <cell r="H994">
            <v>40.319606299212417</v>
          </cell>
          <cell r="I994" t="e">
            <v>#N/A</v>
          </cell>
          <cell r="J994" t="e">
            <v>#N/A</v>
          </cell>
          <cell r="K994">
            <v>90</v>
          </cell>
          <cell r="L994">
            <v>50</v>
          </cell>
          <cell r="M994" t="e">
            <v>#N/A</v>
          </cell>
          <cell r="N994">
            <v>80</v>
          </cell>
          <cell r="O994" t="e">
            <v>#N/A</v>
          </cell>
          <cell r="P994" t="str">
            <v/>
          </cell>
          <cell r="Q994" t="str">
            <v/>
          </cell>
          <cell r="R994" t="e">
            <v>#N/A</v>
          </cell>
        </row>
        <row r="995">
          <cell r="A995" t="str">
            <v/>
          </cell>
          <cell r="B995" t="str">
            <v/>
          </cell>
          <cell r="C995" t="str">
            <v>Future</v>
          </cell>
          <cell r="D995" t="e">
            <v>#N/A</v>
          </cell>
          <cell r="E995">
            <v>-45.757204724408929</v>
          </cell>
          <cell r="F995">
            <v>109.08531496063269</v>
          </cell>
          <cell r="G995">
            <v>40.266417322834464</v>
          </cell>
          <cell r="H995">
            <v>40.266417322834464</v>
          </cell>
          <cell r="I995" t="e">
            <v>#N/A</v>
          </cell>
          <cell r="J995" t="e">
            <v>#N/A</v>
          </cell>
          <cell r="K995">
            <v>90</v>
          </cell>
          <cell r="L995">
            <v>50</v>
          </cell>
          <cell r="M995" t="e">
            <v>#N/A</v>
          </cell>
          <cell r="N995">
            <v>80</v>
          </cell>
          <cell r="O995" t="e">
            <v>#N/A</v>
          </cell>
          <cell r="P995" t="str">
            <v/>
          </cell>
          <cell r="Q995" t="str">
            <v/>
          </cell>
          <cell r="R995" t="e">
            <v>#N/A</v>
          </cell>
        </row>
        <row r="996">
          <cell r="A996" t="str">
            <v/>
          </cell>
          <cell r="B996" t="str">
            <v/>
          </cell>
          <cell r="C996" t="str">
            <v>Future</v>
          </cell>
          <cell r="D996" t="e">
            <v>#N/A</v>
          </cell>
          <cell r="E996">
            <v>-46.007244094487667</v>
          </cell>
          <cell r="F996">
            <v>109.18960629921537</v>
          </cell>
          <cell r="G996">
            <v>40.213228346456511</v>
          </cell>
          <cell r="H996">
            <v>40.213228346456511</v>
          </cell>
          <cell r="I996" t="e">
            <v>#N/A</v>
          </cell>
          <cell r="J996" t="e">
            <v>#N/A</v>
          </cell>
          <cell r="K996">
            <v>90</v>
          </cell>
          <cell r="L996">
            <v>50</v>
          </cell>
          <cell r="M996" t="e">
            <v>#N/A</v>
          </cell>
          <cell r="N996">
            <v>80</v>
          </cell>
          <cell r="O996" t="e">
            <v>#N/A</v>
          </cell>
          <cell r="P996" t="str">
            <v/>
          </cell>
          <cell r="Q996" t="str">
            <v/>
          </cell>
          <cell r="R996" t="e">
            <v>#N/A</v>
          </cell>
        </row>
        <row r="997">
          <cell r="A997" t="str">
            <v/>
          </cell>
          <cell r="B997" t="str">
            <v/>
          </cell>
          <cell r="C997" t="str">
            <v>Future</v>
          </cell>
          <cell r="D997" t="e">
            <v>#N/A</v>
          </cell>
          <cell r="E997">
            <v>-46.257283464566406</v>
          </cell>
          <cell r="F997">
            <v>109.29389763779805</v>
          </cell>
          <cell r="G997">
            <v>40.160039370078557</v>
          </cell>
          <cell r="H997">
            <v>40.160039370078557</v>
          </cell>
          <cell r="I997" t="e">
            <v>#N/A</v>
          </cell>
          <cell r="J997" t="e">
            <v>#N/A</v>
          </cell>
          <cell r="K997">
            <v>90</v>
          </cell>
          <cell r="L997">
            <v>50</v>
          </cell>
          <cell r="M997" t="e">
            <v>#N/A</v>
          </cell>
          <cell r="N997">
            <v>80</v>
          </cell>
          <cell r="O997" t="e">
            <v>#N/A</v>
          </cell>
          <cell r="P997" t="str">
            <v/>
          </cell>
          <cell r="Q997" t="str">
            <v/>
          </cell>
          <cell r="R997" t="e">
            <v>#N/A</v>
          </cell>
        </row>
        <row r="998">
          <cell r="A998" t="str">
            <v/>
          </cell>
          <cell r="B998" t="str">
            <v/>
          </cell>
          <cell r="C998" t="str">
            <v>Future</v>
          </cell>
          <cell r="D998" t="e">
            <v>#N/A</v>
          </cell>
          <cell r="E998">
            <v>-46.507322834645144</v>
          </cell>
          <cell r="F998">
            <v>109.39818897638074</v>
          </cell>
          <cell r="G998">
            <v>40.106850393700604</v>
          </cell>
          <cell r="H998">
            <v>40.106850393700604</v>
          </cell>
          <cell r="I998" t="e">
            <v>#N/A</v>
          </cell>
          <cell r="J998" t="e">
            <v>#N/A</v>
          </cell>
          <cell r="K998">
            <v>90</v>
          </cell>
          <cell r="L998">
            <v>50</v>
          </cell>
          <cell r="M998" t="e">
            <v>#N/A</v>
          </cell>
          <cell r="N998">
            <v>80</v>
          </cell>
          <cell r="O998" t="e">
            <v>#N/A</v>
          </cell>
          <cell r="P998" t="str">
            <v/>
          </cell>
          <cell r="Q998" t="str">
            <v/>
          </cell>
          <cell r="R998" t="e">
            <v>#N/A</v>
          </cell>
        </row>
        <row r="999">
          <cell r="A999" t="str">
            <v/>
          </cell>
          <cell r="B999" t="str">
            <v/>
          </cell>
          <cell r="C999" t="str">
            <v>Future</v>
          </cell>
          <cell r="D999" t="e">
            <v>#N/A</v>
          </cell>
          <cell r="E999">
            <v>-46.757362204723883</v>
          </cell>
          <cell r="F999">
            <v>109.50248031496342</v>
          </cell>
          <cell r="G999">
            <v>40.053661417322651</v>
          </cell>
          <cell r="H999">
            <v>40.053661417322651</v>
          </cell>
          <cell r="I999" t="e">
            <v>#N/A</v>
          </cell>
          <cell r="J999" t="e">
            <v>#N/A</v>
          </cell>
          <cell r="K999">
            <v>90</v>
          </cell>
          <cell r="L999">
            <v>50</v>
          </cell>
          <cell r="M999" t="e">
            <v>#N/A</v>
          </cell>
          <cell r="N999">
            <v>80</v>
          </cell>
          <cell r="O999" t="e">
            <v>#N/A</v>
          </cell>
          <cell r="P999" t="str">
            <v/>
          </cell>
          <cell r="Q999" t="str">
            <v/>
          </cell>
          <cell r="R999" t="e">
            <v>#N/A</v>
          </cell>
        </row>
        <row r="1000">
          <cell r="A1000" t="str">
            <v/>
          </cell>
          <cell r="B1000" t="str">
            <v/>
          </cell>
          <cell r="C1000" t="str">
            <v>Future</v>
          </cell>
          <cell r="D1000" t="e">
            <v>#N/A</v>
          </cell>
          <cell r="E1000">
            <v>-47.007401574802621</v>
          </cell>
          <cell r="F1000">
            <v>109.6067716535461</v>
          </cell>
          <cell r="G1000">
            <v>40.000472440944698</v>
          </cell>
          <cell r="H1000">
            <v>40.000472440944698</v>
          </cell>
          <cell r="I1000" t="e">
            <v>#N/A</v>
          </cell>
          <cell r="J1000" t="e">
            <v>#N/A</v>
          </cell>
          <cell r="K1000">
            <v>90</v>
          </cell>
          <cell r="L1000">
            <v>50</v>
          </cell>
          <cell r="M1000" t="e">
            <v>#N/A</v>
          </cell>
          <cell r="N1000">
            <v>80</v>
          </cell>
          <cell r="O1000" t="e">
            <v>#N/A</v>
          </cell>
          <cell r="P1000" t="str">
            <v/>
          </cell>
          <cell r="Q1000" t="str">
            <v/>
          </cell>
          <cell r="R1000" t="e">
            <v>#N/A</v>
          </cell>
        </row>
        <row r="1001">
          <cell r="A1001" t="str">
            <v/>
          </cell>
          <cell r="B1001" t="str">
            <v/>
          </cell>
          <cell r="C1001" t="str">
            <v>Future</v>
          </cell>
          <cell r="D1001" t="e">
            <v>#N/A</v>
          </cell>
          <cell r="E1001">
            <v>-47.25744094488136</v>
          </cell>
          <cell r="F1001">
            <v>109.71106299212879</v>
          </cell>
          <cell r="G1001">
            <v>39.947283464566745</v>
          </cell>
          <cell r="H1001">
            <v>39.947283464566745</v>
          </cell>
          <cell r="I1001" t="e">
            <v>#N/A</v>
          </cell>
          <cell r="J1001" t="e">
            <v>#N/A</v>
          </cell>
          <cell r="K1001">
            <v>90</v>
          </cell>
          <cell r="L1001">
            <v>50</v>
          </cell>
          <cell r="M1001" t="e">
            <v>#N/A</v>
          </cell>
          <cell r="N1001">
            <v>80</v>
          </cell>
          <cell r="O1001" t="e">
            <v>#N/A</v>
          </cell>
          <cell r="P1001" t="str">
            <v/>
          </cell>
          <cell r="Q1001" t="str">
            <v/>
          </cell>
          <cell r="R1001" t="e">
            <v>#N/A</v>
          </cell>
        </row>
        <row r="1002">
          <cell r="A1002" t="str">
            <v/>
          </cell>
          <cell r="B1002" t="str">
            <v/>
          </cell>
          <cell r="C1002" t="str">
            <v>Future</v>
          </cell>
          <cell r="D1002" t="e">
            <v>#N/A</v>
          </cell>
          <cell r="E1002">
            <v>-47.507480314960098</v>
          </cell>
          <cell r="F1002">
            <v>109.81535433071147</v>
          </cell>
          <cell r="G1002">
            <v>39.894094488188792</v>
          </cell>
          <cell r="H1002">
            <v>39.894094488188792</v>
          </cell>
          <cell r="I1002" t="e">
            <v>#N/A</v>
          </cell>
          <cell r="J1002" t="e">
            <v>#N/A</v>
          </cell>
          <cell r="K1002">
            <v>90</v>
          </cell>
          <cell r="L1002">
            <v>50</v>
          </cell>
          <cell r="M1002" t="e">
            <v>#N/A</v>
          </cell>
          <cell r="N1002">
            <v>80</v>
          </cell>
          <cell r="O1002" t="e">
            <v>#N/A</v>
          </cell>
          <cell r="P1002" t="str">
            <v/>
          </cell>
          <cell r="Q1002" t="str">
            <v/>
          </cell>
          <cell r="R1002" t="e">
            <v>#N/A</v>
          </cell>
        </row>
        <row r="1003">
          <cell r="A1003" t="str">
            <v/>
          </cell>
          <cell r="B1003" t="str">
            <v/>
          </cell>
          <cell r="C1003" t="str">
            <v>Future</v>
          </cell>
          <cell r="D1003" t="e">
            <v>#N/A</v>
          </cell>
          <cell r="E1003">
            <v>-47.757519685038837</v>
          </cell>
          <cell r="F1003">
            <v>109.91964566929416</v>
          </cell>
          <cell r="G1003">
            <v>39.840905511810838</v>
          </cell>
          <cell r="H1003">
            <v>39.840905511810838</v>
          </cell>
          <cell r="I1003" t="e">
            <v>#N/A</v>
          </cell>
          <cell r="J1003" t="e">
            <v>#N/A</v>
          </cell>
          <cell r="K1003">
            <v>90</v>
          </cell>
          <cell r="L1003">
            <v>50</v>
          </cell>
          <cell r="M1003" t="e">
            <v>#N/A</v>
          </cell>
          <cell r="N1003">
            <v>80</v>
          </cell>
          <cell r="O1003" t="e">
            <v>#N/A</v>
          </cell>
          <cell r="P1003" t="str">
            <v/>
          </cell>
          <cell r="Q1003" t="str">
            <v/>
          </cell>
          <cell r="R1003" t="e">
            <v>#N/A</v>
          </cell>
        </row>
        <row r="1004">
          <cell r="A1004" t="str">
            <v/>
          </cell>
          <cell r="B1004" t="str">
            <v/>
          </cell>
          <cell r="C1004" t="str">
            <v>Future</v>
          </cell>
          <cell r="D1004" t="e">
            <v>#N/A</v>
          </cell>
          <cell r="E1004">
            <v>-48.007559055117575</v>
          </cell>
          <cell r="F1004">
            <v>110.02393700787684</v>
          </cell>
          <cell r="G1004">
            <v>39.787716535432885</v>
          </cell>
          <cell r="H1004">
            <v>39.787716535432885</v>
          </cell>
          <cell r="I1004" t="e">
            <v>#N/A</v>
          </cell>
          <cell r="J1004" t="e">
            <v>#N/A</v>
          </cell>
          <cell r="K1004">
            <v>90</v>
          </cell>
          <cell r="L1004">
            <v>50</v>
          </cell>
          <cell r="M1004" t="e">
            <v>#N/A</v>
          </cell>
          <cell r="N1004">
            <v>80</v>
          </cell>
          <cell r="O1004" t="e">
            <v>#N/A</v>
          </cell>
          <cell r="P1004" t="str">
            <v/>
          </cell>
          <cell r="Q1004" t="str">
            <v/>
          </cell>
          <cell r="R1004" t="e">
            <v>#N/A</v>
          </cell>
        </row>
        <row r="1005">
          <cell r="A1005" t="str">
            <v/>
          </cell>
          <cell r="B1005" t="str">
            <v/>
          </cell>
          <cell r="C1005" t="str">
            <v>Future</v>
          </cell>
          <cell r="D1005" t="e">
            <v>#N/A</v>
          </cell>
          <cell r="E1005">
            <v>-48.257598425196313</v>
          </cell>
          <cell r="F1005">
            <v>110.12822834645952</v>
          </cell>
          <cell r="G1005">
            <v>39.734527559054932</v>
          </cell>
          <cell r="H1005">
            <v>39.734527559054932</v>
          </cell>
          <cell r="I1005" t="e">
            <v>#N/A</v>
          </cell>
          <cell r="J1005" t="e">
            <v>#N/A</v>
          </cell>
          <cell r="K1005">
            <v>90</v>
          </cell>
          <cell r="L1005">
            <v>50</v>
          </cell>
          <cell r="M1005" t="e">
            <v>#N/A</v>
          </cell>
          <cell r="N1005">
            <v>80</v>
          </cell>
          <cell r="O1005" t="e">
            <v>#N/A</v>
          </cell>
          <cell r="P1005" t="str">
            <v/>
          </cell>
          <cell r="Q1005" t="str">
            <v/>
          </cell>
          <cell r="R1005" t="e">
            <v>#N/A</v>
          </cell>
        </row>
        <row r="1006">
          <cell r="A1006" t="str">
            <v/>
          </cell>
          <cell r="B1006" t="str">
            <v/>
          </cell>
          <cell r="C1006" t="str">
            <v>Future</v>
          </cell>
          <cell r="D1006" t="e">
            <v>#N/A</v>
          </cell>
          <cell r="E1006">
            <v>-48.507637795275052</v>
          </cell>
          <cell r="F1006">
            <v>110.23251968504221</v>
          </cell>
          <cell r="G1006">
            <v>39.681338582676979</v>
          </cell>
          <cell r="H1006">
            <v>39.681338582676979</v>
          </cell>
          <cell r="I1006" t="e">
            <v>#N/A</v>
          </cell>
          <cell r="J1006" t="e">
            <v>#N/A</v>
          </cell>
          <cell r="K1006">
            <v>90</v>
          </cell>
          <cell r="L1006">
            <v>50</v>
          </cell>
          <cell r="M1006" t="e">
            <v>#N/A</v>
          </cell>
          <cell r="N1006">
            <v>80</v>
          </cell>
          <cell r="O1006" t="e">
            <v>#N/A</v>
          </cell>
          <cell r="P1006" t="str">
            <v/>
          </cell>
          <cell r="Q1006" t="str">
            <v/>
          </cell>
          <cell r="R1006" t="e">
            <v>#N/A</v>
          </cell>
        </row>
        <row r="1007">
          <cell r="A1007" t="str">
            <v/>
          </cell>
          <cell r="B1007" t="str">
            <v/>
          </cell>
          <cell r="C1007" t="str">
            <v>Future</v>
          </cell>
          <cell r="D1007" t="e">
            <v>#N/A</v>
          </cell>
          <cell r="E1007">
            <v>-48.75767716535379</v>
          </cell>
          <cell r="F1007">
            <v>110.33681102362489</v>
          </cell>
          <cell r="G1007">
            <v>39.628149606299026</v>
          </cell>
          <cell r="H1007">
            <v>39.628149606299026</v>
          </cell>
          <cell r="I1007" t="e">
            <v>#N/A</v>
          </cell>
          <cell r="J1007" t="e">
            <v>#N/A</v>
          </cell>
          <cell r="K1007">
            <v>90</v>
          </cell>
          <cell r="L1007">
            <v>50</v>
          </cell>
          <cell r="M1007" t="e">
            <v>#N/A</v>
          </cell>
          <cell r="N1007">
            <v>80</v>
          </cell>
          <cell r="O1007" t="e">
            <v>#N/A</v>
          </cell>
          <cell r="P1007" t="str">
            <v/>
          </cell>
          <cell r="Q1007" t="str">
            <v/>
          </cell>
          <cell r="R1007" t="e">
            <v>#N/A</v>
          </cell>
        </row>
        <row r="1008">
          <cell r="A1008" t="str">
            <v/>
          </cell>
          <cell r="B1008" t="str">
            <v/>
          </cell>
          <cell r="C1008" t="str">
            <v>Future</v>
          </cell>
          <cell r="D1008" t="e">
            <v>#N/A</v>
          </cell>
          <cell r="E1008">
            <v>-49.007716535432529</v>
          </cell>
          <cell r="F1008">
            <v>110.44110236220757</v>
          </cell>
          <cell r="G1008">
            <v>39.574960629921073</v>
          </cell>
          <cell r="H1008">
            <v>39.574960629921073</v>
          </cell>
          <cell r="I1008" t="e">
            <v>#N/A</v>
          </cell>
          <cell r="J1008" t="e">
            <v>#N/A</v>
          </cell>
          <cell r="K1008">
            <v>90</v>
          </cell>
          <cell r="L1008">
            <v>50</v>
          </cell>
          <cell r="M1008" t="e">
            <v>#N/A</v>
          </cell>
          <cell r="N1008">
            <v>80</v>
          </cell>
          <cell r="O1008" t="e">
            <v>#N/A</v>
          </cell>
          <cell r="P1008" t="str">
            <v/>
          </cell>
          <cell r="Q1008" t="str">
            <v/>
          </cell>
          <cell r="R1008" t="e">
            <v>#N/A</v>
          </cell>
        </row>
        <row r="1009">
          <cell r="A1009" t="str">
            <v/>
          </cell>
          <cell r="B1009" t="str">
            <v/>
          </cell>
          <cell r="C1009" t="str">
            <v>Future</v>
          </cell>
          <cell r="D1009" t="e">
            <v>#N/A</v>
          </cell>
          <cell r="E1009">
            <v>-49.257755905511267</v>
          </cell>
          <cell r="F1009">
            <v>110.54539370079026</v>
          </cell>
          <cell r="G1009">
            <v>39.521771653543119</v>
          </cell>
          <cell r="H1009">
            <v>39.521771653543119</v>
          </cell>
          <cell r="I1009" t="e">
            <v>#N/A</v>
          </cell>
          <cell r="J1009" t="e">
            <v>#N/A</v>
          </cell>
          <cell r="K1009">
            <v>90</v>
          </cell>
          <cell r="L1009">
            <v>50</v>
          </cell>
          <cell r="M1009" t="e">
            <v>#N/A</v>
          </cell>
          <cell r="N1009">
            <v>80</v>
          </cell>
          <cell r="O1009" t="e">
            <v>#N/A</v>
          </cell>
          <cell r="P1009" t="str">
            <v/>
          </cell>
          <cell r="Q1009" t="str">
            <v/>
          </cell>
          <cell r="R1009" t="e">
            <v>#N/A</v>
          </cell>
        </row>
        <row r="1010">
          <cell r="A1010" t="str">
            <v/>
          </cell>
          <cell r="B1010" t="str">
            <v/>
          </cell>
          <cell r="C1010" t="str">
            <v>Future</v>
          </cell>
          <cell r="D1010" t="e">
            <v>#N/A</v>
          </cell>
          <cell r="E1010">
            <v>-49.507795275590006</v>
          </cell>
          <cell r="F1010">
            <v>110.64968503937294</v>
          </cell>
          <cell r="G1010">
            <v>39.468582677165166</v>
          </cell>
          <cell r="H1010">
            <v>39.468582677165166</v>
          </cell>
          <cell r="I1010" t="e">
            <v>#N/A</v>
          </cell>
          <cell r="J1010" t="e">
            <v>#N/A</v>
          </cell>
          <cell r="K1010">
            <v>90</v>
          </cell>
          <cell r="L1010">
            <v>50</v>
          </cell>
          <cell r="M1010" t="e">
            <v>#N/A</v>
          </cell>
          <cell r="N1010">
            <v>80</v>
          </cell>
          <cell r="O1010" t="e">
            <v>#N/A</v>
          </cell>
          <cell r="P1010" t="str">
            <v/>
          </cell>
          <cell r="Q1010" t="str">
            <v/>
          </cell>
          <cell r="R1010" t="e">
            <v>#N/A</v>
          </cell>
        </row>
        <row r="1011">
          <cell r="A1011" t="str">
            <v/>
          </cell>
          <cell r="B1011" t="str">
            <v/>
          </cell>
          <cell r="C1011" t="str">
            <v>Future</v>
          </cell>
          <cell r="D1011" t="e">
            <v>#N/A</v>
          </cell>
          <cell r="E1011">
            <v>-49.757834645668744</v>
          </cell>
          <cell r="F1011">
            <v>110.75397637795562</v>
          </cell>
          <cell r="G1011">
            <v>39.415393700787213</v>
          </cell>
          <cell r="H1011">
            <v>39.415393700787213</v>
          </cell>
          <cell r="I1011" t="e">
            <v>#N/A</v>
          </cell>
          <cell r="J1011" t="e">
            <v>#N/A</v>
          </cell>
          <cell r="K1011">
            <v>90</v>
          </cell>
          <cell r="L1011">
            <v>50</v>
          </cell>
          <cell r="M1011" t="e">
            <v>#N/A</v>
          </cell>
          <cell r="N1011">
            <v>80</v>
          </cell>
          <cell r="O1011" t="e">
            <v>#N/A</v>
          </cell>
          <cell r="P1011" t="str">
            <v/>
          </cell>
          <cell r="Q1011" t="str">
            <v/>
          </cell>
          <cell r="R1011" t="e">
            <v>#N/A</v>
          </cell>
        </row>
        <row r="1012">
          <cell r="A1012" t="str">
            <v/>
          </cell>
          <cell r="B1012" t="str">
            <v/>
          </cell>
          <cell r="C1012" t="str">
            <v>Future</v>
          </cell>
          <cell r="D1012" t="e">
            <v>#N/A</v>
          </cell>
          <cell r="E1012">
            <v>-50.007874015747483</v>
          </cell>
          <cell r="F1012">
            <v>110.85826771653831</v>
          </cell>
          <cell r="G1012">
            <v>39.36220472440926</v>
          </cell>
          <cell r="H1012">
            <v>39.36220472440926</v>
          </cell>
          <cell r="I1012" t="e">
            <v>#N/A</v>
          </cell>
          <cell r="J1012" t="e">
            <v>#N/A</v>
          </cell>
          <cell r="K1012">
            <v>90</v>
          </cell>
          <cell r="L1012">
            <v>50</v>
          </cell>
          <cell r="M1012" t="e">
            <v>#N/A</v>
          </cell>
          <cell r="N1012">
            <v>80</v>
          </cell>
          <cell r="O1012" t="e">
            <v>#N/A</v>
          </cell>
          <cell r="P1012" t="str">
            <v/>
          </cell>
          <cell r="Q1012" t="str">
            <v/>
          </cell>
          <cell r="R1012" t="e">
            <v>#N/A</v>
          </cell>
        </row>
        <row r="1013">
          <cell r="A1013" t="str">
            <v/>
          </cell>
          <cell r="B1013" t="str">
            <v/>
          </cell>
          <cell r="C1013" t="str">
            <v>Future</v>
          </cell>
          <cell r="D1013" t="e">
            <v>#N/A</v>
          </cell>
          <cell r="E1013">
            <v>-50.257913385826221</v>
          </cell>
          <cell r="F1013">
            <v>110.96255905512099</v>
          </cell>
          <cell r="G1013">
            <v>39.309015748031307</v>
          </cell>
          <cell r="H1013">
            <v>39.309015748031307</v>
          </cell>
          <cell r="I1013" t="e">
            <v>#N/A</v>
          </cell>
          <cell r="J1013" t="e">
            <v>#N/A</v>
          </cell>
          <cell r="K1013">
            <v>90</v>
          </cell>
          <cell r="L1013">
            <v>50</v>
          </cell>
          <cell r="M1013" t="e">
            <v>#N/A</v>
          </cell>
          <cell r="N1013">
            <v>80</v>
          </cell>
          <cell r="O1013" t="e">
            <v>#N/A</v>
          </cell>
          <cell r="P1013" t="str">
            <v/>
          </cell>
          <cell r="Q1013" t="str">
            <v/>
          </cell>
          <cell r="R1013" t="e">
            <v>#N/A</v>
          </cell>
        </row>
        <row r="1014">
          <cell r="A1014" t="str">
            <v/>
          </cell>
          <cell r="B1014" t="str">
            <v/>
          </cell>
          <cell r="C1014" t="str">
            <v>Future</v>
          </cell>
          <cell r="D1014" t="e">
            <v>#N/A</v>
          </cell>
          <cell r="E1014">
            <v>-50.507952755904959</v>
          </cell>
          <cell r="F1014">
            <v>111.06685039370367</v>
          </cell>
          <cell r="G1014">
            <v>39.255826771653354</v>
          </cell>
          <cell r="H1014">
            <v>39.255826771653354</v>
          </cell>
          <cell r="I1014" t="e">
            <v>#N/A</v>
          </cell>
          <cell r="J1014" t="e">
            <v>#N/A</v>
          </cell>
          <cell r="K1014">
            <v>90</v>
          </cell>
          <cell r="L1014">
            <v>50</v>
          </cell>
          <cell r="M1014" t="e">
            <v>#N/A</v>
          </cell>
          <cell r="N1014">
            <v>80</v>
          </cell>
          <cell r="O1014" t="e">
            <v>#N/A</v>
          </cell>
          <cell r="P1014" t="str">
            <v/>
          </cell>
          <cell r="Q1014" t="str">
            <v/>
          </cell>
          <cell r="R1014" t="e">
            <v>#N/A</v>
          </cell>
        </row>
        <row r="1015">
          <cell r="A1015" t="str">
            <v/>
          </cell>
          <cell r="B1015" t="str">
            <v/>
          </cell>
          <cell r="C1015" t="str">
            <v>Future</v>
          </cell>
          <cell r="D1015" t="e">
            <v>#N/A</v>
          </cell>
          <cell r="E1015">
            <v>-50.757992125983698</v>
          </cell>
          <cell r="F1015">
            <v>111.17114173228636</v>
          </cell>
          <cell r="G1015">
            <v>39.2026377952754</v>
          </cell>
          <cell r="H1015">
            <v>39.2026377952754</v>
          </cell>
          <cell r="I1015" t="e">
            <v>#N/A</v>
          </cell>
          <cell r="J1015" t="e">
            <v>#N/A</v>
          </cell>
          <cell r="K1015">
            <v>90</v>
          </cell>
          <cell r="L1015">
            <v>50</v>
          </cell>
          <cell r="M1015" t="e">
            <v>#N/A</v>
          </cell>
          <cell r="N1015">
            <v>80</v>
          </cell>
          <cell r="O1015" t="e">
            <v>#N/A</v>
          </cell>
          <cell r="P1015" t="str">
            <v/>
          </cell>
          <cell r="Q1015" t="str">
            <v/>
          </cell>
          <cell r="R1015" t="e">
            <v>#N/A</v>
          </cell>
        </row>
        <row r="1016">
          <cell r="A1016" t="str">
            <v/>
          </cell>
          <cell r="B1016" t="str">
            <v/>
          </cell>
          <cell r="C1016" t="str">
            <v>Future</v>
          </cell>
          <cell r="D1016" t="e">
            <v>#N/A</v>
          </cell>
          <cell r="E1016">
            <v>-51.008031496062436</v>
          </cell>
          <cell r="F1016">
            <v>111.27543307086904</v>
          </cell>
          <cell r="G1016">
            <v>39.149448818897447</v>
          </cell>
          <cell r="H1016">
            <v>39.149448818897447</v>
          </cell>
          <cell r="I1016" t="e">
            <v>#N/A</v>
          </cell>
          <cell r="J1016" t="e">
            <v>#N/A</v>
          </cell>
          <cell r="K1016">
            <v>90</v>
          </cell>
          <cell r="L1016">
            <v>50</v>
          </cell>
          <cell r="M1016" t="e">
            <v>#N/A</v>
          </cell>
          <cell r="N1016">
            <v>80</v>
          </cell>
          <cell r="O1016" t="e">
            <v>#N/A</v>
          </cell>
          <cell r="P1016" t="str">
            <v/>
          </cell>
          <cell r="Q1016" t="str">
            <v/>
          </cell>
          <cell r="R1016" t="e">
            <v>#N/A</v>
          </cell>
        </row>
        <row r="1017">
          <cell r="A1017" t="str">
            <v/>
          </cell>
          <cell r="B1017" t="str">
            <v/>
          </cell>
          <cell r="C1017" t="str">
            <v>Future</v>
          </cell>
          <cell r="D1017" t="e">
            <v>#N/A</v>
          </cell>
          <cell r="E1017">
            <v>-51.258070866141175</v>
          </cell>
          <cell r="F1017">
            <v>111.37972440945173</v>
          </cell>
          <cell r="G1017">
            <v>39.096259842519494</v>
          </cell>
          <cell r="H1017">
            <v>39.096259842519494</v>
          </cell>
          <cell r="I1017" t="e">
            <v>#N/A</v>
          </cell>
          <cell r="J1017" t="e">
            <v>#N/A</v>
          </cell>
          <cell r="K1017">
            <v>90</v>
          </cell>
          <cell r="L1017">
            <v>50</v>
          </cell>
          <cell r="M1017" t="e">
            <v>#N/A</v>
          </cell>
          <cell r="N1017">
            <v>80</v>
          </cell>
          <cell r="O1017" t="e">
            <v>#N/A</v>
          </cell>
          <cell r="P1017" t="str">
            <v/>
          </cell>
          <cell r="Q1017" t="str">
            <v/>
          </cell>
          <cell r="R1017" t="e">
            <v>#N/A</v>
          </cell>
        </row>
        <row r="1018">
          <cell r="A1018" t="str">
            <v/>
          </cell>
          <cell r="B1018" t="str">
            <v/>
          </cell>
          <cell r="C1018" t="str">
            <v>Future</v>
          </cell>
          <cell r="D1018" t="e">
            <v>#N/A</v>
          </cell>
          <cell r="E1018">
            <v>-51.508110236219913</v>
          </cell>
          <cell r="F1018">
            <v>111.48401574803441</v>
          </cell>
          <cell r="G1018">
            <v>39.043070866141541</v>
          </cell>
          <cell r="H1018">
            <v>39.043070866141541</v>
          </cell>
          <cell r="I1018" t="e">
            <v>#N/A</v>
          </cell>
          <cell r="J1018" t="e">
            <v>#N/A</v>
          </cell>
          <cell r="K1018">
            <v>90</v>
          </cell>
          <cell r="L1018">
            <v>50</v>
          </cell>
          <cell r="M1018" t="e">
            <v>#N/A</v>
          </cell>
          <cell r="N1018">
            <v>80</v>
          </cell>
          <cell r="O1018" t="e">
            <v>#N/A</v>
          </cell>
          <cell r="P1018" t="str">
            <v/>
          </cell>
          <cell r="Q1018" t="str">
            <v/>
          </cell>
          <cell r="R1018" t="e">
            <v>#N/A</v>
          </cell>
        </row>
        <row r="1019">
          <cell r="A1019" t="str">
            <v/>
          </cell>
          <cell r="B1019" t="str">
            <v/>
          </cell>
          <cell r="C1019" t="str">
            <v>Future</v>
          </cell>
          <cell r="D1019" t="e">
            <v>#N/A</v>
          </cell>
          <cell r="E1019">
            <v>-51.758149606298652</v>
          </cell>
          <cell r="F1019">
            <v>111.58830708661709</v>
          </cell>
          <cell r="G1019">
            <v>38.989881889763588</v>
          </cell>
          <cell r="H1019">
            <v>38.989881889763588</v>
          </cell>
          <cell r="I1019" t="e">
            <v>#N/A</v>
          </cell>
          <cell r="J1019" t="e">
            <v>#N/A</v>
          </cell>
          <cell r="K1019">
            <v>90</v>
          </cell>
          <cell r="L1019">
            <v>50</v>
          </cell>
          <cell r="M1019" t="e">
            <v>#N/A</v>
          </cell>
          <cell r="N1019">
            <v>80</v>
          </cell>
          <cell r="O1019" t="e">
            <v>#N/A</v>
          </cell>
          <cell r="P1019" t="str">
            <v/>
          </cell>
          <cell r="Q1019" t="str">
            <v/>
          </cell>
          <cell r="R1019" t="e">
            <v>#N/A</v>
          </cell>
        </row>
        <row r="1020">
          <cell r="A1020" t="str">
            <v/>
          </cell>
          <cell r="B1020" t="str">
            <v/>
          </cell>
          <cell r="C1020" t="str">
            <v>Future</v>
          </cell>
          <cell r="D1020" t="e">
            <v>#N/A</v>
          </cell>
          <cell r="E1020">
            <v>-52.00818897637739</v>
          </cell>
          <cell r="F1020">
            <v>111.69259842519978</v>
          </cell>
          <cell r="G1020">
            <v>38.936692913385635</v>
          </cell>
          <cell r="H1020">
            <v>38.936692913385635</v>
          </cell>
          <cell r="I1020" t="e">
            <v>#N/A</v>
          </cell>
          <cell r="J1020" t="e">
            <v>#N/A</v>
          </cell>
          <cell r="K1020">
            <v>90</v>
          </cell>
          <cell r="L1020">
            <v>50</v>
          </cell>
          <cell r="M1020" t="e">
            <v>#N/A</v>
          </cell>
          <cell r="N1020">
            <v>80</v>
          </cell>
          <cell r="O1020" t="e">
            <v>#N/A</v>
          </cell>
          <cell r="P1020" t="str">
            <v/>
          </cell>
          <cell r="Q1020" t="str">
            <v/>
          </cell>
          <cell r="R1020" t="e">
            <v>#N/A</v>
          </cell>
        </row>
        <row r="1021">
          <cell r="A1021" t="str">
            <v/>
          </cell>
          <cell r="B1021" t="str">
            <v/>
          </cell>
          <cell r="C1021" t="str">
            <v>Future</v>
          </cell>
          <cell r="D1021" t="e">
            <v>#N/A</v>
          </cell>
          <cell r="E1021">
            <v>-52.258228346456129</v>
          </cell>
          <cell r="F1021">
            <v>111.79688976378246</v>
          </cell>
          <cell r="G1021">
            <v>38.883503937007681</v>
          </cell>
          <cell r="H1021">
            <v>38.883503937007681</v>
          </cell>
          <cell r="I1021" t="e">
            <v>#N/A</v>
          </cell>
          <cell r="J1021" t="e">
            <v>#N/A</v>
          </cell>
          <cell r="K1021">
            <v>90</v>
          </cell>
          <cell r="L1021">
            <v>50</v>
          </cell>
          <cell r="M1021" t="e">
            <v>#N/A</v>
          </cell>
          <cell r="N1021">
            <v>80</v>
          </cell>
          <cell r="O1021" t="e">
            <v>#N/A</v>
          </cell>
          <cell r="P1021" t="str">
            <v/>
          </cell>
          <cell r="Q1021" t="str">
            <v/>
          </cell>
          <cell r="R1021" t="e">
            <v>#N/A</v>
          </cell>
        </row>
        <row r="1022">
          <cell r="A1022" t="str">
            <v/>
          </cell>
          <cell r="B1022" t="str">
            <v/>
          </cell>
          <cell r="C1022" t="str">
            <v>Future</v>
          </cell>
          <cell r="D1022" t="e">
            <v>#N/A</v>
          </cell>
          <cell r="E1022">
            <v>-52.508267716534867</v>
          </cell>
          <cell r="F1022">
            <v>111.90118110236514</v>
          </cell>
          <cell r="G1022">
            <v>38.830314960629728</v>
          </cell>
          <cell r="H1022">
            <v>38.830314960629728</v>
          </cell>
          <cell r="I1022" t="e">
            <v>#N/A</v>
          </cell>
          <cell r="J1022" t="e">
            <v>#N/A</v>
          </cell>
          <cell r="K1022">
            <v>90</v>
          </cell>
          <cell r="L1022">
            <v>50</v>
          </cell>
          <cell r="M1022" t="e">
            <v>#N/A</v>
          </cell>
          <cell r="N1022">
            <v>80</v>
          </cell>
          <cell r="O1022" t="e">
            <v>#N/A</v>
          </cell>
          <cell r="P1022" t="str">
            <v/>
          </cell>
          <cell r="Q1022" t="str">
            <v/>
          </cell>
          <cell r="R1022" t="e">
            <v>#N/A</v>
          </cell>
        </row>
        <row r="1023">
          <cell r="A1023" t="str">
            <v/>
          </cell>
          <cell r="B1023" t="str">
            <v/>
          </cell>
          <cell r="C1023" t="str">
            <v>Future</v>
          </cell>
          <cell r="D1023" t="e">
            <v>#N/A</v>
          </cell>
          <cell r="E1023">
            <v>-52.758307086613605</v>
          </cell>
          <cell r="F1023">
            <v>112.00547244094783</v>
          </cell>
          <cell r="G1023">
            <v>38.777125984251775</v>
          </cell>
          <cell r="H1023">
            <v>38.777125984251775</v>
          </cell>
          <cell r="I1023" t="e">
            <v>#N/A</v>
          </cell>
          <cell r="J1023" t="e">
            <v>#N/A</v>
          </cell>
          <cell r="K1023">
            <v>90</v>
          </cell>
          <cell r="L1023">
            <v>50</v>
          </cell>
          <cell r="M1023" t="e">
            <v>#N/A</v>
          </cell>
          <cell r="N1023">
            <v>80</v>
          </cell>
          <cell r="O1023" t="e">
            <v>#N/A</v>
          </cell>
          <cell r="P1023" t="str">
            <v/>
          </cell>
          <cell r="Q1023" t="str">
            <v/>
          </cell>
          <cell r="R1023" t="e">
            <v>#N/A</v>
          </cell>
        </row>
        <row r="1024">
          <cell r="A1024" t="str">
            <v/>
          </cell>
          <cell r="B1024" t="str">
            <v/>
          </cell>
          <cell r="C1024" t="str">
            <v>Future</v>
          </cell>
          <cell r="D1024" t="e">
            <v>#N/A</v>
          </cell>
          <cell r="E1024">
            <v>-53.008346456692344</v>
          </cell>
          <cell r="F1024">
            <v>112.10976377953051</v>
          </cell>
          <cell r="G1024">
            <v>38.723937007873822</v>
          </cell>
          <cell r="H1024">
            <v>38.723937007873822</v>
          </cell>
          <cell r="I1024" t="e">
            <v>#N/A</v>
          </cell>
          <cell r="J1024" t="e">
            <v>#N/A</v>
          </cell>
          <cell r="K1024">
            <v>90</v>
          </cell>
          <cell r="L1024">
            <v>50</v>
          </cell>
          <cell r="M1024" t="e">
            <v>#N/A</v>
          </cell>
          <cell r="N1024">
            <v>80</v>
          </cell>
          <cell r="O1024" t="e">
            <v>#N/A</v>
          </cell>
          <cell r="P1024" t="str">
            <v/>
          </cell>
          <cell r="Q1024" t="str">
            <v/>
          </cell>
          <cell r="R1024" t="e">
            <v>#N/A</v>
          </cell>
        </row>
        <row r="1025">
          <cell r="A1025" t="str">
            <v/>
          </cell>
          <cell r="B1025" t="str">
            <v/>
          </cell>
          <cell r="C1025" t="str">
            <v>Future</v>
          </cell>
          <cell r="D1025" t="e">
            <v>#N/A</v>
          </cell>
          <cell r="E1025">
            <v>-53.258385826771082</v>
          </cell>
          <cell r="F1025">
            <v>112.21405511811319</v>
          </cell>
          <cell r="G1025">
            <v>38.670748031495869</v>
          </cell>
          <cell r="H1025">
            <v>38.670748031495869</v>
          </cell>
          <cell r="I1025" t="e">
            <v>#N/A</v>
          </cell>
          <cell r="J1025" t="e">
            <v>#N/A</v>
          </cell>
          <cell r="K1025">
            <v>90</v>
          </cell>
          <cell r="L1025">
            <v>50</v>
          </cell>
          <cell r="M1025" t="e">
            <v>#N/A</v>
          </cell>
          <cell r="N1025">
            <v>80</v>
          </cell>
          <cell r="O1025" t="e">
            <v>#N/A</v>
          </cell>
          <cell r="P1025" t="str">
            <v/>
          </cell>
          <cell r="Q1025" t="str">
            <v/>
          </cell>
          <cell r="R1025" t="e">
            <v>#N/A</v>
          </cell>
        </row>
        <row r="1026">
          <cell r="A1026" t="str">
            <v/>
          </cell>
          <cell r="B1026" t="str">
            <v/>
          </cell>
          <cell r="C1026" t="str">
            <v>Future</v>
          </cell>
          <cell r="D1026" t="e">
            <v>#N/A</v>
          </cell>
          <cell r="E1026">
            <v>-53.508425196849821</v>
          </cell>
          <cell r="F1026">
            <v>112.31834645669588</v>
          </cell>
          <cell r="G1026">
            <v>38.617559055117916</v>
          </cell>
          <cell r="H1026">
            <v>38.617559055117916</v>
          </cell>
          <cell r="I1026" t="e">
            <v>#N/A</v>
          </cell>
          <cell r="J1026" t="e">
            <v>#N/A</v>
          </cell>
          <cell r="K1026">
            <v>90</v>
          </cell>
          <cell r="L1026">
            <v>50</v>
          </cell>
          <cell r="M1026" t="e">
            <v>#N/A</v>
          </cell>
          <cell r="N1026">
            <v>80</v>
          </cell>
          <cell r="O1026" t="e">
            <v>#N/A</v>
          </cell>
          <cell r="P1026" t="str">
            <v/>
          </cell>
          <cell r="Q1026" t="str">
            <v/>
          </cell>
          <cell r="R1026" t="e">
            <v>#N/A</v>
          </cell>
        </row>
        <row r="1027">
          <cell r="A1027" t="str">
            <v/>
          </cell>
          <cell r="B1027" t="str">
            <v/>
          </cell>
          <cell r="C1027" t="str">
            <v>Future</v>
          </cell>
          <cell r="D1027" t="e">
            <v>#N/A</v>
          </cell>
          <cell r="E1027">
            <v>-53.758464566928559</v>
          </cell>
          <cell r="F1027">
            <v>112.42263779527856</v>
          </cell>
          <cell r="G1027">
            <v>38.564370078739962</v>
          </cell>
          <cell r="H1027">
            <v>38.564370078739962</v>
          </cell>
          <cell r="I1027" t="e">
            <v>#N/A</v>
          </cell>
          <cell r="J1027" t="e">
            <v>#N/A</v>
          </cell>
          <cell r="K1027">
            <v>90</v>
          </cell>
          <cell r="L1027">
            <v>50</v>
          </cell>
          <cell r="M1027" t="e">
            <v>#N/A</v>
          </cell>
          <cell r="N1027">
            <v>80</v>
          </cell>
          <cell r="O1027" t="e">
            <v>#N/A</v>
          </cell>
          <cell r="P1027" t="str">
            <v/>
          </cell>
          <cell r="Q1027" t="str">
            <v/>
          </cell>
          <cell r="R1027" t="e">
            <v>#N/A</v>
          </cell>
        </row>
        <row r="1028">
          <cell r="A1028" t="str">
            <v/>
          </cell>
          <cell r="B1028" t="str">
            <v/>
          </cell>
          <cell r="C1028" t="str">
            <v>Future</v>
          </cell>
          <cell r="D1028" t="e">
            <v>#N/A</v>
          </cell>
          <cell r="E1028">
            <v>-54.008503937007298</v>
          </cell>
          <cell r="F1028">
            <v>112.52692913386124</v>
          </cell>
          <cell r="G1028">
            <v>38.511181102362009</v>
          </cell>
          <cell r="H1028">
            <v>38.511181102362009</v>
          </cell>
          <cell r="I1028" t="e">
            <v>#N/A</v>
          </cell>
          <cell r="J1028" t="e">
            <v>#N/A</v>
          </cell>
          <cell r="K1028">
            <v>90</v>
          </cell>
          <cell r="L1028">
            <v>50</v>
          </cell>
          <cell r="M1028" t="e">
            <v>#N/A</v>
          </cell>
          <cell r="N1028">
            <v>80</v>
          </cell>
          <cell r="O1028" t="e">
            <v>#N/A</v>
          </cell>
          <cell r="P1028" t="str">
            <v/>
          </cell>
          <cell r="Q1028" t="str">
            <v/>
          </cell>
          <cell r="R1028" t="e">
            <v>#N/A</v>
          </cell>
        </row>
        <row r="1029">
          <cell r="A1029" t="str">
            <v/>
          </cell>
          <cell r="B1029" t="str">
            <v/>
          </cell>
          <cell r="C1029" t="str">
            <v>Future</v>
          </cell>
          <cell r="D1029" t="e">
            <v>#N/A</v>
          </cell>
          <cell r="E1029">
            <v>-54.258543307086036</v>
          </cell>
          <cell r="F1029">
            <v>112.63122047244393</v>
          </cell>
          <cell r="G1029">
            <v>38.457992125984056</v>
          </cell>
          <cell r="H1029">
            <v>38.457992125984056</v>
          </cell>
          <cell r="I1029" t="e">
            <v>#N/A</v>
          </cell>
          <cell r="J1029" t="e">
            <v>#N/A</v>
          </cell>
          <cell r="K1029">
            <v>90</v>
          </cell>
          <cell r="L1029">
            <v>50</v>
          </cell>
          <cell r="M1029" t="e">
            <v>#N/A</v>
          </cell>
          <cell r="N1029">
            <v>80</v>
          </cell>
          <cell r="O1029" t="e">
            <v>#N/A</v>
          </cell>
          <cell r="P1029" t="str">
            <v/>
          </cell>
          <cell r="Q1029" t="str">
            <v/>
          </cell>
          <cell r="R1029" t="e">
            <v>#N/A</v>
          </cell>
        </row>
        <row r="1030">
          <cell r="A1030" t="str">
            <v/>
          </cell>
          <cell r="B1030" t="str">
            <v/>
          </cell>
          <cell r="C1030" t="str">
            <v>Future</v>
          </cell>
          <cell r="D1030" t="e">
            <v>#N/A</v>
          </cell>
          <cell r="E1030">
            <v>-54.508582677164775</v>
          </cell>
          <cell r="F1030">
            <v>112.73551181102661</v>
          </cell>
          <cell r="G1030">
            <v>38.404803149606103</v>
          </cell>
          <cell r="H1030">
            <v>38.404803149606103</v>
          </cell>
          <cell r="I1030" t="e">
            <v>#N/A</v>
          </cell>
          <cell r="J1030" t="e">
            <v>#N/A</v>
          </cell>
          <cell r="K1030">
            <v>90</v>
          </cell>
          <cell r="L1030">
            <v>50</v>
          </cell>
          <cell r="M1030" t="e">
            <v>#N/A</v>
          </cell>
          <cell r="N1030">
            <v>80</v>
          </cell>
          <cell r="O1030" t="e">
            <v>#N/A</v>
          </cell>
          <cell r="P1030" t="str">
            <v/>
          </cell>
          <cell r="Q1030" t="str">
            <v/>
          </cell>
          <cell r="R1030" t="e">
            <v>#N/A</v>
          </cell>
        </row>
        <row r="1031">
          <cell r="A1031" t="str">
            <v/>
          </cell>
          <cell r="B1031" t="str">
            <v/>
          </cell>
          <cell r="C1031" t="str">
            <v>Future</v>
          </cell>
          <cell r="D1031" t="e">
            <v>#N/A</v>
          </cell>
          <cell r="E1031">
            <v>-54.758622047243513</v>
          </cell>
          <cell r="F1031">
            <v>112.8398031496093</v>
          </cell>
          <cell r="G1031">
            <v>38.35161417322815</v>
          </cell>
          <cell r="H1031">
            <v>38.35161417322815</v>
          </cell>
          <cell r="I1031" t="e">
            <v>#N/A</v>
          </cell>
          <cell r="J1031" t="e">
            <v>#N/A</v>
          </cell>
          <cell r="K1031">
            <v>90</v>
          </cell>
          <cell r="L1031">
            <v>50</v>
          </cell>
          <cell r="M1031" t="e">
            <v>#N/A</v>
          </cell>
          <cell r="N1031">
            <v>80</v>
          </cell>
          <cell r="O1031" t="e">
            <v>#N/A</v>
          </cell>
          <cell r="P1031" t="str">
            <v/>
          </cell>
          <cell r="Q1031" t="str">
            <v/>
          </cell>
          <cell r="R1031" t="e">
            <v>#N/A</v>
          </cell>
        </row>
        <row r="1032">
          <cell r="A1032" t="str">
            <v/>
          </cell>
          <cell r="B1032" t="str">
            <v/>
          </cell>
          <cell r="C1032" t="str">
            <v>Future</v>
          </cell>
          <cell r="D1032" t="e">
            <v>#N/A</v>
          </cell>
          <cell r="E1032">
            <v>-55.008661417322251</v>
          </cell>
          <cell r="F1032">
            <v>112.94409448819198</v>
          </cell>
          <cell r="G1032">
            <v>38.298425196850197</v>
          </cell>
          <cell r="H1032">
            <v>38.298425196850197</v>
          </cell>
          <cell r="I1032" t="e">
            <v>#N/A</v>
          </cell>
          <cell r="J1032" t="e">
            <v>#N/A</v>
          </cell>
          <cell r="K1032">
            <v>90</v>
          </cell>
          <cell r="L1032">
            <v>50</v>
          </cell>
          <cell r="M1032" t="e">
            <v>#N/A</v>
          </cell>
          <cell r="N1032">
            <v>80</v>
          </cell>
          <cell r="O1032" t="e">
            <v>#N/A</v>
          </cell>
          <cell r="P1032" t="str">
            <v/>
          </cell>
          <cell r="Q1032" t="str">
            <v/>
          </cell>
          <cell r="R1032" t="e">
            <v>#N/A</v>
          </cell>
        </row>
        <row r="1033">
          <cell r="A1033" t="str">
            <v/>
          </cell>
          <cell r="B1033" t="str">
            <v/>
          </cell>
          <cell r="C1033" t="str">
            <v>Future</v>
          </cell>
          <cell r="D1033" t="e">
            <v>#N/A</v>
          </cell>
          <cell r="E1033">
            <v>-55.25870078740099</v>
          </cell>
          <cell r="F1033">
            <v>113.04838582677466</v>
          </cell>
          <cell r="G1033">
            <v>38.245236220472243</v>
          </cell>
          <cell r="H1033">
            <v>38.245236220472243</v>
          </cell>
          <cell r="I1033" t="e">
            <v>#N/A</v>
          </cell>
          <cell r="J1033" t="e">
            <v>#N/A</v>
          </cell>
          <cell r="K1033">
            <v>90</v>
          </cell>
          <cell r="L1033">
            <v>50</v>
          </cell>
          <cell r="M1033" t="e">
            <v>#N/A</v>
          </cell>
          <cell r="N1033">
            <v>80</v>
          </cell>
          <cell r="O1033" t="e">
            <v>#N/A</v>
          </cell>
          <cell r="P1033" t="str">
            <v/>
          </cell>
          <cell r="Q1033" t="str">
            <v/>
          </cell>
          <cell r="R1033" t="e">
            <v>#N/A</v>
          </cell>
        </row>
        <row r="1034">
          <cell r="A1034" t="str">
            <v/>
          </cell>
          <cell r="B1034" t="str">
            <v/>
          </cell>
          <cell r="C1034" t="str">
            <v>Future</v>
          </cell>
          <cell r="D1034" t="e">
            <v>#N/A</v>
          </cell>
          <cell r="E1034">
            <v>-55.508740157479728</v>
          </cell>
          <cell r="F1034">
            <v>113.15267716535735</v>
          </cell>
          <cell r="G1034">
            <v>38.19204724409429</v>
          </cell>
          <cell r="H1034">
            <v>38.19204724409429</v>
          </cell>
          <cell r="I1034" t="e">
            <v>#N/A</v>
          </cell>
          <cell r="J1034" t="e">
            <v>#N/A</v>
          </cell>
          <cell r="K1034">
            <v>90</v>
          </cell>
          <cell r="L1034">
            <v>50</v>
          </cell>
          <cell r="M1034" t="e">
            <v>#N/A</v>
          </cell>
          <cell r="N1034">
            <v>80</v>
          </cell>
          <cell r="O1034" t="e">
            <v>#N/A</v>
          </cell>
          <cell r="P1034" t="str">
            <v/>
          </cell>
          <cell r="Q1034" t="str">
            <v/>
          </cell>
          <cell r="R1034" t="e">
            <v>#N/A</v>
          </cell>
        </row>
        <row r="1035">
          <cell r="A1035" t="str">
            <v/>
          </cell>
          <cell r="B1035" t="str">
            <v/>
          </cell>
          <cell r="C1035" t="str">
            <v>Future</v>
          </cell>
          <cell r="D1035" t="e">
            <v>#N/A</v>
          </cell>
          <cell r="E1035">
            <v>-55.758779527558467</v>
          </cell>
          <cell r="F1035">
            <v>113.25696850394003</v>
          </cell>
          <cell r="G1035">
            <v>38.138858267716337</v>
          </cell>
          <cell r="H1035">
            <v>38.138858267716337</v>
          </cell>
          <cell r="I1035" t="e">
            <v>#N/A</v>
          </cell>
          <cell r="J1035" t="e">
            <v>#N/A</v>
          </cell>
          <cell r="K1035">
            <v>90</v>
          </cell>
          <cell r="L1035">
            <v>50</v>
          </cell>
          <cell r="M1035" t="e">
            <v>#N/A</v>
          </cell>
          <cell r="N1035">
            <v>80</v>
          </cell>
          <cell r="O1035" t="e">
            <v>#N/A</v>
          </cell>
          <cell r="P1035" t="str">
            <v/>
          </cell>
          <cell r="Q1035" t="str">
            <v/>
          </cell>
          <cell r="R1035" t="e">
            <v>#N/A</v>
          </cell>
        </row>
        <row r="1036">
          <cell r="A1036" t="str">
            <v/>
          </cell>
          <cell r="B1036" t="str">
            <v/>
          </cell>
          <cell r="C1036" t="str">
            <v>Future</v>
          </cell>
          <cell r="D1036" t="e">
            <v>#N/A</v>
          </cell>
          <cell r="E1036">
            <v>-56.008818897637205</v>
          </cell>
          <cell r="F1036">
            <v>113.36125984252271</v>
          </cell>
          <cell r="G1036">
            <v>38.085669291338384</v>
          </cell>
          <cell r="H1036">
            <v>38.085669291338384</v>
          </cell>
          <cell r="I1036" t="e">
            <v>#N/A</v>
          </cell>
          <cell r="J1036" t="e">
            <v>#N/A</v>
          </cell>
          <cell r="K1036">
            <v>90</v>
          </cell>
          <cell r="L1036">
            <v>50</v>
          </cell>
          <cell r="M1036" t="e">
            <v>#N/A</v>
          </cell>
          <cell r="N1036">
            <v>80</v>
          </cell>
          <cell r="O1036" t="e">
            <v>#N/A</v>
          </cell>
          <cell r="P1036" t="str">
            <v/>
          </cell>
          <cell r="Q1036" t="str">
            <v/>
          </cell>
          <cell r="R1036" t="e">
            <v>#N/A</v>
          </cell>
        </row>
        <row r="1037">
          <cell r="A1037" t="str">
            <v/>
          </cell>
          <cell r="B1037" t="str">
            <v/>
          </cell>
          <cell r="C1037" t="str">
            <v>Future</v>
          </cell>
          <cell r="D1037" t="e">
            <v>#N/A</v>
          </cell>
          <cell r="E1037">
            <v>-56.258858267715944</v>
          </cell>
          <cell r="F1037">
            <v>113.4655511811054</v>
          </cell>
          <cell r="G1037">
            <v>38.032480314960431</v>
          </cell>
          <cell r="H1037">
            <v>38.032480314960431</v>
          </cell>
          <cell r="I1037" t="e">
            <v>#N/A</v>
          </cell>
          <cell r="J1037" t="e">
            <v>#N/A</v>
          </cell>
          <cell r="K1037">
            <v>90</v>
          </cell>
          <cell r="L1037">
            <v>50</v>
          </cell>
          <cell r="M1037" t="e">
            <v>#N/A</v>
          </cell>
          <cell r="N1037">
            <v>80</v>
          </cell>
          <cell r="O1037" t="e">
            <v>#N/A</v>
          </cell>
          <cell r="P1037" t="str">
            <v/>
          </cell>
          <cell r="Q1037" t="str">
            <v/>
          </cell>
          <cell r="R1037" t="e">
            <v>#N/A</v>
          </cell>
        </row>
        <row r="1038">
          <cell r="A1038" t="str">
            <v/>
          </cell>
          <cell r="B1038" t="str">
            <v/>
          </cell>
          <cell r="C1038" t="str">
            <v>Future</v>
          </cell>
          <cell r="D1038" t="e">
            <v>#N/A</v>
          </cell>
          <cell r="E1038">
            <v>-56.508897637794682</v>
          </cell>
          <cell r="F1038">
            <v>113.56984251968808</v>
          </cell>
          <cell r="G1038">
            <v>37.979291338582478</v>
          </cell>
          <cell r="H1038">
            <v>37.979291338582478</v>
          </cell>
          <cell r="I1038" t="e">
            <v>#N/A</v>
          </cell>
          <cell r="J1038" t="e">
            <v>#N/A</v>
          </cell>
          <cell r="K1038">
            <v>90</v>
          </cell>
          <cell r="L1038">
            <v>50</v>
          </cell>
          <cell r="M1038" t="e">
            <v>#N/A</v>
          </cell>
          <cell r="N1038">
            <v>80</v>
          </cell>
          <cell r="O1038" t="e">
            <v>#N/A</v>
          </cell>
          <cell r="P1038" t="str">
            <v/>
          </cell>
          <cell r="Q1038" t="str">
            <v/>
          </cell>
          <cell r="R1038" t="e">
            <v>#N/A</v>
          </cell>
        </row>
        <row r="1039">
          <cell r="A1039" t="str">
            <v/>
          </cell>
          <cell r="B1039" t="str">
            <v/>
          </cell>
          <cell r="C1039" t="str">
            <v>Future</v>
          </cell>
          <cell r="D1039" t="e">
            <v>#N/A</v>
          </cell>
          <cell r="E1039">
            <v>-56.758937007873421</v>
          </cell>
          <cell r="F1039">
            <v>113.67413385827076</v>
          </cell>
          <cell r="G1039">
            <v>37.926102362204524</v>
          </cell>
          <cell r="H1039">
            <v>37.926102362204524</v>
          </cell>
          <cell r="I1039" t="e">
            <v>#N/A</v>
          </cell>
          <cell r="J1039" t="e">
            <v>#N/A</v>
          </cell>
          <cell r="K1039">
            <v>90</v>
          </cell>
          <cell r="L1039">
            <v>50</v>
          </cell>
          <cell r="M1039" t="e">
            <v>#N/A</v>
          </cell>
          <cell r="N1039">
            <v>80</v>
          </cell>
          <cell r="O1039" t="e">
            <v>#N/A</v>
          </cell>
          <cell r="P1039" t="str">
            <v/>
          </cell>
          <cell r="Q1039" t="str">
            <v/>
          </cell>
          <cell r="R1039" t="e">
            <v>#N/A</v>
          </cell>
        </row>
        <row r="1040">
          <cell r="A1040" t="str">
            <v/>
          </cell>
          <cell r="B1040" t="str">
            <v/>
          </cell>
          <cell r="C1040" t="str">
            <v>Future</v>
          </cell>
          <cell r="D1040" t="e">
            <v>#N/A</v>
          </cell>
          <cell r="E1040">
            <v>-57.008976377952159</v>
          </cell>
          <cell r="F1040">
            <v>113.77842519685345</v>
          </cell>
          <cell r="G1040">
            <v>37.872913385826571</v>
          </cell>
          <cell r="H1040">
            <v>37.872913385826571</v>
          </cell>
          <cell r="I1040" t="e">
            <v>#N/A</v>
          </cell>
          <cell r="J1040" t="e">
            <v>#N/A</v>
          </cell>
          <cell r="K1040">
            <v>90</v>
          </cell>
          <cell r="L1040">
            <v>50</v>
          </cell>
          <cell r="M1040" t="e">
            <v>#N/A</v>
          </cell>
          <cell r="N1040">
            <v>80</v>
          </cell>
          <cell r="O1040" t="e">
            <v>#N/A</v>
          </cell>
          <cell r="P1040" t="str">
            <v/>
          </cell>
          <cell r="Q1040" t="str">
            <v/>
          </cell>
          <cell r="R1040" t="e">
            <v>#N/A</v>
          </cell>
        </row>
        <row r="1041">
          <cell r="A1041" t="str">
            <v/>
          </cell>
          <cell r="B1041" t="str">
            <v/>
          </cell>
          <cell r="C1041" t="str">
            <v>Future</v>
          </cell>
          <cell r="D1041" t="e">
            <v>#N/A</v>
          </cell>
          <cell r="E1041">
            <v>-57.259015748030897</v>
          </cell>
          <cell r="F1041">
            <v>113.88271653543613</v>
          </cell>
          <cell r="G1041">
            <v>37.819724409448618</v>
          </cell>
          <cell r="H1041">
            <v>37.819724409448618</v>
          </cell>
          <cell r="I1041" t="e">
            <v>#N/A</v>
          </cell>
          <cell r="J1041" t="e">
            <v>#N/A</v>
          </cell>
          <cell r="K1041">
            <v>90</v>
          </cell>
          <cell r="L1041">
            <v>50</v>
          </cell>
          <cell r="M1041" t="e">
            <v>#N/A</v>
          </cell>
          <cell r="N1041">
            <v>80</v>
          </cell>
          <cell r="O1041" t="e">
            <v>#N/A</v>
          </cell>
          <cell r="P1041" t="str">
            <v/>
          </cell>
          <cell r="Q1041" t="str">
            <v/>
          </cell>
          <cell r="R1041" t="e">
            <v>#N/A</v>
          </cell>
        </row>
        <row r="1042">
          <cell r="A1042" t="str">
            <v/>
          </cell>
          <cell r="B1042" t="str">
            <v/>
          </cell>
          <cell r="C1042" t="str">
            <v>Future</v>
          </cell>
          <cell r="D1042" t="e">
            <v>#N/A</v>
          </cell>
          <cell r="E1042">
            <v>-57.509055118109636</v>
          </cell>
          <cell r="F1042">
            <v>113.98700787401881</v>
          </cell>
          <cell r="G1042">
            <v>37.766535433070665</v>
          </cell>
          <cell r="H1042">
            <v>37.766535433070665</v>
          </cell>
          <cell r="I1042" t="e">
            <v>#N/A</v>
          </cell>
          <cell r="J1042" t="e">
            <v>#N/A</v>
          </cell>
          <cell r="K1042">
            <v>90</v>
          </cell>
          <cell r="L1042">
            <v>50</v>
          </cell>
          <cell r="M1042" t="e">
            <v>#N/A</v>
          </cell>
          <cell r="N1042">
            <v>80</v>
          </cell>
          <cell r="O1042" t="e">
            <v>#N/A</v>
          </cell>
          <cell r="P1042" t="str">
            <v/>
          </cell>
          <cell r="Q1042" t="str">
            <v/>
          </cell>
          <cell r="R1042" t="e">
            <v>#N/A</v>
          </cell>
        </row>
        <row r="1043">
          <cell r="A1043" t="str">
            <v/>
          </cell>
          <cell r="B1043" t="str">
            <v/>
          </cell>
          <cell r="C1043" t="str">
            <v>Future</v>
          </cell>
          <cell r="D1043" t="e">
            <v>#N/A</v>
          </cell>
          <cell r="E1043">
            <v>-57.759094488188374</v>
          </cell>
          <cell r="F1043">
            <v>114.0912992126015</v>
          </cell>
          <cell r="G1043">
            <v>37.713346456692712</v>
          </cell>
          <cell r="H1043">
            <v>37.713346456692712</v>
          </cell>
          <cell r="I1043" t="e">
            <v>#N/A</v>
          </cell>
          <cell r="J1043" t="e">
            <v>#N/A</v>
          </cell>
          <cell r="K1043">
            <v>90</v>
          </cell>
          <cell r="L1043">
            <v>50</v>
          </cell>
          <cell r="M1043" t="e">
            <v>#N/A</v>
          </cell>
          <cell r="N1043">
            <v>80</v>
          </cell>
          <cell r="O1043" t="e">
            <v>#N/A</v>
          </cell>
          <cell r="P1043" t="str">
            <v/>
          </cell>
          <cell r="Q1043" t="str">
            <v/>
          </cell>
          <cell r="R1043" t="e">
            <v>#N/A</v>
          </cell>
        </row>
        <row r="1044">
          <cell r="A1044" t="str">
            <v/>
          </cell>
          <cell r="B1044" t="str">
            <v/>
          </cell>
          <cell r="C1044" t="str">
            <v>Future</v>
          </cell>
          <cell r="D1044" t="e">
            <v>#N/A</v>
          </cell>
          <cell r="E1044">
            <v>-58.009133858267113</v>
          </cell>
          <cell r="F1044">
            <v>114.19559055118418</v>
          </cell>
          <cell r="G1044">
            <v>37.660157480314759</v>
          </cell>
          <cell r="H1044">
            <v>37.660157480314759</v>
          </cell>
          <cell r="I1044" t="e">
            <v>#N/A</v>
          </cell>
          <cell r="J1044" t="e">
            <v>#N/A</v>
          </cell>
          <cell r="K1044">
            <v>90</v>
          </cell>
          <cell r="L1044">
            <v>50</v>
          </cell>
          <cell r="M1044" t="e">
            <v>#N/A</v>
          </cell>
          <cell r="N1044">
            <v>80</v>
          </cell>
          <cell r="O1044" t="e">
            <v>#N/A</v>
          </cell>
          <cell r="P1044" t="str">
            <v/>
          </cell>
          <cell r="Q1044" t="str">
            <v/>
          </cell>
          <cell r="R1044" t="e">
            <v>#N/A</v>
          </cell>
        </row>
        <row r="1045">
          <cell r="A1045" t="str">
            <v/>
          </cell>
          <cell r="B1045" t="str">
            <v/>
          </cell>
          <cell r="C1045" t="str">
            <v>Future</v>
          </cell>
          <cell r="D1045" t="e">
            <v>#N/A</v>
          </cell>
          <cell r="E1045">
            <v>-58.259173228345851</v>
          </cell>
          <cell r="F1045">
            <v>114.29988188976687</v>
          </cell>
          <cell r="G1045">
            <v>37.606968503936805</v>
          </cell>
          <cell r="H1045">
            <v>37.606968503936805</v>
          </cell>
          <cell r="I1045" t="e">
            <v>#N/A</v>
          </cell>
          <cell r="J1045" t="e">
            <v>#N/A</v>
          </cell>
          <cell r="K1045">
            <v>90</v>
          </cell>
          <cell r="L1045">
            <v>50</v>
          </cell>
          <cell r="M1045" t="e">
            <v>#N/A</v>
          </cell>
          <cell r="N1045">
            <v>80</v>
          </cell>
          <cell r="O1045" t="e">
            <v>#N/A</v>
          </cell>
          <cell r="P1045" t="str">
            <v/>
          </cell>
          <cell r="Q1045" t="str">
            <v/>
          </cell>
          <cell r="R1045" t="e">
            <v>#N/A</v>
          </cell>
        </row>
        <row r="1046">
          <cell r="A1046" t="str">
            <v/>
          </cell>
          <cell r="B1046" t="str">
            <v/>
          </cell>
          <cell r="C1046" t="str">
            <v>Future</v>
          </cell>
          <cell r="D1046" t="e">
            <v>#N/A</v>
          </cell>
          <cell r="E1046">
            <v>-58.50921259842459</v>
          </cell>
          <cell r="F1046">
            <v>114.40417322834955</v>
          </cell>
          <cell r="G1046">
            <v>37.553779527558852</v>
          </cell>
          <cell r="H1046">
            <v>37.553779527558852</v>
          </cell>
          <cell r="I1046" t="e">
            <v>#N/A</v>
          </cell>
          <cell r="J1046" t="e">
            <v>#N/A</v>
          </cell>
          <cell r="K1046">
            <v>90</v>
          </cell>
          <cell r="L1046">
            <v>50</v>
          </cell>
          <cell r="M1046" t="e">
            <v>#N/A</v>
          </cell>
          <cell r="N1046">
            <v>80</v>
          </cell>
          <cell r="O1046" t="e">
            <v>#N/A</v>
          </cell>
          <cell r="P1046" t="str">
            <v/>
          </cell>
          <cell r="Q1046" t="str">
            <v/>
          </cell>
          <cell r="R1046" t="e">
            <v>#N/A</v>
          </cell>
        </row>
        <row r="1047">
          <cell r="A1047" t="str">
            <v/>
          </cell>
          <cell r="B1047" t="str">
            <v/>
          </cell>
          <cell r="C1047" t="str">
            <v>Future</v>
          </cell>
          <cell r="D1047" t="e">
            <v>#N/A</v>
          </cell>
          <cell r="E1047">
            <v>-58.759251968503328</v>
          </cell>
          <cell r="F1047">
            <v>114.50846456693223</v>
          </cell>
          <cell r="G1047">
            <v>37.500590551180899</v>
          </cell>
          <cell r="H1047">
            <v>37.500590551180899</v>
          </cell>
          <cell r="I1047" t="e">
            <v>#N/A</v>
          </cell>
          <cell r="J1047" t="e">
            <v>#N/A</v>
          </cell>
          <cell r="K1047">
            <v>90</v>
          </cell>
          <cell r="L1047">
            <v>50</v>
          </cell>
          <cell r="M1047" t="e">
            <v>#N/A</v>
          </cell>
          <cell r="N1047">
            <v>80</v>
          </cell>
          <cell r="O1047" t="e">
            <v>#N/A</v>
          </cell>
          <cell r="P1047" t="str">
            <v/>
          </cell>
          <cell r="Q1047" t="str">
            <v/>
          </cell>
          <cell r="R1047" t="e">
            <v>#N/A</v>
          </cell>
        </row>
        <row r="1048">
          <cell r="A1048" t="str">
            <v/>
          </cell>
          <cell r="B1048" t="str">
            <v/>
          </cell>
          <cell r="C1048" t="str">
            <v>Future</v>
          </cell>
          <cell r="D1048" t="e">
            <v>#N/A</v>
          </cell>
          <cell r="E1048">
            <v>-59.009291338582067</v>
          </cell>
          <cell r="F1048">
            <v>114.61275590551492</v>
          </cell>
          <cell r="G1048">
            <v>37.447401574802946</v>
          </cell>
          <cell r="H1048">
            <v>37.447401574802946</v>
          </cell>
          <cell r="I1048" t="e">
            <v>#N/A</v>
          </cell>
          <cell r="J1048" t="e">
            <v>#N/A</v>
          </cell>
          <cell r="K1048">
            <v>90</v>
          </cell>
          <cell r="L1048">
            <v>50</v>
          </cell>
          <cell r="M1048" t="e">
            <v>#N/A</v>
          </cell>
          <cell r="N1048">
            <v>80</v>
          </cell>
          <cell r="O1048" t="e">
            <v>#N/A</v>
          </cell>
          <cell r="P1048" t="str">
            <v/>
          </cell>
          <cell r="Q1048" t="str">
            <v/>
          </cell>
          <cell r="R1048" t="e">
            <v>#N/A</v>
          </cell>
        </row>
        <row r="1049">
          <cell r="A1049" t="str">
            <v/>
          </cell>
          <cell r="B1049" t="str">
            <v/>
          </cell>
          <cell r="C1049" t="str">
            <v>Future</v>
          </cell>
          <cell r="D1049" t="e">
            <v>#N/A</v>
          </cell>
          <cell r="E1049">
            <v>-59.259330708660805</v>
          </cell>
          <cell r="F1049">
            <v>114.7170472440976</v>
          </cell>
          <cell r="G1049">
            <v>37.394212598424993</v>
          </cell>
          <cell r="H1049">
            <v>37.394212598424993</v>
          </cell>
          <cell r="I1049" t="e">
            <v>#N/A</v>
          </cell>
          <cell r="J1049" t="e">
            <v>#N/A</v>
          </cell>
          <cell r="K1049">
            <v>90</v>
          </cell>
          <cell r="L1049">
            <v>50</v>
          </cell>
          <cell r="M1049" t="e">
            <v>#N/A</v>
          </cell>
          <cell r="N1049">
            <v>80</v>
          </cell>
          <cell r="O1049" t="e">
            <v>#N/A</v>
          </cell>
          <cell r="P1049" t="str">
            <v/>
          </cell>
          <cell r="Q1049" t="str">
            <v/>
          </cell>
          <cell r="R1049" t="e">
            <v>#N/A</v>
          </cell>
        </row>
        <row r="1050">
          <cell r="A1050" t="str">
            <v/>
          </cell>
          <cell r="B1050" t="str">
            <v/>
          </cell>
          <cell r="C1050" t="str">
            <v>Future</v>
          </cell>
          <cell r="D1050" t="e">
            <v>#N/A</v>
          </cell>
          <cell r="E1050">
            <v>-59.509370078739543</v>
          </cell>
          <cell r="F1050">
            <v>114.82133858268028</v>
          </cell>
          <cell r="G1050">
            <v>37.34102362204704</v>
          </cell>
          <cell r="H1050">
            <v>37.34102362204704</v>
          </cell>
          <cell r="I1050" t="e">
            <v>#N/A</v>
          </cell>
          <cell r="J1050" t="e">
            <v>#N/A</v>
          </cell>
          <cell r="K1050">
            <v>90</v>
          </cell>
          <cell r="L1050">
            <v>50</v>
          </cell>
          <cell r="M1050" t="e">
            <v>#N/A</v>
          </cell>
          <cell r="N1050">
            <v>80</v>
          </cell>
          <cell r="O1050" t="e">
            <v>#N/A</v>
          </cell>
          <cell r="P1050" t="str">
            <v/>
          </cell>
          <cell r="Q1050" t="str">
            <v/>
          </cell>
          <cell r="R1050" t="e">
            <v>#N/A</v>
          </cell>
        </row>
        <row r="1051">
          <cell r="A1051" t="str">
            <v/>
          </cell>
          <cell r="B1051" t="str">
            <v/>
          </cell>
          <cell r="C1051" t="str">
            <v>Future</v>
          </cell>
          <cell r="D1051" t="e">
            <v>#N/A</v>
          </cell>
          <cell r="E1051">
            <v>-59.759409448818282</v>
          </cell>
          <cell r="F1051">
            <v>114.92562992126297</v>
          </cell>
          <cell r="G1051">
            <v>37.287834645669086</v>
          </cell>
          <cell r="H1051">
            <v>37.287834645669086</v>
          </cell>
          <cell r="I1051" t="e">
            <v>#N/A</v>
          </cell>
          <cell r="J1051" t="e">
            <v>#N/A</v>
          </cell>
          <cell r="K1051">
            <v>90</v>
          </cell>
          <cell r="L1051">
            <v>50</v>
          </cell>
          <cell r="M1051" t="e">
            <v>#N/A</v>
          </cell>
          <cell r="N1051">
            <v>80</v>
          </cell>
          <cell r="O1051" t="e">
            <v>#N/A</v>
          </cell>
          <cell r="P1051" t="str">
            <v/>
          </cell>
          <cell r="Q1051" t="str">
            <v/>
          </cell>
          <cell r="R1051" t="e">
            <v>#N/A</v>
          </cell>
        </row>
        <row r="1052">
          <cell r="A1052" t="str">
            <v/>
          </cell>
          <cell r="B1052" t="str">
            <v/>
          </cell>
          <cell r="C1052" t="str">
            <v>Future</v>
          </cell>
          <cell r="D1052" t="e">
            <v>#N/A</v>
          </cell>
          <cell r="E1052">
            <v>-60.00944881889702</v>
          </cell>
          <cell r="F1052">
            <v>115.02992125984565</v>
          </cell>
          <cell r="G1052">
            <v>37.234645669291133</v>
          </cell>
          <cell r="H1052">
            <v>37.234645669291133</v>
          </cell>
          <cell r="I1052" t="e">
            <v>#N/A</v>
          </cell>
          <cell r="J1052" t="e">
            <v>#N/A</v>
          </cell>
          <cell r="K1052">
            <v>90</v>
          </cell>
          <cell r="L1052">
            <v>50</v>
          </cell>
          <cell r="M1052" t="e">
            <v>#N/A</v>
          </cell>
          <cell r="N1052">
            <v>80</v>
          </cell>
          <cell r="O1052" t="e">
            <v>#N/A</v>
          </cell>
          <cell r="P1052" t="str">
            <v/>
          </cell>
          <cell r="Q1052" t="str">
            <v/>
          </cell>
          <cell r="R1052" t="e">
            <v>#N/A</v>
          </cell>
        </row>
        <row r="1053">
          <cell r="A1053" t="str">
            <v/>
          </cell>
          <cell r="B1053" t="str">
            <v/>
          </cell>
          <cell r="C1053" t="str">
            <v>Future</v>
          </cell>
          <cell r="D1053" t="e">
            <v>#N/A</v>
          </cell>
          <cell r="E1053">
            <v>-60.259488188975759</v>
          </cell>
          <cell r="F1053">
            <v>115.13421259842833</v>
          </cell>
          <cell r="G1053">
            <v>37.18145669291318</v>
          </cell>
          <cell r="H1053">
            <v>37.18145669291318</v>
          </cell>
          <cell r="I1053" t="e">
            <v>#N/A</v>
          </cell>
          <cell r="J1053" t="e">
            <v>#N/A</v>
          </cell>
          <cell r="K1053">
            <v>90</v>
          </cell>
          <cell r="L1053">
            <v>50</v>
          </cell>
          <cell r="M1053" t="e">
            <v>#N/A</v>
          </cell>
          <cell r="N1053">
            <v>80</v>
          </cell>
          <cell r="O1053" t="e">
            <v>#N/A</v>
          </cell>
          <cell r="P1053" t="str">
            <v/>
          </cell>
          <cell r="Q1053" t="str">
            <v/>
          </cell>
          <cell r="R1053" t="e">
            <v>#N/A</v>
          </cell>
        </row>
        <row r="1054">
          <cell r="A1054" t="str">
            <v/>
          </cell>
          <cell r="B1054" t="str">
            <v/>
          </cell>
          <cell r="C1054" t="str">
            <v>Future</v>
          </cell>
          <cell r="D1054" t="e">
            <v>#N/A</v>
          </cell>
          <cell r="E1054">
            <v>-60.509527559054497</v>
          </cell>
          <cell r="F1054">
            <v>115.23850393701102</v>
          </cell>
          <cell r="G1054">
            <v>37.128267716535227</v>
          </cell>
          <cell r="H1054">
            <v>37.128267716535227</v>
          </cell>
          <cell r="I1054" t="e">
            <v>#N/A</v>
          </cell>
          <cell r="J1054" t="e">
            <v>#N/A</v>
          </cell>
          <cell r="K1054">
            <v>90</v>
          </cell>
          <cell r="L1054">
            <v>50</v>
          </cell>
          <cell r="M1054" t="e">
            <v>#N/A</v>
          </cell>
          <cell r="N1054">
            <v>80</v>
          </cell>
          <cell r="O1054" t="e">
            <v>#N/A</v>
          </cell>
          <cell r="P1054" t="str">
            <v/>
          </cell>
          <cell r="Q1054" t="str">
            <v/>
          </cell>
          <cell r="R1054" t="e">
            <v>#N/A</v>
          </cell>
        </row>
        <row r="1055">
          <cell r="A1055" t="str">
            <v/>
          </cell>
          <cell r="B1055" t="str">
            <v/>
          </cell>
          <cell r="C1055" t="str">
            <v>Future</v>
          </cell>
          <cell r="D1055" t="e">
            <v>#N/A</v>
          </cell>
          <cell r="E1055">
            <v>-60.759566929133236</v>
          </cell>
          <cell r="F1055">
            <v>115.3427952755937</v>
          </cell>
          <cell r="G1055">
            <v>37.075078740157274</v>
          </cell>
          <cell r="H1055">
            <v>37.075078740157274</v>
          </cell>
          <cell r="I1055" t="e">
            <v>#N/A</v>
          </cell>
          <cell r="J1055" t="e">
            <v>#N/A</v>
          </cell>
          <cell r="K1055">
            <v>90</v>
          </cell>
          <cell r="L1055">
            <v>50</v>
          </cell>
          <cell r="M1055" t="e">
            <v>#N/A</v>
          </cell>
          <cell r="N1055">
            <v>80</v>
          </cell>
          <cell r="O1055" t="e">
            <v>#N/A</v>
          </cell>
          <cell r="P1055" t="str">
            <v/>
          </cell>
          <cell r="Q1055" t="str">
            <v/>
          </cell>
          <cell r="R1055" t="e">
            <v>#N/A</v>
          </cell>
        </row>
        <row r="1056">
          <cell r="A1056" t="str">
            <v/>
          </cell>
          <cell r="B1056" t="str">
            <v/>
          </cell>
          <cell r="C1056" t="str">
            <v>Future</v>
          </cell>
          <cell r="D1056" t="e">
            <v>#N/A</v>
          </cell>
          <cell r="E1056">
            <v>-61.009606299211974</v>
          </cell>
          <cell r="F1056">
            <v>115.44708661417638</v>
          </cell>
          <cell r="G1056">
            <v>37.021889763779321</v>
          </cell>
          <cell r="H1056">
            <v>37.021889763779321</v>
          </cell>
          <cell r="I1056" t="e">
            <v>#N/A</v>
          </cell>
          <cell r="J1056" t="e">
            <v>#N/A</v>
          </cell>
          <cell r="K1056">
            <v>90</v>
          </cell>
          <cell r="L1056">
            <v>50</v>
          </cell>
          <cell r="M1056" t="e">
            <v>#N/A</v>
          </cell>
          <cell r="N1056">
            <v>80</v>
          </cell>
          <cell r="O1056" t="e">
            <v>#N/A</v>
          </cell>
          <cell r="P1056" t="str">
            <v/>
          </cell>
          <cell r="Q1056" t="str">
            <v/>
          </cell>
          <cell r="R1056" t="e">
            <v>#N/A</v>
          </cell>
        </row>
        <row r="1057">
          <cell r="A1057" t="str">
            <v/>
          </cell>
          <cell r="B1057" t="str">
            <v/>
          </cell>
          <cell r="C1057" t="str">
            <v>Future</v>
          </cell>
          <cell r="D1057" t="e">
            <v>#N/A</v>
          </cell>
          <cell r="E1057">
            <v>-61.259645669290713</v>
          </cell>
          <cell r="F1057">
            <v>115.55137795275907</v>
          </cell>
          <cell r="G1057">
            <v>36.968700787401367</v>
          </cell>
          <cell r="H1057">
            <v>36.968700787401367</v>
          </cell>
          <cell r="I1057" t="e">
            <v>#N/A</v>
          </cell>
          <cell r="J1057" t="e">
            <v>#N/A</v>
          </cell>
          <cell r="K1057">
            <v>90</v>
          </cell>
          <cell r="L1057">
            <v>50</v>
          </cell>
          <cell r="M1057" t="e">
            <v>#N/A</v>
          </cell>
          <cell r="N1057">
            <v>80</v>
          </cell>
          <cell r="O1057" t="e">
            <v>#N/A</v>
          </cell>
          <cell r="P1057" t="str">
            <v/>
          </cell>
          <cell r="Q1057" t="str">
            <v/>
          </cell>
          <cell r="R1057" t="e">
            <v>#N/A</v>
          </cell>
        </row>
        <row r="1058">
          <cell r="A1058" t="str">
            <v/>
          </cell>
          <cell r="B1058" t="str">
            <v/>
          </cell>
          <cell r="C1058" t="str">
            <v>Future</v>
          </cell>
          <cell r="D1058" t="e">
            <v>#N/A</v>
          </cell>
          <cell r="E1058">
            <v>-61.509685039369451</v>
          </cell>
          <cell r="F1058">
            <v>115.65566929134175</v>
          </cell>
          <cell r="G1058">
            <v>36.915511811023414</v>
          </cell>
          <cell r="H1058">
            <v>36.915511811023414</v>
          </cell>
          <cell r="I1058" t="e">
            <v>#N/A</v>
          </cell>
          <cell r="J1058" t="e">
            <v>#N/A</v>
          </cell>
          <cell r="K1058">
            <v>90</v>
          </cell>
          <cell r="L1058">
            <v>50</v>
          </cell>
          <cell r="M1058" t="e">
            <v>#N/A</v>
          </cell>
          <cell r="N1058">
            <v>80</v>
          </cell>
          <cell r="O1058" t="e">
            <v>#N/A</v>
          </cell>
          <cell r="P1058" t="str">
            <v/>
          </cell>
          <cell r="Q1058" t="str">
            <v/>
          </cell>
          <cell r="R1058" t="e">
            <v>#N/A</v>
          </cell>
        </row>
        <row r="1059">
          <cell r="A1059" t="str">
            <v/>
          </cell>
          <cell r="B1059" t="str">
            <v/>
          </cell>
          <cell r="C1059" t="str">
            <v>Future</v>
          </cell>
          <cell r="D1059" t="e">
            <v>#N/A</v>
          </cell>
          <cell r="E1059">
            <v>-61.759724409448189</v>
          </cell>
          <cell r="F1059">
            <v>115.75996062992444</v>
          </cell>
          <cell r="G1059">
            <v>36.862322834645461</v>
          </cell>
          <cell r="H1059">
            <v>36.862322834645461</v>
          </cell>
          <cell r="I1059" t="e">
            <v>#N/A</v>
          </cell>
          <cell r="J1059" t="e">
            <v>#N/A</v>
          </cell>
          <cell r="K1059">
            <v>90</v>
          </cell>
          <cell r="L1059">
            <v>50</v>
          </cell>
          <cell r="M1059" t="e">
            <v>#N/A</v>
          </cell>
          <cell r="N1059">
            <v>80</v>
          </cell>
          <cell r="O1059" t="e">
            <v>#N/A</v>
          </cell>
          <cell r="P1059" t="str">
            <v/>
          </cell>
          <cell r="Q1059" t="str">
            <v/>
          </cell>
          <cell r="R1059" t="e">
            <v>#N/A</v>
          </cell>
        </row>
        <row r="1060">
          <cell r="A1060" t="str">
            <v/>
          </cell>
          <cell r="B1060" t="str">
            <v/>
          </cell>
          <cell r="C1060" t="str">
            <v>Future</v>
          </cell>
          <cell r="D1060" t="e">
            <v>#N/A</v>
          </cell>
          <cell r="E1060">
            <v>-62.009763779526928</v>
          </cell>
          <cell r="F1060">
            <v>115.86425196850712</v>
          </cell>
          <cell r="G1060">
            <v>36.809133858267508</v>
          </cell>
          <cell r="H1060">
            <v>36.809133858267508</v>
          </cell>
          <cell r="I1060" t="e">
            <v>#N/A</v>
          </cell>
          <cell r="J1060" t="e">
            <v>#N/A</v>
          </cell>
          <cell r="K1060">
            <v>90</v>
          </cell>
          <cell r="L1060">
            <v>50</v>
          </cell>
          <cell r="M1060" t="e">
            <v>#N/A</v>
          </cell>
          <cell r="N1060">
            <v>80</v>
          </cell>
          <cell r="O1060" t="e">
            <v>#N/A</v>
          </cell>
          <cell r="P1060" t="str">
            <v/>
          </cell>
          <cell r="Q1060" t="str">
            <v/>
          </cell>
          <cell r="R1060" t="e">
            <v>#N/A</v>
          </cell>
        </row>
        <row r="1061">
          <cell r="A1061" t="str">
            <v/>
          </cell>
          <cell r="B1061" t="str">
            <v/>
          </cell>
          <cell r="C1061" t="str">
            <v>Future</v>
          </cell>
          <cell r="D1061" t="e">
            <v>#N/A</v>
          </cell>
          <cell r="E1061">
            <v>-62.259803149605666</v>
          </cell>
          <cell r="F1061">
            <v>115.9685433070898</v>
          </cell>
          <cell r="G1061">
            <v>36.755944881889555</v>
          </cell>
          <cell r="H1061">
            <v>36.755944881889555</v>
          </cell>
          <cell r="I1061" t="e">
            <v>#N/A</v>
          </cell>
          <cell r="J1061" t="e">
            <v>#N/A</v>
          </cell>
          <cell r="K1061">
            <v>90</v>
          </cell>
          <cell r="L1061">
            <v>50</v>
          </cell>
          <cell r="M1061" t="e">
            <v>#N/A</v>
          </cell>
          <cell r="N1061">
            <v>80</v>
          </cell>
          <cell r="O1061" t="e">
            <v>#N/A</v>
          </cell>
          <cell r="P1061" t="str">
            <v/>
          </cell>
          <cell r="Q1061" t="str">
            <v/>
          </cell>
          <cell r="R1061" t="e">
            <v>#N/A</v>
          </cell>
        </row>
        <row r="1062">
          <cell r="A1062" t="str">
            <v/>
          </cell>
          <cell r="B1062" t="str">
            <v/>
          </cell>
          <cell r="C1062" t="str">
            <v>Future</v>
          </cell>
          <cell r="D1062" t="e">
            <v>#N/A</v>
          </cell>
          <cell r="E1062">
            <v>-62.509842519684405</v>
          </cell>
          <cell r="F1062">
            <v>116.07283464567249</v>
          </cell>
          <cell r="G1062">
            <v>36.702755905511601</v>
          </cell>
          <cell r="H1062">
            <v>36.702755905511601</v>
          </cell>
          <cell r="I1062" t="e">
            <v>#N/A</v>
          </cell>
          <cell r="J1062" t="e">
            <v>#N/A</v>
          </cell>
          <cell r="K1062">
            <v>90</v>
          </cell>
          <cell r="L1062">
            <v>50</v>
          </cell>
          <cell r="M1062" t="e">
            <v>#N/A</v>
          </cell>
          <cell r="N1062">
            <v>80</v>
          </cell>
          <cell r="O1062" t="e">
            <v>#N/A</v>
          </cell>
          <cell r="P1062" t="str">
            <v/>
          </cell>
          <cell r="Q1062" t="str">
            <v/>
          </cell>
          <cell r="R1062" t="e">
            <v>#N/A</v>
          </cell>
        </row>
        <row r="1063">
          <cell r="A1063" t="str">
            <v/>
          </cell>
          <cell r="B1063" t="str">
            <v/>
          </cell>
          <cell r="C1063" t="str">
            <v>Future</v>
          </cell>
          <cell r="D1063" t="e">
            <v>#N/A</v>
          </cell>
          <cell r="E1063">
            <v>-62.759881889763143</v>
          </cell>
          <cell r="F1063">
            <v>116.17712598425517</v>
          </cell>
          <cell r="G1063">
            <v>36.649566929133648</v>
          </cell>
          <cell r="H1063">
            <v>36.649566929133648</v>
          </cell>
          <cell r="I1063" t="e">
            <v>#N/A</v>
          </cell>
          <cell r="J1063" t="e">
            <v>#N/A</v>
          </cell>
          <cell r="K1063">
            <v>90</v>
          </cell>
          <cell r="L1063">
            <v>50</v>
          </cell>
          <cell r="M1063" t="e">
            <v>#N/A</v>
          </cell>
          <cell r="N1063">
            <v>80</v>
          </cell>
          <cell r="O1063" t="e">
            <v>#N/A</v>
          </cell>
          <cell r="P1063" t="str">
            <v/>
          </cell>
          <cell r="Q1063" t="str">
            <v/>
          </cell>
          <cell r="R1063" t="e">
            <v>#N/A</v>
          </cell>
        </row>
        <row r="1064">
          <cell r="A1064" t="str">
            <v/>
          </cell>
          <cell r="B1064" t="str">
            <v/>
          </cell>
          <cell r="C1064" t="str">
            <v>Future</v>
          </cell>
          <cell r="D1064" t="e">
            <v>#N/A</v>
          </cell>
          <cell r="E1064">
            <v>-63.009921259841882</v>
          </cell>
          <cell r="F1064">
            <v>116.28141732283785</v>
          </cell>
          <cell r="G1064">
            <v>36.596377952755695</v>
          </cell>
          <cell r="H1064">
            <v>36.596377952755695</v>
          </cell>
          <cell r="I1064" t="e">
            <v>#N/A</v>
          </cell>
          <cell r="J1064" t="e">
            <v>#N/A</v>
          </cell>
          <cell r="K1064">
            <v>90</v>
          </cell>
          <cell r="L1064">
            <v>50</v>
          </cell>
          <cell r="M1064" t="e">
            <v>#N/A</v>
          </cell>
          <cell r="N1064">
            <v>80</v>
          </cell>
          <cell r="O1064" t="e">
            <v>#N/A</v>
          </cell>
          <cell r="P1064" t="str">
            <v/>
          </cell>
          <cell r="Q1064" t="str">
            <v/>
          </cell>
          <cell r="R1064" t="e">
            <v>#N/A</v>
          </cell>
        </row>
        <row r="1065">
          <cell r="A1065" t="str">
            <v/>
          </cell>
          <cell r="B1065" t="str">
            <v/>
          </cell>
          <cell r="C1065" t="str">
            <v>Future</v>
          </cell>
          <cell r="D1065" t="e">
            <v>#N/A</v>
          </cell>
          <cell r="E1065">
            <v>-63.25996062992062</v>
          </cell>
          <cell r="F1065">
            <v>116.38570866142054</v>
          </cell>
          <cell r="G1065">
            <v>36.543188976377742</v>
          </cell>
          <cell r="H1065">
            <v>36.543188976377742</v>
          </cell>
          <cell r="I1065" t="e">
            <v>#N/A</v>
          </cell>
          <cell r="J1065" t="e">
            <v>#N/A</v>
          </cell>
          <cell r="K1065">
            <v>90</v>
          </cell>
          <cell r="L1065">
            <v>50</v>
          </cell>
          <cell r="M1065" t="e">
            <v>#N/A</v>
          </cell>
          <cell r="N1065">
            <v>80</v>
          </cell>
          <cell r="O1065" t="e">
            <v>#N/A</v>
          </cell>
          <cell r="P1065" t="str">
            <v/>
          </cell>
          <cell r="Q1065" t="str">
            <v/>
          </cell>
          <cell r="R1065" t="e">
            <v>#N/A</v>
          </cell>
        </row>
        <row r="1066">
          <cell r="A1066" t="str">
            <v/>
          </cell>
          <cell r="B1066" t="str">
            <v/>
          </cell>
          <cell r="C1066" t="str">
            <v>Future</v>
          </cell>
          <cell r="D1066" t="e">
            <v>#N/A</v>
          </cell>
          <cell r="E1066">
            <v>-63.509999999999359</v>
          </cell>
          <cell r="F1066">
            <v>116.49000000000322</v>
          </cell>
          <cell r="G1066">
            <v>36.489999999999789</v>
          </cell>
          <cell r="H1066">
            <v>36.489999999999789</v>
          </cell>
          <cell r="I1066" t="e">
            <v>#N/A</v>
          </cell>
          <cell r="J1066" t="e">
            <v>#N/A</v>
          </cell>
          <cell r="K1066">
            <v>90</v>
          </cell>
          <cell r="L1066">
            <v>50</v>
          </cell>
          <cell r="M1066" t="e">
            <v>#N/A</v>
          </cell>
          <cell r="N1066">
            <v>80</v>
          </cell>
          <cell r="O1066" t="e">
            <v>#N/A</v>
          </cell>
          <cell r="P1066" t="str">
            <v/>
          </cell>
          <cell r="Q1066" t="str">
            <v/>
          </cell>
          <cell r="R1066" t="e">
            <v>#N/A</v>
          </cell>
        </row>
        <row r="1067">
          <cell r="A1067" t="str">
            <v/>
          </cell>
          <cell r="B1067" t="str">
            <v/>
          </cell>
          <cell r="C1067" t="str">
            <v>Future</v>
          </cell>
          <cell r="D1067" t="e">
            <v>#N/A</v>
          </cell>
          <cell r="E1067">
            <v>-63.760039370078097</v>
          </cell>
          <cell r="F1067">
            <v>116.5942913385859</v>
          </cell>
          <cell r="G1067">
            <v>36.436811023621836</v>
          </cell>
          <cell r="H1067">
            <v>36.436811023621836</v>
          </cell>
          <cell r="I1067" t="e">
            <v>#N/A</v>
          </cell>
          <cell r="J1067" t="e">
            <v>#N/A</v>
          </cell>
          <cell r="K1067">
            <v>90</v>
          </cell>
          <cell r="L1067">
            <v>50</v>
          </cell>
          <cell r="M1067" t="e">
            <v>#N/A</v>
          </cell>
          <cell r="N1067">
            <v>80</v>
          </cell>
          <cell r="O1067" t="e">
            <v>#N/A</v>
          </cell>
          <cell r="P1067" t="str">
            <v/>
          </cell>
          <cell r="Q1067" t="str">
            <v/>
          </cell>
          <cell r="R1067" t="e">
            <v>#N/A</v>
          </cell>
        </row>
        <row r="1068">
          <cell r="A1068" t="str">
            <v/>
          </cell>
          <cell r="B1068" t="str">
            <v/>
          </cell>
          <cell r="C1068" t="str">
            <v>Future</v>
          </cell>
          <cell r="D1068" t="e">
            <v>#N/A</v>
          </cell>
          <cell r="E1068">
            <v>-64.010078740156843</v>
          </cell>
          <cell r="F1068">
            <v>116.69858267716859</v>
          </cell>
          <cell r="G1068">
            <v>36.383622047243882</v>
          </cell>
          <cell r="H1068">
            <v>36.383622047243882</v>
          </cell>
          <cell r="I1068" t="e">
            <v>#N/A</v>
          </cell>
          <cell r="J1068" t="e">
            <v>#N/A</v>
          </cell>
          <cell r="K1068">
            <v>90</v>
          </cell>
          <cell r="L1068">
            <v>50</v>
          </cell>
          <cell r="M1068" t="e">
            <v>#N/A</v>
          </cell>
          <cell r="N1068">
            <v>80</v>
          </cell>
          <cell r="O1068" t="e">
            <v>#N/A</v>
          </cell>
          <cell r="P1068" t="str">
            <v/>
          </cell>
          <cell r="Q1068" t="str">
            <v/>
          </cell>
          <cell r="R1068" t="e">
            <v>#N/A</v>
          </cell>
        </row>
        <row r="1069">
          <cell r="A1069" t="str">
            <v/>
          </cell>
          <cell r="B1069" t="str">
            <v/>
          </cell>
          <cell r="C1069" t="str">
            <v>Future</v>
          </cell>
          <cell r="D1069" t="e">
            <v>#N/A</v>
          </cell>
          <cell r="E1069">
            <v>-64.260118110235581</v>
          </cell>
          <cell r="F1069">
            <v>116.80287401575127</v>
          </cell>
          <cell r="G1069">
            <v>36.330433070865929</v>
          </cell>
          <cell r="H1069">
            <v>36.330433070865929</v>
          </cell>
          <cell r="I1069" t="e">
            <v>#N/A</v>
          </cell>
          <cell r="J1069" t="e">
            <v>#N/A</v>
          </cell>
          <cell r="K1069">
            <v>90</v>
          </cell>
          <cell r="L1069">
            <v>50</v>
          </cell>
          <cell r="M1069" t="e">
            <v>#N/A</v>
          </cell>
          <cell r="N1069">
            <v>80</v>
          </cell>
          <cell r="O1069" t="e">
            <v>#N/A</v>
          </cell>
          <cell r="P1069" t="str">
            <v/>
          </cell>
          <cell r="Q1069" t="str">
            <v/>
          </cell>
          <cell r="R1069" t="e">
            <v>#N/A</v>
          </cell>
        </row>
        <row r="1070">
          <cell r="A1070" t="str">
            <v/>
          </cell>
          <cell r="B1070" t="str">
            <v/>
          </cell>
          <cell r="C1070" t="str">
            <v>Future</v>
          </cell>
          <cell r="D1070" t="e">
            <v>#N/A</v>
          </cell>
          <cell r="E1070">
            <v>-64.510157480314319</v>
          </cell>
          <cell r="F1070">
            <v>116.90716535433396</v>
          </cell>
          <cell r="G1070">
            <v>36.277244094487976</v>
          </cell>
          <cell r="H1070">
            <v>36.277244094487976</v>
          </cell>
          <cell r="I1070" t="e">
            <v>#N/A</v>
          </cell>
          <cell r="J1070" t="e">
            <v>#N/A</v>
          </cell>
          <cell r="K1070">
            <v>90</v>
          </cell>
          <cell r="L1070">
            <v>50</v>
          </cell>
          <cell r="M1070" t="e">
            <v>#N/A</v>
          </cell>
          <cell r="N1070">
            <v>80</v>
          </cell>
          <cell r="O1070" t="e">
            <v>#N/A</v>
          </cell>
          <cell r="P1070" t="str">
            <v/>
          </cell>
          <cell r="Q1070" t="str">
            <v/>
          </cell>
          <cell r="R1070" t="e">
            <v>#N/A</v>
          </cell>
        </row>
        <row r="1071">
          <cell r="A1071" t="str">
            <v/>
          </cell>
          <cell r="B1071" t="str">
            <v/>
          </cell>
          <cell r="C1071" t="str">
            <v>Future</v>
          </cell>
          <cell r="D1071" t="e">
            <v>#N/A</v>
          </cell>
          <cell r="E1071">
            <v>-64.760196850393058</v>
          </cell>
          <cell r="F1071">
            <v>117.01145669291664</v>
          </cell>
          <cell r="G1071">
            <v>36.224055118110023</v>
          </cell>
          <cell r="H1071">
            <v>36.224055118110023</v>
          </cell>
          <cell r="I1071" t="e">
            <v>#N/A</v>
          </cell>
          <cell r="J1071" t="e">
            <v>#N/A</v>
          </cell>
          <cell r="K1071">
            <v>90</v>
          </cell>
          <cell r="L1071">
            <v>50</v>
          </cell>
          <cell r="M1071" t="e">
            <v>#N/A</v>
          </cell>
          <cell r="N1071">
            <v>80</v>
          </cell>
          <cell r="O1071" t="e">
            <v>#N/A</v>
          </cell>
          <cell r="P1071" t="str">
            <v/>
          </cell>
          <cell r="Q1071" t="str">
            <v/>
          </cell>
          <cell r="R1071" t="e">
            <v>#N/A</v>
          </cell>
        </row>
        <row r="1072">
          <cell r="A1072" t="str">
            <v/>
          </cell>
          <cell r="B1072" t="str">
            <v/>
          </cell>
          <cell r="C1072" t="str">
            <v>Future</v>
          </cell>
          <cell r="D1072" t="e">
            <v>#N/A</v>
          </cell>
          <cell r="E1072">
            <v>-65.010236220471796</v>
          </cell>
          <cell r="F1072">
            <v>117.11574803149932</v>
          </cell>
          <cell r="G1072">
            <v>36.17086614173207</v>
          </cell>
          <cell r="H1072">
            <v>36.17086614173207</v>
          </cell>
          <cell r="I1072" t="e">
            <v>#N/A</v>
          </cell>
          <cell r="J1072" t="e">
            <v>#N/A</v>
          </cell>
          <cell r="K1072">
            <v>90</v>
          </cell>
          <cell r="L1072">
            <v>50</v>
          </cell>
          <cell r="M1072" t="e">
            <v>#N/A</v>
          </cell>
          <cell r="N1072">
            <v>80</v>
          </cell>
          <cell r="O1072" t="e">
            <v>#N/A</v>
          </cell>
          <cell r="P1072" t="str">
            <v/>
          </cell>
          <cell r="Q1072" t="str">
            <v/>
          </cell>
          <cell r="R1072" t="e">
            <v>#N/A</v>
          </cell>
        </row>
        <row r="1073">
          <cell r="A1073" t="str">
            <v/>
          </cell>
          <cell r="B1073" t="str">
            <v/>
          </cell>
          <cell r="C1073" t="str">
            <v>Future</v>
          </cell>
          <cell r="D1073" t="e">
            <v>#N/A</v>
          </cell>
          <cell r="E1073">
            <v>-65.260275590550535</v>
          </cell>
          <cell r="F1073">
            <v>117.22003937008201</v>
          </cell>
          <cell r="G1073">
            <v>36.117677165354117</v>
          </cell>
          <cell r="H1073">
            <v>36.117677165354117</v>
          </cell>
          <cell r="I1073" t="e">
            <v>#N/A</v>
          </cell>
          <cell r="J1073" t="e">
            <v>#N/A</v>
          </cell>
          <cell r="K1073">
            <v>90</v>
          </cell>
          <cell r="L1073">
            <v>50</v>
          </cell>
          <cell r="M1073" t="e">
            <v>#N/A</v>
          </cell>
          <cell r="N1073">
            <v>80</v>
          </cell>
          <cell r="O1073" t="e">
            <v>#N/A</v>
          </cell>
          <cell r="P1073" t="str">
            <v/>
          </cell>
          <cell r="Q1073" t="str">
            <v/>
          </cell>
          <cell r="R1073" t="e">
            <v>#N/A</v>
          </cell>
        </row>
        <row r="1074">
          <cell r="A1074" t="str">
            <v/>
          </cell>
          <cell r="B1074" t="str">
            <v/>
          </cell>
          <cell r="C1074" t="str">
            <v>Future</v>
          </cell>
          <cell r="D1074" t="e">
            <v>#N/A</v>
          </cell>
          <cell r="E1074">
            <v>-65.510314960629273</v>
          </cell>
          <cell r="F1074">
            <v>117.32433070866469</v>
          </cell>
          <cell r="G1074">
            <v>36.064488188976163</v>
          </cell>
          <cell r="H1074">
            <v>36.064488188976163</v>
          </cell>
          <cell r="I1074" t="e">
            <v>#N/A</v>
          </cell>
          <cell r="J1074" t="e">
            <v>#N/A</v>
          </cell>
          <cell r="K1074">
            <v>90</v>
          </cell>
          <cell r="L1074">
            <v>50</v>
          </cell>
          <cell r="M1074" t="e">
            <v>#N/A</v>
          </cell>
          <cell r="N1074">
            <v>80</v>
          </cell>
          <cell r="O1074" t="e">
            <v>#N/A</v>
          </cell>
          <cell r="P1074" t="str">
            <v/>
          </cell>
          <cell r="Q1074" t="str">
            <v/>
          </cell>
          <cell r="R1074" t="e">
            <v>#N/A</v>
          </cell>
        </row>
        <row r="1075">
          <cell r="A1075" t="str">
            <v/>
          </cell>
          <cell r="B1075" t="str">
            <v/>
          </cell>
          <cell r="C1075" t="str">
            <v>Future</v>
          </cell>
          <cell r="D1075" t="e">
            <v>#N/A</v>
          </cell>
          <cell r="E1075">
            <v>-65.760354330708012</v>
          </cell>
          <cell r="F1075">
            <v>117.42862204724737</v>
          </cell>
          <cell r="G1075">
            <v>36.01129921259821</v>
          </cell>
          <cell r="H1075">
            <v>36.01129921259821</v>
          </cell>
          <cell r="I1075" t="e">
            <v>#N/A</v>
          </cell>
          <cell r="J1075" t="e">
            <v>#N/A</v>
          </cell>
          <cell r="K1075">
            <v>90</v>
          </cell>
          <cell r="L1075">
            <v>50</v>
          </cell>
          <cell r="M1075" t="e">
            <v>#N/A</v>
          </cell>
          <cell r="N1075">
            <v>80</v>
          </cell>
          <cell r="O1075" t="e">
            <v>#N/A</v>
          </cell>
          <cell r="P1075" t="str">
            <v/>
          </cell>
          <cell r="Q1075" t="str">
            <v/>
          </cell>
          <cell r="R1075" t="e">
            <v>#N/A</v>
          </cell>
        </row>
        <row r="1076">
          <cell r="A1076" t="str">
            <v/>
          </cell>
          <cell r="B1076" t="str">
            <v/>
          </cell>
          <cell r="C1076" t="str">
            <v>Future</v>
          </cell>
          <cell r="D1076" t="e">
            <v>#N/A</v>
          </cell>
          <cell r="E1076">
            <v>-66.01039370078675</v>
          </cell>
          <cell r="F1076">
            <v>117.53291338583006</v>
          </cell>
          <cell r="G1076">
            <v>35.958110236220257</v>
          </cell>
          <cell r="H1076">
            <v>35.958110236220257</v>
          </cell>
          <cell r="I1076" t="e">
            <v>#N/A</v>
          </cell>
          <cell r="J1076" t="e">
            <v>#N/A</v>
          </cell>
          <cell r="K1076">
            <v>90</v>
          </cell>
          <cell r="L1076">
            <v>50</v>
          </cell>
          <cell r="M1076" t="e">
            <v>#N/A</v>
          </cell>
          <cell r="N1076">
            <v>80</v>
          </cell>
          <cell r="O1076" t="e">
            <v>#N/A</v>
          </cell>
          <cell r="P1076" t="str">
            <v/>
          </cell>
          <cell r="Q1076" t="str">
            <v/>
          </cell>
          <cell r="R1076" t="e">
            <v>#N/A</v>
          </cell>
        </row>
        <row r="1077">
          <cell r="A1077" t="str">
            <v/>
          </cell>
          <cell r="B1077" t="str">
            <v/>
          </cell>
          <cell r="C1077" t="str">
            <v>Future</v>
          </cell>
          <cell r="D1077" t="e">
            <v>#N/A</v>
          </cell>
          <cell r="E1077">
            <v>-66.260433070865489</v>
          </cell>
          <cell r="F1077">
            <v>117.63720472441274</v>
          </cell>
          <cell r="G1077">
            <v>35.904921259842304</v>
          </cell>
          <cell r="H1077">
            <v>35.904921259842304</v>
          </cell>
          <cell r="I1077" t="e">
            <v>#N/A</v>
          </cell>
          <cell r="J1077" t="e">
            <v>#N/A</v>
          </cell>
          <cell r="K1077">
            <v>90</v>
          </cell>
          <cell r="L1077">
            <v>50</v>
          </cell>
          <cell r="M1077" t="e">
            <v>#N/A</v>
          </cell>
          <cell r="N1077">
            <v>80</v>
          </cell>
          <cell r="O1077" t="e">
            <v>#N/A</v>
          </cell>
          <cell r="P1077" t="str">
            <v/>
          </cell>
          <cell r="Q1077" t="str">
            <v/>
          </cell>
          <cell r="R1077" t="e">
            <v>#N/A</v>
          </cell>
        </row>
        <row r="1078">
          <cell r="A1078" t="str">
            <v/>
          </cell>
          <cell r="B1078" t="str">
            <v/>
          </cell>
          <cell r="C1078" t="str">
            <v>Future</v>
          </cell>
          <cell r="D1078" t="e">
            <v>#N/A</v>
          </cell>
          <cell r="E1078">
            <v>-66.510472440944227</v>
          </cell>
          <cell r="F1078">
            <v>117.74149606299542</v>
          </cell>
          <cell r="G1078">
            <v>35.851732283464351</v>
          </cell>
          <cell r="H1078">
            <v>35.851732283464351</v>
          </cell>
          <cell r="I1078" t="e">
            <v>#N/A</v>
          </cell>
          <cell r="J1078" t="e">
            <v>#N/A</v>
          </cell>
          <cell r="K1078">
            <v>90</v>
          </cell>
          <cell r="L1078">
            <v>50</v>
          </cell>
          <cell r="M1078" t="e">
            <v>#N/A</v>
          </cell>
          <cell r="N1078">
            <v>80</v>
          </cell>
          <cell r="O1078" t="e">
            <v>#N/A</v>
          </cell>
          <cell r="P1078" t="str">
            <v/>
          </cell>
          <cell r="Q1078" t="str">
            <v/>
          </cell>
          <cell r="R1078" t="e">
            <v>#N/A</v>
          </cell>
        </row>
        <row r="1079">
          <cell r="A1079" t="str">
            <v/>
          </cell>
          <cell r="B1079" t="str">
            <v/>
          </cell>
          <cell r="C1079" t="str">
            <v>Future</v>
          </cell>
          <cell r="D1079" t="e">
            <v>#N/A</v>
          </cell>
          <cell r="E1079">
            <v>-66.760511811022965</v>
          </cell>
          <cell r="F1079">
            <v>117.84578740157811</v>
          </cell>
          <cell r="G1079">
            <v>35.798543307086398</v>
          </cell>
          <cell r="H1079">
            <v>35.798543307086398</v>
          </cell>
          <cell r="I1079" t="e">
            <v>#N/A</v>
          </cell>
          <cell r="J1079" t="e">
            <v>#N/A</v>
          </cell>
          <cell r="K1079">
            <v>90</v>
          </cell>
          <cell r="L1079">
            <v>50</v>
          </cell>
          <cell r="M1079" t="e">
            <v>#N/A</v>
          </cell>
          <cell r="N1079">
            <v>80</v>
          </cell>
          <cell r="O1079" t="e">
            <v>#N/A</v>
          </cell>
          <cell r="P1079" t="str">
            <v/>
          </cell>
          <cell r="Q1079" t="str">
            <v/>
          </cell>
          <cell r="R1079" t="e">
            <v>#N/A</v>
          </cell>
        </row>
        <row r="1080">
          <cell r="A1080" t="str">
            <v/>
          </cell>
          <cell r="B1080" t="str">
            <v/>
          </cell>
          <cell r="C1080" t="str">
            <v>Future</v>
          </cell>
          <cell r="D1080" t="e">
            <v>#N/A</v>
          </cell>
          <cell r="E1080">
            <v>-67.010551181101704</v>
          </cell>
          <cell r="F1080">
            <v>117.95007874016079</v>
          </cell>
          <cell r="G1080">
            <v>35.745354330708444</v>
          </cell>
          <cell r="H1080">
            <v>35.745354330708444</v>
          </cell>
          <cell r="I1080" t="e">
            <v>#N/A</v>
          </cell>
          <cell r="J1080" t="e">
            <v>#N/A</v>
          </cell>
          <cell r="K1080">
            <v>90</v>
          </cell>
          <cell r="L1080">
            <v>50</v>
          </cell>
          <cell r="M1080" t="e">
            <v>#N/A</v>
          </cell>
          <cell r="N1080">
            <v>80</v>
          </cell>
          <cell r="O1080" t="e">
            <v>#N/A</v>
          </cell>
          <cell r="P1080" t="str">
            <v/>
          </cell>
          <cell r="Q1080" t="str">
            <v/>
          </cell>
          <cell r="R1080" t="e">
            <v>#N/A</v>
          </cell>
        </row>
        <row r="1081">
          <cell r="A1081" t="str">
            <v/>
          </cell>
          <cell r="B1081" t="str">
            <v/>
          </cell>
          <cell r="C1081" t="str">
            <v>Future</v>
          </cell>
          <cell r="D1081" t="e">
            <v>#N/A</v>
          </cell>
          <cell r="E1081">
            <v>-67.260590551180442</v>
          </cell>
          <cell r="F1081">
            <v>118.05437007874347</v>
          </cell>
          <cell r="G1081">
            <v>35.692165354330491</v>
          </cell>
          <cell r="H1081">
            <v>35.692165354330491</v>
          </cell>
          <cell r="I1081" t="e">
            <v>#N/A</v>
          </cell>
          <cell r="J1081" t="e">
            <v>#N/A</v>
          </cell>
          <cell r="K1081">
            <v>90</v>
          </cell>
          <cell r="L1081">
            <v>50</v>
          </cell>
          <cell r="M1081" t="e">
            <v>#N/A</v>
          </cell>
          <cell r="N1081">
            <v>80</v>
          </cell>
          <cell r="O1081" t="e">
            <v>#N/A</v>
          </cell>
          <cell r="P1081" t="str">
            <v/>
          </cell>
          <cell r="Q1081" t="str">
            <v/>
          </cell>
          <cell r="R1081" t="e">
            <v>#N/A</v>
          </cell>
        </row>
        <row r="1082">
          <cell r="A1082" t="str">
            <v/>
          </cell>
          <cell r="B1082" t="str">
            <v/>
          </cell>
          <cell r="C1082" t="str">
            <v>Future</v>
          </cell>
          <cell r="D1082" t="e">
            <v>#N/A</v>
          </cell>
          <cell r="E1082">
            <v>-67.510629921259181</v>
          </cell>
          <cell r="F1082">
            <v>118.15866141732616</v>
          </cell>
          <cell r="G1082">
            <v>35.638976377952538</v>
          </cell>
          <cell r="H1082">
            <v>35.638976377952538</v>
          </cell>
          <cell r="I1082" t="e">
            <v>#N/A</v>
          </cell>
          <cell r="J1082" t="e">
            <v>#N/A</v>
          </cell>
          <cell r="K1082">
            <v>90</v>
          </cell>
          <cell r="L1082">
            <v>50</v>
          </cell>
          <cell r="M1082" t="e">
            <v>#N/A</v>
          </cell>
          <cell r="N1082">
            <v>80</v>
          </cell>
          <cell r="O1082" t="e">
            <v>#N/A</v>
          </cell>
          <cell r="P1082" t="str">
            <v/>
          </cell>
          <cell r="Q1082" t="str">
            <v/>
          </cell>
          <cell r="R1082" t="e">
            <v>#N/A</v>
          </cell>
        </row>
        <row r="1083">
          <cell r="A1083" t="str">
            <v/>
          </cell>
          <cell r="B1083" t="str">
            <v/>
          </cell>
          <cell r="C1083" t="str">
            <v>Future</v>
          </cell>
          <cell r="D1083" t="e">
            <v>#N/A</v>
          </cell>
          <cell r="E1083">
            <v>-67.760669291337919</v>
          </cell>
          <cell r="F1083">
            <v>118.26295275590884</v>
          </cell>
          <cell r="G1083">
            <v>35.585787401574585</v>
          </cell>
          <cell r="H1083">
            <v>35.585787401574585</v>
          </cell>
          <cell r="I1083" t="e">
            <v>#N/A</v>
          </cell>
          <cell r="J1083" t="e">
            <v>#N/A</v>
          </cell>
          <cell r="K1083">
            <v>90</v>
          </cell>
          <cell r="L1083">
            <v>50</v>
          </cell>
          <cell r="M1083" t="e">
            <v>#N/A</v>
          </cell>
          <cell r="N1083">
            <v>80</v>
          </cell>
          <cell r="O1083" t="e">
            <v>#N/A</v>
          </cell>
          <cell r="P1083" t="str">
            <v/>
          </cell>
          <cell r="Q1083" t="str">
            <v/>
          </cell>
          <cell r="R1083" t="e">
            <v>#N/A</v>
          </cell>
        </row>
        <row r="1084">
          <cell r="A1084" t="str">
            <v/>
          </cell>
          <cell r="B1084" t="str">
            <v/>
          </cell>
          <cell r="C1084" t="str">
            <v>Future</v>
          </cell>
          <cell r="D1084" t="e">
            <v>#N/A</v>
          </cell>
          <cell r="E1084">
            <v>-68.010708661416658</v>
          </cell>
          <cell r="F1084">
            <v>118.36724409449153</v>
          </cell>
          <cell r="G1084">
            <v>35.532598425196632</v>
          </cell>
          <cell r="H1084">
            <v>35.532598425196632</v>
          </cell>
          <cell r="I1084" t="e">
            <v>#N/A</v>
          </cell>
          <cell r="J1084" t="e">
            <v>#N/A</v>
          </cell>
          <cell r="K1084">
            <v>90</v>
          </cell>
          <cell r="L1084">
            <v>50</v>
          </cell>
          <cell r="M1084" t="e">
            <v>#N/A</v>
          </cell>
          <cell r="N1084">
            <v>80</v>
          </cell>
          <cell r="O1084" t="e">
            <v>#N/A</v>
          </cell>
          <cell r="P1084" t="str">
            <v/>
          </cell>
          <cell r="Q1084" t="str">
            <v/>
          </cell>
          <cell r="R1084" t="e">
            <v>#N/A</v>
          </cell>
        </row>
        <row r="1085">
          <cell r="A1085" t="str">
            <v/>
          </cell>
          <cell r="B1085" t="str">
            <v/>
          </cell>
          <cell r="C1085" t="str">
            <v>Future</v>
          </cell>
          <cell r="D1085" t="e">
            <v>#N/A</v>
          </cell>
          <cell r="E1085">
            <v>-68.260748031495396</v>
          </cell>
          <cell r="F1085">
            <v>118.47153543307421</v>
          </cell>
          <cell r="G1085">
            <v>35.479409448818679</v>
          </cell>
          <cell r="H1085">
            <v>35.479409448818679</v>
          </cell>
          <cell r="I1085" t="e">
            <v>#N/A</v>
          </cell>
          <cell r="J1085" t="e">
            <v>#N/A</v>
          </cell>
          <cell r="K1085">
            <v>90</v>
          </cell>
          <cell r="L1085">
            <v>50</v>
          </cell>
          <cell r="M1085" t="e">
            <v>#N/A</v>
          </cell>
          <cell r="N1085">
            <v>80</v>
          </cell>
          <cell r="O1085" t="e">
            <v>#N/A</v>
          </cell>
          <cell r="P1085" t="str">
            <v/>
          </cell>
          <cell r="Q1085" t="str">
            <v/>
          </cell>
          <cell r="R1085" t="e">
            <v>#N/A</v>
          </cell>
        </row>
        <row r="1086">
          <cell r="A1086" t="str">
            <v/>
          </cell>
          <cell r="B1086" t="str">
            <v/>
          </cell>
          <cell r="C1086" t="str">
            <v>Future</v>
          </cell>
          <cell r="D1086" t="e">
            <v>#N/A</v>
          </cell>
          <cell r="E1086">
            <v>-68.510787401574134</v>
          </cell>
          <cell r="F1086">
            <v>118.57582677165689</v>
          </cell>
          <cell r="G1086">
            <v>35.426220472440725</v>
          </cell>
          <cell r="H1086">
            <v>35.426220472440725</v>
          </cell>
          <cell r="I1086" t="e">
            <v>#N/A</v>
          </cell>
          <cell r="J1086" t="e">
            <v>#N/A</v>
          </cell>
          <cell r="K1086">
            <v>90</v>
          </cell>
          <cell r="L1086">
            <v>50</v>
          </cell>
          <cell r="M1086" t="e">
            <v>#N/A</v>
          </cell>
          <cell r="N1086">
            <v>80</v>
          </cell>
          <cell r="O1086" t="e">
            <v>#N/A</v>
          </cell>
          <cell r="P1086" t="str">
            <v/>
          </cell>
          <cell r="Q1086" t="str">
            <v/>
          </cell>
          <cell r="R1086" t="e">
            <v>#N/A</v>
          </cell>
        </row>
        <row r="1087">
          <cell r="A1087" t="str">
            <v/>
          </cell>
          <cell r="B1087" t="str">
            <v/>
          </cell>
          <cell r="C1087" t="str">
            <v>Future</v>
          </cell>
          <cell r="D1087" t="e">
            <v>#N/A</v>
          </cell>
          <cell r="E1087">
            <v>-68.760826771652873</v>
          </cell>
          <cell r="F1087">
            <v>118.68011811023958</v>
          </cell>
          <cell r="G1087">
            <v>35.373031496062772</v>
          </cell>
          <cell r="H1087">
            <v>35.373031496062772</v>
          </cell>
          <cell r="I1087" t="e">
            <v>#N/A</v>
          </cell>
          <cell r="J1087" t="e">
            <v>#N/A</v>
          </cell>
          <cell r="K1087">
            <v>90</v>
          </cell>
          <cell r="L1087">
            <v>50</v>
          </cell>
          <cell r="M1087" t="e">
            <v>#N/A</v>
          </cell>
          <cell r="N1087">
            <v>80</v>
          </cell>
          <cell r="O1087" t="e">
            <v>#N/A</v>
          </cell>
          <cell r="P1087" t="str">
            <v/>
          </cell>
          <cell r="Q1087" t="str">
            <v/>
          </cell>
          <cell r="R1087" t="e">
            <v>#N/A</v>
          </cell>
        </row>
        <row r="1088">
          <cell r="A1088" t="str">
            <v/>
          </cell>
          <cell r="B1088" t="str">
            <v/>
          </cell>
          <cell r="C1088" t="str">
            <v>Future</v>
          </cell>
          <cell r="D1088" t="e">
            <v>#N/A</v>
          </cell>
          <cell r="E1088">
            <v>-69.010866141731611</v>
          </cell>
          <cell r="F1088">
            <v>118.78440944882226</v>
          </cell>
          <cell r="G1088">
            <v>35.319842519684819</v>
          </cell>
          <cell r="H1088">
            <v>35.319842519684819</v>
          </cell>
          <cell r="I1088" t="e">
            <v>#N/A</v>
          </cell>
          <cell r="J1088" t="e">
            <v>#N/A</v>
          </cell>
          <cell r="K1088">
            <v>90</v>
          </cell>
          <cell r="L1088">
            <v>50</v>
          </cell>
          <cell r="M1088" t="e">
            <v>#N/A</v>
          </cell>
          <cell r="N1088">
            <v>80</v>
          </cell>
          <cell r="O1088" t="e">
            <v>#N/A</v>
          </cell>
          <cell r="P1088" t="str">
            <v/>
          </cell>
          <cell r="Q1088" t="str">
            <v/>
          </cell>
          <cell r="R1088" t="e">
            <v>#N/A</v>
          </cell>
        </row>
        <row r="1089">
          <cell r="A1089" t="str">
            <v/>
          </cell>
          <cell r="B1089" t="str">
            <v/>
          </cell>
          <cell r="C1089" t="str">
            <v>Future</v>
          </cell>
          <cell r="D1089" t="e">
            <v>#N/A</v>
          </cell>
          <cell r="E1089">
            <v>-69.26090551181035</v>
          </cell>
          <cell r="F1089">
            <v>118.88870078740494</v>
          </cell>
          <cell r="G1089">
            <v>35.266653543306866</v>
          </cell>
          <cell r="H1089">
            <v>35.266653543306866</v>
          </cell>
          <cell r="I1089" t="e">
            <v>#N/A</v>
          </cell>
          <cell r="J1089" t="e">
            <v>#N/A</v>
          </cell>
          <cell r="K1089">
            <v>90</v>
          </cell>
          <cell r="L1089">
            <v>50</v>
          </cell>
          <cell r="M1089" t="e">
            <v>#N/A</v>
          </cell>
          <cell r="N1089">
            <v>80</v>
          </cell>
          <cell r="O1089" t="e">
            <v>#N/A</v>
          </cell>
          <cell r="P1089" t="str">
            <v/>
          </cell>
          <cell r="Q1089" t="str">
            <v/>
          </cell>
          <cell r="R1089" t="e">
            <v>#N/A</v>
          </cell>
        </row>
        <row r="1090">
          <cell r="A1090" t="str">
            <v/>
          </cell>
          <cell r="B1090" t="str">
            <v/>
          </cell>
          <cell r="C1090" t="str">
            <v>Future</v>
          </cell>
          <cell r="D1090" t="e">
            <v>#N/A</v>
          </cell>
          <cell r="E1090">
            <v>-69.510944881889088</v>
          </cell>
          <cell r="F1090">
            <v>118.99299212598763</v>
          </cell>
          <cell r="G1090">
            <v>35.213464566928913</v>
          </cell>
          <cell r="H1090">
            <v>35.213464566928913</v>
          </cell>
          <cell r="I1090" t="e">
            <v>#N/A</v>
          </cell>
          <cell r="J1090" t="e">
            <v>#N/A</v>
          </cell>
          <cell r="K1090">
            <v>90</v>
          </cell>
          <cell r="L1090">
            <v>50</v>
          </cell>
          <cell r="M1090" t="e">
            <v>#N/A</v>
          </cell>
          <cell r="N1090">
            <v>80</v>
          </cell>
          <cell r="O1090" t="e">
            <v>#N/A</v>
          </cell>
          <cell r="P1090" t="str">
            <v/>
          </cell>
          <cell r="Q1090" t="str">
            <v/>
          </cell>
          <cell r="R1090" t="e">
            <v>#N/A</v>
          </cell>
        </row>
        <row r="1091">
          <cell r="A1091" t="str">
            <v/>
          </cell>
          <cell r="B1091" t="str">
            <v/>
          </cell>
          <cell r="C1091" t="str">
            <v>Future</v>
          </cell>
          <cell r="D1091" t="e">
            <v>#N/A</v>
          </cell>
          <cell r="E1091">
            <v>-69.760984251967827</v>
          </cell>
          <cell r="F1091">
            <v>119.09728346457031</v>
          </cell>
          <cell r="G1091">
            <v>35.16027559055096</v>
          </cell>
          <cell r="H1091">
            <v>35.16027559055096</v>
          </cell>
          <cell r="I1091" t="e">
            <v>#N/A</v>
          </cell>
          <cell r="J1091" t="e">
            <v>#N/A</v>
          </cell>
          <cell r="K1091">
            <v>90</v>
          </cell>
          <cell r="L1091">
            <v>50</v>
          </cell>
          <cell r="M1091" t="e">
            <v>#N/A</v>
          </cell>
          <cell r="N1091">
            <v>80</v>
          </cell>
          <cell r="O1091" t="e">
            <v>#N/A</v>
          </cell>
          <cell r="P1091" t="str">
            <v/>
          </cell>
          <cell r="Q1091" t="str">
            <v/>
          </cell>
          <cell r="R1091" t="e">
            <v>#N/A</v>
          </cell>
        </row>
        <row r="1092">
          <cell r="A1092" t="str">
            <v/>
          </cell>
          <cell r="B1092" t="str">
            <v/>
          </cell>
          <cell r="C1092" t="str">
            <v>Future</v>
          </cell>
          <cell r="D1092" t="e">
            <v>#N/A</v>
          </cell>
          <cell r="E1092">
            <v>-70.011023622046565</v>
          </cell>
          <cell r="F1092">
            <v>119.20157480315299</v>
          </cell>
          <cell r="G1092">
            <v>35.107086614173006</v>
          </cell>
          <cell r="H1092">
            <v>35.107086614173006</v>
          </cell>
          <cell r="I1092" t="e">
            <v>#N/A</v>
          </cell>
          <cell r="J1092" t="e">
            <v>#N/A</v>
          </cell>
          <cell r="K1092">
            <v>90</v>
          </cell>
          <cell r="L1092">
            <v>50</v>
          </cell>
          <cell r="M1092" t="e">
            <v>#N/A</v>
          </cell>
          <cell r="N1092">
            <v>80</v>
          </cell>
          <cell r="O1092" t="e">
            <v>#N/A</v>
          </cell>
          <cell r="P1092" t="str">
            <v/>
          </cell>
          <cell r="Q1092" t="str">
            <v/>
          </cell>
          <cell r="R1092" t="e">
            <v>#N/A</v>
          </cell>
        </row>
        <row r="1093">
          <cell r="A1093" t="str">
            <v/>
          </cell>
          <cell r="B1093" t="str">
            <v/>
          </cell>
          <cell r="C1093" t="str">
            <v>Future</v>
          </cell>
          <cell r="D1093" t="e">
            <v>#N/A</v>
          </cell>
          <cell r="E1093">
            <v>-70.261062992125304</v>
          </cell>
          <cell r="F1093">
            <v>119.30586614173568</v>
          </cell>
          <cell r="G1093">
            <v>35.053897637795053</v>
          </cell>
          <cell r="H1093">
            <v>35.053897637795053</v>
          </cell>
          <cell r="I1093" t="e">
            <v>#N/A</v>
          </cell>
          <cell r="J1093" t="e">
            <v>#N/A</v>
          </cell>
          <cell r="K1093">
            <v>90</v>
          </cell>
          <cell r="L1093">
            <v>50</v>
          </cell>
          <cell r="M1093" t="e">
            <v>#N/A</v>
          </cell>
          <cell r="N1093">
            <v>80</v>
          </cell>
          <cell r="O1093" t="e">
            <v>#N/A</v>
          </cell>
          <cell r="P1093" t="str">
            <v/>
          </cell>
          <cell r="Q1093" t="str">
            <v/>
          </cell>
          <cell r="R1093" t="e">
            <v>#N/A</v>
          </cell>
        </row>
        <row r="1094">
          <cell r="A1094" t="str">
            <v/>
          </cell>
          <cell r="B1094" t="str">
            <v/>
          </cell>
          <cell r="C1094" t="str">
            <v>Future</v>
          </cell>
          <cell r="D1094" t="e">
            <v>#N/A</v>
          </cell>
          <cell r="E1094">
            <v>-70.511102362204042</v>
          </cell>
          <cell r="F1094">
            <v>119.41015748031836</v>
          </cell>
          <cell r="G1094">
            <v>35.0007086614171</v>
          </cell>
          <cell r="H1094">
            <v>35.0007086614171</v>
          </cell>
          <cell r="I1094" t="e">
            <v>#N/A</v>
          </cell>
          <cell r="J1094" t="e">
            <v>#N/A</v>
          </cell>
          <cell r="K1094">
            <v>90</v>
          </cell>
          <cell r="L1094">
            <v>50</v>
          </cell>
          <cell r="M1094" t="e">
            <v>#N/A</v>
          </cell>
          <cell r="N1094">
            <v>80</v>
          </cell>
          <cell r="O1094" t="e">
            <v>#N/A</v>
          </cell>
          <cell r="P1094" t="str">
            <v/>
          </cell>
          <cell r="Q1094" t="str">
            <v/>
          </cell>
          <cell r="R1094" t="e">
            <v>#N/A</v>
          </cell>
        </row>
        <row r="1095">
          <cell r="A1095" t="str">
            <v/>
          </cell>
          <cell r="B1095" t="str">
            <v/>
          </cell>
          <cell r="C1095" t="str">
            <v>Future</v>
          </cell>
          <cell r="D1095" t="e">
            <v>#N/A</v>
          </cell>
          <cell r="E1095">
            <v>-70.76114173228278</v>
          </cell>
          <cell r="F1095">
            <v>119.51444881890104</v>
          </cell>
          <cell r="G1095">
            <v>34.947519685039147</v>
          </cell>
          <cell r="H1095">
            <v>34.947519685039147</v>
          </cell>
          <cell r="I1095" t="e">
            <v>#N/A</v>
          </cell>
          <cell r="J1095" t="e">
            <v>#N/A</v>
          </cell>
          <cell r="K1095">
            <v>90</v>
          </cell>
          <cell r="L1095">
            <v>50</v>
          </cell>
          <cell r="M1095" t="e">
            <v>#N/A</v>
          </cell>
          <cell r="N1095">
            <v>80</v>
          </cell>
          <cell r="O1095" t="e">
            <v>#N/A</v>
          </cell>
          <cell r="P1095" t="str">
            <v/>
          </cell>
          <cell r="Q1095" t="str">
            <v/>
          </cell>
          <cell r="R1095" t="e">
            <v>#N/A</v>
          </cell>
        </row>
        <row r="1096">
          <cell r="A1096" t="str">
            <v/>
          </cell>
          <cell r="B1096" t="str">
            <v/>
          </cell>
          <cell r="C1096" t="str">
            <v>Future</v>
          </cell>
          <cell r="D1096" t="e">
            <v>#N/A</v>
          </cell>
          <cell r="E1096">
            <v>-71.011181102361519</v>
          </cell>
          <cell r="F1096">
            <v>119.61874015748373</v>
          </cell>
          <cell r="G1096">
            <v>34.894330708661194</v>
          </cell>
          <cell r="H1096">
            <v>34.894330708661194</v>
          </cell>
          <cell r="I1096" t="e">
            <v>#N/A</v>
          </cell>
          <cell r="J1096" t="e">
            <v>#N/A</v>
          </cell>
          <cell r="K1096">
            <v>90</v>
          </cell>
          <cell r="L1096">
            <v>50</v>
          </cell>
          <cell r="M1096" t="e">
            <v>#N/A</v>
          </cell>
          <cell r="N1096">
            <v>80</v>
          </cell>
          <cell r="O1096" t="e">
            <v>#N/A</v>
          </cell>
          <cell r="P1096" t="str">
            <v/>
          </cell>
          <cell r="Q1096" t="str">
            <v/>
          </cell>
          <cell r="R1096" t="e">
            <v>#N/A</v>
          </cell>
        </row>
        <row r="1097">
          <cell r="A1097" t="str">
            <v/>
          </cell>
          <cell r="B1097" t="str">
            <v/>
          </cell>
          <cell r="C1097" t="str">
            <v>Future</v>
          </cell>
          <cell r="D1097" t="e">
            <v>#N/A</v>
          </cell>
          <cell r="E1097">
            <v>-71.261220472440257</v>
          </cell>
          <cell r="F1097">
            <v>119.72303149606641</v>
          </cell>
          <cell r="G1097">
            <v>34.841141732283241</v>
          </cell>
          <cell r="H1097">
            <v>34.841141732283241</v>
          </cell>
          <cell r="I1097" t="e">
            <v>#N/A</v>
          </cell>
          <cell r="J1097" t="e">
            <v>#N/A</v>
          </cell>
          <cell r="K1097">
            <v>90</v>
          </cell>
          <cell r="L1097">
            <v>50</v>
          </cell>
          <cell r="M1097" t="e">
            <v>#N/A</v>
          </cell>
          <cell r="N1097">
            <v>80</v>
          </cell>
          <cell r="O1097" t="e">
            <v>#N/A</v>
          </cell>
          <cell r="P1097" t="str">
            <v/>
          </cell>
          <cell r="Q1097" t="str">
            <v/>
          </cell>
          <cell r="R1097" t="e">
            <v>#N/A</v>
          </cell>
        </row>
        <row r="1098">
          <cell r="A1098" t="str">
            <v/>
          </cell>
          <cell r="B1098" t="str">
            <v/>
          </cell>
          <cell r="C1098" t="str">
            <v>Future</v>
          </cell>
          <cell r="D1098" t="e">
            <v>#N/A</v>
          </cell>
          <cell r="E1098">
            <v>-71.511259842518996</v>
          </cell>
          <cell r="F1098">
            <v>119.8273228346491</v>
          </cell>
          <cell r="G1098">
            <v>34.787952755905287</v>
          </cell>
          <cell r="H1098">
            <v>34.787952755905287</v>
          </cell>
          <cell r="I1098" t="e">
            <v>#N/A</v>
          </cell>
          <cell r="J1098" t="e">
            <v>#N/A</v>
          </cell>
          <cell r="K1098">
            <v>90</v>
          </cell>
          <cell r="L1098">
            <v>50</v>
          </cell>
          <cell r="M1098" t="e">
            <v>#N/A</v>
          </cell>
          <cell r="N1098">
            <v>80</v>
          </cell>
          <cell r="O1098" t="e">
            <v>#N/A</v>
          </cell>
          <cell r="P1098" t="str">
            <v/>
          </cell>
          <cell r="Q1098" t="str">
            <v/>
          </cell>
          <cell r="R1098" t="e">
            <v>#N/A</v>
          </cell>
        </row>
        <row r="1099">
          <cell r="A1099" t="str">
            <v/>
          </cell>
          <cell r="B1099" t="str">
            <v/>
          </cell>
          <cell r="C1099" t="str">
            <v>Future</v>
          </cell>
          <cell r="D1099" t="e">
            <v>#N/A</v>
          </cell>
          <cell r="E1099">
            <v>-71.761299212597734</v>
          </cell>
          <cell r="F1099">
            <v>119.93161417323178</v>
          </cell>
          <cell r="G1099">
            <v>34.734763779527334</v>
          </cell>
          <cell r="H1099">
            <v>34.734763779527334</v>
          </cell>
          <cell r="I1099" t="e">
            <v>#N/A</v>
          </cell>
          <cell r="J1099" t="e">
            <v>#N/A</v>
          </cell>
          <cell r="K1099">
            <v>90</v>
          </cell>
          <cell r="L1099">
            <v>50</v>
          </cell>
          <cell r="M1099" t="e">
            <v>#N/A</v>
          </cell>
          <cell r="N1099">
            <v>80</v>
          </cell>
          <cell r="O1099" t="e">
            <v>#N/A</v>
          </cell>
          <cell r="P1099" t="str">
            <v/>
          </cell>
          <cell r="Q1099" t="str">
            <v/>
          </cell>
          <cell r="R1099" t="e">
            <v>#N/A</v>
          </cell>
        </row>
        <row r="1100">
          <cell r="A1100" t="str">
            <v/>
          </cell>
          <cell r="B1100" t="str">
            <v/>
          </cell>
          <cell r="C1100" t="str">
            <v>Future</v>
          </cell>
          <cell r="D1100" t="e">
            <v>#N/A</v>
          </cell>
          <cell r="E1100">
            <v>-72.011338582676473</v>
          </cell>
          <cell r="F1100">
            <v>120.03590551181446</v>
          </cell>
          <cell r="G1100">
            <v>34.681574803149381</v>
          </cell>
          <cell r="H1100">
            <v>34.681574803149381</v>
          </cell>
          <cell r="I1100" t="e">
            <v>#N/A</v>
          </cell>
          <cell r="J1100" t="e">
            <v>#N/A</v>
          </cell>
          <cell r="K1100">
            <v>90</v>
          </cell>
          <cell r="L1100">
            <v>50</v>
          </cell>
          <cell r="M1100" t="e">
            <v>#N/A</v>
          </cell>
          <cell r="N1100">
            <v>80</v>
          </cell>
          <cell r="O1100" t="e">
            <v>#N/A</v>
          </cell>
          <cell r="P1100" t="str">
            <v/>
          </cell>
          <cell r="Q1100" t="str">
            <v/>
          </cell>
          <cell r="R1100" t="e">
            <v>#N/A</v>
          </cell>
        </row>
        <row r="1101">
          <cell r="A1101" t="str">
            <v/>
          </cell>
          <cell r="B1101" t="str">
            <v/>
          </cell>
          <cell r="C1101" t="str">
            <v>Future</v>
          </cell>
          <cell r="D1101" t="e">
            <v>#N/A</v>
          </cell>
          <cell r="E1101">
            <v>-72.261377952755211</v>
          </cell>
          <cell r="F1101">
            <v>120.14019685039715</v>
          </cell>
          <cell r="G1101">
            <v>34.628385826771428</v>
          </cell>
          <cell r="H1101">
            <v>34.628385826771428</v>
          </cell>
          <cell r="I1101" t="e">
            <v>#N/A</v>
          </cell>
          <cell r="J1101" t="e">
            <v>#N/A</v>
          </cell>
          <cell r="K1101">
            <v>90</v>
          </cell>
          <cell r="L1101">
            <v>50</v>
          </cell>
          <cell r="M1101" t="e">
            <v>#N/A</v>
          </cell>
          <cell r="N1101">
            <v>80</v>
          </cell>
          <cell r="O1101" t="e">
            <v>#N/A</v>
          </cell>
          <cell r="P1101" t="str">
            <v/>
          </cell>
          <cell r="Q1101" t="str">
            <v/>
          </cell>
          <cell r="R1101" t="e">
            <v>#N/A</v>
          </cell>
        </row>
        <row r="1102">
          <cell r="A1102" t="str">
            <v/>
          </cell>
          <cell r="B1102" t="str">
            <v/>
          </cell>
          <cell r="C1102" t="str">
            <v>Future</v>
          </cell>
          <cell r="D1102" t="e">
            <v>#N/A</v>
          </cell>
          <cell r="E1102">
            <v>-72.51141732283395</v>
          </cell>
          <cell r="F1102">
            <v>120.24448818897983</v>
          </cell>
          <cell r="G1102">
            <v>34.575196850393475</v>
          </cell>
          <cell r="H1102">
            <v>34.575196850393475</v>
          </cell>
          <cell r="I1102" t="e">
            <v>#N/A</v>
          </cell>
          <cell r="J1102" t="e">
            <v>#N/A</v>
          </cell>
          <cell r="K1102">
            <v>90</v>
          </cell>
          <cell r="L1102">
            <v>50</v>
          </cell>
          <cell r="M1102" t="e">
            <v>#N/A</v>
          </cell>
          <cell r="N1102">
            <v>80</v>
          </cell>
          <cell r="O1102" t="e">
            <v>#N/A</v>
          </cell>
          <cell r="P1102" t="str">
            <v/>
          </cell>
          <cell r="Q1102" t="str">
            <v/>
          </cell>
          <cell r="R1102" t="e">
            <v>#N/A</v>
          </cell>
        </row>
        <row r="1103">
          <cell r="A1103" t="str">
            <v/>
          </cell>
          <cell r="B1103" t="str">
            <v/>
          </cell>
          <cell r="C1103" t="str">
            <v>Future</v>
          </cell>
          <cell r="D1103" t="e">
            <v>#N/A</v>
          </cell>
          <cell r="E1103">
            <v>-72.761456692912688</v>
          </cell>
          <cell r="F1103">
            <v>120.34877952756251</v>
          </cell>
          <cell r="G1103">
            <v>34.522007874015522</v>
          </cell>
          <cell r="H1103">
            <v>34.522007874015522</v>
          </cell>
          <cell r="I1103" t="e">
            <v>#N/A</v>
          </cell>
          <cell r="J1103" t="e">
            <v>#N/A</v>
          </cell>
          <cell r="K1103">
            <v>90</v>
          </cell>
          <cell r="L1103">
            <v>50</v>
          </cell>
          <cell r="M1103" t="e">
            <v>#N/A</v>
          </cell>
          <cell r="N1103">
            <v>80</v>
          </cell>
          <cell r="O1103" t="e">
            <v>#N/A</v>
          </cell>
          <cell r="P1103" t="str">
            <v/>
          </cell>
          <cell r="Q1103" t="str">
            <v/>
          </cell>
          <cell r="R1103" t="e">
            <v>#N/A</v>
          </cell>
        </row>
        <row r="1104">
          <cell r="A1104" t="str">
            <v/>
          </cell>
          <cell r="B1104" t="str">
            <v/>
          </cell>
          <cell r="C1104" t="str">
            <v>Future</v>
          </cell>
          <cell r="D1104" t="e">
            <v>#N/A</v>
          </cell>
          <cell r="E1104">
            <v>-73.011496062991426</v>
          </cell>
          <cell r="F1104">
            <v>120.4530708661452</v>
          </cell>
          <cell r="G1104">
            <v>34.468818897637568</v>
          </cell>
          <cell r="H1104">
            <v>34.468818897637568</v>
          </cell>
          <cell r="I1104" t="e">
            <v>#N/A</v>
          </cell>
          <cell r="J1104" t="e">
            <v>#N/A</v>
          </cell>
          <cell r="K1104">
            <v>90</v>
          </cell>
          <cell r="L1104">
            <v>50</v>
          </cell>
          <cell r="M1104" t="e">
            <v>#N/A</v>
          </cell>
          <cell r="N1104">
            <v>80</v>
          </cell>
          <cell r="O1104" t="e">
            <v>#N/A</v>
          </cell>
          <cell r="P1104" t="str">
            <v/>
          </cell>
          <cell r="Q1104" t="str">
            <v/>
          </cell>
          <cell r="R1104" t="e">
            <v>#N/A</v>
          </cell>
        </row>
        <row r="1105">
          <cell r="A1105" t="str">
            <v/>
          </cell>
          <cell r="B1105" t="str">
            <v/>
          </cell>
          <cell r="C1105" t="str">
            <v>Future</v>
          </cell>
          <cell r="D1105" t="e">
            <v>#N/A</v>
          </cell>
          <cell r="E1105">
            <v>-73.261535433070165</v>
          </cell>
          <cell r="F1105">
            <v>120.55736220472788</v>
          </cell>
          <cell r="G1105">
            <v>34.415629921259615</v>
          </cell>
          <cell r="H1105">
            <v>34.415629921259615</v>
          </cell>
          <cell r="I1105" t="e">
            <v>#N/A</v>
          </cell>
          <cell r="J1105" t="e">
            <v>#N/A</v>
          </cell>
          <cell r="K1105">
            <v>90</v>
          </cell>
          <cell r="L1105">
            <v>50</v>
          </cell>
          <cell r="M1105" t="e">
            <v>#N/A</v>
          </cell>
          <cell r="N1105">
            <v>80</v>
          </cell>
          <cell r="O1105" t="e">
            <v>#N/A</v>
          </cell>
          <cell r="P1105" t="str">
            <v/>
          </cell>
          <cell r="Q1105" t="str">
            <v/>
          </cell>
          <cell r="R1105" t="e">
            <v>#N/A</v>
          </cell>
        </row>
        <row r="1106">
          <cell r="A1106" t="str">
            <v/>
          </cell>
          <cell r="B1106" t="str">
            <v/>
          </cell>
          <cell r="C1106" t="str">
            <v>Future</v>
          </cell>
          <cell r="D1106" t="e">
            <v>#N/A</v>
          </cell>
          <cell r="E1106">
            <v>-73.511574803148903</v>
          </cell>
          <cell r="F1106">
            <v>120.66165354331056</v>
          </cell>
          <cell r="G1106">
            <v>34.362440944881662</v>
          </cell>
          <cell r="H1106">
            <v>34.362440944881662</v>
          </cell>
          <cell r="I1106" t="e">
            <v>#N/A</v>
          </cell>
          <cell r="J1106" t="e">
            <v>#N/A</v>
          </cell>
          <cell r="K1106">
            <v>90</v>
          </cell>
          <cell r="L1106">
            <v>50</v>
          </cell>
          <cell r="M1106" t="e">
            <v>#N/A</v>
          </cell>
          <cell r="N1106">
            <v>80</v>
          </cell>
          <cell r="O1106" t="e">
            <v>#N/A</v>
          </cell>
          <cell r="P1106" t="str">
            <v/>
          </cell>
          <cell r="Q1106" t="str">
            <v/>
          </cell>
          <cell r="R1106" t="e">
            <v>#N/A</v>
          </cell>
        </row>
        <row r="1107">
          <cell r="A1107" t="str">
            <v/>
          </cell>
          <cell r="B1107" t="str">
            <v/>
          </cell>
          <cell r="C1107" t="str">
            <v>Future</v>
          </cell>
          <cell r="D1107" t="e">
            <v>#N/A</v>
          </cell>
          <cell r="E1107">
            <v>-73.761614173227642</v>
          </cell>
          <cell r="F1107">
            <v>120.76594488189325</v>
          </cell>
          <cell r="G1107">
            <v>34.309251968503709</v>
          </cell>
          <cell r="H1107">
            <v>34.309251968503709</v>
          </cell>
          <cell r="I1107" t="e">
            <v>#N/A</v>
          </cell>
          <cell r="J1107" t="e">
            <v>#N/A</v>
          </cell>
          <cell r="K1107">
            <v>90</v>
          </cell>
          <cell r="L1107">
            <v>50</v>
          </cell>
          <cell r="M1107" t="e">
            <v>#N/A</v>
          </cell>
          <cell r="N1107">
            <v>80</v>
          </cell>
          <cell r="O1107" t="e">
            <v>#N/A</v>
          </cell>
          <cell r="P1107" t="str">
            <v/>
          </cell>
          <cell r="Q1107" t="str">
            <v/>
          </cell>
          <cell r="R1107" t="e">
            <v>#N/A</v>
          </cell>
        </row>
        <row r="1108">
          <cell r="A1108" t="str">
            <v/>
          </cell>
          <cell r="B1108" t="str">
            <v/>
          </cell>
          <cell r="C1108" t="str">
            <v>Future</v>
          </cell>
          <cell r="D1108" t="e">
            <v>#N/A</v>
          </cell>
          <cell r="E1108">
            <v>-74.01165354330638</v>
          </cell>
          <cell r="F1108">
            <v>120.87023622047593</v>
          </cell>
          <cell r="G1108">
            <v>34.256062992125756</v>
          </cell>
          <cell r="H1108">
            <v>34.256062992125756</v>
          </cell>
          <cell r="I1108" t="e">
            <v>#N/A</v>
          </cell>
          <cell r="J1108" t="e">
            <v>#N/A</v>
          </cell>
          <cell r="K1108">
            <v>90</v>
          </cell>
          <cell r="L1108">
            <v>50</v>
          </cell>
          <cell r="M1108" t="e">
            <v>#N/A</v>
          </cell>
          <cell r="N1108">
            <v>80</v>
          </cell>
          <cell r="O1108" t="e">
            <v>#N/A</v>
          </cell>
          <cell r="P1108" t="str">
            <v/>
          </cell>
          <cell r="Q1108" t="str">
            <v/>
          </cell>
          <cell r="R1108" t="e">
            <v>#N/A</v>
          </cell>
        </row>
        <row r="1109">
          <cell r="A1109" t="str">
            <v/>
          </cell>
          <cell r="B1109" t="str">
            <v/>
          </cell>
          <cell r="C1109" t="str">
            <v>Future</v>
          </cell>
          <cell r="D1109" t="e">
            <v>#N/A</v>
          </cell>
          <cell r="E1109">
            <v>-74.261692913385119</v>
          </cell>
          <cell r="F1109">
            <v>120.97452755905861</v>
          </cell>
          <cell r="G1109">
            <v>34.202874015747803</v>
          </cell>
          <cell r="H1109">
            <v>34.202874015747803</v>
          </cell>
          <cell r="I1109" t="e">
            <v>#N/A</v>
          </cell>
          <cell r="J1109" t="e">
            <v>#N/A</v>
          </cell>
          <cell r="K1109">
            <v>90</v>
          </cell>
          <cell r="L1109">
            <v>50</v>
          </cell>
          <cell r="M1109" t="e">
            <v>#N/A</v>
          </cell>
          <cell r="N1109">
            <v>80</v>
          </cell>
          <cell r="O1109" t="e">
            <v>#N/A</v>
          </cell>
          <cell r="P1109" t="str">
            <v/>
          </cell>
          <cell r="Q1109" t="str">
            <v/>
          </cell>
          <cell r="R1109" t="e">
            <v>#N/A</v>
          </cell>
        </row>
        <row r="1110">
          <cell r="A1110" t="str">
            <v/>
          </cell>
          <cell r="B1110" t="str">
            <v/>
          </cell>
          <cell r="C1110" t="str">
            <v>Future</v>
          </cell>
          <cell r="D1110" t="e">
            <v>#N/A</v>
          </cell>
          <cell r="E1110">
            <v>-74.511732283463857</v>
          </cell>
          <cell r="F1110">
            <v>121.0788188976413</v>
          </cell>
          <cell r="G1110">
            <v>34.149685039369849</v>
          </cell>
          <cell r="H1110">
            <v>34.149685039369849</v>
          </cell>
          <cell r="I1110" t="e">
            <v>#N/A</v>
          </cell>
          <cell r="J1110" t="e">
            <v>#N/A</v>
          </cell>
          <cell r="K1110">
            <v>90</v>
          </cell>
          <cell r="L1110">
            <v>50</v>
          </cell>
          <cell r="M1110" t="e">
            <v>#N/A</v>
          </cell>
          <cell r="N1110">
            <v>80</v>
          </cell>
          <cell r="O1110" t="e">
            <v>#N/A</v>
          </cell>
          <cell r="P1110" t="str">
            <v/>
          </cell>
          <cell r="Q1110" t="str">
            <v/>
          </cell>
          <cell r="R1110" t="e">
            <v>#N/A</v>
          </cell>
        </row>
        <row r="1111">
          <cell r="A1111" t="str">
            <v/>
          </cell>
          <cell r="B1111" t="str">
            <v/>
          </cell>
          <cell r="C1111" t="str">
            <v>Future</v>
          </cell>
          <cell r="D1111" t="e">
            <v>#N/A</v>
          </cell>
          <cell r="E1111">
            <v>-74.761771653542596</v>
          </cell>
          <cell r="F1111">
            <v>121.18311023622398</v>
          </cell>
          <cell r="G1111">
            <v>34.096496062991896</v>
          </cell>
          <cell r="H1111">
            <v>34.096496062991896</v>
          </cell>
          <cell r="I1111" t="e">
            <v>#N/A</v>
          </cell>
          <cell r="J1111" t="e">
            <v>#N/A</v>
          </cell>
          <cell r="K1111">
            <v>90</v>
          </cell>
          <cell r="L1111">
            <v>50</v>
          </cell>
          <cell r="M1111" t="e">
            <v>#N/A</v>
          </cell>
          <cell r="N1111">
            <v>80</v>
          </cell>
          <cell r="O1111" t="e">
            <v>#N/A</v>
          </cell>
          <cell r="P1111" t="str">
            <v/>
          </cell>
          <cell r="Q1111" t="str">
            <v/>
          </cell>
          <cell r="R1111" t="e">
            <v>#N/A</v>
          </cell>
        </row>
        <row r="1112">
          <cell r="A1112" t="str">
            <v/>
          </cell>
          <cell r="B1112" t="str">
            <v/>
          </cell>
          <cell r="C1112" t="str">
            <v>Future</v>
          </cell>
          <cell r="D1112" t="e">
            <v>#N/A</v>
          </cell>
          <cell r="E1112">
            <v>-75.011811023621334</v>
          </cell>
          <cell r="F1112">
            <v>121.28740157480667</v>
          </cell>
          <cell r="G1112">
            <v>34.043307086613943</v>
          </cell>
          <cell r="H1112">
            <v>34.043307086613943</v>
          </cell>
          <cell r="I1112" t="e">
            <v>#N/A</v>
          </cell>
          <cell r="J1112" t="e">
            <v>#N/A</v>
          </cell>
          <cell r="K1112">
            <v>90</v>
          </cell>
          <cell r="L1112">
            <v>50</v>
          </cell>
          <cell r="M1112" t="e">
            <v>#N/A</v>
          </cell>
          <cell r="N1112">
            <v>80</v>
          </cell>
          <cell r="O1112" t="e">
            <v>#N/A</v>
          </cell>
          <cell r="P1112" t="str">
            <v/>
          </cell>
          <cell r="Q1112" t="str">
            <v/>
          </cell>
          <cell r="R1112" t="e">
            <v>#N/A</v>
          </cell>
        </row>
        <row r="1113">
          <cell r="A1113" t="str">
            <v/>
          </cell>
          <cell r="B1113" t="str">
            <v/>
          </cell>
          <cell r="C1113" t="str">
            <v>Future</v>
          </cell>
          <cell r="D1113" t="e">
            <v>#N/A</v>
          </cell>
          <cell r="E1113">
            <v>-75.261850393700072</v>
          </cell>
          <cell r="F1113">
            <v>121.39169291338935</v>
          </cell>
          <cell r="G1113">
            <v>33.99011811023599</v>
          </cell>
          <cell r="H1113">
            <v>33.99011811023599</v>
          </cell>
          <cell r="I1113" t="e">
            <v>#N/A</v>
          </cell>
          <cell r="J1113" t="e">
            <v>#N/A</v>
          </cell>
          <cell r="K1113">
            <v>90</v>
          </cell>
          <cell r="L1113">
            <v>50</v>
          </cell>
          <cell r="M1113" t="e">
            <v>#N/A</v>
          </cell>
          <cell r="N1113">
            <v>80</v>
          </cell>
          <cell r="O1113" t="e">
            <v>#N/A</v>
          </cell>
          <cell r="P1113" t="str">
            <v/>
          </cell>
          <cell r="Q1113" t="str">
            <v/>
          </cell>
          <cell r="R1113" t="e">
            <v>#N/A</v>
          </cell>
        </row>
        <row r="1114">
          <cell r="A1114" t="str">
            <v/>
          </cell>
          <cell r="B1114" t="str">
            <v/>
          </cell>
          <cell r="C1114" t="str">
            <v>Future</v>
          </cell>
          <cell r="D1114" t="e">
            <v>#N/A</v>
          </cell>
          <cell r="E1114">
            <v>-75.511889763778811</v>
          </cell>
          <cell r="F1114">
            <v>121.49598425197203</v>
          </cell>
          <cell r="G1114">
            <v>33.936929133858037</v>
          </cell>
          <cell r="H1114">
            <v>33.936929133858037</v>
          </cell>
          <cell r="I1114" t="e">
            <v>#N/A</v>
          </cell>
          <cell r="J1114" t="e">
            <v>#N/A</v>
          </cell>
          <cell r="K1114">
            <v>90</v>
          </cell>
          <cell r="L1114">
            <v>50</v>
          </cell>
          <cell r="M1114" t="e">
            <v>#N/A</v>
          </cell>
          <cell r="N1114">
            <v>80</v>
          </cell>
          <cell r="O1114" t="e">
            <v>#N/A</v>
          </cell>
          <cell r="P1114" t="str">
            <v/>
          </cell>
          <cell r="Q1114" t="str">
            <v/>
          </cell>
          <cell r="R1114" t="e">
            <v>#N/A</v>
          </cell>
        </row>
        <row r="1115">
          <cell r="A1115" t="str">
            <v/>
          </cell>
          <cell r="B1115" t="str">
            <v/>
          </cell>
          <cell r="C1115" t="str">
            <v>Future</v>
          </cell>
          <cell r="D1115" t="e">
            <v>#N/A</v>
          </cell>
          <cell r="E1115">
            <v>-75.761929133857549</v>
          </cell>
          <cell r="F1115">
            <v>121.60027559055472</v>
          </cell>
          <cell r="G1115">
            <v>33.883740157480084</v>
          </cell>
          <cell r="H1115">
            <v>33.883740157480084</v>
          </cell>
          <cell r="I1115" t="e">
            <v>#N/A</v>
          </cell>
          <cell r="J1115" t="e">
            <v>#N/A</v>
          </cell>
          <cell r="K1115">
            <v>90</v>
          </cell>
          <cell r="L1115">
            <v>50</v>
          </cell>
          <cell r="M1115" t="e">
            <v>#N/A</v>
          </cell>
          <cell r="N1115">
            <v>80</v>
          </cell>
          <cell r="O1115" t="e">
            <v>#N/A</v>
          </cell>
          <cell r="P1115" t="str">
            <v/>
          </cell>
          <cell r="Q1115" t="str">
            <v/>
          </cell>
          <cell r="R1115" t="e">
            <v>#N/A</v>
          </cell>
        </row>
        <row r="1116">
          <cell r="A1116" t="str">
            <v/>
          </cell>
          <cell r="B1116" t="str">
            <v/>
          </cell>
          <cell r="C1116" t="str">
            <v>Future</v>
          </cell>
          <cell r="D1116" t="e">
            <v>#N/A</v>
          </cell>
          <cell r="E1116">
            <v>-76.011968503936288</v>
          </cell>
          <cell r="F1116">
            <v>121.7045669291374</v>
          </cell>
          <cell r="G1116">
            <v>33.83055118110213</v>
          </cell>
          <cell r="H1116">
            <v>33.83055118110213</v>
          </cell>
          <cell r="I1116" t="e">
            <v>#N/A</v>
          </cell>
          <cell r="J1116" t="e">
            <v>#N/A</v>
          </cell>
          <cell r="K1116">
            <v>90</v>
          </cell>
          <cell r="L1116">
            <v>50</v>
          </cell>
          <cell r="M1116" t="e">
            <v>#N/A</v>
          </cell>
          <cell r="N1116">
            <v>80</v>
          </cell>
          <cell r="O1116" t="e">
            <v>#N/A</v>
          </cell>
          <cell r="P1116" t="str">
            <v/>
          </cell>
          <cell r="Q1116" t="str">
            <v/>
          </cell>
          <cell r="R1116" t="e">
            <v>#N/A</v>
          </cell>
        </row>
        <row r="1117">
          <cell r="A1117" t="str">
            <v/>
          </cell>
          <cell r="B1117" t="str">
            <v/>
          </cell>
          <cell r="C1117" t="str">
            <v>Future</v>
          </cell>
          <cell r="D1117" t="e">
            <v>#N/A</v>
          </cell>
          <cell r="E1117">
            <v>-76.262007874015026</v>
          </cell>
          <cell r="F1117">
            <v>121.80885826772008</v>
          </cell>
          <cell r="G1117">
            <v>33.777362204724177</v>
          </cell>
          <cell r="H1117">
            <v>33.777362204724177</v>
          </cell>
          <cell r="I1117" t="e">
            <v>#N/A</v>
          </cell>
          <cell r="J1117" t="e">
            <v>#N/A</v>
          </cell>
          <cell r="K1117">
            <v>90</v>
          </cell>
          <cell r="L1117">
            <v>50</v>
          </cell>
          <cell r="M1117" t="e">
            <v>#N/A</v>
          </cell>
          <cell r="N1117">
            <v>80</v>
          </cell>
          <cell r="O1117" t="e">
            <v>#N/A</v>
          </cell>
          <cell r="P1117" t="str">
            <v/>
          </cell>
          <cell r="Q1117" t="str">
            <v/>
          </cell>
          <cell r="R1117" t="e">
            <v>#N/A</v>
          </cell>
        </row>
        <row r="1118">
          <cell r="A1118" t="str">
            <v/>
          </cell>
          <cell r="B1118" t="str">
            <v/>
          </cell>
          <cell r="C1118" t="str">
            <v>Future</v>
          </cell>
          <cell r="D1118" t="e">
            <v>#N/A</v>
          </cell>
          <cell r="E1118">
            <v>-76.512047244093765</v>
          </cell>
          <cell r="F1118">
            <v>121.91314960630277</v>
          </cell>
          <cell r="G1118">
            <v>33.724173228346224</v>
          </cell>
          <cell r="H1118">
            <v>33.724173228346224</v>
          </cell>
          <cell r="I1118" t="e">
            <v>#N/A</v>
          </cell>
          <cell r="J1118" t="e">
            <v>#N/A</v>
          </cell>
          <cell r="K1118">
            <v>90</v>
          </cell>
          <cell r="L1118">
            <v>50</v>
          </cell>
          <cell r="M1118" t="e">
            <v>#N/A</v>
          </cell>
          <cell r="N1118">
            <v>80</v>
          </cell>
          <cell r="O1118" t="e">
            <v>#N/A</v>
          </cell>
          <cell r="P1118" t="str">
            <v/>
          </cell>
          <cell r="Q1118" t="str">
            <v/>
          </cell>
          <cell r="R1118" t="e">
            <v>#N/A</v>
          </cell>
        </row>
        <row r="1119">
          <cell r="A1119" t="str">
            <v/>
          </cell>
          <cell r="B1119" t="str">
            <v/>
          </cell>
          <cell r="C1119" t="str">
            <v>Future</v>
          </cell>
          <cell r="D1119" t="e">
            <v>#N/A</v>
          </cell>
          <cell r="E1119">
            <v>-76.762086614172503</v>
          </cell>
          <cell r="F1119">
            <v>122.01744094488545</v>
          </cell>
          <cell r="G1119">
            <v>33.670984251968271</v>
          </cell>
          <cell r="H1119">
            <v>33.670984251968271</v>
          </cell>
          <cell r="I1119" t="e">
            <v>#N/A</v>
          </cell>
          <cell r="J1119" t="e">
            <v>#N/A</v>
          </cell>
          <cell r="K1119">
            <v>90</v>
          </cell>
          <cell r="L1119">
            <v>50</v>
          </cell>
          <cell r="M1119" t="e">
            <v>#N/A</v>
          </cell>
          <cell r="N1119">
            <v>80</v>
          </cell>
          <cell r="O1119" t="e">
            <v>#N/A</v>
          </cell>
          <cell r="P1119" t="str">
            <v/>
          </cell>
          <cell r="Q1119" t="str">
            <v/>
          </cell>
          <cell r="R1119" t="e">
            <v>#N/A</v>
          </cell>
        </row>
        <row r="1120">
          <cell r="A1120" t="str">
            <v/>
          </cell>
          <cell r="B1120" t="str">
            <v/>
          </cell>
          <cell r="C1120" t="str">
            <v>Future</v>
          </cell>
          <cell r="D1120" t="e">
            <v>#N/A</v>
          </cell>
          <cell r="E1120">
            <v>-77.012125984251242</v>
          </cell>
          <cell r="F1120">
            <v>122.12173228346813</v>
          </cell>
          <cell r="G1120">
            <v>33.617795275590318</v>
          </cell>
          <cell r="H1120">
            <v>33.617795275590318</v>
          </cell>
          <cell r="I1120" t="e">
            <v>#N/A</v>
          </cell>
          <cell r="J1120" t="e">
            <v>#N/A</v>
          </cell>
          <cell r="K1120">
            <v>90</v>
          </cell>
          <cell r="L1120">
            <v>50</v>
          </cell>
          <cell r="M1120" t="e">
            <v>#N/A</v>
          </cell>
          <cell r="N1120">
            <v>80</v>
          </cell>
          <cell r="O1120" t="e">
            <v>#N/A</v>
          </cell>
          <cell r="P1120" t="str">
            <v/>
          </cell>
          <cell r="Q1120" t="str">
            <v/>
          </cell>
          <cell r="R1120" t="e">
            <v>#N/A</v>
          </cell>
        </row>
        <row r="1121">
          <cell r="A1121" t="str">
            <v/>
          </cell>
          <cell r="B1121" t="str">
            <v/>
          </cell>
          <cell r="C1121" t="str">
            <v>Future</v>
          </cell>
          <cell r="D1121" t="e">
            <v>#N/A</v>
          </cell>
          <cell r="E1121">
            <v>-77.26216535432998</v>
          </cell>
          <cell r="F1121">
            <v>122.22602362205082</v>
          </cell>
          <cell r="G1121">
            <v>33.564606299212365</v>
          </cell>
          <cell r="H1121">
            <v>33.564606299212365</v>
          </cell>
          <cell r="I1121" t="e">
            <v>#N/A</v>
          </cell>
          <cell r="J1121" t="e">
            <v>#N/A</v>
          </cell>
          <cell r="K1121">
            <v>90</v>
          </cell>
          <cell r="L1121">
            <v>50</v>
          </cell>
          <cell r="M1121" t="e">
            <v>#N/A</v>
          </cell>
          <cell r="N1121">
            <v>80</v>
          </cell>
          <cell r="O1121" t="e">
            <v>#N/A</v>
          </cell>
          <cell r="P1121" t="str">
            <v/>
          </cell>
          <cell r="Q1121" t="str">
            <v/>
          </cell>
          <cell r="R1121" t="e">
            <v>#N/A</v>
          </cell>
        </row>
        <row r="1122">
          <cell r="A1122" t="str">
            <v/>
          </cell>
          <cell r="B1122" t="str">
            <v/>
          </cell>
          <cell r="C1122" t="str">
            <v>Future</v>
          </cell>
          <cell r="D1122" t="e">
            <v>#N/A</v>
          </cell>
          <cell r="E1122">
            <v>-77.512204724408718</v>
          </cell>
          <cell r="F1122">
            <v>122.3303149606335</v>
          </cell>
          <cell r="G1122">
            <v>33.511417322834411</v>
          </cell>
          <cell r="H1122">
            <v>33.511417322834411</v>
          </cell>
          <cell r="I1122" t="e">
            <v>#N/A</v>
          </cell>
          <cell r="J1122" t="e">
            <v>#N/A</v>
          </cell>
          <cell r="K1122">
            <v>90</v>
          </cell>
          <cell r="L1122">
            <v>50</v>
          </cell>
          <cell r="M1122" t="e">
            <v>#N/A</v>
          </cell>
          <cell r="N1122">
            <v>80</v>
          </cell>
          <cell r="O1122" t="e">
            <v>#N/A</v>
          </cell>
          <cell r="P1122" t="str">
            <v/>
          </cell>
          <cell r="Q1122" t="str">
            <v/>
          </cell>
          <cell r="R1122" t="e">
            <v>#N/A</v>
          </cell>
        </row>
        <row r="1123">
          <cell r="A1123" t="str">
            <v/>
          </cell>
          <cell r="B1123" t="str">
            <v/>
          </cell>
          <cell r="C1123" t="str">
            <v>Future</v>
          </cell>
          <cell r="D1123" t="e">
            <v>#N/A</v>
          </cell>
          <cell r="E1123">
            <v>-77.762244094487457</v>
          </cell>
          <cell r="F1123">
            <v>122.43460629921618</v>
          </cell>
          <cell r="G1123">
            <v>33.458228346456458</v>
          </cell>
          <cell r="H1123">
            <v>33.458228346456458</v>
          </cell>
          <cell r="I1123" t="e">
            <v>#N/A</v>
          </cell>
          <cell r="J1123" t="e">
            <v>#N/A</v>
          </cell>
          <cell r="K1123">
            <v>90</v>
          </cell>
          <cell r="L1123">
            <v>50</v>
          </cell>
          <cell r="M1123" t="e">
            <v>#N/A</v>
          </cell>
          <cell r="N1123">
            <v>80</v>
          </cell>
          <cell r="O1123" t="e">
            <v>#N/A</v>
          </cell>
          <cell r="P1123" t="str">
            <v/>
          </cell>
          <cell r="Q1123" t="str">
            <v/>
          </cell>
          <cell r="R1123" t="e">
            <v>#N/A</v>
          </cell>
        </row>
        <row r="1124">
          <cell r="A1124" t="str">
            <v/>
          </cell>
          <cell r="B1124" t="str">
            <v/>
          </cell>
          <cell r="C1124" t="str">
            <v>Future</v>
          </cell>
          <cell r="D1124" t="e">
            <v>#N/A</v>
          </cell>
          <cell r="E1124">
            <v>-78.012283464566195</v>
          </cell>
          <cell r="F1124">
            <v>122.53889763779887</v>
          </cell>
          <cell r="G1124">
            <v>33.405039370078505</v>
          </cell>
          <cell r="H1124">
            <v>33.405039370078505</v>
          </cell>
          <cell r="I1124" t="e">
            <v>#N/A</v>
          </cell>
          <cell r="J1124" t="e">
            <v>#N/A</v>
          </cell>
          <cell r="K1124">
            <v>90</v>
          </cell>
          <cell r="L1124">
            <v>50</v>
          </cell>
          <cell r="M1124" t="e">
            <v>#N/A</v>
          </cell>
          <cell r="N1124">
            <v>80</v>
          </cell>
          <cell r="O1124" t="e">
            <v>#N/A</v>
          </cell>
          <cell r="P1124" t="str">
            <v/>
          </cell>
          <cell r="Q1124" t="str">
            <v/>
          </cell>
          <cell r="R1124" t="e">
            <v>#N/A</v>
          </cell>
        </row>
        <row r="1125">
          <cell r="A1125" t="str">
            <v/>
          </cell>
          <cell r="B1125" t="str">
            <v/>
          </cell>
          <cell r="C1125" t="str">
            <v>Future</v>
          </cell>
          <cell r="D1125" t="e">
            <v>#N/A</v>
          </cell>
          <cell r="E1125">
            <v>-78.262322834644934</v>
          </cell>
          <cell r="F1125">
            <v>122.64318897638155</v>
          </cell>
          <cell r="G1125">
            <v>33.351850393700552</v>
          </cell>
          <cell r="H1125">
            <v>33.351850393700552</v>
          </cell>
          <cell r="I1125" t="e">
            <v>#N/A</v>
          </cell>
          <cell r="J1125" t="e">
            <v>#N/A</v>
          </cell>
          <cell r="K1125">
            <v>90</v>
          </cell>
          <cell r="L1125">
            <v>50</v>
          </cell>
          <cell r="M1125" t="e">
            <v>#N/A</v>
          </cell>
          <cell r="N1125">
            <v>80</v>
          </cell>
          <cell r="O1125" t="e">
            <v>#N/A</v>
          </cell>
          <cell r="P1125" t="str">
            <v/>
          </cell>
          <cell r="Q1125" t="str">
            <v/>
          </cell>
          <cell r="R1125" t="e">
            <v>#N/A</v>
          </cell>
        </row>
        <row r="1126">
          <cell r="A1126" t="str">
            <v/>
          </cell>
          <cell r="B1126" t="str">
            <v/>
          </cell>
          <cell r="C1126" t="str">
            <v>Future</v>
          </cell>
          <cell r="D1126" t="e">
            <v>#N/A</v>
          </cell>
          <cell r="E1126">
            <v>-78.512362204723672</v>
          </cell>
          <cell r="F1126">
            <v>122.74748031496424</v>
          </cell>
          <cell r="G1126">
            <v>33.298661417322599</v>
          </cell>
          <cell r="H1126">
            <v>33.298661417322599</v>
          </cell>
          <cell r="I1126" t="e">
            <v>#N/A</v>
          </cell>
          <cell r="J1126" t="e">
            <v>#N/A</v>
          </cell>
          <cell r="K1126">
            <v>90</v>
          </cell>
          <cell r="L1126">
            <v>50</v>
          </cell>
          <cell r="M1126" t="e">
            <v>#N/A</v>
          </cell>
          <cell r="N1126">
            <v>80</v>
          </cell>
          <cell r="O1126" t="e">
            <v>#N/A</v>
          </cell>
          <cell r="P1126" t="str">
            <v/>
          </cell>
          <cell r="Q1126" t="str">
            <v/>
          </cell>
          <cell r="R1126" t="e">
            <v>#N/A</v>
          </cell>
        </row>
        <row r="1127">
          <cell r="A1127" t="str">
            <v/>
          </cell>
          <cell r="B1127" t="str">
            <v/>
          </cell>
          <cell r="C1127" t="str">
            <v>Future</v>
          </cell>
          <cell r="D1127" t="e">
            <v>#N/A</v>
          </cell>
          <cell r="E1127">
            <v>-78.762401574802411</v>
          </cell>
          <cell r="F1127">
            <v>122.85177165354692</v>
          </cell>
          <cell r="G1127">
            <v>33.245472440944646</v>
          </cell>
          <cell r="H1127">
            <v>33.245472440944646</v>
          </cell>
          <cell r="I1127" t="e">
            <v>#N/A</v>
          </cell>
          <cell r="J1127" t="e">
            <v>#N/A</v>
          </cell>
          <cell r="K1127">
            <v>90</v>
          </cell>
          <cell r="L1127">
            <v>50</v>
          </cell>
          <cell r="M1127" t="e">
            <v>#N/A</v>
          </cell>
          <cell r="N1127">
            <v>80</v>
          </cell>
          <cell r="O1127" t="e">
            <v>#N/A</v>
          </cell>
          <cell r="P1127" t="str">
            <v/>
          </cell>
          <cell r="Q1127" t="str">
            <v/>
          </cell>
          <cell r="R1127" t="e">
            <v>#N/A</v>
          </cell>
        </row>
        <row r="1128">
          <cell r="A1128" t="str">
            <v/>
          </cell>
          <cell r="B1128" t="str">
            <v/>
          </cell>
          <cell r="C1128" t="str">
            <v>Future</v>
          </cell>
          <cell r="D1128" t="e">
            <v>#N/A</v>
          </cell>
          <cell r="E1128">
            <v>-79.012440944881149</v>
          </cell>
          <cell r="F1128">
            <v>122.9560629921296</v>
          </cell>
          <cell r="G1128">
            <v>33.192283464566692</v>
          </cell>
          <cell r="H1128">
            <v>33.192283464566692</v>
          </cell>
          <cell r="I1128" t="e">
            <v>#N/A</v>
          </cell>
          <cell r="J1128" t="e">
            <v>#N/A</v>
          </cell>
          <cell r="K1128">
            <v>90</v>
          </cell>
          <cell r="L1128">
            <v>50</v>
          </cell>
          <cell r="M1128" t="e">
            <v>#N/A</v>
          </cell>
          <cell r="N1128">
            <v>80</v>
          </cell>
          <cell r="O1128" t="e">
            <v>#N/A</v>
          </cell>
          <cell r="P1128" t="str">
            <v/>
          </cell>
          <cell r="Q1128" t="str">
            <v/>
          </cell>
          <cell r="R1128" t="e">
            <v>#N/A</v>
          </cell>
        </row>
        <row r="1129">
          <cell r="A1129" t="str">
            <v/>
          </cell>
          <cell r="B1129" t="str">
            <v/>
          </cell>
          <cell r="C1129" t="str">
            <v>Future</v>
          </cell>
          <cell r="D1129" t="e">
            <v>#N/A</v>
          </cell>
          <cell r="E1129">
            <v>-79.262480314959888</v>
          </cell>
          <cell r="F1129">
            <v>123.06035433071229</v>
          </cell>
          <cell r="G1129">
            <v>33.139094488188739</v>
          </cell>
          <cell r="H1129">
            <v>33.139094488188739</v>
          </cell>
          <cell r="I1129" t="e">
            <v>#N/A</v>
          </cell>
          <cell r="J1129" t="e">
            <v>#N/A</v>
          </cell>
          <cell r="K1129">
            <v>90</v>
          </cell>
          <cell r="L1129">
            <v>50</v>
          </cell>
          <cell r="M1129" t="e">
            <v>#N/A</v>
          </cell>
          <cell r="N1129">
            <v>80</v>
          </cell>
          <cell r="O1129" t="e">
            <v>#N/A</v>
          </cell>
          <cell r="P1129" t="str">
            <v/>
          </cell>
          <cell r="Q1129" t="str">
            <v/>
          </cell>
          <cell r="R1129" t="e">
            <v>#N/A</v>
          </cell>
        </row>
        <row r="1130">
          <cell r="A1130" t="str">
            <v/>
          </cell>
          <cell r="B1130" t="str">
            <v/>
          </cell>
          <cell r="C1130" t="str">
            <v>Future</v>
          </cell>
          <cell r="D1130" t="e">
            <v>#N/A</v>
          </cell>
          <cell r="E1130">
            <v>-79.512519685038626</v>
          </cell>
          <cell r="F1130">
            <v>123.16464566929497</v>
          </cell>
          <cell r="G1130">
            <v>33.085905511810786</v>
          </cell>
          <cell r="H1130">
            <v>33.085905511810786</v>
          </cell>
          <cell r="I1130" t="e">
            <v>#N/A</v>
          </cell>
          <cell r="J1130" t="e">
            <v>#N/A</v>
          </cell>
          <cell r="K1130">
            <v>90</v>
          </cell>
          <cell r="L1130">
            <v>50</v>
          </cell>
          <cell r="M1130" t="e">
            <v>#N/A</v>
          </cell>
          <cell r="N1130">
            <v>80</v>
          </cell>
          <cell r="O1130" t="e">
            <v>#N/A</v>
          </cell>
          <cell r="P1130" t="str">
            <v/>
          </cell>
          <cell r="Q1130" t="str">
            <v/>
          </cell>
          <cell r="R1130" t="e">
            <v>#N/A</v>
          </cell>
        </row>
        <row r="1131">
          <cell r="A1131" t="str">
            <v/>
          </cell>
          <cell r="B1131" t="str">
            <v/>
          </cell>
          <cell r="C1131" t="str">
            <v>Future</v>
          </cell>
          <cell r="D1131" t="e">
            <v>#N/A</v>
          </cell>
          <cell r="E1131">
            <v>-79.762559055117364</v>
          </cell>
          <cell r="F1131">
            <v>123.26893700787765</v>
          </cell>
          <cell r="G1131">
            <v>33.032716535432833</v>
          </cell>
          <cell r="H1131">
            <v>33.032716535432833</v>
          </cell>
          <cell r="I1131" t="e">
            <v>#N/A</v>
          </cell>
          <cell r="J1131" t="e">
            <v>#N/A</v>
          </cell>
          <cell r="K1131">
            <v>90</v>
          </cell>
          <cell r="L1131">
            <v>50</v>
          </cell>
          <cell r="M1131" t="e">
            <v>#N/A</v>
          </cell>
          <cell r="N1131">
            <v>80</v>
          </cell>
          <cell r="O1131" t="e">
            <v>#N/A</v>
          </cell>
          <cell r="P1131" t="str">
            <v/>
          </cell>
          <cell r="Q1131" t="str">
            <v/>
          </cell>
          <cell r="R1131" t="e">
            <v>#N/A</v>
          </cell>
        </row>
        <row r="1132">
          <cell r="A1132" t="str">
            <v/>
          </cell>
          <cell r="B1132" t="str">
            <v/>
          </cell>
          <cell r="C1132" t="str">
            <v>Future</v>
          </cell>
          <cell r="D1132" t="e">
            <v>#N/A</v>
          </cell>
          <cell r="E1132">
            <v>-80.012598425196103</v>
          </cell>
          <cell r="F1132">
            <v>123.37322834646034</v>
          </cell>
          <cell r="G1132">
            <v>32.97952755905488</v>
          </cell>
          <cell r="H1132">
            <v>32.97952755905488</v>
          </cell>
          <cell r="I1132" t="e">
            <v>#N/A</v>
          </cell>
          <cell r="J1132" t="e">
            <v>#N/A</v>
          </cell>
          <cell r="K1132">
            <v>90</v>
          </cell>
          <cell r="L1132">
            <v>50</v>
          </cell>
          <cell r="M1132" t="e">
            <v>#N/A</v>
          </cell>
          <cell r="N1132">
            <v>80</v>
          </cell>
          <cell r="O1132" t="e">
            <v>#N/A</v>
          </cell>
          <cell r="P1132" t="str">
            <v/>
          </cell>
          <cell r="Q1132" t="str">
            <v/>
          </cell>
          <cell r="R1132" t="e">
            <v>#N/A</v>
          </cell>
        </row>
        <row r="1133">
          <cell r="A1133" t="str">
            <v/>
          </cell>
          <cell r="B1133" t="str">
            <v/>
          </cell>
          <cell r="C1133" t="str">
            <v>Future</v>
          </cell>
          <cell r="D1133" t="e">
            <v>#N/A</v>
          </cell>
          <cell r="E1133">
            <v>-80.262637795274841</v>
          </cell>
          <cell r="F1133">
            <v>123.47751968504302</v>
          </cell>
          <cell r="G1133">
            <v>32.926338582676927</v>
          </cell>
          <cell r="H1133">
            <v>32.926338582676927</v>
          </cell>
          <cell r="I1133" t="e">
            <v>#N/A</v>
          </cell>
          <cell r="J1133" t="e">
            <v>#N/A</v>
          </cell>
          <cell r="K1133">
            <v>90</v>
          </cell>
          <cell r="L1133">
            <v>50</v>
          </cell>
          <cell r="M1133" t="e">
            <v>#N/A</v>
          </cell>
          <cell r="N1133">
            <v>80</v>
          </cell>
          <cell r="O1133" t="e">
            <v>#N/A</v>
          </cell>
          <cell r="P1133" t="str">
            <v/>
          </cell>
          <cell r="Q1133" t="str">
            <v/>
          </cell>
          <cell r="R1133" t="e">
            <v>#N/A</v>
          </cell>
        </row>
        <row r="1134">
          <cell r="A1134" t="str">
            <v/>
          </cell>
          <cell r="B1134" t="str">
            <v/>
          </cell>
          <cell r="C1134" t="str">
            <v>Future</v>
          </cell>
          <cell r="D1134" t="e">
            <v>#N/A</v>
          </cell>
          <cell r="E1134">
            <v>-80.51267716535358</v>
          </cell>
          <cell r="F1134">
            <v>123.5818110236257</v>
          </cell>
          <cell r="G1134">
            <v>32.873149606298973</v>
          </cell>
          <cell r="H1134">
            <v>32.873149606298973</v>
          </cell>
          <cell r="I1134" t="e">
            <v>#N/A</v>
          </cell>
          <cell r="J1134" t="e">
            <v>#N/A</v>
          </cell>
          <cell r="K1134">
            <v>90</v>
          </cell>
          <cell r="L1134">
            <v>50</v>
          </cell>
          <cell r="M1134" t="e">
            <v>#N/A</v>
          </cell>
          <cell r="N1134">
            <v>80</v>
          </cell>
          <cell r="O1134" t="e">
            <v>#N/A</v>
          </cell>
          <cell r="P1134" t="str">
            <v/>
          </cell>
          <cell r="Q1134" t="str">
            <v/>
          </cell>
          <cell r="R1134" t="e">
            <v>#N/A</v>
          </cell>
        </row>
        <row r="1135">
          <cell r="A1135" t="str">
            <v/>
          </cell>
          <cell r="B1135" t="str">
            <v/>
          </cell>
          <cell r="C1135" t="str">
            <v>Future</v>
          </cell>
          <cell r="D1135" t="e">
            <v>#N/A</v>
          </cell>
          <cell r="E1135">
            <v>-80.762716535432318</v>
          </cell>
          <cell r="F1135">
            <v>123.68610236220839</v>
          </cell>
          <cell r="G1135">
            <v>32.81996062992102</v>
          </cell>
          <cell r="H1135">
            <v>32.81996062992102</v>
          </cell>
          <cell r="I1135" t="e">
            <v>#N/A</v>
          </cell>
          <cell r="J1135" t="e">
            <v>#N/A</v>
          </cell>
          <cell r="K1135">
            <v>90</v>
          </cell>
          <cell r="L1135">
            <v>50</v>
          </cell>
          <cell r="M1135" t="e">
            <v>#N/A</v>
          </cell>
          <cell r="N1135">
            <v>80</v>
          </cell>
          <cell r="O1135" t="e">
            <v>#N/A</v>
          </cell>
          <cell r="P1135" t="str">
            <v/>
          </cell>
          <cell r="Q1135" t="str">
            <v/>
          </cell>
          <cell r="R1135" t="e">
            <v>#N/A</v>
          </cell>
        </row>
        <row r="1136">
          <cell r="A1136" t="str">
            <v/>
          </cell>
          <cell r="B1136" t="str">
            <v/>
          </cell>
          <cell r="C1136" t="str">
            <v>Future</v>
          </cell>
          <cell r="D1136" t="e">
            <v>#N/A</v>
          </cell>
          <cell r="E1136">
            <v>-81.012755905511057</v>
          </cell>
          <cell r="F1136">
            <v>123.79039370079107</v>
          </cell>
          <cell r="G1136">
            <v>32.766771653543067</v>
          </cell>
          <cell r="H1136">
            <v>32.766771653543067</v>
          </cell>
          <cell r="I1136" t="e">
            <v>#N/A</v>
          </cell>
          <cell r="J1136" t="e">
            <v>#N/A</v>
          </cell>
          <cell r="K1136">
            <v>90</v>
          </cell>
          <cell r="L1136">
            <v>50</v>
          </cell>
          <cell r="M1136" t="e">
            <v>#N/A</v>
          </cell>
          <cell r="N1136">
            <v>80</v>
          </cell>
          <cell r="O1136" t="e">
            <v>#N/A</v>
          </cell>
          <cell r="P1136" t="str">
            <v/>
          </cell>
          <cell r="Q1136" t="str">
            <v/>
          </cell>
          <cell r="R1136" t="e">
            <v>#N/A</v>
          </cell>
        </row>
        <row r="1137">
          <cell r="A1137" t="str">
            <v/>
          </cell>
          <cell r="B1137" t="str">
            <v/>
          </cell>
          <cell r="C1137" t="str">
            <v>Future</v>
          </cell>
          <cell r="D1137" t="e">
            <v>#N/A</v>
          </cell>
          <cell r="E1137">
            <v>-81.262795275589795</v>
          </cell>
          <cell r="F1137">
            <v>123.89468503937375</v>
          </cell>
          <cell r="G1137">
            <v>32.713582677165114</v>
          </cell>
          <cell r="H1137">
            <v>32.713582677165114</v>
          </cell>
          <cell r="I1137" t="e">
            <v>#N/A</v>
          </cell>
          <cell r="J1137" t="e">
            <v>#N/A</v>
          </cell>
          <cell r="K1137">
            <v>90</v>
          </cell>
          <cell r="L1137">
            <v>50</v>
          </cell>
          <cell r="M1137" t="e">
            <v>#N/A</v>
          </cell>
          <cell r="N1137">
            <v>80</v>
          </cell>
          <cell r="O1137" t="e">
            <v>#N/A</v>
          </cell>
          <cell r="P1137" t="str">
            <v/>
          </cell>
          <cell r="Q1137" t="str">
            <v/>
          </cell>
          <cell r="R1137" t="e">
            <v>#N/A</v>
          </cell>
        </row>
        <row r="1138">
          <cell r="A1138" t="str">
            <v/>
          </cell>
          <cell r="B1138" t="str">
            <v/>
          </cell>
          <cell r="C1138" t="str">
            <v>Future</v>
          </cell>
          <cell r="D1138" t="e">
            <v>#N/A</v>
          </cell>
          <cell r="E1138">
            <v>-81.512834645668534</v>
          </cell>
          <cell r="F1138">
            <v>123.99897637795644</v>
          </cell>
          <cell r="G1138">
            <v>32.660393700787161</v>
          </cell>
          <cell r="H1138">
            <v>32.660393700787161</v>
          </cell>
          <cell r="I1138" t="e">
            <v>#N/A</v>
          </cell>
          <cell r="J1138" t="e">
            <v>#N/A</v>
          </cell>
          <cell r="K1138">
            <v>90</v>
          </cell>
          <cell r="L1138">
            <v>50</v>
          </cell>
          <cell r="M1138" t="e">
            <v>#N/A</v>
          </cell>
          <cell r="N1138">
            <v>80</v>
          </cell>
          <cell r="O1138" t="e">
            <v>#N/A</v>
          </cell>
          <cell r="P1138" t="str">
            <v/>
          </cell>
          <cell r="Q1138" t="str">
            <v/>
          </cell>
          <cell r="R1138" t="e">
            <v>#N/A</v>
          </cell>
        </row>
        <row r="1139">
          <cell r="A1139" t="str">
            <v/>
          </cell>
          <cell r="B1139" t="str">
            <v/>
          </cell>
          <cell r="C1139" t="str">
            <v>Future</v>
          </cell>
          <cell r="D1139" t="e">
            <v>#N/A</v>
          </cell>
          <cell r="E1139">
            <v>-81.762874015747272</v>
          </cell>
          <cell r="F1139">
            <v>124.10326771653912</v>
          </cell>
          <cell r="G1139">
            <v>32.607204724409208</v>
          </cell>
          <cell r="H1139">
            <v>32.607204724409208</v>
          </cell>
          <cell r="I1139" t="e">
            <v>#N/A</v>
          </cell>
          <cell r="J1139" t="e">
            <v>#N/A</v>
          </cell>
          <cell r="K1139">
            <v>90</v>
          </cell>
          <cell r="L1139">
            <v>50</v>
          </cell>
          <cell r="M1139" t="e">
            <v>#N/A</v>
          </cell>
          <cell r="N1139">
            <v>80</v>
          </cell>
          <cell r="O1139" t="e">
            <v>#N/A</v>
          </cell>
          <cell r="P1139" t="str">
            <v/>
          </cell>
          <cell r="Q1139" t="str">
            <v/>
          </cell>
          <cell r="R1139" t="e">
            <v>#N/A</v>
          </cell>
        </row>
        <row r="1140">
          <cell r="A1140" t="str">
            <v/>
          </cell>
          <cell r="B1140" t="str">
            <v/>
          </cell>
          <cell r="C1140" t="str">
            <v>Future</v>
          </cell>
          <cell r="D1140" t="e">
            <v>#N/A</v>
          </cell>
          <cell r="E1140">
            <v>-82.01291338582601</v>
          </cell>
          <cell r="F1140">
            <v>124.20755905512181</v>
          </cell>
          <cell r="G1140">
            <v>32.554015748031254</v>
          </cell>
          <cell r="H1140">
            <v>32.554015748031254</v>
          </cell>
          <cell r="I1140" t="e">
            <v>#N/A</v>
          </cell>
          <cell r="J1140" t="e">
            <v>#N/A</v>
          </cell>
          <cell r="K1140">
            <v>90</v>
          </cell>
          <cell r="L1140">
            <v>50</v>
          </cell>
          <cell r="M1140" t="e">
            <v>#N/A</v>
          </cell>
          <cell r="N1140">
            <v>80</v>
          </cell>
          <cell r="O1140" t="e">
            <v>#N/A</v>
          </cell>
          <cell r="P1140" t="str">
            <v/>
          </cell>
          <cell r="Q1140" t="str">
            <v/>
          </cell>
          <cell r="R1140" t="e">
            <v>#N/A</v>
          </cell>
        </row>
        <row r="1141">
          <cell r="A1141" t="str">
            <v/>
          </cell>
          <cell r="B1141" t="str">
            <v/>
          </cell>
          <cell r="C1141" t="str">
            <v>Future</v>
          </cell>
          <cell r="D1141" t="e">
            <v>#N/A</v>
          </cell>
          <cell r="E1141">
            <v>-82.262952755904749</v>
          </cell>
          <cell r="F1141">
            <v>124.31185039370449</v>
          </cell>
          <cell r="G1141">
            <v>32.500826771653301</v>
          </cell>
          <cell r="H1141">
            <v>32.500826771653301</v>
          </cell>
          <cell r="I1141" t="e">
            <v>#N/A</v>
          </cell>
          <cell r="J1141" t="e">
            <v>#N/A</v>
          </cell>
          <cell r="K1141">
            <v>90</v>
          </cell>
          <cell r="L1141">
            <v>50</v>
          </cell>
          <cell r="M1141" t="e">
            <v>#N/A</v>
          </cell>
          <cell r="N1141">
            <v>80</v>
          </cell>
          <cell r="O1141" t="e">
            <v>#N/A</v>
          </cell>
          <cell r="P1141" t="str">
            <v/>
          </cell>
          <cell r="Q1141" t="str">
            <v/>
          </cell>
          <cell r="R1141" t="e">
            <v>#N/A</v>
          </cell>
        </row>
        <row r="1142">
          <cell r="A1142" t="str">
            <v/>
          </cell>
          <cell r="B1142" t="str">
            <v/>
          </cell>
          <cell r="C1142" t="str">
            <v>Future</v>
          </cell>
          <cell r="D1142" t="e">
            <v>#N/A</v>
          </cell>
          <cell r="E1142">
            <v>-82.512992125983487</v>
          </cell>
          <cell r="F1142">
            <v>124.41614173228717</v>
          </cell>
          <cell r="G1142">
            <v>32.447637795275348</v>
          </cell>
          <cell r="H1142">
            <v>32.447637795275348</v>
          </cell>
          <cell r="I1142" t="e">
            <v>#N/A</v>
          </cell>
          <cell r="J1142" t="e">
            <v>#N/A</v>
          </cell>
          <cell r="K1142">
            <v>90</v>
          </cell>
          <cell r="L1142">
            <v>50</v>
          </cell>
          <cell r="M1142" t="e">
            <v>#N/A</v>
          </cell>
          <cell r="N1142">
            <v>80</v>
          </cell>
          <cell r="O1142" t="e">
            <v>#N/A</v>
          </cell>
          <cell r="P1142" t="str">
            <v/>
          </cell>
          <cell r="Q1142" t="str">
            <v/>
          </cell>
          <cell r="R1142" t="e">
            <v>#N/A</v>
          </cell>
        </row>
        <row r="1143">
          <cell r="A1143" t="str">
            <v/>
          </cell>
          <cell r="B1143" t="str">
            <v/>
          </cell>
          <cell r="C1143" t="str">
            <v>Future</v>
          </cell>
          <cell r="D1143" t="e">
            <v>#N/A</v>
          </cell>
          <cell r="E1143">
            <v>-82.763031496062226</v>
          </cell>
          <cell r="F1143">
            <v>124.52043307086986</v>
          </cell>
          <cell r="G1143">
            <v>32.394448818897395</v>
          </cell>
          <cell r="H1143">
            <v>32.394448818897395</v>
          </cell>
          <cell r="I1143" t="e">
            <v>#N/A</v>
          </cell>
          <cell r="J1143" t="e">
            <v>#N/A</v>
          </cell>
          <cell r="K1143">
            <v>90</v>
          </cell>
          <cell r="L1143">
            <v>50</v>
          </cell>
          <cell r="M1143" t="e">
            <v>#N/A</v>
          </cell>
          <cell r="N1143">
            <v>80</v>
          </cell>
          <cell r="O1143" t="e">
            <v>#N/A</v>
          </cell>
          <cell r="P1143" t="str">
            <v/>
          </cell>
          <cell r="Q1143" t="str">
            <v/>
          </cell>
          <cell r="R1143" t="e">
            <v>#N/A</v>
          </cell>
        </row>
        <row r="1144">
          <cell r="A1144" t="str">
            <v/>
          </cell>
          <cell r="B1144" t="str">
            <v/>
          </cell>
          <cell r="C1144" t="str">
            <v>Future</v>
          </cell>
          <cell r="D1144" t="e">
            <v>#N/A</v>
          </cell>
          <cell r="E1144">
            <v>-83.013070866140964</v>
          </cell>
          <cell r="F1144">
            <v>124.62472440945254</v>
          </cell>
          <cell r="G1144">
            <v>32.341259842519442</v>
          </cell>
          <cell r="H1144">
            <v>32.341259842519442</v>
          </cell>
          <cell r="I1144" t="e">
            <v>#N/A</v>
          </cell>
          <cell r="J1144" t="e">
            <v>#N/A</v>
          </cell>
          <cell r="K1144">
            <v>90</v>
          </cell>
          <cell r="L1144">
            <v>50</v>
          </cell>
          <cell r="M1144" t="e">
            <v>#N/A</v>
          </cell>
          <cell r="N1144">
            <v>80</v>
          </cell>
          <cell r="O1144" t="e">
            <v>#N/A</v>
          </cell>
          <cell r="P1144" t="str">
            <v/>
          </cell>
          <cell r="Q1144" t="str">
            <v/>
          </cell>
          <cell r="R1144" t="e">
            <v>#N/A</v>
          </cell>
        </row>
        <row r="1145">
          <cell r="A1145" t="str">
            <v/>
          </cell>
          <cell r="B1145" t="str">
            <v/>
          </cell>
          <cell r="C1145" t="str">
            <v>Future</v>
          </cell>
          <cell r="D1145" t="e">
            <v>#N/A</v>
          </cell>
          <cell r="E1145">
            <v>-83.263110236219703</v>
          </cell>
          <cell r="F1145">
            <v>124.72901574803522</v>
          </cell>
          <cell r="G1145">
            <v>32.288070866141489</v>
          </cell>
          <cell r="H1145">
            <v>32.288070866141489</v>
          </cell>
          <cell r="I1145" t="e">
            <v>#N/A</v>
          </cell>
          <cell r="J1145" t="e">
            <v>#N/A</v>
          </cell>
          <cell r="K1145">
            <v>90</v>
          </cell>
          <cell r="L1145">
            <v>50</v>
          </cell>
          <cell r="M1145" t="e">
            <v>#N/A</v>
          </cell>
          <cell r="N1145">
            <v>80</v>
          </cell>
          <cell r="O1145" t="e">
            <v>#N/A</v>
          </cell>
          <cell r="P1145" t="str">
            <v/>
          </cell>
          <cell r="Q1145" t="str">
            <v/>
          </cell>
          <cell r="R1145" t="e">
            <v>#N/A</v>
          </cell>
        </row>
        <row r="1146">
          <cell r="A1146" t="str">
            <v/>
          </cell>
          <cell r="B1146" t="str">
            <v/>
          </cell>
          <cell r="C1146" t="str">
            <v>Future</v>
          </cell>
          <cell r="D1146" t="e">
            <v>#N/A</v>
          </cell>
          <cell r="E1146">
            <v>-83.513149606298441</v>
          </cell>
          <cell r="F1146">
            <v>124.83330708661791</v>
          </cell>
          <cell r="G1146">
            <v>32.234881889763535</v>
          </cell>
          <cell r="H1146">
            <v>32.234881889763535</v>
          </cell>
          <cell r="I1146" t="e">
            <v>#N/A</v>
          </cell>
          <cell r="J1146" t="e">
            <v>#N/A</v>
          </cell>
          <cell r="K1146">
            <v>90</v>
          </cell>
          <cell r="L1146">
            <v>50</v>
          </cell>
          <cell r="M1146" t="e">
            <v>#N/A</v>
          </cell>
          <cell r="N1146">
            <v>80</v>
          </cell>
          <cell r="O1146" t="e">
            <v>#N/A</v>
          </cell>
          <cell r="P1146" t="str">
            <v/>
          </cell>
          <cell r="Q1146" t="str">
            <v/>
          </cell>
          <cell r="R1146" t="e">
            <v>#N/A</v>
          </cell>
        </row>
        <row r="1147">
          <cell r="A1147" t="str">
            <v/>
          </cell>
          <cell r="B1147" t="str">
            <v/>
          </cell>
          <cell r="C1147" t="str">
            <v>Future</v>
          </cell>
          <cell r="D1147" t="e">
            <v>#N/A</v>
          </cell>
          <cell r="E1147">
            <v>-83.76318897637718</v>
          </cell>
          <cell r="F1147">
            <v>124.93759842520059</v>
          </cell>
          <cell r="G1147">
            <v>32.181692913385582</v>
          </cell>
          <cell r="H1147">
            <v>32.181692913385582</v>
          </cell>
          <cell r="I1147" t="e">
            <v>#N/A</v>
          </cell>
          <cell r="J1147" t="e">
            <v>#N/A</v>
          </cell>
          <cell r="K1147">
            <v>90</v>
          </cell>
          <cell r="L1147">
            <v>50</v>
          </cell>
          <cell r="M1147" t="e">
            <v>#N/A</v>
          </cell>
          <cell r="N1147">
            <v>80</v>
          </cell>
          <cell r="O1147" t="e">
            <v>#N/A</v>
          </cell>
          <cell r="P1147" t="str">
            <v/>
          </cell>
          <cell r="Q1147" t="str">
            <v/>
          </cell>
          <cell r="R1147" t="e">
            <v>#N/A</v>
          </cell>
        </row>
        <row r="1148">
          <cell r="A1148" t="str">
            <v/>
          </cell>
          <cell r="B1148" t="str">
            <v/>
          </cell>
          <cell r="C1148" t="str">
            <v>Future</v>
          </cell>
          <cell r="D1148" t="e">
            <v>#N/A</v>
          </cell>
          <cell r="E1148">
            <v>-84.013228346455918</v>
          </cell>
          <cell r="F1148">
            <v>125.04188976378327</v>
          </cell>
          <cell r="G1148">
            <v>32.128503937007629</v>
          </cell>
          <cell r="H1148">
            <v>32.128503937007629</v>
          </cell>
          <cell r="I1148" t="e">
            <v>#N/A</v>
          </cell>
          <cell r="J1148" t="e">
            <v>#N/A</v>
          </cell>
          <cell r="K1148">
            <v>90</v>
          </cell>
          <cell r="L1148">
            <v>50</v>
          </cell>
          <cell r="M1148" t="e">
            <v>#N/A</v>
          </cell>
          <cell r="N1148">
            <v>80</v>
          </cell>
          <cell r="O1148" t="e">
            <v>#N/A</v>
          </cell>
          <cell r="P1148" t="str">
            <v/>
          </cell>
          <cell r="Q1148" t="str">
            <v/>
          </cell>
          <cell r="R1148" t="e">
            <v>#N/A</v>
          </cell>
        </row>
        <row r="1149">
          <cell r="A1149" t="str">
            <v/>
          </cell>
          <cell r="B1149" t="str">
            <v/>
          </cell>
          <cell r="C1149" t="str">
            <v>Future</v>
          </cell>
          <cell r="D1149" t="e">
            <v>#N/A</v>
          </cell>
          <cell r="E1149">
            <v>-84.263267716534656</v>
          </cell>
          <cell r="F1149">
            <v>125.14618110236596</v>
          </cell>
          <cell r="G1149">
            <v>32.075314960629676</v>
          </cell>
          <cell r="H1149">
            <v>32.075314960629676</v>
          </cell>
          <cell r="I1149" t="e">
            <v>#N/A</v>
          </cell>
          <cell r="J1149" t="e">
            <v>#N/A</v>
          </cell>
          <cell r="K1149">
            <v>90</v>
          </cell>
          <cell r="L1149">
            <v>50</v>
          </cell>
          <cell r="M1149" t="e">
            <v>#N/A</v>
          </cell>
          <cell r="N1149">
            <v>80</v>
          </cell>
          <cell r="O1149" t="e">
            <v>#N/A</v>
          </cell>
          <cell r="P1149" t="str">
            <v/>
          </cell>
          <cell r="Q1149" t="str">
            <v/>
          </cell>
          <cell r="R1149" t="e">
            <v>#N/A</v>
          </cell>
        </row>
        <row r="1150">
          <cell r="A1150" t="str">
            <v/>
          </cell>
          <cell r="B1150" t="str">
            <v/>
          </cell>
          <cell r="C1150" t="str">
            <v>Future</v>
          </cell>
          <cell r="D1150" t="e">
            <v>#N/A</v>
          </cell>
          <cell r="E1150">
            <v>-84.513307086613395</v>
          </cell>
          <cell r="F1150">
            <v>125.25047244094864</v>
          </cell>
          <cell r="G1150">
            <v>32.022125984251723</v>
          </cell>
          <cell r="H1150">
            <v>32.022125984251723</v>
          </cell>
          <cell r="I1150" t="e">
            <v>#N/A</v>
          </cell>
          <cell r="J1150" t="e">
            <v>#N/A</v>
          </cell>
          <cell r="K1150">
            <v>90</v>
          </cell>
          <cell r="L1150">
            <v>50</v>
          </cell>
          <cell r="M1150" t="e">
            <v>#N/A</v>
          </cell>
          <cell r="N1150">
            <v>80</v>
          </cell>
          <cell r="O1150" t="e">
            <v>#N/A</v>
          </cell>
          <cell r="P1150" t="str">
            <v/>
          </cell>
          <cell r="Q1150" t="str">
            <v/>
          </cell>
          <cell r="R1150" t="e">
            <v>#N/A</v>
          </cell>
        </row>
        <row r="1151">
          <cell r="A1151" t="str">
            <v/>
          </cell>
          <cell r="B1151" t="str">
            <v/>
          </cell>
          <cell r="C1151" t="str">
            <v>Future</v>
          </cell>
          <cell r="D1151" t="e">
            <v>#N/A</v>
          </cell>
          <cell r="E1151">
            <v>-84.763346456692133</v>
          </cell>
          <cell r="F1151">
            <v>125.35476377953132</v>
          </cell>
          <cell r="G1151">
            <v>31.96893700787377</v>
          </cell>
          <cell r="H1151">
            <v>31.96893700787377</v>
          </cell>
          <cell r="I1151" t="e">
            <v>#N/A</v>
          </cell>
          <cell r="J1151" t="e">
            <v>#N/A</v>
          </cell>
          <cell r="K1151">
            <v>90</v>
          </cell>
          <cell r="L1151">
            <v>50</v>
          </cell>
          <cell r="M1151" t="e">
            <v>#N/A</v>
          </cell>
          <cell r="N1151">
            <v>80</v>
          </cell>
          <cell r="O1151" t="e">
            <v>#N/A</v>
          </cell>
          <cell r="P1151" t="str">
            <v/>
          </cell>
          <cell r="Q1151" t="str">
            <v/>
          </cell>
          <cell r="R1151" t="e">
            <v>#N/A</v>
          </cell>
        </row>
        <row r="1152">
          <cell r="A1152" t="str">
            <v/>
          </cell>
          <cell r="B1152" t="str">
            <v/>
          </cell>
          <cell r="C1152" t="str">
            <v>Future</v>
          </cell>
          <cell r="D1152" t="e">
            <v>#N/A</v>
          </cell>
          <cell r="E1152">
            <v>-85.013385826770872</v>
          </cell>
          <cell r="F1152">
            <v>125.45905511811401</v>
          </cell>
          <cell r="G1152">
            <v>31.915748031495816</v>
          </cell>
          <cell r="H1152">
            <v>31.915748031495816</v>
          </cell>
          <cell r="I1152" t="e">
            <v>#N/A</v>
          </cell>
          <cell r="J1152" t="e">
            <v>#N/A</v>
          </cell>
          <cell r="K1152">
            <v>90</v>
          </cell>
          <cell r="L1152">
            <v>50</v>
          </cell>
          <cell r="M1152" t="e">
            <v>#N/A</v>
          </cell>
          <cell r="N1152">
            <v>80</v>
          </cell>
          <cell r="O1152" t="e">
            <v>#N/A</v>
          </cell>
          <cell r="P1152" t="str">
            <v/>
          </cell>
          <cell r="Q1152" t="str">
            <v/>
          </cell>
          <cell r="R1152" t="e">
            <v>#N/A</v>
          </cell>
        </row>
        <row r="1153">
          <cell r="A1153" t="str">
            <v/>
          </cell>
          <cell r="B1153" t="str">
            <v/>
          </cell>
          <cell r="C1153" t="str">
            <v>Future</v>
          </cell>
          <cell r="D1153" t="e">
            <v>#N/A</v>
          </cell>
          <cell r="E1153">
            <v>-85.26342519684961</v>
          </cell>
          <cell r="F1153">
            <v>125.56334645669669</v>
          </cell>
          <cell r="G1153">
            <v>31.862559055117863</v>
          </cell>
          <cell r="H1153">
            <v>31.862559055117863</v>
          </cell>
          <cell r="I1153" t="e">
            <v>#N/A</v>
          </cell>
          <cell r="J1153" t="e">
            <v>#N/A</v>
          </cell>
          <cell r="K1153">
            <v>90</v>
          </cell>
          <cell r="L1153">
            <v>50</v>
          </cell>
          <cell r="M1153" t="e">
            <v>#N/A</v>
          </cell>
          <cell r="N1153">
            <v>80</v>
          </cell>
          <cell r="O1153" t="e">
            <v>#N/A</v>
          </cell>
          <cell r="P1153" t="str">
            <v/>
          </cell>
          <cell r="Q1153" t="str">
            <v/>
          </cell>
          <cell r="R1153" t="e">
            <v>#N/A</v>
          </cell>
        </row>
        <row r="1154">
          <cell r="A1154" t="str">
            <v/>
          </cell>
          <cell r="B1154" t="str">
            <v/>
          </cell>
          <cell r="C1154" t="str">
            <v>Future</v>
          </cell>
          <cell r="D1154" t="e">
            <v>#N/A</v>
          </cell>
          <cell r="E1154">
            <v>-85.513464566928349</v>
          </cell>
          <cell r="F1154">
            <v>125.66763779527938</v>
          </cell>
          <cell r="G1154">
            <v>31.80937007873991</v>
          </cell>
          <cell r="H1154">
            <v>31.80937007873991</v>
          </cell>
          <cell r="I1154" t="e">
            <v>#N/A</v>
          </cell>
          <cell r="J1154" t="e">
            <v>#N/A</v>
          </cell>
          <cell r="K1154">
            <v>90</v>
          </cell>
          <cell r="L1154">
            <v>50</v>
          </cell>
          <cell r="M1154" t="e">
            <v>#N/A</v>
          </cell>
          <cell r="N1154">
            <v>80</v>
          </cell>
          <cell r="O1154" t="e">
            <v>#N/A</v>
          </cell>
          <cell r="P1154" t="str">
            <v/>
          </cell>
          <cell r="Q1154" t="str">
            <v/>
          </cell>
          <cell r="R1154" t="e">
            <v>#N/A</v>
          </cell>
        </row>
        <row r="1155">
          <cell r="A1155" t="str">
            <v/>
          </cell>
          <cell r="B1155" t="str">
            <v/>
          </cell>
          <cell r="C1155" t="str">
            <v>Future</v>
          </cell>
          <cell r="D1155" t="e">
            <v>#N/A</v>
          </cell>
          <cell r="E1155">
            <v>-85.763503937007087</v>
          </cell>
          <cell r="F1155">
            <v>125.77192913386206</v>
          </cell>
          <cell r="G1155">
            <v>31.756181102361957</v>
          </cell>
          <cell r="H1155">
            <v>31.756181102361957</v>
          </cell>
          <cell r="I1155" t="e">
            <v>#N/A</v>
          </cell>
          <cell r="J1155" t="e">
            <v>#N/A</v>
          </cell>
          <cell r="K1155">
            <v>90</v>
          </cell>
          <cell r="L1155">
            <v>50</v>
          </cell>
          <cell r="M1155" t="e">
            <v>#N/A</v>
          </cell>
          <cell r="N1155">
            <v>80</v>
          </cell>
          <cell r="O1155" t="e">
            <v>#N/A</v>
          </cell>
          <cell r="P1155" t="str">
            <v/>
          </cell>
          <cell r="Q1155" t="str">
            <v/>
          </cell>
          <cell r="R1155" t="e">
            <v>#N/A</v>
          </cell>
        </row>
        <row r="1156">
          <cell r="A1156" t="str">
            <v/>
          </cell>
          <cell r="B1156" t="str">
            <v/>
          </cell>
          <cell r="C1156" t="str">
            <v>Future</v>
          </cell>
          <cell r="D1156" t="e">
            <v>#N/A</v>
          </cell>
          <cell r="E1156">
            <v>-86.013543307085826</v>
          </cell>
          <cell r="F1156">
            <v>125.87622047244474</v>
          </cell>
          <cell r="G1156">
            <v>31.702992125984004</v>
          </cell>
          <cell r="H1156">
            <v>31.702992125984004</v>
          </cell>
          <cell r="I1156" t="e">
            <v>#N/A</v>
          </cell>
          <cell r="J1156" t="e">
            <v>#N/A</v>
          </cell>
          <cell r="K1156">
            <v>90</v>
          </cell>
          <cell r="L1156">
            <v>50</v>
          </cell>
          <cell r="M1156" t="e">
            <v>#N/A</v>
          </cell>
          <cell r="N1156">
            <v>80</v>
          </cell>
          <cell r="O1156" t="e">
            <v>#N/A</v>
          </cell>
          <cell r="P1156" t="str">
            <v/>
          </cell>
          <cell r="Q1156" t="str">
            <v/>
          </cell>
          <cell r="R1156" t="e">
            <v>#N/A</v>
          </cell>
        </row>
        <row r="1157">
          <cell r="A1157" t="str">
            <v/>
          </cell>
          <cell r="B1157" t="str">
            <v/>
          </cell>
          <cell r="C1157" t="str">
            <v>Future</v>
          </cell>
          <cell r="D1157" t="e">
            <v>#N/A</v>
          </cell>
          <cell r="E1157">
            <v>-86.263582677164564</v>
          </cell>
          <cell r="F1157">
            <v>125.98051181102743</v>
          </cell>
          <cell r="G1157">
            <v>31.649803149606051</v>
          </cell>
          <cell r="H1157">
            <v>31.649803149606051</v>
          </cell>
          <cell r="I1157" t="e">
            <v>#N/A</v>
          </cell>
          <cell r="J1157" t="e">
            <v>#N/A</v>
          </cell>
          <cell r="K1157">
            <v>90</v>
          </cell>
          <cell r="L1157">
            <v>50</v>
          </cell>
          <cell r="M1157" t="e">
            <v>#N/A</v>
          </cell>
          <cell r="N1157">
            <v>80</v>
          </cell>
          <cell r="O1157" t="e">
            <v>#N/A</v>
          </cell>
          <cell r="P1157" t="str">
            <v/>
          </cell>
          <cell r="Q1157" t="str">
            <v/>
          </cell>
          <cell r="R1157" t="e">
            <v>#N/A</v>
          </cell>
        </row>
        <row r="1158">
          <cell r="A1158" t="str">
            <v/>
          </cell>
          <cell r="B1158" t="str">
            <v/>
          </cell>
          <cell r="C1158" t="str">
            <v>Future</v>
          </cell>
          <cell r="D1158" t="e">
            <v>#N/A</v>
          </cell>
          <cell r="E1158">
            <v>-86.513622047243302</v>
          </cell>
          <cell r="F1158">
            <v>126.08480314961011</v>
          </cell>
          <cell r="G1158">
            <v>31.596614173228097</v>
          </cell>
          <cell r="H1158">
            <v>31.596614173228097</v>
          </cell>
          <cell r="I1158" t="e">
            <v>#N/A</v>
          </cell>
          <cell r="J1158" t="e">
            <v>#N/A</v>
          </cell>
          <cell r="K1158">
            <v>90</v>
          </cell>
          <cell r="L1158">
            <v>50</v>
          </cell>
          <cell r="M1158" t="e">
            <v>#N/A</v>
          </cell>
          <cell r="N1158">
            <v>80</v>
          </cell>
          <cell r="O1158" t="e">
            <v>#N/A</v>
          </cell>
          <cell r="P1158" t="str">
            <v/>
          </cell>
          <cell r="Q1158" t="str">
            <v/>
          </cell>
          <cell r="R1158" t="e">
            <v>#N/A</v>
          </cell>
        </row>
        <row r="1159">
          <cell r="A1159" t="str">
            <v/>
          </cell>
          <cell r="B1159" t="str">
            <v/>
          </cell>
          <cell r="C1159" t="str">
            <v>Future</v>
          </cell>
          <cell r="D1159" t="e">
            <v>#N/A</v>
          </cell>
          <cell r="E1159">
            <v>-86.763661417322041</v>
          </cell>
          <cell r="F1159">
            <v>126.18909448819279</v>
          </cell>
          <cell r="G1159">
            <v>31.543425196850144</v>
          </cell>
          <cell r="H1159">
            <v>31.543425196850144</v>
          </cell>
          <cell r="I1159" t="e">
            <v>#N/A</v>
          </cell>
          <cell r="J1159" t="e">
            <v>#N/A</v>
          </cell>
          <cell r="K1159">
            <v>90</v>
          </cell>
          <cell r="L1159">
            <v>50</v>
          </cell>
          <cell r="M1159" t="e">
            <v>#N/A</v>
          </cell>
          <cell r="N1159">
            <v>80</v>
          </cell>
          <cell r="O1159" t="e">
            <v>#N/A</v>
          </cell>
          <cell r="P1159" t="str">
            <v/>
          </cell>
          <cell r="Q1159" t="str">
            <v/>
          </cell>
          <cell r="R1159" t="e">
            <v>#N/A</v>
          </cell>
        </row>
        <row r="1160">
          <cell r="A1160" t="str">
            <v/>
          </cell>
          <cell r="B1160" t="str">
            <v/>
          </cell>
          <cell r="C1160" t="str">
            <v>Future</v>
          </cell>
          <cell r="D1160" t="e">
            <v>#N/A</v>
          </cell>
          <cell r="E1160">
            <v>-87.013700787400779</v>
          </cell>
          <cell r="F1160">
            <v>126.29338582677548</v>
          </cell>
          <cell r="G1160">
            <v>31.490236220472191</v>
          </cell>
          <cell r="H1160">
            <v>31.490236220472191</v>
          </cell>
          <cell r="I1160" t="e">
            <v>#N/A</v>
          </cell>
          <cell r="J1160" t="e">
            <v>#N/A</v>
          </cell>
          <cell r="K1160">
            <v>90</v>
          </cell>
          <cell r="L1160">
            <v>50</v>
          </cell>
          <cell r="M1160" t="e">
            <v>#N/A</v>
          </cell>
          <cell r="N1160">
            <v>80</v>
          </cell>
          <cell r="O1160" t="e">
            <v>#N/A</v>
          </cell>
          <cell r="P1160" t="str">
            <v/>
          </cell>
          <cell r="Q1160" t="str">
            <v/>
          </cell>
          <cell r="R1160" t="e">
            <v>#N/A</v>
          </cell>
        </row>
        <row r="1161">
          <cell r="A1161" t="str">
            <v/>
          </cell>
          <cell r="B1161" t="str">
            <v/>
          </cell>
          <cell r="C1161" t="str">
            <v>Future</v>
          </cell>
          <cell r="D1161" t="e">
            <v>#N/A</v>
          </cell>
          <cell r="E1161">
            <v>-87.263740157479518</v>
          </cell>
          <cell r="F1161">
            <v>126.39767716535816</v>
          </cell>
          <cell r="G1161">
            <v>31.437047244094238</v>
          </cell>
          <cell r="H1161">
            <v>31.437047244094238</v>
          </cell>
          <cell r="I1161" t="e">
            <v>#N/A</v>
          </cell>
          <cell r="J1161" t="e">
            <v>#N/A</v>
          </cell>
          <cell r="K1161">
            <v>90</v>
          </cell>
          <cell r="L1161">
            <v>50</v>
          </cell>
          <cell r="M1161" t="e">
            <v>#N/A</v>
          </cell>
          <cell r="N1161">
            <v>80</v>
          </cell>
          <cell r="O1161" t="e">
            <v>#N/A</v>
          </cell>
          <cell r="P1161" t="str">
            <v/>
          </cell>
          <cell r="Q1161" t="str">
            <v/>
          </cell>
          <cell r="R1161" t="e">
            <v>#N/A</v>
          </cell>
        </row>
        <row r="1162">
          <cell r="A1162" t="str">
            <v/>
          </cell>
          <cell r="B1162" t="str">
            <v/>
          </cell>
          <cell r="C1162" t="str">
            <v>Future</v>
          </cell>
          <cell r="D1162" t="e">
            <v>#N/A</v>
          </cell>
          <cell r="E1162">
            <v>-87.513779527558256</v>
          </cell>
          <cell r="F1162">
            <v>126.50196850394084</v>
          </cell>
          <cell r="G1162">
            <v>31.383858267716285</v>
          </cell>
          <cell r="H1162">
            <v>31.383858267716285</v>
          </cell>
          <cell r="I1162" t="e">
            <v>#N/A</v>
          </cell>
          <cell r="J1162" t="e">
            <v>#N/A</v>
          </cell>
          <cell r="K1162">
            <v>90</v>
          </cell>
          <cell r="L1162">
            <v>50</v>
          </cell>
          <cell r="M1162" t="e">
            <v>#N/A</v>
          </cell>
          <cell r="N1162">
            <v>80</v>
          </cell>
          <cell r="O1162" t="e">
            <v>#N/A</v>
          </cell>
          <cell r="P1162" t="str">
            <v/>
          </cell>
          <cell r="Q1162" t="str">
            <v/>
          </cell>
          <cell r="R1162" t="e">
            <v>#N/A</v>
          </cell>
        </row>
        <row r="1163">
          <cell r="A1163" t="str">
            <v/>
          </cell>
          <cell r="B1163" t="str">
            <v/>
          </cell>
          <cell r="C1163" t="str">
            <v>Future</v>
          </cell>
          <cell r="D1163" t="e">
            <v>#N/A</v>
          </cell>
          <cell r="E1163">
            <v>-87.763818897636995</v>
          </cell>
          <cell r="F1163">
            <v>126.60625984252353</v>
          </cell>
          <cell r="G1163">
            <v>31.330669291338332</v>
          </cell>
          <cell r="H1163">
            <v>31.330669291338332</v>
          </cell>
          <cell r="I1163" t="e">
            <v>#N/A</v>
          </cell>
          <cell r="J1163" t="e">
            <v>#N/A</v>
          </cell>
          <cell r="K1163">
            <v>90</v>
          </cell>
          <cell r="L1163">
            <v>50</v>
          </cell>
          <cell r="M1163" t="e">
            <v>#N/A</v>
          </cell>
          <cell r="N1163">
            <v>80</v>
          </cell>
          <cell r="O1163" t="e">
            <v>#N/A</v>
          </cell>
          <cell r="P1163" t="str">
            <v/>
          </cell>
          <cell r="Q1163" t="str">
            <v/>
          </cell>
          <cell r="R1163" t="e">
            <v>#N/A</v>
          </cell>
        </row>
        <row r="1164">
          <cell r="A1164" t="str">
            <v/>
          </cell>
          <cell r="B1164" t="str">
            <v/>
          </cell>
          <cell r="C1164" t="str">
            <v>Future</v>
          </cell>
          <cell r="D1164" t="e">
            <v>#N/A</v>
          </cell>
          <cell r="E1164">
            <v>-88.013858267715733</v>
          </cell>
          <cell r="F1164">
            <v>126.71055118110621</v>
          </cell>
          <cell r="G1164">
            <v>31.277480314960378</v>
          </cell>
          <cell r="H1164">
            <v>31.277480314960378</v>
          </cell>
          <cell r="I1164" t="e">
            <v>#N/A</v>
          </cell>
          <cell r="J1164" t="e">
            <v>#N/A</v>
          </cell>
          <cell r="K1164">
            <v>90</v>
          </cell>
          <cell r="L1164">
            <v>50</v>
          </cell>
          <cell r="M1164" t="e">
            <v>#N/A</v>
          </cell>
          <cell r="N1164">
            <v>80</v>
          </cell>
          <cell r="O1164" t="e">
            <v>#N/A</v>
          </cell>
          <cell r="P1164" t="str">
            <v/>
          </cell>
          <cell r="Q1164" t="str">
            <v/>
          </cell>
          <cell r="R1164" t="e">
            <v>#N/A</v>
          </cell>
        </row>
        <row r="1165">
          <cell r="A1165" t="str">
            <v/>
          </cell>
          <cell r="B1165" t="str">
            <v/>
          </cell>
          <cell r="C1165" t="str">
            <v>Future</v>
          </cell>
          <cell r="D1165" t="e">
            <v>#N/A</v>
          </cell>
          <cell r="E1165">
            <v>-88.263897637794472</v>
          </cell>
          <cell r="F1165">
            <v>126.8148425196889</v>
          </cell>
          <cell r="G1165">
            <v>31.224291338582425</v>
          </cell>
          <cell r="H1165">
            <v>31.224291338582425</v>
          </cell>
          <cell r="I1165" t="e">
            <v>#N/A</v>
          </cell>
          <cell r="J1165" t="e">
            <v>#N/A</v>
          </cell>
          <cell r="K1165">
            <v>90</v>
          </cell>
          <cell r="L1165">
            <v>50</v>
          </cell>
          <cell r="M1165" t="e">
            <v>#N/A</v>
          </cell>
          <cell r="N1165">
            <v>80</v>
          </cell>
          <cell r="O1165" t="e">
            <v>#N/A</v>
          </cell>
          <cell r="P1165" t="str">
            <v/>
          </cell>
          <cell r="Q1165" t="str">
            <v/>
          </cell>
          <cell r="R1165" t="e">
            <v>#N/A</v>
          </cell>
        </row>
        <row r="1166">
          <cell r="A1166" t="str">
            <v/>
          </cell>
          <cell r="B1166" t="str">
            <v/>
          </cell>
          <cell r="C1166" t="str">
            <v>Future</v>
          </cell>
          <cell r="D1166" t="e">
            <v>#N/A</v>
          </cell>
          <cell r="E1166">
            <v>-88.51393700787321</v>
          </cell>
          <cell r="F1166">
            <v>126.91913385827158</v>
          </cell>
          <cell r="G1166">
            <v>31.171102362204472</v>
          </cell>
          <cell r="H1166">
            <v>31.171102362204472</v>
          </cell>
          <cell r="I1166" t="e">
            <v>#N/A</v>
          </cell>
          <cell r="J1166" t="e">
            <v>#N/A</v>
          </cell>
          <cell r="K1166">
            <v>90</v>
          </cell>
          <cell r="L1166">
            <v>50</v>
          </cell>
          <cell r="M1166" t="e">
            <v>#N/A</v>
          </cell>
          <cell r="N1166">
            <v>80</v>
          </cell>
          <cell r="O1166" t="e">
            <v>#N/A</v>
          </cell>
          <cell r="P1166" t="str">
            <v/>
          </cell>
          <cell r="Q1166" t="str">
            <v/>
          </cell>
          <cell r="R1166" t="e">
            <v>#N/A</v>
          </cell>
        </row>
        <row r="1167">
          <cell r="A1167" t="str">
            <v/>
          </cell>
          <cell r="B1167" t="str">
            <v/>
          </cell>
          <cell r="C1167" t="str">
            <v>Future</v>
          </cell>
          <cell r="D1167" t="e">
            <v>#N/A</v>
          </cell>
          <cell r="E1167">
            <v>-88.763976377951948</v>
          </cell>
          <cell r="F1167">
            <v>127.02342519685426</v>
          </cell>
          <cell r="G1167">
            <v>31.117913385826519</v>
          </cell>
          <cell r="H1167">
            <v>31.117913385826519</v>
          </cell>
          <cell r="I1167" t="e">
            <v>#N/A</v>
          </cell>
          <cell r="J1167" t="e">
            <v>#N/A</v>
          </cell>
          <cell r="K1167">
            <v>90</v>
          </cell>
          <cell r="L1167">
            <v>50</v>
          </cell>
          <cell r="M1167" t="e">
            <v>#N/A</v>
          </cell>
          <cell r="N1167">
            <v>80</v>
          </cell>
          <cell r="O1167" t="e">
            <v>#N/A</v>
          </cell>
          <cell r="P1167" t="str">
            <v/>
          </cell>
          <cell r="Q1167" t="str">
            <v/>
          </cell>
          <cell r="R1167" t="e">
            <v>#N/A</v>
          </cell>
        </row>
        <row r="1168">
          <cell r="A1168" t="str">
            <v/>
          </cell>
          <cell r="B1168" t="str">
            <v/>
          </cell>
          <cell r="C1168" t="str">
            <v>Future</v>
          </cell>
          <cell r="D1168" t="e">
            <v>#N/A</v>
          </cell>
          <cell r="E1168">
            <v>-89.014015748030687</v>
          </cell>
          <cell r="F1168">
            <v>127.12771653543695</v>
          </cell>
          <cell r="G1168">
            <v>31.064724409448566</v>
          </cell>
          <cell r="H1168">
            <v>31.064724409448566</v>
          </cell>
          <cell r="I1168" t="e">
            <v>#N/A</v>
          </cell>
          <cell r="J1168" t="e">
            <v>#N/A</v>
          </cell>
          <cell r="K1168">
            <v>90</v>
          </cell>
          <cell r="L1168">
            <v>50</v>
          </cell>
          <cell r="M1168" t="e">
            <v>#N/A</v>
          </cell>
          <cell r="N1168">
            <v>80</v>
          </cell>
          <cell r="O1168" t="e">
            <v>#N/A</v>
          </cell>
          <cell r="P1168" t="str">
            <v/>
          </cell>
          <cell r="Q1168" t="str">
            <v/>
          </cell>
          <cell r="R1168" t="e">
            <v>#N/A</v>
          </cell>
        </row>
        <row r="1169">
          <cell r="A1169" t="str">
            <v/>
          </cell>
          <cell r="B1169" t="str">
            <v/>
          </cell>
          <cell r="C1169" t="str">
            <v>Future</v>
          </cell>
          <cell r="D1169" t="e">
            <v>#N/A</v>
          </cell>
          <cell r="E1169">
            <v>-89.264055118109425</v>
          </cell>
          <cell r="F1169">
            <v>127.23200787401963</v>
          </cell>
          <cell r="G1169">
            <v>31.011535433070613</v>
          </cell>
          <cell r="H1169">
            <v>31.011535433070613</v>
          </cell>
          <cell r="I1169" t="e">
            <v>#N/A</v>
          </cell>
          <cell r="J1169" t="e">
            <v>#N/A</v>
          </cell>
          <cell r="K1169">
            <v>90</v>
          </cell>
          <cell r="L1169">
            <v>50</v>
          </cell>
          <cell r="M1169" t="e">
            <v>#N/A</v>
          </cell>
          <cell r="N1169">
            <v>80</v>
          </cell>
          <cell r="O1169" t="e">
            <v>#N/A</v>
          </cell>
          <cell r="P1169" t="str">
            <v/>
          </cell>
          <cell r="Q1169" t="str">
            <v/>
          </cell>
          <cell r="R1169" t="e">
            <v>#N/A</v>
          </cell>
        </row>
        <row r="1170">
          <cell r="A1170" t="str">
            <v/>
          </cell>
          <cell r="B1170" t="str">
            <v/>
          </cell>
          <cell r="C1170" t="str">
            <v>Future</v>
          </cell>
          <cell r="D1170" t="e">
            <v>#N/A</v>
          </cell>
          <cell r="E1170">
            <v>-89.514094488188164</v>
          </cell>
          <cell r="F1170">
            <v>127.33629921260231</v>
          </cell>
          <cell r="G1170">
            <v>30.958346456692659</v>
          </cell>
          <cell r="H1170">
            <v>30.958346456692659</v>
          </cell>
          <cell r="I1170" t="e">
            <v>#N/A</v>
          </cell>
          <cell r="J1170" t="e">
            <v>#N/A</v>
          </cell>
          <cell r="K1170">
            <v>90</v>
          </cell>
          <cell r="L1170">
            <v>50</v>
          </cell>
          <cell r="M1170" t="e">
            <v>#N/A</v>
          </cell>
          <cell r="N1170">
            <v>80</v>
          </cell>
          <cell r="O1170" t="e">
            <v>#N/A</v>
          </cell>
          <cell r="P1170" t="str">
            <v/>
          </cell>
          <cell r="Q1170" t="str">
            <v/>
          </cell>
          <cell r="R1170" t="e">
            <v>#N/A</v>
          </cell>
        </row>
        <row r="1171">
          <cell r="A1171" t="str">
            <v/>
          </cell>
          <cell r="B1171" t="str">
            <v/>
          </cell>
          <cell r="C1171" t="str">
            <v>Future</v>
          </cell>
          <cell r="D1171" t="e">
            <v>#N/A</v>
          </cell>
          <cell r="E1171">
            <v>-89.764133858266902</v>
          </cell>
          <cell r="F1171">
            <v>127.440590551185</v>
          </cell>
          <cell r="G1171">
            <v>30.905157480314706</v>
          </cell>
          <cell r="H1171">
            <v>30.905157480314706</v>
          </cell>
          <cell r="I1171" t="e">
            <v>#N/A</v>
          </cell>
          <cell r="J1171" t="e">
            <v>#N/A</v>
          </cell>
          <cell r="K1171">
            <v>90</v>
          </cell>
          <cell r="L1171">
            <v>50</v>
          </cell>
          <cell r="M1171" t="e">
            <v>#N/A</v>
          </cell>
          <cell r="N1171">
            <v>80</v>
          </cell>
          <cell r="O1171" t="e">
            <v>#N/A</v>
          </cell>
          <cell r="P1171" t="str">
            <v/>
          </cell>
          <cell r="Q1171" t="str">
            <v/>
          </cell>
          <cell r="R1171" t="e">
            <v>#N/A</v>
          </cell>
        </row>
        <row r="1172">
          <cell r="A1172" t="str">
            <v/>
          </cell>
          <cell r="B1172" t="str">
            <v/>
          </cell>
          <cell r="C1172" t="str">
            <v>Future</v>
          </cell>
          <cell r="D1172" t="e">
            <v>#N/A</v>
          </cell>
          <cell r="E1172">
            <v>-90.014173228345641</v>
          </cell>
          <cell r="F1172">
            <v>127.54488188976768</v>
          </cell>
          <cell r="G1172">
            <v>30.851968503936753</v>
          </cell>
          <cell r="H1172">
            <v>30.851968503936753</v>
          </cell>
          <cell r="I1172" t="e">
            <v>#N/A</v>
          </cell>
          <cell r="J1172" t="e">
            <v>#N/A</v>
          </cell>
          <cell r="K1172">
            <v>90</v>
          </cell>
          <cell r="L1172">
            <v>50</v>
          </cell>
          <cell r="M1172" t="e">
            <v>#N/A</v>
          </cell>
          <cell r="N1172">
            <v>80</v>
          </cell>
          <cell r="O1172" t="e">
            <v>#N/A</v>
          </cell>
          <cell r="P1172" t="str">
            <v/>
          </cell>
          <cell r="Q1172" t="str">
            <v/>
          </cell>
          <cell r="R1172" t="e">
            <v>#N/A</v>
          </cell>
        </row>
        <row r="1173">
          <cell r="A1173" t="str">
            <v/>
          </cell>
          <cell r="B1173" t="str">
            <v/>
          </cell>
          <cell r="C1173" t="str">
            <v>Future</v>
          </cell>
          <cell r="D1173" t="e">
            <v>#N/A</v>
          </cell>
          <cell r="E1173">
            <v>-90.264212598424379</v>
          </cell>
          <cell r="F1173">
            <v>127.64917322835036</v>
          </cell>
          <cell r="G1173">
            <v>30.7987795275588</v>
          </cell>
          <cell r="H1173">
            <v>30.7987795275588</v>
          </cell>
          <cell r="I1173" t="e">
            <v>#N/A</v>
          </cell>
          <cell r="J1173" t="e">
            <v>#N/A</v>
          </cell>
          <cell r="K1173">
            <v>90</v>
          </cell>
          <cell r="L1173">
            <v>50</v>
          </cell>
          <cell r="M1173" t="e">
            <v>#N/A</v>
          </cell>
          <cell r="N1173">
            <v>80</v>
          </cell>
          <cell r="O1173" t="e">
            <v>#N/A</v>
          </cell>
          <cell r="P1173" t="str">
            <v/>
          </cell>
          <cell r="Q1173" t="str">
            <v/>
          </cell>
          <cell r="R1173" t="e">
            <v>#N/A</v>
          </cell>
        </row>
        <row r="1174">
          <cell r="A1174" t="str">
            <v/>
          </cell>
          <cell r="B1174" t="str">
            <v/>
          </cell>
          <cell r="C1174" t="str">
            <v>Future</v>
          </cell>
          <cell r="D1174" t="e">
            <v>#N/A</v>
          </cell>
          <cell r="E1174">
            <v>-90.514251968503117</v>
          </cell>
          <cell r="F1174">
            <v>127.75346456693305</v>
          </cell>
          <cell r="G1174">
            <v>30.745590551180847</v>
          </cell>
          <cell r="H1174">
            <v>30.745590551180847</v>
          </cell>
          <cell r="I1174" t="e">
            <v>#N/A</v>
          </cell>
          <cell r="J1174" t="e">
            <v>#N/A</v>
          </cell>
          <cell r="K1174">
            <v>90</v>
          </cell>
          <cell r="L1174">
            <v>50</v>
          </cell>
          <cell r="M1174" t="e">
            <v>#N/A</v>
          </cell>
          <cell r="N1174">
            <v>80</v>
          </cell>
          <cell r="O1174" t="e">
            <v>#N/A</v>
          </cell>
          <cell r="P1174" t="str">
            <v/>
          </cell>
          <cell r="Q1174" t="str">
            <v/>
          </cell>
          <cell r="R1174" t="e">
            <v>#N/A</v>
          </cell>
        </row>
        <row r="1175">
          <cell r="A1175" t="str">
            <v/>
          </cell>
          <cell r="B1175" t="str">
            <v/>
          </cell>
          <cell r="C1175" t="str">
            <v>Future</v>
          </cell>
          <cell r="D1175" t="e">
            <v>#N/A</v>
          </cell>
          <cell r="E1175">
            <v>-90.764291338581856</v>
          </cell>
          <cell r="F1175">
            <v>127.85775590551573</v>
          </cell>
          <cell r="G1175">
            <v>30.692401574802894</v>
          </cell>
          <cell r="H1175">
            <v>30.692401574802894</v>
          </cell>
          <cell r="I1175" t="e">
            <v>#N/A</v>
          </cell>
          <cell r="J1175" t="e">
            <v>#N/A</v>
          </cell>
          <cell r="K1175">
            <v>90</v>
          </cell>
          <cell r="L1175">
            <v>50</v>
          </cell>
          <cell r="M1175" t="e">
            <v>#N/A</v>
          </cell>
          <cell r="N1175">
            <v>80</v>
          </cell>
          <cell r="O1175" t="e">
            <v>#N/A</v>
          </cell>
          <cell r="P1175" t="str">
            <v/>
          </cell>
          <cell r="Q1175" t="str">
            <v/>
          </cell>
          <cell r="R1175" t="e">
            <v>#N/A</v>
          </cell>
        </row>
        <row r="1176">
          <cell r="A1176" t="str">
            <v/>
          </cell>
          <cell r="B1176" t="str">
            <v/>
          </cell>
          <cell r="C1176" t="str">
            <v>Future</v>
          </cell>
          <cell r="D1176" t="e">
            <v>#N/A</v>
          </cell>
          <cell r="E1176">
            <v>-91.014330708660594</v>
          </cell>
          <cell r="F1176">
            <v>127.96204724409841</v>
          </cell>
          <cell r="G1176">
            <v>30.63921259842494</v>
          </cell>
          <cell r="H1176">
            <v>30.63921259842494</v>
          </cell>
          <cell r="I1176" t="e">
            <v>#N/A</v>
          </cell>
          <cell r="J1176" t="e">
            <v>#N/A</v>
          </cell>
          <cell r="K1176">
            <v>90</v>
          </cell>
          <cell r="L1176">
            <v>50</v>
          </cell>
          <cell r="M1176" t="e">
            <v>#N/A</v>
          </cell>
          <cell r="N1176">
            <v>80</v>
          </cell>
          <cell r="O1176" t="e">
            <v>#N/A</v>
          </cell>
          <cell r="P1176" t="str">
            <v/>
          </cell>
          <cell r="Q1176" t="str">
            <v/>
          </cell>
          <cell r="R1176" t="e">
            <v>#N/A</v>
          </cell>
        </row>
        <row r="1177">
          <cell r="A1177" t="str">
            <v/>
          </cell>
          <cell r="B1177" t="str">
            <v/>
          </cell>
          <cell r="C1177" t="str">
            <v>Future</v>
          </cell>
          <cell r="D1177" t="e">
            <v>#N/A</v>
          </cell>
          <cell r="E1177">
            <v>-91.264370078739333</v>
          </cell>
          <cell r="F1177">
            <v>128.06633858268108</v>
          </cell>
          <cell r="G1177">
            <v>30.586023622046987</v>
          </cell>
          <cell r="H1177">
            <v>30.586023622046987</v>
          </cell>
          <cell r="I1177" t="e">
            <v>#N/A</v>
          </cell>
          <cell r="J1177" t="e">
            <v>#N/A</v>
          </cell>
          <cell r="K1177">
            <v>90</v>
          </cell>
          <cell r="L1177">
            <v>50</v>
          </cell>
          <cell r="M1177" t="e">
            <v>#N/A</v>
          </cell>
          <cell r="N1177">
            <v>80</v>
          </cell>
          <cell r="O1177" t="e">
            <v>#N/A</v>
          </cell>
          <cell r="P1177" t="str">
            <v/>
          </cell>
          <cell r="Q1177" t="str">
            <v/>
          </cell>
          <cell r="R1177" t="e">
            <v>#N/A</v>
          </cell>
        </row>
        <row r="1178">
          <cell r="A1178" t="str">
            <v/>
          </cell>
          <cell r="B1178" t="str">
            <v/>
          </cell>
          <cell r="C1178" t="str">
            <v>Future</v>
          </cell>
          <cell r="D1178" t="e">
            <v>#N/A</v>
          </cell>
          <cell r="E1178">
            <v>-91.514409448818071</v>
          </cell>
          <cell r="F1178">
            <v>128.17062992126375</v>
          </cell>
          <cell r="G1178">
            <v>30.532834645669034</v>
          </cell>
          <cell r="H1178">
            <v>30.532834645669034</v>
          </cell>
          <cell r="I1178" t="e">
            <v>#N/A</v>
          </cell>
          <cell r="J1178" t="e">
            <v>#N/A</v>
          </cell>
          <cell r="K1178">
            <v>90</v>
          </cell>
          <cell r="L1178">
            <v>50</v>
          </cell>
          <cell r="M1178" t="e">
            <v>#N/A</v>
          </cell>
          <cell r="N1178">
            <v>80</v>
          </cell>
          <cell r="O1178" t="e">
            <v>#N/A</v>
          </cell>
          <cell r="P1178" t="str">
            <v/>
          </cell>
          <cell r="Q1178" t="str">
            <v/>
          </cell>
          <cell r="R1178" t="e">
            <v>#N/A</v>
          </cell>
        </row>
        <row r="1179">
          <cell r="A1179" t="str">
            <v/>
          </cell>
          <cell r="B1179" t="str">
            <v/>
          </cell>
          <cell r="C1179" t="str">
            <v>Future</v>
          </cell>
          <cell r="D1179" t="e">
            <v>#N/A</v>
          </cell>
          <cell r="E1179">
            <v>-91.76444881889681</v>
          </cell>
          <cell r="F1179">
            <v>128.27492125984642</v>
          </cell>
          <cell r="G1179">
            <v>30.479645669291081</v>
          </cell>
          <cell r="H1179">
            <v>30.479645669291081</v>
          </cell>
          <cell r="I1179" t="e">
            <v>#N/A</v>
          </cell>
          <cell r="J1179" t="e">
            <v>#N/A</v>
          </cell>
          <cell r="K1179">
            <v>90</v>
          </cell>
          <cell r="L1179">
            <v>50</v>
          </cell>
          <cell r="M1179" t="e">
            <v>#N/A</v>
          </cell>
          <cell r="N1179">
            <v>80</v>
          </cell>
          <cell r="O1179" t="e">
            <v>#N/A</v>
          </cell>
          <cell r="P1179" t="str">
            <v/>
          </cell>
          <cell r="Q1179" t="str">
            <v/>
          </cell>
          <cell r="R1179" t="e">
            <v>#N/A</v>
          </cell>
        </row>
        <row r="1180">
          <cell r="A1180" t="str">
            <v/>
          </cell>
          <cell r="B1180" t="str">
            <v/>
          </cell>
          <cell r="C1180" t="str">
            <v>Future</v>
          </cell>
          <cell r="D1180" t="e">
            <v>#N/A</v>
          </cell>
          <cell r="E1180">
            <v>-92.014488188975548</v>
          </cell>
          <cell r="F1180">
            <v>128.37921259842909</v>
          </cell>
          <cell r="G1180">
            <v>30.426456692913128</v>
          </cell>
          <cell r="H1180">
            <v>30.426456692913128</v>
          </cell>
          <cell r="I1180" t="e">
            <v>#N/A</v>
          </cell>
          <cell r="J1180" t="e">
            <v>#N/A</v>
          </cell>
          <cell r="K1180">
            <v>90</v>
          </cell>
          <cell r="L1180">
            <v>50</v>
          </cell>
          <cell r="M1180" t="e">
            <v>#N/A</v>
          </cell>
          <cell r="N1180">
            <v>80</v>
          </cell>
          <cell r="O1180" t="e">
            <v>#N/A</v>
          </cell>
          <cell r="P1180" t="str">
            <v/>
          </cell>
          <cell r="Q1180" t="str">
            <v/>
          </cell>
          <cell r="R1180" t="e">
            <v>#N/A</v>
          </cell>
        </row>
        <row r="1181">
          <cell r="A1181" t="str">
            <v/>
          </cell>
          <cell r="B1181" t="str">
            <v/>
          </cell>
          <cell r="C1181" t="str">
            <v>Future</v>
          </cell>
          <cell r="D1181" t="e">
            <v>#N/A</v>
          </cell>
          <cell r="E1181">
            <v>-92.264527559054287</v>
          </cell>
          <cell r="F1181">
            <v>128.48350393701176</v>
          </cell>
          <cell r="G1181">
            <v>30.373267716535175</v>
          </cell>
          <cell r="H1181">
            <v>30.373267716535175</v>
          </cell>
          <cell r="I1181" t="e">
            <v>#N/A</v>
          </cell>
          <cell r="J1181" t="e">
            <v>#N/A</v>
          </cell>
          <cell r="K1181">
            <v>90</v>
          </cell>
          <cell r="L1181">
            <v>50</v>
          </cell>
          <cell r="M1181" t="e">
            <v>#N/A</v>
          </cell>
          <cell r="N1181">
            <v>80</v>
          </cell>
          <cell r="O1181" t="e">
            <v>#N/A</v>
          </cell>
          <cell r="P1181" t="str">
            <v/>
          </cell>
          <cell r="Q1181" t="str">
            <v/>
          </cell>
          <cell r="R1181" t="e">
            <v>#N/A</v>
          </cell>
        </row>
        <row r="1182">
          <cell r="A1182" t="str">
            <v/>
          </cell>
          <cell r="B1182" t="str">
            <v/>
          </cell>
          <cell r="C1182" t="str">
            <v>Future</v>
          </cell>
          <cell r="D1182" t="e">
            <v>#N/A</v>
          </cell>
          <cell r="E1182">
            <v>-92.514566929133025</v>
          </cell>
          <cell r="F1182">
            <v>128.58779527559443</v>
          </cell>
          <cell r="G1182">
            <v>30.320078740157221</v>
          </cell>
          <cell r="H1182">
            <v>30.320078740157221</v>
          </cell>
          <cell r="I1182" t="e">
            <v>#N/A</v>
          </cell>
          <cell r="J1182" t="e">
            <v>#N/A</v>
          </cell>
          <cell r="K1182">
            <v>90</v>
          </cell>
          <cell r="L1182">
            <v>50</v>
          </cell>
          <cell r="M1182" t="e">
            <v>#N/A</v>
          </cell>
          <cell r="N1182">
            <v>80</v>
          </cell>
          <cell r="O1182" t="e">
            <v>#N/A</v>
          </cell>
          <cell r="P1182" t="str">
            <v/>
          </cell>
          <cell r="Q1182" t="str">
            <v/>
          </cell>
          <cell r="R1182" t="e">
            <v>#N/A</v>
          </cell>
        </row>
        <row r="1183">
          <cell r="A1183" t="str">
            <v/>
          </cell>
          <cell r="B1183" t="str">
            <v/>
          </cell>
          <cell r="C1183" t="str">
            <v>Future</v>
          </cell>
          <cell r="D1183" t="e">
            <v>#N/A</v>
          </cell>
          <cell r="E1183">
            <v>-92.764606299211763</v>
          </cell>
          <cell r="F1183">
            <v>128.6920866141771</v>
          </cell>
          <cell r="G1183">
            <v>30.266889763779268</v>
          </cell>
          <cell r="H1183">
            <v>30.266889763779268</v>
          </cell>
          <cell r="I1183" t="e">
            <v>#N/A</v>
          </cell>
          <cell r="J1183" t="e">
            <v>#N/A</v>
          </cell>
          <cell r="K1183">
            <v>90</v>
          </cell>
          <cell r="L1183">
            <v>50</v>
          </cell>
          <cell r="M1183" t="e">
            <v>#N/A</v>
          </cell>
          <cell r="N1183">
            <v>80</v>
          </cell>
          <cell r="O1183" t="e">
            <v>#N/A</v>
          </cell>
          <cell r="P1183" t="str">
            <v/>
          </cell>
          <cell r="Q1183" t="str">
            <v/>
          </cell>
          <cell r="R1183" t="e">
            <v>#N/A</v>
          </cell>
        </row>
        <row r="1184">
          <cell r="A1184" t="str">
            <v/>
          </cell>
          <cell r="B1184" t="str">
            <v/>
          </cell>
          <cell r="C1184" t="str">
            <v>Future</v>
          </cell>
          <cell r="D1184" t="e">
            <v>#N/A</v>
          </cell>
          <cell r="E1184">
            <v>-93.014645669290502</v>
          </cell>
          <cell r="F1184">
            <v>128.79637795275977</v>
          </cell>
          <cell r="G1184">
            <v>30.213700787401315</v>
          </cell>
          <cell r="H1184">
            <v>30.213700787401315</v>
          </cell>
          <cell r="I1184" t="e">
            <v>#N/A</v>
          </cell>
          <cell r="J1184" t="e">
            <v>#N/A</v>
          </cell>
          <cell r="K1184">
            <v>90</v>
          </cell>
          <cell r="L1184">
            <v>50</v>
          </cell>
          <cell r="M1184" t="e">
            <v>#N/A</v>
          </cell>
          <cell r="N1184">
            <v>80</v>
          </cell>
          <cell r="O1184" t="e">
            <v>#N/A</v>
          </cell>
          <cell r="P1184" t="str">
            <v/>
          </cell>
          <cell r="Q1184" t="str">
            <v/>
          </cell>
          <cell r="R1184" t="e">
            <v>#N/A</v>
          </cell>
        </row>
        <row r="1185">
          <cell r="A1185" t="str">
            <v/>
          </cell>
          <cell r="B1185" t="str">
            <v/>
          </cell>
          <cell r="C1185" t="str">
            <v>Future</v>
          </cell>
          <cell r="D1185" t="e">
            <v>#N/A</v>
          </cell>
          <cell r="E1185">
            <v>-93.26468503936924</v>
          </cell>
          <cell r="F1185">
            <v>128.90066929134244</v>
          </cell>
          <cell r="G1185">
            <v>30.160511811023362</v>
          </cell>
          <cell r="H1185">
            <v>30.160511811023362</v>
          </cell>
          <cell r="I1185" t="e">
            <v>#N/A</v>
          </cell>
          <cell r="J1185" t="e">
            <v>#N/A</v>
          </cell>
          <cell r="K1185">
            <v>90</v>
          </cell>
          <cell r="L1185">
            <v>50</v>
          </cell>
          <cell r="M1185" t="e">
            <v>#N/A</v>
          </cell>
          <cell r="N1185">
            <v>80</v>
          </cell>
          <cell r="O1185" t="e">
            <v>#N/A</v>
          </cell>
          <cell r="P1185" t="str">
            <v/>
          </cell>
          <cell r="Q1185" t="str">
            <v/>
          </cell>
          <cell r="R1185" t="e">
            <v>#N/A</v>
          </cell>
        </row>
        <row r="1186">
          <cell r="A1186" t="str">
            <v/>
          </cell>
          <cell r="B1186" t="str">
            <v/>
          </cell>
          <cell r="C1186" t="str">
            <v>Future</v>
          </cell>
          <cell r="D1186" t="e">
            <v>#N/A</v>
          </cell>
          <cell r="E1186">
            <v>-93.514724409447979</v>
          </cell>
          <cell r="F1186">
            <v>129.00496062992511</v>
          </cell>
          <cell r="G1186">
            <v>30.107322834645409</v>
          </cell>
          <cell r="H1186">
            <v>30.107322834645409</v>
          </cell>
          <cell r="I1186" t="e">
            <v>#N/A</v>
          </cell>
          <cell r="J1186" t="e">
            <v>#N/A</v>
          </cell>
          <cell r="K1186">
            <v>90</v>
          </cell>
          <cell r="L1186">
            <v>50</v>
          </cell>
          <cell r="M1186" t="e">
            <v>#N/A</v>
          </cell>
          <cell r="N1186">
            <v>80</v>
          </cell>
          <cell r="O1186" t="e">
            <v>#N/A</v>
          </cell>
          <cell r="P1186" t="str">
            <v/>
          </cell>
          <cell r="Q1186" t="str">
            <v/>
          </cell>
          <cell r="R1186" t="e">
            <v>#N/A</v>
          </cell>
        </row>
        <row r="1187">
          <cell r="A1187" t="str">
            <v/>
          </cell>
          <cell r="B1187" t="str">
            <v/>
          </cell>
          <cell r="C1187" t="str">
            <v>Future</v>
          </cell>
          <cell r="D1187" t="e">
            <v>#N/A</v>
          </cell>
          <cell r="E1187">
            <v>-93.764763779526717</v>
          </cell>
          <cell r="F1187">
            <v>129.10925196850778</v>
          </cell>
          <cell r="G1187">
            <v>30.054133858267456</v>
          </cell>
          <cell r="H1187">
            <v>30.054133858267456</v>
          </cell>
          <cell r="I1187" t="e">
            <v>#N/A</v>
          </cell>
          <cell r="J1187" t="e">
            <v>#N/A</v>
          </cell>
          <cell r="K1187">
            <v>90</v>
          </cell>
          <cell r="L1187">
            <v>50</v>
          </cell>
          <cell r="M1187" t="e">
            <v>#N/A</v>
          </cell>
          <cell r="N1187">
            <v>80</v>
          </cell>
          <cell r="O1187" t="e">
            <v>#N/A</v>
          </cell>
          <cell r="P1187" t="str">
            <v/>
          </cell>
          <cell r="Q1187" t="str">
            <v/>
          </cell>
          <cell r="R1187" t="e">
            <v>#N/A</v>
          </cell>
        </row>
        <row r="1188">
          <cell r="A1188" t="str">
            <v/>
          </cell>
          <cell r="B1188" t="str">
            <v/>
          </cell>
          <cell r="C1188" t="str">
            <v>Future</v>
          </cell>
          <cell r="D1188" t="e">
            <v>#N/A</v>
          </cell>
          <cell r="E1188">
            <v>-94.014803149605456</v>
          </cell>
          <cell r="F1188">
            <v>129.21354330709045</v>
          </cell>
          <cell r="G1188">
            <v>30.000944881889502</v>
          </cell>
          <cell r="H1188">
            <v>30.000944881889502</v>
          </cell>
          <cell r="I1188" t="e">
            <v>#N/A</v>
          </cell>
          <cell r="J1188" t="e">
            <v>#N/A</v>
          </cell>
          <cell r="K1188">
            <v>90</v>
          </cell>
          <cell r="L1188">
            <v>50</v>
          </cell>
          <cell r="M1188" t="e">
            <v>#N/A</v>
          </cell>
          <cell r="N1188">
            <v>80</v>
          </cell>
          <cell r="O1188" t="e">
            <v>#N/A</v>
          </cell>
          <cell r="P1188" t="str">
            <v/>
          </cell>
          <cell r="Q1188" t="str">
            <v/>
          </cell>
          <cell r="R1188" t="e">
            <v>#N/A</v>
          </cell>
        </row>
        <row r="1189">
          <cell r="A1189" t="str">
            <v/>
          </cell>
          <cell r="B1189" t="str">
            <v/>
          </cell>
          <cell r="C1189" t="str">
            <v>Future</v>
          </cell>
          <cell r="D1189" t="e">
            <v>#N/A</v>
          </cell>
          <cell r="E1189">
            <v>-94.264842519684194</v>
          </cell>
          <cell r="F1189">
            <v>129.31783464567312</v>
          </cell>
          <cell r="G1189">
            <v>29.947755905511549</v>
          </cell>
          <cell r="H1189">
            <v>29.947755905511549</v>
          </cell>
          <cell r="I1189" t="e">
            <v>#N/A</v>
          </cell>
          <cell r="J1189" t="e">
            <v>#N/A</v>
          </cell>
          <cell r="K1189">
            <v>90</v>
          </cell>
          <cell r="L1189">
            <v>50</v>
          </cell>
          <cell r="M1189" t="e">
            <v>#N/A</v>
          </cell>
          <cell r="N1189">
            <v>80</v>
          </cell>
          <cell r="O1189" t="e">
            <v>#N/A</v>
          </cell>
          <cell r="P1189" t="str">
            <v/>
          </cell>
          <cell r="Q1189" t="str">
            <v/>
          </cell>
          <cell r="R1189" t="e">
            <v>#N/A</v>
          </cell>
        </row>
        <row r="1190">
          <cell r="A1190" t="str">
            <v/>
          </cell>
          <cell r="B1190" t="str">
            <v/>
          </cell>
          <cell r="C1190" t="str">
            <v>Future</v>
          </cell>
          <cell r="D1190" t="e">
            <v>#N/A</v>
          </cell>
          <cell r="E1190">
            <v>-94.514881889762933</v>
          </cell>
          <cell r="F1190">
            <v>129.42212598425579</v>
          </cell>
          <cell r="G1190">
            <v>29.894566929133596</v>
          </cell>
          <cell r="H1190">
            <v>29.894566929133596</v>
          </cell>
          <cell r="I1190" t="e">
            <v>#N/A</v>
          </cell>
          <cell r="J1190" t="e">
            <v>#N/A</v>
          </cell>
          <cell r="K1190">
            <v>90</v>
          </cell>
          <cell r="L1190">
            <v>50</v>
          </cell>
          <cell r="M1190" t="e">
            <v>#N/A</v>
          </cell>
          <cell r="N1190">
            <v>80</v>
          </cell>
          <cell r="O1190" t="e">
            <v>#N/A</v>
          </cell>
          <cell r="P1190" t="str">
            <v/>
          </cell>
          <cell r="Q1190" t="str">
            <v/>
          </cell>
          <cell r="R1190" t="e">
            <v>#N/A</v>
          </cell>
        </row>
        <row r="1191">
          <cell r="A1191" t="str">
            <v/>
          </cell>
          <cell r="B1191" t="str">
            <v/>
          </cell>
          <cell r="C1191" t="str">
            <v>Future</v>
          </cell>
          <cell r="D1191" t="e">
            <v>#N/A</v>
          </cell>
          <cell r="E1191">
            <v>-94.764921259841671</v>
          </cell>
          <cell r="F1191">
            <v>129.52641732283845</v>
          </cell>
          <cell r="G1191">
            <v>29.841377952755643</v>
          </cell>
          <cell r="H1191">
            <v>29.841377952755643</v>
          </cell>
          <cell r="I1191" t="e">
            <v>#N/A</v>
          </cell>
          <cell r="J1191" t="e">
            <v>#N/A</v>
          </cell>
          <cell r="K1191">
            <v>90</v>
          </cell>
          <cell r="L1191">
            <v>50</v>
          </cell>
          <cell r="M1191" t="e">
            <v>#N/A</v>
          </cell>
          <cell r="N1191">
            <v>80</v>
          </cell>
          <cell r="O1191" t="e">
            <v>#N/A</v>
          </cell>
          <cell r="P1191" t="str">
            <v/>
          </cell>
          <cell r="Q1191" t="str">
            <v/>
          </cell>
          <cell r="R1191" t="e">
            <v>#N/A</v>
          </cell>
        </row>
        <row r="1192">
          <cell r="A1192" t="str">
            <v/>
          </cell>
          <cell r="B1192" t="str">
            <v/>
          </cell>
          <cell r="C1192" t="str">
            <v>Future</v>
          </cell>
          <cell r="D1192" t="e">
            <v>#N/A</v>
          </cell>
          <cell r="E1192">
            <v>-95.014960629920409</v>
          </cell>
          <cell r="F1192">
            <v>129.63070866142112</v>
          </cell>
          <cell r="G1192">
            <v>29.78818897637769</v>
          </cell>
          <cell r="H1192">
            <v>29.78818897637769</v>
          </cell>
          <cell r="I1192" t="e">
            <v>#N/A</v>
          </cell>
          <cell r="J1192" t="e">
            <v>#N/A</v>
          </cell>
          <cell r="K1192">
            <v>90</v>
          </cell>
          <cell r="L1192">
            <v>50</v>
          </cell>
          <cell r="M1192" t="e">
            <v>#N/A</v>
          </cell>
          <cell r="N1192">
            <v>80</v>
          </cell>
          <cell r="O1192" t="e">
            <v>#N/A</v>
          </cell>
          <cell r="P1192" t="str">
            <v/>
          </cell>
          <cell r="Q1192" t="str">
            <v/>
          </cell>
          <cell r="R1192" t="e">
            <v>#N/A</v>
          </cell>
        </row>
        <row r="1193">
          <cell r="A1193" t="str">
            <v/>
          </cell>
          <cell r="B1193" t="str">
            <v/>
          </cell>
          <cell r="C1193" t="str">
            <v>Future</v>
          </cell>
          <cell r="D1193" t="e">
            <v>#N/A</v>
          </cell>
          <cell r="E1193">
            <v>-95.264999999999148</v>
          </cell>
          <cell r="F1193">
            <v>129.73500000000379</v>
          </cell>
          <cell r="G1193">
            <v>29.734999999999737</v>
          </cell>
          <cell r="H1193">
            <v>29.734999999999737</v>
          </cell>
          <cell r="I1193" t="e">
            <v>#N/A</v>
          </cell>
          <cell r="J1193" t="e">
            <v>#N/A</v>
          </cell>
          <cell r="K1193">
            <v>90</v>
          </cell>
          <cell r="L1193">
            <v>50</v>
          </cell>
          <cell r="M1193" t="e">
            <v>#N/A</v>
          </cell>
          <cell r="N1193">
            <v>80</v>
          </cell>
          <cell r="O1193" t="e">
            <v>#N/A</v>
          </cell>
          <cell r="P1193" t="str">
            <v/>
          </cell>
          <cell r="Q1193" t="str">
            <v/>
          </cell>
          <cell r="R1193" t="e">
            <v>#N/A</v>
          </cell>
        </row>
        <row r="1194">
          <cell r="A1194" t="str">
            <v/>
          </cell>
          <cell r="B1194" t="str">
            <v/>
          </cell>
          <cell r="C1194" t="str">
            <v>Future</v>
          </cell>
          <cell r="D1194" t="e">
            <v>#N/A</v>
          </cell>
          <cell r="E1194">
            <v>-95.515039370077886</v>
          </cell>
          <cell r="F1194">
            <v>129.83929133858646</v>
          </cell>
          <cell r="G1194">
            <v>29.681811023621783</v>
          </cell>
          <cell r="H1194">
            <v>29.681811023621783</v>
          </cell>
          <cell r="I1194" t="e">
            <v>#N/A</v>
          </cell>
          <cell r="J1194" t="e">
            <v>#N/A</v>
          </cell>
          <cell r="K1194">
            <v>90</v>
          </cell>
          <cell r="L1194">
            <v>50</v>
          </cell>
          <cell r="M1194" t="e">
            <v>#N/A</v>
          </cell>
          <cell r="N1194">
            <v>80</v>
          </cell>
          <cell r="O1194" t="e">
            <v>#N/A</v>
          </cell>
          <cell r="P1194" t="str">
            <v/>
          </cell>
          <cell r="Q1194" t="str">
            <v/>
          </cell>
          <cell r="R1194" t="e">
            <v>#N/A</v>
          </cell>
        </row>
        <row r="1195">
          <cell r="A1195" t="str">
            <v/>
          </cell>
          <cell r="B1195" t="str">
            <v/>
          </cell>
          <cell r="C1195" t="str">
            <v>Future</v>
          </cell>
          <cell r="D1195" t="e">
            <v>#N/A</v>
          </cell>
          <cell r="E1195">
            <v>-95.765078740156625</v>
          </cell>
          <cell r="F1195">
            <v>129.94358267716913</v>
          </cell>
          <cell r="G1195">
            <v>29.62862204724383</v>
          </cell>
          <cell r="H1195">
            <v>29.62862204724383</v>
          </cell>
          <cell r="I1195" t="e">
            <v>#N/A</v>
          </cell>
          <cell r="J1195" t="e">
            <v>#N/A</v>
          </cell>
          <cell r="K1195">
            <v>90</v>
          </cell>
          <cell r="L1195">
            <v>50</v>
          </cell>
          <cell r="M1195" t="e">
            <v>#N/A</v>
          </cell>
          <cell r="N1195">
            <v>80</v>
          </cell>
          <cell r="O1195" t="e">
            <v>#N/A</v>
          </cell>
          <cell r="P1195" t="str">
            <v/>
          </cell>
          <cell r="Q1195" t="str">
            <v/>
          </cell>
          <cell r="R1195" t="e">
            <v>#N/A</v>
          </cell>
        </row>
        <row r="1196">
          <cell r="A1196" t="str">
            <v/>
          </cell>
          <cell r="B1196" t="str">
            <v/>
          </cell>
          <cell r="C1196" t="str">
            <v>Future</v>
          </cell>
          <cell r="D1196" t="e">
            <v>#N/A</v>
          </cell>
          <cell r="E1196">
            <v>-96.015118110235363</v>
          </cell>
          <cell r="F1196">
            <v>130.0478740157518</v>
          </cell>
          <cell r="G1196">
            <v>29.575433070865877</v>
          </cell>
          <cell r="H1196">
            <v>29.575433070865877</v>
          </cell>
          <cell r="I1196" t="e">
            <v>#N/A</v>
          </cell>
          <cell r="J1196" t="e">
            <v>#N/A</v>
          </cell>
          <cell r="K1196">
            <v>90</v>
          </cell>
          <cell r="L1196">
            <v>50</v>
          </cell>
          <cell r="M1196" t="e">
            <v>#N/A</v>
          </cell>
          <cell r="N1196">
            <v>80</v>
          </cell>
          <cell r="O1196" t="e">
            <v>#N/A</v>
          </cell>
          <cell r="P1196" t="str">
            <v/>
          </cell>
          <cell r="Q1196" t="str">
            <v/>
          </cell>
          <cell r="R1196" t="e">
            <v>#N/A</v>
          </cell>
        </row>
        <row r="1197">
          <cell r="A1197" t="str">
            <v/>
          </cell>
          <cell r="B1197" t="str">
            <v/>
          </cell>
          <cell r="C1197" t="str">
            <v>Future</v>
          </cell>
          <cell r="D1197" t="e">
            <v>#N/A</v>
          </cell>
          <cell r="E1197">
            <v>-96.265157480314102</v>
          </cell>
          <cell r="F1197">
            <v>130.15216535433447</v>
          </cell>
          <cell r="G1197">
            <v>29.522244094487924</v>
          </cell>
          <cell r="H1197">
            <v>29.522244094487924</v>
          </cell>
          <cell r="I1197" t="e">
            <v>#N/A</v>
          </cell>
          <cell r="J1197" t="e">
            <v>#N/A</v>
          </cell>
          <cell r="K1197">
            <v>90</v>
          </cell>
          <cell r="L1197">
            <v>50</v>
          </cell>
          <cell r="M1197" t="e">
            <v>#N/A</v>
          </cell>
          <cell r="N1197">
            <v>80</v>
          </cell>
          <cell r="O1197" t="e">
            <v>#N/A</v>
          </cell>
          <cell r="P1197" t="str">
            <v/>
          </cell>
          <cell r="Q1197" t="str">
            <v/>
          </cell>
          <cell r="R1197" t="e">
            <v>#N/A</v>
          </cell>
        </row>
        <row r="1198">
          <cell r="A1198" t="str">
            <v/>
          </cell>
          <cell r="B1198" t="str">
            <v/>
          </cell>
          <cell r="C1198" t="str">
            <v>Future</v>
          </cell>
          <cell r="D1198" t="e">
            <v>#N/A</v>
          </cell>
          <cell r="E1198">
            <v>-96.51519685039284</v>
          </cell>
          <cell r="F1198">
            <v>130.25645669291714</v>
          </cell>
          <cell r="G1198">
            <v>29.469055118109971</v>
          </cell>
          <cell r="H1198">
            <v>29.469055118109971</v>
          </cell>
          <cell r="I1198" t="e">
            <v>#N/A</v>
          </cell>
          <cell r="J1198" t="e">
            <v>#N/A</v>
          </cell>
          <cell r="K1198">
            <v>90</v>
          </cell>
          <cell r="L1198">
            <v>50</v>
          </cell>
          <cell r="M1198" t="e">
            <v>#N/A</v>
          </cell>
          <cell r="N1198">
            <v>80</v>
          </cell>
          <cell r="O1198" t="e">
            <v>#N/A</v>
          </cell>
          <cell r="P1198" t="str">
            <v/>
          </cell>
          <cell r="Q1198" t="str">
            <v/>
          </cell>
          <cell r="R1198" t="e">
            <v>#N/A</v>
          </cell>
        </row>
        <row r="1199">
          <cell r="A1199" t="str">
            <v/>
          </cell>
          <cell r="B1199" t="str">
            <v/>
          </cell>
          <cell r="C1199" t="str">
            <v>Future</v>
          </cell>
          <cell r="D1199" t="e">
            <v>#N/A</v>
          </cell>
          <cell r="E1199">
            <v>-96.765236220471579</v>
          </cell>
          <cell r="F1199">
            <v>130.36074803149981</v>
          </cell>
          <cell r="G1199">
            <v>29.415866141732018</v>
          </cell>
          <cell r="H1199">
            <v>29.415866141732018</v>
          </cell>
          <cell r="I1199" t="e">
            <v>#N/A</v>
          </cell>
          <cell r="J1199" t="e">
            <v>#N/A</v>
          </cell>
          <cell r="K1199">
            <v>90</v>
          </cell>
          <cell r="L1199">
            <v>50</v>
          </cell>
          <cell r="M1199" t="e">
            <v>#N/A</v>
          </cell>
          <cell r="N1199">
            <v>80</v>
          </cell>
          <cell r="O1199" t="e">
            <v>#N/A</v>
          </cell>
          <cell r="P1199" t="str">
            <v/>
          </cell>
          <cell r="Q1199" t="str">
            <v/>
          </cell>
          <cell r="R1199" t="e">
            <v>#N/A</v>
          </cell>
        </row>
        <row r="1200">
          <cell r="A1200" t="str">
            <v/>
          </cell>
          <cell r="B1200" t="str">
            <v/>
          </cell>
          <cell r="C1200" t="str">
            <v>Future</v>
          </cell>
          <cell r="D1200" t="e">
            <v>#N/A</v>
          </cell>
          <cell r="E1200">
            <v>-97.015275590550317</v>
          </cell>
          <cell r="F1200">
            <v>130.46503937008248</v>
          </cell>
          <cell r="G1200">
            <v>29.362677165354064</v>
          </cell>
          <cell r="H1200">
            <v>29.362677165354064</v>
          </cell>
          <cell r="I1200" t="e">
            <v>#N/A</v>
          </cell>
          <cell r="J1200" t="e">
            <v>#N/A</v>
          </cell>
          <cell r="K1200">
            <v>90</v>
          </cell>
          <cell r="L1200">
            <v>50</v>
          </cell>
          <cell r="M1200" t="e">
            <v>#N/A</v>
          </cell>
          <cell r="N1200">
            <v>80</v>
          </cell>
          <cell r="O1200" t="e">
            <v>#N/A</v>
          </cell>
          <cell r="P1200" t="str">
            <v/>
          </cell>
          <cell r="Q1200" t="str">
            <v/>
          </cell>
          <cell r="R1200" t="e">
            <v>#N/A</v>
          </cell>
        </row>
        <row r="1201">
          <cell r="A1201" t="str">
            <v/>
          </cell>
          <cell r="B1201" t="str">
            <v/>
          </cell>
          <cell r="C1201" t="str">
            <v>Future</v>
          </cell>
          <cell r="D1201" t="e">
            <v>#N/A</v>
          </cell>
          <cell r="E1201">
            <v>-97.265314960629055</v>
          </cell>
          <cell r="F1201">
            <v>130.56933070866515</v>
          </cell>
          <cell r="G1201">
            <v>29.309488188976111</v>
          </cell>
          <cell r="H1201">
            <v>29.309488188976111</v>
          </cell>
          <cell r="I1201" t="e">
            <v>#N/A</v>
          </cell>
          <cell r="J1201" t="e">
            <v>#N/A</v>
          </cell>
          <cell r="K1201">
            <v>90</v>
          </cell>
          <cell r="L1201">
            <v>50</v>
          </cell>
          <cell r="M1201" t="e">
            <v>#N/A</v>
          </cell>
          <cell r="N1201">
            <v>80</v>
          </cell>
          <cell r="O1201" t="e">
            <v>#N/A</v>
          </cell>
          <cell r="P1201" t="str">
            <v/>
          </cell>
          <cell r="Q1201" t="str">
            <v/>
          </cell>
          <cell r="R1201" t="e">
            <v>#N/A</v>
          </cell>
        </row>
        <row r="1202">
          <cell r="A1202" t="str">
            <v/>
          </cell>
          <cell r="B1202" t="str">
            <v/>
          </cell>
          <cell r="C1202" t="str">
            <v>Future</v>
          </cell>
          <cell r="D1202" t="e">
            <v>#N/A</v>
          </cell>
          <cell r="E1202">
            <v>-97.515354330707794</v>
          </cell>
          <cell r="F1202">
            <v>130.67362204724782</v>
          </cell>
          <cell r="G1202">
            <v>29.256299212598158</v>
          </cell>
          <cell r="H1202">
            <v>29.256299212598158</v>
          </cell>
          <cell r="I1202" t="e">
            <v>#N/A</v>
          </cell>
          <cell r="J1202" t="e">
            <v>#N/A</v>
          </cell>
          <cell r="K1202">
            <v>90</v>
          </cell>
          <cell r="L1202">
            <v>50</v>
          </cell>
          <cell r="M1202" t="e">
            <v>#N/A</v>
          </cell>
          <cell r="N1202">
            <v>80</v>
          </cell>
          <cell r="O1202" t="e">
            <v>#N/A</v>
          </cell>
          <cell r="P1202" t="str">
            <v/>
          </cell>
          <cell r="Q1202" t="str">
            <v/>
          </cell>
          <cell r="R1202" t="e">
            <v>#N/A</v>
          </cell>
        </row>
        <row r="1203">
          <cell r="A1203" t="str">
            <v/>
          </cell>
          <cell r="B1203" t="str">
            <v/>
          </cell>
          <cell r="C1203" t="str">
            <v>Future</v>
          </cell>
          <cell r="D1203" t="e">
            <v>#N/A</v>
          </cell>
          <cell r="E1203">
            <v>-97.765393700786532</v>
          </cell>
          <cell r="F1203">
            <v>130.77791338583049</v>
          </cell>
          <cell r="G1203">
            <v>29.203110236220205</v>
          </cell>
          <cell r="H1203">
            <v>29.203110236220205</v>
          </cell>
          <cell r="I1203" t="e">
            <v>#N/A</v>
          </cell>
          <cell r="J1203" t="e">
            <v>#N/A</v>
          </cell>
          <cell r="K1203">
            <v>90</v>
          </cell>
          <cell r="L1203">
            <v>50</v>
          </cell>
          <cell r="M1203" t="e">
            <v>#N/A</v>
          </cell>
          <cell r="N1203">
            <v>80</v>
          </cell>
          <cell r="O1203" t="e">
            <v>#N/A</v>
          </cell>
          <cell r="P1203" t="str">
            <v/>
          </cell>
          <cell r="Q1203" t="str">
            <v/>
          </cell>
          <cell r="R1203" t="e">
            <v>#N/A</v>
          </cell>
        </row>
        <row r="1204">
          <cell r="A1204" t="str">
            <v/>
          </cell>
          <cell r="B1204" t="str">
            <v/>
          </cell>
          <cell r="C1204" t="str">
            <v>Future</v>
          </cell>
          <cell r="D1204" t="e">
            <v>#N/A</v>
          </cell>
          <cell r="E1204">
            <v>-98.015433070865271</v>
          </cell>
          <cell r="F1204">
            <v>130.88220472441316</v>
          </cell>
          <cell r="G1204">
            <v>29.149921259842252</v>
          </cell>
          <cell r="H1204">
            <v>29.149921259842252</v>
          </cell>
          <cell r="I1204" t="e">
            <v>#N/A</v>
          </cell>
          <cell r="J1204" t="e">
            <v>#N/A</v>
          </cell>
          <cell r="K1204">
            <v>90</v>
          </cell>
          <cell r="L1204">
            <v>50</v>
          </cell>
          <cell r="M1204" t="e">
            <v>#N/A</v>
          </cell>
          <cell r="N1204">
            <v>80</v>
          </cell>
          <cell r="O1204" t="e">
            <v>#N/A</v>
          </cell>
          <cell r="P1204" t="str">
            <v/>
          </cell>
          <cell r="Q1204" t="str">
            <v/>
          </cell>
          <cell r="R1204" t="e">
            <v>#N/A</v>
          </cell>
        </row>
        <row r="1205">
          <cell r="A1205" t="str">
            <v/>
          </cell>
          <cell r="B1205" t="str">
            <v/>
          </cell>
          <cell r="C1205" t="str">
            <v>Future</v>
          </cell>
          <cell r="D1205" t="e">
            <v>#N/A</v>
          </cell>
          <cell r="E1205">
            <v>-98.265472440944009</v>
          </cell>
          <cell r="F1205">
            <v>130.98649606299583</v>
          </cell>
          <cell r="G1205">
            <v>29.096732283464299</v>
          </cell>
          <cell r="H1205">
            <v>29.096732283464299</v>
          </cell>
          <cell r="I1205" t="e">
            <v>#N/A</v>
          </cell>
          <cell r="J1205" t="e">
            <v>#N/A</v>
          </cell>
          <cell r="K1205">
            <v>90</v>
          </cell>
          <cell r="L1205">
            <v>50</v>
          </cell>
          <cell r="M1205" t="e">
            <v>#N/A</v>
          </cell>
          <cell r="N1205">
            <v>80</v>
          </cell>
          <cell r="O1205" t="e">
            <v>#N/A</v>
          </cell>
          <cell r="P1205" t="str">
            <v/>
          </cell>
          <cell r="Q1205" t="str">
            <v/>
          </cell>
          <cell r="R1205" t="e">
            <v>#N/A</v>
          </cell>
        </row>
        <row r="1206">
          <cell r="A1206" t="str">
            <v/>
          </cell>
          <cell r="B1206" t="str">
            <v/>
          </cell>
          <cell r="C1206" t="str">
            <v>Future</v>
          </cell>
          <cell r="D1206" t="e">
            <v>#N/A</v>
          </cell>
          <cell r="E1206">
            <v>-98.515511811022748</v>
          </cell>
          <cell r="F1206">
            <v>131.0907874015785</v>
          </cell>
          <cell r="G1206">
            <v>29.043543307086345</v>
          </cell>
          <cell r="H1206">
            <v>29.043543307086345</v>
          </cell>
          <cell r="I1206" t="e">
            <v>#N/A</v>
          </cell>
          <cell r="J1206" t="e">
            <v>#N/A</v>
          </cell>
          <cell r="K1206">
            <v>90</v>
          </cell>
          <cell r="L1206">
            <v>50</v>
          </cell>
          <cell r="M1206" t="e">
            <v>#N/A</v>
          </cell>
          <cell r="N1206">
            <v>80</v>
          </cell>
          <cell r="O1206" t="e">
            <v>#N/A</v>
          </cell>
          <cell r="P1206" t="str">
            <v/>
          </cell>
          <cell r="Q1206" t="str">
            <v/>
          </cell>
          <cell r="R1206" t="e">
            <v>#N/A</v>
          </cell>
        </row>
        <row r="1207">
          <cell r="A1207" t="str">
            <v/>
          </cell>
          <cell r="B1207" t="str">
            <v/>
          </cell>
          <cell r="C1207" t="str">
            <v>Future</v>
          </cell>
          <cell r="D1207" t="e">
            <v>#N/A</v>
          </cell>
          <cell r="E1207">
            <v>-98.765551181101486</v>
          </cell>
          <cell r="F1207">
            <v>131.19507874016116</v>
          </cell>
          <cell r="G1207">
            <v>28.990354330708392</v>
          </cell>
          <cell r="H1207">
            <v>28.990354330708392</v>
          </cell>
          <cell r="I1207" t="e">
            <v>#N/A</v>
          </cell>
          <cell r="J1207" t="e">
            <v>#N/A</v>
          </cell>
          <cell r="K1207">
            <v>90</v>
          </cell>
          <cell r="L1207">
            <v>50</v>
          </cell>
          <cell r="M1207" t="e">
            <v>#N/A</v>
          </cell>
          <cell r="N1207">
            <v>80</v>
          </cell>
          <cell r="O1207" t="e">
            <v>#N/A</v>
          </cell>
          <cell r="P1207" t="str">
            <v/>
          </cell>
          <cell r="Q1207" t="str">
            <v/>
          </cell>
          <cell r="R1207" t="e">
            <v>#N/A</v>
          </cell>
        </row>
        <row r="1208">
          <cell r="A1208" t="str">
            <v/>
          </cell>
          <cell r="B1208" t="str">
            <v/>
          </cell>
          <cell r="C1208" t="str">
            <v>Future</v>
          </cell>
          <cell r="D1208" t="e">
            <v>#N/A</v>
          </cell>
          <cell r="E1208">
            <v>-99.015590551180225</v>
          </cell>
          <cell r="F1208">
            <v>131.29937007874383</v>
          </cell>
          <cell r="G1208">
            <v>28.937165354330439</v>
          </cell>
          <cell r="H1208">
            <v>28.937165354330439</v>
          </cell>
          <cell r="I1208" t="e">
            <v>#N/A</v>
          </cell>
          <cell r="J1208" t="e">
            <v>#N/A</v>
          </cell>
          <cell r="K1208">
            <v>90</v>
          </cell>
          <cell r="L1208">
            <v>50</v>
          </cell>
          <cell r="M1208" t="e">
            <v>#N/A</v>
          </cell>
          <cell r="N1208">
            <v>80</v>
          </cell>
          <cell r="O1208" t="e">
            <v>#N/A</v>
          </cell>
          <cell r="P1208" t="str">
            <v/>
          </cell>
          <cell r="Q1208" t="str">
            <v/>
          </cell>
          <cell r="R1208" t="e">
            <v>#N/A</v>
          </cell>
        </row>
        <row r="1209">
          <cell r="A1209" t="str">
            <v/>
          </cell>
          <cell r="B1209" t="str">
            <v/>
          </cell>
          <cell r="C1209" t="str">
            <v>Future</v>
          </cell>
          <cell r="D1209" t="e">
            <v>#N/A</v>
          </cell>
          <cell r="E1209">
            <v>-99.265629921258963</v>
          </cell>
          <cell r="F1209">
            <v>131.4036614173265</v>
          </cell>
          <cell r="G1209">
            <v>28.883976377952486</v>
          </cell>
          <cell r="H1209">
            <v>28.883976377952486</v>
          </cell>
          <cell r="I1209" t="e">
            <v>#N/A</v>
          </cell>
          <cell r="J1209" t="e">
            <v>#N/A</v>
          </cell>
          <cell r="K1209">
            <v>90</v>
          </cell>
          <cell r="L1209">
            <v>50</v>
          </cell>
          <cell r="M1209" t="e">
            <v>#N/A</v>
          </cell>
          <cell r="N1209">
            <v>80</v>
          </cell>
          <cell r="O1209" t="e">
            <v>#N/A</v>
          </cell>
          <cell r="P1209" t="str">
            <v/>
          </cell>
          <cell r="Q1209" t="str">
            <v/>
          </cell>
          <cell r="R1209" t="e">
            <v>#N/A</v>
          </cell>
        </row>
        <row r="1210">
          <cell r="A1210" t="str">
            <v/>
          </cell>
          <cell r="B1210" t="str">
            <v/>
          </cell>
          <cell r="C1210" t="str">
            <v>Future</v>
          </cell>
          <cell r="D1210" t="e">
            <v>#N/A</v>
          </cell>
          <cell r="E1210">
            <v>-99.515669291337701</v>
          </cell>
          <cell r="F1210">
            <v>131.50795275590917</v>
          </cell>
          <cell r="G1210">
            <v>28.830787401574533</v>
          </cell>
          <cell r="H1210">
            <v>28.830787401574533</v>
          </cell>
          <cell r="I1210" t="e">
            <v>#N/A</v>
          </cell>
          <cell r="J1210" t="e">
            <v>#N/A</v>
          </cell>
          <cell r="K1210">
            <v>90</v>
          </cell>
          <cell r="L1210">
            <v>50</v>
          </cell>
          <cell r="M1210" t="e">
            <v>#N/A</v>
          </cell>
          <cell r="N1210">
            <v>80</v>
          </cell>
          <cell r="O1210" t="e">
            <v>#N/A</v>
          </cell>
          <cell r="P1210" t="str">
            <v/>
          </cell>
          <cell r="Q1210" t="str">
            <v/>
          </cell>
          <cell r="R1210" t="e">
            <v>#N/A</v>
          </cell>
        </row>
        <row r="1211">
          <cell r="A1211" t="str">
            <v/>
          </cell>
          <cell r="B1211" t="str">
            <v/>
          </cell>
          <cell r="C1211" t="str">
            <v>Future</v>
          </cell>
          <cell r="D1211" t="e">
            <v>#N/A</v>
          </cell>
          <cell r="E1211">
            <v>-99.76570866141644</v>
          </cell>
          <cell r="F1211">
            <v>131.61224409449184</v>
          </cell>
          <cell r="G1211">
            <v>28.77759842519658</v>
          </cell>
          <cell r="H1211">
            <v>28.77759842519658</v>
          </cell>
          <cell r="I1211" t="e">
            <v>#N/A</v>
          </cell>
          <cell r="J1211" t="e">
            <v>#N/A</v>
          </cell>
          <cell r="K1211">
            <v>90</v>
          </cell>
          <cell r="L1211">
            <v>50</v>
          </cell>
          <cell r="M1211" t="e">
            <v>#N/A</v>
          </cell>
          <cell r="N1211">
            <v>80</v>
          </cell>
          <cell r="O1211" t="e">
            <v>#N/A</v>
          </cell>
          <cell r="P1211" t="str">
            <v/>
          </cell>
          <cell r="Q1211" t="str">
            <v/>
          </cell>
          <cell r="R1211" t="e">
            <v>#N/A</v>
          </cell>
        </row>
        <row r="1212">
          <cell r="A1212" t="str">
            <v/>
          </cell>
          <cell r="B1212" t="str">
            <v/>
          </cell>
          <cell r="C1212" t="str">
            <v>Future</v>
          </cell>
          <cell r="D1212" t="e">
            <v>#N/A</v>
          </cell>
          <cell r="E1212">
            <v>-100.01574803149518</v>
          </cell>
          <cell r="F1212">
            <v>131.71653543307451</v>
          </cell>
          <cell r="G1212">
            <v>28.724409448818626</v>
          </cell>
          <cell r="H1212">
            <v>28.724409448818626</v>
          </cell>
          <cell r="I1212" t="e">
            <v>#N/A</v>
          </cell>
          <cell r="J1212" t="e">
            <v>#N/A</v>
          </cell>
          <cell r="K1212">
            <v>90</v>
          </cell>
          <cell r="L1212">
            <v>50</v>
          </cell>
          <cell r="M1212" t="e">
            <v>#N/A</v>
          </cell>
          <cell r="N1212">
            <v>80</v>
          </cell>
          <cell r="O1212" t="e">
            <v>#N/A</v>
          </cell>
          <cell r="P1212" t="str">
            <v/>
          </cell>
          <cell r="Q1212" t="str">
            <v/>
          </cell>
          <cell r="R1212" t="e">
            <v>#N/A</v>
          </cell>
        </row>
        <row r="1213">
          <cell r="A1213" t="str">
            <v/>
          </cell>
          <cell r="B1213" t="str">
            <v/>
          </cell>
          <cell r="C1213" t="str">
            <v>Future</v>
          </cell>
          <cell r="D1213" t="e">
            <v>#N/A</v>
          </cell>
          <cell r="E1213">
            <v>-100.26578740157392</v>
          </cell>
          <cell r="F1213">
            <v>131.82082677165718</v>
          </cell>
          <cell r="G1213">
            <v>28.671220472440673</v>
          </cell>
          <cell r="H1213">
            <v>28.671220472440673</v>
          </cell>
          <cell r="I1213" t="e">
            <v>#N/A</v>
          </cell>
          <cell r="J1213" t="e">
            <v>#N/A</v>
          </cell>
          <cell r="K1213">
            <v>90</v>
          </cell>
          <cell r="L1213">
            <v>50</v>
          </cell>
          <cell r="M1213" t="e">
            <v>#N/A</v>
          </cell>
          <cell r="N1213">
            <v>80</v>
          </cell>
          <cell r="O1213" t="e">
            <v>#N/A</v>
          </cell>
          <cell r="P1213" t="str">
            <v/>
          </cell>
          <cell r="Q1213" t="str">
            <v/>
          </cell>
          <cell r="R1213" t="e">
            <v>#N/A</v>
          </cell>
        </row>
        <row r="1214">
          <cell r="A1214" t="str">
            <v/>
          </cell>
          <cell r="B1214" t="str">
            <v/>
          </cell>
          <cell r="C1214" t="str">
            <v>Future</v>
          </cell>
          <cell r="D1214" t="e">
            <v>#N/A</v>
          </cell>
          <cell r="E1214">
            <v>-100.51582677165266</v>
          </cell>
          <cell r="F1214">
            <v>131.92511811023985</v>
          </cell>
          <cell r="G1214">
            <v>28.61803149606272</v>
          </cell>
          <cell r="H1214">
            <v>28.61803149606272</v>
          </cell>
          <cell r="I1214" t="e">
            <v>#N/A</v>
          </cell>
          <cell r="J1214" t="e">
            <v>#N/A</v>
          </cell>
          <cell r="K1214">
            <v>90</v>
          </cell>
          <cell r="L1214">
            <v>50</v>
          </cell>
          <cell r="M1214" t="e">
            <v>#N/A</v>
          </cell>
          <cell r="N1214">
            <v>80</v>
          </cell>
          <cell r="O1214" t="e">
            <v>#N/A</v>
          </cell>
          <cell r="P1214" t="str">
            <v/>
          </cell>
          <cell r="Q1214" t="str">
            <v/>
          </cell>
          <cell r="R1214" t="e">
            <v>#N/A</v>
          </cell>
        </row>
        <row r="1215">
          <cell r="A1215" t="str">
            <v/>
          </cell>
          <cell r="B1215" t="str">
            <v/>
          </cell>
          <cell r="C1215" t="str">
            <v>Future</v>
          </cell>
          <cell r="D1215" t="e">
            <v>#N/A</v>
          </cell>
          <cell r="E1215">
            <v>-100.76586614173139</v>
          </cell>
          <cell r="F1215">
            <v>132.02940944882252</v>
          </cell>
          <cell r="G1215">
            <v>28.564842519684767</v>
          </cell>
          <cell r="H1215">
            <v>28.564842519684767</v>
          </cell>
          <cell r="I1215" t="e">
            <v>#N/A</v>
          </cell>
          <cell r="J1215" t="e">
            <v>#N/A</v>
          </cell>
          <cell r="K1215">
            <v>90</v>
          </cell>
          <cell r="L1215">
            <v>50</v>
          </cell>
          <cell r="M1215" t="e">
            <v>#N/A</v>
          </cell>
          <cell r="N1215">
            <v>80</v>
          </cell>
          <cell r="O1215" t="e">
            <v>#N/A</v>
          </cell>
          <cell r="P1215" t="str">
            <v/>
          </cell>
          <cell r="Q1215" t="str">
            <v/>
          </cell>
          <cell r="R1215" t="e">
            <v>#N/A</v>
          </cell>
        </row>
        <row r="1216">
          <cell r="A1216" t="str">
            <v/>
          </cell>
          <cell r="B1216" t="str">
            <v/>
          </cell>
          <cell r="C1216" t="str">
            <v>Future</v>
          </cell>
          <cell r="D1216" t="e">
            <v>#N/A</v>
          </cell>
          <cell r="E1216">
            <v>-101.01590551181013</v>
          </cell>
          <cell r="F1216">
            <v>132.13370078740519</v>
          </cell>
          <cell r="G1216">
            <v>28.511653543306814</v>
          </cell>
          <cell r="H1216">
            <v>28.511653543306814</v>
          </cell>
          <cell r="I1216" t="e">
            <v>#N/A</v>
          </cell>
          <cell r="J1216" t="e">
            <v>#N/A</v>
          </cell>
          <cell r="K1216">
            <v>90</v>
          </cell>
          <cell r="L1216">
            <v>50</v>
          </cell>
          <cell r="M1216" t="e">
            <v>#N/A</v>
          </cell>
          <cell r="N1216">
            <v>80</v>
          </cell>
          <cell r="O1216" t="e">
            <v>#N/A</v>
          </cell>
          <cell r="P1216" t="str">
            <v/>
          </cell>
          <cell r="Q1216" t="str">
            <v/>
          </cell>
          <cell r="R1216" t="e">
            <v>#N/A</v>
          </cell>
        </row>
        <row r="1217">
          <cell r="A1217" t="str">
            <v/>
          </cell>
          <cell r="B1217" t="str">
            <v/>
          </cell>
          <cell r="C1217" t="str">
            <v>Future</v>
          </cell>
          <cell r="D1217" t="e">
            <v>#N/A</v>
          </cell>
          <cell r="E1217">
            <v>-101.26594488188887</v>
          </cell>
          <cell r="F1217">
            <v>132.23799212598786</v>
          </cell>
          <cell r="G1217">
            <v>28.458464566928861</v>
          </cell>
          <cell r="H1217">
            <v>28.458464566928861</v>
          </cell>
          <cell r="I1217" t="e">
            <v>#N/A</v>
          </cell>
          <cell r="J1217" t="e">
            <v>#N/A</v>
          </cell>
          <cell r="K1217">
            <v>90</v>
          </cell>
          <cell r="L1217">
            <v>50</v>
          </cell>
          <cell r="M1217" t="e">
            <v>#N/A</v>
          </cell>
          <cell r="N1217">
            <v>80</v>
          </cell>
          <cell r="O1217" t="e">
            <v>#N/A</v>
          </cell>
          <cell r="P1217" t="str">
            <v/>
          </cell>
          <cell r="Q1217" t="str">
            <v/>
          </cell>
          <cell r="R1217" t="e">
            <v>#N/A</v>
          </cell>
        </row>
        <row r="1218">
          <cell r="A1218" t="str">
            <v/>
          </cell>
          <cell r="B1218" t="str">
            <v/>
          </cell>
          <cell r="C1218" t="str">
            <v>Future</v>
          </cell>
          <cell r="D1218" t="e">
            <v>#N/A</v>
          </cell>
          <cell r="E1218">
            <v>-101.51598425196761</v>
          </cell>
          <cell r="F1218">
            <v>132.34228346457053</v>
          </cell>
          <cell r="G1218">
            <v>28.405275590550907</v>
          </cell>
          <cell r="H1218">
            <v>28.405275590550907</v>
          </cell>
          <cell r="I1218" t="e">
            <v>#N/A</v>
          </cell>
          <cell r="J1218" t="e">
            <v>#N/A</v>
          </cell>
          <cell r="K1218">
            <v>90</v>
          </cell>
          <cell r="L1218">
            <v>50</v>
          </cell>
          <cell r="M1218" t="e">
            <v>#N/A</v>
          </cell>
          <cell r="N1218">
            <v>80</v>
          </cell>
          <cell r="O1218" t="e">
            <v>#N/A</v>
          </cell>
          <cell r="P1218" t="str">
            <v/>
          </cell>
          <cell r="Q1218" t="str">
            <v/>
          </cell>
          <cell r="R1218" t="e">
            <v>#N/A</v>
          </cell>
        </row>
        <row r="1219">
          <cell r="A1219" t="str">
            <v/>
          </cell>
          <cell r="B1219" t="str">
            <v/>
          </cell>
          <cell r="C1219" t="str">
            <v>Future</v>
          </cell>
          <cell r="D1219" t="e">
            <v>#N/A</v>
          </cell>
          <cell r="E1219">
            <v>-101.76602362204635</v>
          </cell>
          <cell r="F1219">
            <v>132.4465748031532</v>
          </cell>
          <cell r="G1219">
            <v>28.352086614172954</v>
          </cell>
          <cell r="H1219">
            <v>28.352086614172954</v>
          </cell>
          <cell r="I1219" t="e">
            <v>#N/A</v>
          </cell>
          <cell r="J1219" t="e">
            <v>#N/A</v>
          </cell>
          <cell r="K1219">
            <v>90</v>
          </cell>
          <cell r="L1219">
            <v>50</v>
          </cell>
          <cell r="M1219" t="e">
            <v>#N/A</v>
          </cell>
          <cell r="N1219">
            <v>80</v>
          </cell>
          <cell r="O1219" t="e">
            <v>#N/A</v>
          </cell>
          <cell r="P1219" t="str">
            <v/>
          </cell>
          <cell r="Q1219" t="str">
            <v/>
          </cell>
          <cell r="R1219" t="e">
            <v>#N/A</v>
          </cell>
        </row>
        <row r="1220">
          <cell r="A1220" t="str">
            <v/>
          </cell>
          <cell r="B1220" t="str">
            <v/>
          </cell>
          <cell r="C1220" t="str">
            <v>Future</v>
          </cell>
          <cell r="D1220" t="e">
            <v>#N/A</v>
          </cell>
          <cell r="E1220">
            <v>-102.01606299212509</v>
          </cell>
          <cell r="F1220">
            <v>132.55086614173587</v>
          </cell>
          <cell r="G1220">
            <v>28.298897637795001</v>
          </cell>
          <cell r="H1220">
            <v>28.298897637795001</v>
          </cell>
          <cell r="I1220" t="e">
            <v>#N/A</v>
          </cell>
          <cell r="J1220" t="e">
            <v>#N/A</v>
          </cell>
          <cell r="K1220">
            <v>90</v>
          </cell>
          <cell r="L1220">
            <v>50</v>
          </cell>
          <cell r="M1220" t="e">
            <v>#N/A</v>
          </cell>
          <cell r="N1220">
            <v>80</v>
          </cell>
          <cell r="O1220" t="e">
            <v>#N/A</v>
          </cell>
          <cell r="P1220" t="str">
            <v/>
          </cell>
          <cell r="Q1220" t="str">
            <v/>
          </cell>
          <cell r="R1220" t="e">
            <v>#N/A</v>
          </cell>
        </row>
        <row r="1221">
          <cell r="A1221" t="str">
            <v/>
          </cell>
          <cell r="B1221" t="str">
            <v/>
          </cell>
          <cell r="C1221" t="str">
            <v>Future</v>
          </cell>
          <cell r="D1221" t="e">
            <v>#N/A</v>
          </cell>
          <cell r="E1221">
            <v>-102.26610236220382</v>
          </cell>
          <cell r="F1221">
            <v>132.65515748031854</v>
          </cell>
          <cell r="G1221">
            <v>28.245708661417048</v>
          </cell>
          <cell r="H1221">
            <v>28.245708661417048</v>
          </cell>
          <cell r="I1221" t="e">
            <v>#N/A</v>
          </cell>
          <cell r="J1221" t="e">
            <v>#N/A</v>
          </cell>
          <cell r="K1221">
            <v>90</v>
          </cell>
          <cell r="L1221">
            <v>50</v>
          </cell>
          <cell r="M1221" t="e">
            <v>#N/A</v>
          </cell>
          <cell r="N1221">
            <v>80</v>
          </cell>
          <cell r="O1221" t="e">
            <v>#N/A</v>
          </cell>
          <cell r="P1221" t="str">
            <v/>
          </cell>
          <cell r="Q1221" t="str">
            <v/>
          </cell>
          <cell r="R1221" t="e">
            <v>#N/A</v>
          </cell>
        </row>
        <row r="1222">
          <cell r="A1222" t="str">
            <v/>
          </cell>
          <cell r="B1222" t="str">
            <v/>
          </cell>
          <cell r="C1222" t="str">
            <v>Future</v>
          </cell>
          <cell r="D1222" t="e">
            <v>#N/A</v>
          </cell>
          <cell r="E1222">
            <v>-102.51614173228256</v>
          </cell>
          <cell r="F1222">
            <v>132.75944881890121</v>
          </cell>
          <cell r="G1222">
            <v>28.192519685039095</v>
          </cell>
          <cell r="H1222">
            <v>28.192519685039095</v>
          </cell>
          <cell r="I1222" t="e">
            <v>#N/A</v>
          </cell>
          <cell r="J1222" t="e">
            <v>#N/A</v>
          </cell>
          <cell r="K1222">
            <v>90</v>
          </cell>
          <cell r="L1222">
            <v>50</v>
          </cell>
          <cell r="M1222" t="e">
            <v>#N/A</v>
          </cell>
          <cell r="N1222">
            <v>80</v>
          </cell>
          <cell r="O1222" t="e">
            <v>#N/A</v>
          </cell>
          <cell r="P1222" t="str">
            <v/>
          </cell>
          <cell r="Q1222" t="str">
            <v/>
          </cell>
          <cell r="R1222" t="e">
            <v>#N/A</v>
          </cell>
        </row>
        <row r="1223">
          <cell r="A1223" t="str">
            <v/>
          </cell>
          <cell r="B1223" t="str">
            <v/>
          </cell>
          <cell r="C1223" t="str">
            <v>Future</v>
          </cell>
          <cell r="D1223" t="e">
            <v>#N/A</v>
          </cell>
          <cell r="E1223">
            <v>-102.7661811023613</v>
          </cell>
          <cell r="F1223">
            <v>132.86374015748387</v>
          </cell>
          <cell r="G1223">
            <v>28.139330708661142</v>
          </cell>
          <cell r="H1223">
            <v>28.139330708661142</v>
          </cell>
          <cell r="I1223" t="e">
            <v>#N/A</v>
          </cell>
          <cell r="J1223" t="e">
            <v>#N/A</v>
          </cell>
          <cell r="K1223">
            <v>90</v>
          </cell>
          <cell r="L1223">
            <v>50</v>
          </cell>
          <cell r="M1223" t="e">
            <v>#N/A</v>
          </cell>
          <cell r="N1223">
            <v>80</v>
          </cell>
          <cell r="O1223" t="e">
            <v>#N/A</v>
          </cell>
          <cell r="P1223" t="str">
            <v/>
          </cell>
          <cell r="Q1223" t="str">
            <v/>
          </cell>
          <cell r="R1223" t="e">
            <v>#N/A</v>
          </cell>
        </row>
        <row r="1224">
          <cell r="A1224" t="str">
            <v/>
          </cell>
          <cell r="B1224" t="str">
            <v/>
          </cell>
          <cell r="C1224" t="str">
            <v>Future</v>
          </cell>
          <cell r="D1224" t="e">
            <v>#N/A</v>
          </cell>
          <cell r="E1224">
            <v>-103.01622047244004</v>
          </cell>
          <cell r="F1224">
            <v>132.96803149606654</v>
          </cell>
          <cell r="G1224">
            <v>28.086141732283188</v>
          </cell>
          <cell r="H1224">
            <v>28.086141732283188</v>
          </cell>
          <cell r="I1224" t="e">
            <v>#N/A</v>
          </cell>
          <cell r="J1224" t="e">
            <v>#N/A</v>
          </cell>
          <cell r="K1224">
            <v>90</v>
          </cell>
          <cell r="L1224">
            <v>50</v>
          </cell>
          <cell r="M1224" t="e">
            <v>#N/A</v>
          </cell>
          <cell r="N1224">
            <v>80</v>
          </cell>
          <cell r="O1224" t="e">
            <v>#N/A</v>
          </cell>
          <cell r="P1224" t="str">
            <v/>
          </cell>
          <cell r="Q1224" t="str">
            <v/>
          </cell>
          <cell r="R1224" t="e">
            <v>#N/A</v>
          </cell>
        </row>
        <row r="1225">
          <cell r="A1225" t="str">
            <v/>
          </cell>
          <cell r="B1225" t="str">
            <v/>
          </cell>
          <cell r="C1225" t="str">
            <v>Future</v>
          </cell>
          <cell r="D1225" t="e">
            <v>#N/A</v>
          </cell>
          <cell r="E1225">
            <v>-103.26625984251878</v>
          </cell>
          <cell r="F1225">
            <v>133.07232283464921</v>
          </cell>
          <cell r="G1225">
            <v>28.032952755905235</v>
          </cell>
          <cell r="H1225">
            <v>28.032952755905235</v>
          </cell>
          <cell r="I1225" t="e">
            <v>#N/A</v>
          </cell>
          <cell r="J1225" t="e">
            <v>#N/A</v>
          </cell>
          <cell r="K1225">
            <v>90</v>
          </cell>
          <cell r="L1225">
            <v>50</v>
          </cell>
          <cell r="M1225" t="e">
            <v>#N/A</v>
          </cell>
          <cell r="N1225">
            <v>80</v>
          </cell>
          <cell r="O1225" t="e">
            <v>#N/A</v>
          </cell>
          <cell r="P1225" t="str">
            <v/>
          </cell>
          <cell r="Q1225" t="str">
            <v/>
          </cell>
          <cell r="R1225" t="e">
            <v>#N/A</v>
          </cell>
        </row>
        <row r="1226">
          <cell r="A1226" t="str">
            <v/>
          </cell>
          <cell r="B1226" t="str">
            <v/>
          </cell>
          <cell r="C1226" t="str">
            <v>Future</v>
          </cell>
          <cell r="D1226" t="e">
            <v>#N/A</v>
          </cell>
          <cell r="E1226">
            <v>-103.51629921259752</v>
          </cell>
          <cell r="F1226">
            <v>133.17661417323188</v>
          </cell>
          <cell r="G1226">
            <v>27.979763779527282</v>
          </cell>
          <cell r="H1226">
            <v>27.979763779527282</v>
          </cell>
          <cell r="I1226" t="e">
            <v>#N/A</v>
          </cell>
          <cell r="J1226" t="e">
            <v>#N/A</v>
          </cell>
          <cell r="K1226">
            <v>90</v>
          </cell>
          <cell r="L1226">
            <v>50</v>
          </cell>
          <cell r="M1226" t="e">
            <v>#N/A</v>
          </cell>
          <cell r="N1226">
            <v>80</v>
          </cell>
          <cell r="O1226" t="e">
            <v>#N/A</v>
          </cell>
          <cell r="P1226" t="str">
            <v/>
          </cell>
          <cell r="Q1226" t="str">
            <v/>
          </cell>
          <cell r="R1226" t="e">
            <v>#N/A</v>
          </cell>
        </row>
        <row r="1227">
          <cell r="A1227" t="str">
            <v/>
          </cell>
          <cell r="B1227" t="str">
            <v/>
          </cell>
          <cell r="C1227" t="str">
            <v>Future</v>
          </cell>
          <cell r="D1227" t="e">
            <v>#N/A</v>
          </cell>
          <cell r="E1227">
            <v>-103.76633858267625</v>
          </cell>
          <cell r="F1227">
            <v>133.28090551181455</v>
          </cell>
          <cell r="G1227">
            <v>27.926574803149329</v>
          </cell>
          <cell r="H1227">
            <v>27.926574803149329</v>
          </cell>
          <cell r="I1227" t="e">
            <v>#N/A</v>
          </cell>
          <cell r="J1227" t="e">
            <v>#N/A</v>
          </cell>
          <cell r="K1227">
            <v>90</v>
          </cell>
          <cell r="L1227">
            <v>50</v>
          </cell>
          <cell r="M1227" t="e">
            <v>#N/A</v>
          </cell>
          <cell r="N1227">
            <v>80</v>
          </cell>
          <cell r="O1227" t="e">
            <v>#N/A</v>
          </cell>
          <cell r="P1227" t="str">
            <v/>
          </cell>
          <cell r="Q1227" t="str">
            <v/>
          </cell>
          <cell r="R1227" t="e">
            <v>#N/A</v>
          </cell>
        </row>
        <row r="1228">
          <cell r="A1228" t="str">
            <v/>
          </cell>
          <cell r="B1228" t="str">
            <v/>
          </cell>
          <cell r="C1228" t="str">
            <v>Future</v>
          </cell>
          <cell r="D1228" t="e">
            <v>#N/A</v>
          </cell>
          <cell r="E1228">
            <v>-104.01637795275499</v>
          </cell>
          <cell r="F1228">
            <v>133.38519685039722</v>
          </cell>
          <cell r="G1228">
            <v>27.873385826771376</v>
          </cell>
          <cell r="H1228">
            <v>27.873385826771376</v>
          </cell>
          <cell r="I1228" t="e">
            <v>#N/A</v>
          </cell>
          <cell r="J1228" t="e">
            <v>#N/A</v>
          </cell>
          <cell r="K1228">
            <v>90</v>
          </cell>
          <cell r="L1228">
            <v>50</v>
          </cell>
          <cell r="M1228" t="e">
            <v>#N/A</v>
          </cell>
          <cell r="N1228">
            <v>80</v>
          </cell>
          <cell r="O1228" t="e">
            <v>#N/A</v>
          </cell>
          <cell r="P1228" t="str">
            <v/>
          </cell>
          <cell r="Q1228" t="str">
            <v/>
          </cell>
          <cell r="R1228" t="e">
            <v>#N/A</v>
          </cell>
        </row>
        <row r="1229">
          <cell r="A1229" t="str">
            <v/>
          </cell>
          <cell r="B1229" t="str">
            <v/>
          </cell>
          <cell r="C1229" t="str">
            <v>Future</v>
          </cell>
          <cell r="D1229" t="e">
            <v>#N/A</v>
          </cell>
          <cell r="E1229">
            <v>-104.26641732283373</v>
          </cell>
          <cell r="F1229">
            <v>133.48948818897989</v>
          </cell>
          <cell r="G1229">
            <v>27.820196850393422</v>
          </cell>
          <cell r="H1229">
            <v>27.820196850393422</v>
          </cell>
          <cell r="I1229" t="e">
            <v>#N/A</v>
          </cell>
          <cell r="J1229" t="e">
            <v>#N/A</v>
          </cell>
          <cell r="K1229">
            <v>90</v>
          </cell>
          <cell r="L1229">
            <v>50</v>
          </cell>
          <cell r="M1229" t="e">
            <v>#N/A</v>
          </cell>
          <cell r="N1229">
            <v>80</v>
          </cell>
          <cell r="O1229" t="e">
            <v>#N/A</v>
          </cell>
          <cell r="P1229" t="str">
            <v/>
          </cell>
          <cell r="Q1229" t="str">
            <v/>
          </cell>
          <cell r="R1229" t="e">
            <v>#N/A</v>
          </cell>
        </row>
        <row r="1230">
          <cell r="A1230" t="str">
            <v/>
          </cell>
          <cell r="B1230" t="str">
            <v/>
          </cell>
          <cell r="C1230" t="str">
            <v>Future</v>
          </cell>
          <cell r="D1230" t="e">
            <v>#N/A</v>
          </cell>
          <cell r="E1230">
            <v>-104.51645669291247</v>
          </cell>
          <cell r="F1230">
            <v>133.59377952756256</v>
          </cell>
          <cell r="G1230">
            <v>27.767007874015469</v>
          </cell>
          <cell r="H1230">
            <v>27.767007874015469</v>
          </cell>
          <cell r="I1230" t="e">
            <v>#N/A</v>
          </cell>
          <cell r="J1230" t="e">
            <v>#N/A</v>
          </cell>
          <cell r="K1230">
            <v>90</v>
          </cell>
          <cell r="L1230">
            <v>50</v>
          </cell>
          <cell r="M1230" t="e">
            <v>#N/A</v>
          </cell>
          <cell r="N1230">
            <v>80</v>
          </cell>
          <cell r="O1230" t="e">
            <v>#N/A</v>
          </cell>
          <cell r="P1230" t="str">
            <v/>
          </cell>
          <cell r="Q1230" t="str">
            <v/>
          </cell>
          <cell r="R1230" t="e">
            <v>#N/A</v>
          </cell>
        </row>
        <row r="1231">
          <cell r="A1231" t="str">
            <v/>
          </cell>
          <cell r="B1231" t="str">
            <v/>
          </cell>
          <cell r="C1231" t="str">
            <v>Future</v>
          </cell>
          <cell r="D1231" t="e">
            <v>#N/A</v>
          </cell>
          <cell r="E1231">
            <v>-104.76649606299121</v>
          </cell>
          <cell r="F1231">
            <v>133.69807086614523</v>
          </cell>
          <cell r="G1231">
            <v>27.713818897637516</v>
          </cell>
          <cell r="H1231">
            <v>27.713818897637516</v>
          </cell>
          <cell r="I1231" t="e">
            <v>#N/A</v>
          </cell>
          <cell r="J1231" t="e">
            <v>#N/A</v>
          </cell>
          <cell r="K1231">
            <v>90</v>
          </cell>
          <cell r="L1231">
            <v>50</v>
          </cell>
          <cell r="M1231" t="e">
            <v>#N/A</v>
          </cell>
          <cell r="N1231">
            <v>80</v>
          </cell>
          <cell r="O1231" t="e">
            <v>#N/A</v>
          </cell>
          <cell r="P1231" t="str">
            <v/>
          </cell>
          <cell r="Q1231" t="str">
            <v/>
          </cell>
          <cell r="R1231" t="e">
            <v>#N/A</v>
          </cell>
        </row>
        <row r="1232">
          <cell r="A1232" t="str">
            <v/>
          </cell>
          <cell r="B1232" t="str">
            <v/>
          </cell>
          <cell r="C1232" t="str">
            <v>Future</v>
          </cell>
          <cell r="D1232" t="e">
            <v>#N/A</v>
          </cell>
          <cell r="E1232">
            <v>-105.01653543306995</v>
          </cell>
          <cell r="F1232">
            <v>133.8023622047279</v>
          </cell>
          <cell r="G1232">
            <v>27.660629921259563</v>
          </cell>
          <cell r="H1232">
            <v>27.660629921259563</v>
          </cell>
          <cell r="I1232" t="e">
            <v>#N/A</v>
          </cell>
          <cell r="J1232" t="e">
            <v>#N/A</v>
          </cell>
          <cell r="K1232">
            <v>90</v>
          </cell>
          <cell r="L1232">
            <v>50</v>
          </cell>
          <cell r="M1232" t="e">
            <v>#N/A</v>
          </cell>
          <cell r="N1232">
            <v>80</v>
          </cell>
          <cell r="O1232" t="e">
            <v>#N/A</v>
          </cell>
          <cell r="P1232" t="str">
            <v/>
          </cell>
          <cell r="Q1232" t="str">
            <v/>
          </cell>
          <cell r="R1232" t="e">
            <v>#N/A</v>
          </cell>
        </row>
        <row r="1233">
          <cell r="A1233" t="str">
            <v/>
          </cell>
          <cell r="B1233" t="str">
            <v/>
          </cell>
          <cell r="C1233" t="str">
            <v>Future</v>
          </cell>
          <cell r="D1233" t="e">
            <v>#N/A</v>
          </cell>
          <cell r="E1233">
            <v>-105.26657480314869</v>
          </cell>
          <cell r="F1233">
            <v>133.90665354331057</v>
          </cell>
          <cell r="G1233">
            <v>27.60744094488161</v>
          </cell>
          <cell r="H1233">
            <v>27.60744094488161</v>
          </cell>
          <cell r="I1233" t="e">
            <v>#N/A</v>
          </cell>
          <cell r="J1233" t="e">
            <v>#N/A</v>
          </cell>
          <cell r="K1233">
            <v>90</v>
          </cell>
          <cell r="L1233">
            <v>50</v>
          </cell>
          <cell r="M1233" t="e">
            <v>#N/A</v>
          </cell>
          <cell r="N1233">
            <v>80</v>
          </cell>
          <cell r="O1233" t="e">
            <v>#N/A</v>
          </cell>
          <cell r="P1233" t="str">
            <v/>
          </cell>
          <cell r="Q1233" t="str">
            <v/>
          </cell>
          <cell r="R1233" t="e">
            <v>#N/A</v>
          </cell>
        </row>
        <row r="1234">
          <cell r="A1234" t="str">
            <v/>
          </cell>
          <cell r="B1234" t="str">
            <v/>
          </cell>
          <cell r="C1234" t="str">
            <v>Future</v>
          </cell>
          <cell r="D1234" t="e">
            <v>#N/A</v>
          </cell>
          <cell r="E1234">
            <v>-105.51661417322742</v>
          </cell>
          <cell r="F1234">
            <v>134.01094488189324</v>
          </cell>
          <cell r="G1234">
            <v>27.554251968503657</v>
          </cell>
          <cell r="H1234">
            <v>27.554251968503657</v>
          </cell>
          <cell r="I1234" t="e">
            <v>#N/A</v>
          </cell>
          <cell r="J1234" t="e">
            <v>#N/A</v>
          </cell>
          <cell r="K1234">
            <v>90</v>
          </cell>
          <cell r="L1234">
            <v>50</v>
          </cell>
          <cell r="M1234" t="e">
            <v>#N/A</v>
          </cell>
          <cell r="N1234">
            <v>80</v>
          </cell>
          <cell r="O1234" t="e">
            <v>#N/A</v>
          </cell>
          <cell r="P1234" t="str">
            <v/>
          </cell>
          <cell r="Q1234" t="str">
            <v/>
          </cell>
          <cell r="R1234" t="e">
            <v>#N/A</v>
          </cell>
        </row>
        <row r="1235">
          <cell r="A1235" t="str">
            <v/>
          </cell>
          <cell r="B1235" t="str">
            <v/>
          </cell>
          <cell r="C1235" t="str">
            <v>Future</v>
          </cell>
          <cell r="D1235" t="e">
            <v>#N/A</v>
          </cell>
          <cell r="E1235">
            <v>-105.76665354330616</v>
          </cell>
          <cell r="F1235">
            <v>134.11523622047591</v>
          </cell>
          <cell r="G1235">
            <v>27.501062992125703</v>
          </cell>
          <cell r="H1235">
            <v>27.501062992125703</v>
          </cell>
          <cell r="I1235" t="e">
            <v>#N/A</v>
          </cell>
          <cell r="J1235" t="e">
            <v>#N/A</v>
          </cell>
          <cell r="K1235">
            <v>90</v>
          </cell>
          <cell r="L1235">
            <v>50</v>
          </cell>
          <cell r="M1235" t="e">
            <v>#N/A</v>
          </cell>
          <cell r="N1235">
            <v>80</v>
          </cell>
          <cell r="O1235" t="e">
            <v>#N/A</v>
          </cell>
          <cell r="P1235" t="str">
            <v/>
          </cell>
          <cell r="Q1235" t="str">
            <v/>
          </cell>
          <cell r="R1235" t="e">
            <v>#N/A</v>
          </cell>
        </row>
        <row r="1236">
          <cell r="A1236" t="str">
            <v/>
          </cell>
          <cell r="B1236" t="str">
            <v/>
          </cell>
          <cell r="C1236" t="str">
            <v>Future</v>
          </cell>
          <cell r="D1236" t="e">
            <v>#N/A</v>
          </cell>
          <cell r="E1236">
            <v>-106.0166929133849</v>
          </cell>
          <cell r="F1236">
            <v>134.21952755905858</v>
          </cell>
          <cell r="G1236">
            <v>27.44787401574775</v>
          </cell>
          <cell r="H1236">
            <v>27.44787401574775</v>
          </cell>
          <cell r="I1236" t="e">
            <v>#N/A</v>
          </cell>
          <cell r="J1236" t="e">
            <v>#N/A</v>
          </cell>
          <cell r="K1236">
            <v>90</v>
          </cell>
          <cell r="L1236">
            <v>50</v>
          </cell>
          <cell r="M1236" t="e">
            <v>#N/A</v>
          </cell>
          <cell r="N1236">
            <v>80</v>
          </cell>
          <cell r="O1236" t="e">
            <v>#N/A</v>
          </cell>
          <cell r="P1236" t="str">
            <v/>
          </cell>
          <cell r="Q1236" t="str">
            <v/>
          </cell>
          <cell r="R1236" t="e">
            <v>#N/A</v>
          </cell>
        </row>
        <row r="1237">
          <cell r="A1237" t="str">
            <v/>
          </cell>
          <cell r="B1237" t="str">
            <v/>
          </cell>
          <cell r="C1237" t="str">
            <v>Future</v>
          </cell>
          <cell r="D1237" t="e">
            <v>#N/A</v>
          </cell>
          <cell r="E1237">
            <v>-106.26673228346364</v>
          </cell>
          <cell r="F1237">
            <v>134.32381889764125</v>
          </cell>
          <cell r="G1237">
            <v>27.394685039369797</v>
          </cell>
          <cell r="H1237">
            <v>27.394685039369797</v>
          </cell>
          <cell r="I1237" t="e">
            <v>#N/A</v>
          </cell>
          <cell r="J1237" t="e">
            <v>#N/A</v>
          </cell>
          <cell r="K1237">
            <v>90</v>
          </cell>
          <cell r="L1237">
            <v>50</v>
          </cell>
          <cell r="M1237" t="e">
            <v>#N/A</v>
          </cell>
          <cell r="N1237">
            <v>80</v>
          </cell>
          <cell r="O1237" t="e">
            <v>#N/A</v>
          </cell>
          <cell r="P1237" t="str">
            <v/>
          </cell>
          <cell r="Q1237" t="str">
            <v/>
          </cell>
          <cell r="R1237" t="e">
            <v>#N/A</v>
          </cell>
        </row>
        <row r="1238">
          <cell r="A1238" t="str">
            <v/>
          </cell>
          <cell r="B1238" t="str">
            <v/>
          </cell>
          <cell r="C1238" t="str">
            <v>Future</v>
          </cell>
          <cell r="D1238" t="e">
            <v>#N/A</v>
          </cell>
          <cell r="E1238">
            <v>-106.51677165354238</v>
          </cell>
          <cell r="F1238">
            <v>134.42811023622392</v>
          </cell>
          <cell r="G1238">
            <v>27.341496062991844</v>
          </cell>
          <cell r="H1238">
            <v>27.341496062991844</v>
          </cell>
          <cell r="I1238" t="e">
            <v>#N/A</v>
          </cell>
          <cell r="J1238" t="e">
            <v>#N/A</v>
          </cell>
          <cell r="K1238">
            <v>90</v>
          </cell>
          <cell r="L1238">
            <v>50</v>
          </cell>
          <cell r="M1238" t="e">
            <v>#N/A</v>
          </cell>
          <cell r="N1238">
            <v>80</v>
          </cell>
          <cell r="O1238" t="e">
            <v>#N/A</v>
          </cell>
          <cell r="P1238" t="str">
            <v/>
          </cell>
          <cell r="Q1238" t="str">
            <v/>
          </cell>
          <cell r="R1238" t="e">
            <v>#N/A</v>
          </cell>
        </row>
        <row r="1239">
          <cell r="A1239" t="str">
            <v/>
          </cell>
          <cell r="B1239" t="str">
            <v/>
          </cell>
          <cell r="C1239" t="str">
            <v>Future</v>
          </cell>
          <cell r="D1239" t="e">
            <v>#N/A</v>
          </cell>
          <cell r="E1239">
            <v>-106.76681102362112</v>
          </cell>
          <cell r="F1239">
            <v>134.53240157480658</v>
          </cell>
          <cell r="G1239">
            <v>27.288307086613891</v>
          </cell>
          <cell r="H1239">
            <v>27.288307086613891</v>
          </cell>
          <cell r="I1239" t="e">
            <v>#N/A</v>
          </cell>
          <cell r="J1239" t="e">
            <v>#N/A</v>
          </cell>
          <cell r="K1239">
            <v>90</v>
          </cell>
          <cell r="L1239">
            <v>50</v>
          </cell>
          <cell r="M1239" t="e">
            <v>#N/A</v>
          </cell>
          <cell r="N1239">
            <v>80</v>
          </cell>
          <cell r="O1239" t="e">
            <v>#N/A</v>
          </cell>
          <cell r="P1239" t="str">
            <v/>
          </cell>
          <cell r="Q1239" t="str">
            <v/>
          </cell>
          <cell r="R1239" t="e">
            <v>#N/A</v>
          </cell>
        </row>
        <row r="1240">
          <cell r="A1240" t="str">
            <v/>
          </cell>
          <cell r="B1240" t="str">
            <v/>
          </cell>
          <cell r="C1240" t="str">
            <v>Future</v>
          </cell>
          <cell r="D1240" t="e">
            <v>#N/A</v>
          </cell>
          <cell r="E1240">
            <v>-107.01685039369985</v>
          </cell>
          <cell r="F1240">
            <v>134.63669291338925</v>
          </cell>
          <cell r="G1240">
            <v>27.235118110235938</v>
          </cell>
          <cell r="H1240">
            <v>27.235118110235938</v>
          </cell>
          <cell r="I1240" t="e">
            <v>#N/A</v>
          </cell>
          <cell r="J1240" t="e">
            <v>#N/A</v>
          </cell>
          <cell r="K1240">
            <v>90</v>
          </cell>
          <cell r="L1240">
            <v>50</v>
          </cell>
          <cell r="M1240" t="e">
            <v>#N/A</v>
          </cell>
          <cell r="N1240">
            <v>80</v>
          </cell>
          <cell r="O1240" t="e">
            <v>#N/A</v>
          </cell>
          <cell r="P1240" t="str">
            <v/>
          </cell>
          <cell r="Q1240" t="str">
            <v/>
          </cell>
          <cell r="R1240" t="e">
            <v>#N/A</v>
          </cell>
        </row>
        <row r="1241">
          <cell r="A1241" t="str">
            <v/>
          </cell>
          <cell r="B1241" t="str">
            <v/>
          </cell>
          <cell r="C1241" t="str">
            <v>Future</v>
          </cell>
          <cell r="D1241" t="e">
            <v>#N/A</v>
          </cell>
          <cell r="E1241">
            <v>-107.26688976377859</v>
          </cell>
          <cell r="F1241">
            <v>134.74098425197192</v>
          </cell>
          <cell r="G1241">
            <v>27.181929133857984</v>
          </cell>
          <cell r="H1241">
            <v>27.181929133857984</v>
          </cell>
          <cell r="I1241" t="e">
            <v>#N/A</v>
          </cell>
          <cell r="J1241" t="e">
            <v>#N/A</v>
          </cell>
          <cell r="K1241">
            <v>90</v>
          </cell>
          <cell r="L1241">
            <v>50</v>
          </cell>
          <cell r="M1241" t="e">
            <v>#N/A</v>
          </cell>
          <cell r="N1241">
            <v>80</v>
          </cell>
          <cell r="O1241" t="e">
            <v>#N/A</v>
          </cell>
          <cell r="P1241" t="str">
            <v/>
          </cell>
          <cell r="Q1241" t="str">
            <v/>
          </cell>
          <cell r="R1241" t="e">
            <v>#N/A</v>
          </cell>
        </row>
        <row r="1242">
          <cell r="A1242" t="str">
            <v/>
          </cell>
          <cell r="B1242" t="str">
            <v/>
          </cell>
          <cell r="C1242" t="str">
            <v>Future</v>
          </cell>
          <cell r="D1242" t="e">
            <v>#N/A</v>
          </cell>
          <cell r="E1242">
            <v>-107.51692913385733</v>
          </cell>
          <cell r="F1242">
            <v>134.84527559055459</v>
          </cell>
          <cell r="G1242">
            <v>27.128740157480031</v>
          </cell>
          <cell r="H1242">
            <v>27.128740157480031</v>
          </cell>
          <cell r="I1242" t="e">
            <v>#N/A</v>
          </cell>
          <cell r="J1242" t="e">
            <v>#N/A</v>
          </cell>
          <cell r="K1242">
            <v>90</v>
          </cell>
          <cell r="L1242">
            <v>50</v>
          </cell>
          <cell r="M1242" t="e">
            <v>#N/A</v>
          </cell>
          <cell r="N1242">
            <v>80</v>
          </cell>
          <cell r="O1242" t="e">
            <v>#N/A</v>
          </cell>
          <cell r="P1242" t="str">
            <v/>
          </cell>
          <cell r="Q1242" t="str">
            <v/>
          </cell>
          <cell r="R1242" t="e">
            <v>#N/A</v>
          </cell>
        </row>
        <row r="1243">
          <cell r="A1243" t="str">
            <v/>
          </cell>
          <cell r="B1243" t="str">
            <v/>
          </cell>
          <cell r="C1243" t="str">
            <v>Future</v>
          </cell>
          <cell r="D1243" t="e">
            <v>#N/A</v>
          </cell>
          <cell r="E1243">
            <v>-107.76696850393607</v>
          </cell>
          <cell r="F1243">
            <v>134.94956692913726</v>
          </cell>
          <cell r="G1243">
            <v>27.075551181102078</v>
          </cell>
          <cell r="H1243">
            <v>27.075551181102078</v>
          </cell>
          <cell r="I1243" t="e">
            <v>#N/A</v>
          </cell>
          <cell r="J1243" t="e">
            <v>#N/A</v>
          </cell>
          <cell r="K1243">
            <v>90</v>
          </cell>
          <cell r="L1243">
            <v>50</v>
          </cell>
          <cell r="M1243" t="e">
            <v>#N/A</v>
          </cell>
          <cell r="N1243">
            <v>80</v>
          </cell>
          <cell r="O1243" t="e">
            <v>#N/A</v>
          </cell>
          <cell r="P1243" t="str">
            <v/>
          </cell>
          <cell r="Q1243" t="str">
            <v/>
          </cell>
          <cell r="R1243" t="e">
            <v>#N/A</v>
          </cell>
        </row>
        <row r="1244">
          <cell r="A1244" t="str">
            <v/>
          </cell>
          <cell r="B1244" t="str">
            <v/>
          </cell>
          <cell r="C1244" t="str">
            <v>Future</v>
          </cell>
          <cell r="D1244" t="e">
            <v>#N/A</v>
          </cell>
          <cell r="E1244">
            <v>-108.01700787401481</v>
          </cell>
          <cell r="F1244">
            <v>135.05385826771993</v>
          </cell>
          <cell r="G1244">
            <v>27.022362204724125</v>
          </cell>
          <cell r="H1244">
            <v>27.022362204724125</v>
          </cell>
          <cell r="I1244" t="e">
            <v>#N/A</v>
          </cell>
          <cell r="J1244" t="e">
            <v>#N/A</v>
          </cell>
          <cell r="K1244">
            <v>90</v>
          </cell>
          <cell r="L1244">
            <v>50</v>
          </cell>
          <cell r="M1244" t="e">
            <v>#N/A</v>
          </cell>
          <cell r="N1244">
            <v>80</v>
          </cell>
          <cell r="O1244" t="e">
            <v>#N/A</v>
          </cell>
          <cell r="P1244" t="str">
            <v/>
          </cell>
          <cell r="Q1244" t="str">
            <v/>
          </cell>
          <cell r="R1244" t="e">
            <v>#N/A</v>
          </cell>
        </row>
        <row r="1245">
          <cell r="A1245" t="str">
            <v/>
          </cell>
          <cell r="B1245" t="str">
            <v/>
          </cell>
          <cell r="C1245" t="str">
            <v>Future</v>
          </cell>
          <cell r="D1245" t="e">
            <v>#N/A</v>
          </cell>
          <cell r="E1245">
            <v>-108.26704724409355</v>
          </cell>
          <cell r="F1245">
            <v>135.1581496063026</v>
          </cell>
          <cell r="G1245">
            <v>26.969173228346172</v>
          </cell>
          <cell r="H1245">
            <v>26.969173228346172</v>
          </cell>
          <cell r="I1245" t="e">
            <v>#N/A</v>
          </cell>
          <cell r="J1245" t="e">
            <v>#N/A</v>
          </cell>
          <cell r="K1245">
            <v>90</v>
          </cell>
          <cell r="L1245">
            <v>50</v>
          </cell>
          <cell r="M1245" t="e">
            <v>#N/A</v>
          </cell>
          <cell r="N1245">
            <v>80</v>
          </cell>
          <cell r="O1245" t="e">
            <v>#N/A</v>
          </cell>
          <cell r="P1245" t="str">
            <v/>
          </cell>
          <cell r="Q1245" t="str">
            <v/>
          </cell>
          <cell r="R1245" t="e">
            <v>#N/A</v>
          </cell>
        </row>
        <row r="1246">
          <cell r="A1246" t="str">
            <v/>
          </cell>
          <cell r="B1246" t="str">
            <v/>
          </cell>
          <cell r="C1246" t="str">
            <v>Future</v>
          </cell>
          <cell r="D1246" t="e">
            <v>#N/A</v>
          </cell>
          <cell r="E1246">
            <v>-108.51708661417229</v>
          </cell>
          <cell r="F1246">
            <v>135.26244094488527</v>
          </cell>
          <cell r="G1246">
            <v>26.915984251968219</v>
          </cell>
          <cell r="H1246">
            <v>26.915984251968219</v>
          </cell>
          <cell r="I1246" t="e">
            <v>#N/A</v>
          </cell>
          <cell r="J1246" t="e">
            <v>#N/A</v>
          </cell>
          <cell r="K1246">
            <v>90</v>
          </cell>
          <cell r="L1246">
            <v>50</v>
          </cell>
          <cell r="M1246" t="e">
            <v>#N/A</v>
          </cell>
          <cell r="N1246">
            <v>80</v>
          </cell>
          <cell r="O1246" t="e">
            <v>#N/A</v>
          </cell>
          <cell r="P1246" t="str">
            <v/>
          </cell>
          <cell r="Q1246" t="str">
            <v/>
          </cell>
          <cell r="R1246" t="e">
            <v>#N/A</v>
          </cell>
        </row>
        <row r="1247">
          <cell r="A1247" t="str">
            <v/>
          </cell>
          <cell r="B1247" t="str">
            <v/>
          </cell>
          <cell r="C1247" t="str">
            <v>Future</v>
          </cell>
          <cell r="D1247" t="e">
            <v>#N/A</v>
          </cell>
          <cell r="E1247">
            <v>-108.76712598425102</v>
          </cell>
          <cell r="F1247">
            <v>135.36673228346794</v>
          </cell>
          <cell r="G1247">
            <v>26.862795275590265</v>
          </cell>
          <cell r="H1247">
            <v>26.862795275590265</v>
          </cell>
          <cell r="I1247" t="e">
            <v>#N/A</v>
          </cell>
          <cell r="J1247" t="e">
            <v>#N/A</v>
          </cell>
          <cell r="K1247">
            <v>90</v>
          </cell>
          <cell r="L1247">
            <v>50</v>
          </cell>
          <cell r="M1247" t="e">
            <v>#N/A</v>
          </cell>
          <cell r="N1247">
            <v>80</v>
          </cell>
          <cell r="O1247" t="e">
            <v>#N/A</v>
          </cell>
          <cell r="P1247" t="str">
            <v/>
          </cell>
          <cell r="Q1247" t="str">
            <v/>
          </cell>
          <cell r="R1247" t="e">
            <v>#N/A</v>
          </cell>
        </row>
        <row r="1248">
          <cell r="A1248" t="str">
            <v/>
          </cell>
          <cell r="B1248" t="str">
            <v/>
          </cell>
          <cell r="C1248" t="str">
            <v>Future</v>
          </cell>
          <cell r="D1248" t="e">
            <v>#N/A</v>
          </cell>
          <cell r="E1248">
            <v>-109.01716535432976</v>
          </cell>
          <cell r="F1248">
            <v>135.47102362205061</v>
          </cell>
          <cell r="G1248">
            <v>26.809606299212312</v>
          </cell>
          <cell r="H1248">
            <v>26.809606299212312</v>
          </cell>
          <cell r="I1248" t="e">
            <v>#N/A</v>
          </cell>
          <cell r="J1248" t="e">
            <v>#N/A</v>
          </cell>
          <cell r="K1248">
            <v>90</v>
          </cell>
          <cell r="L1248">
            <v>50</v>
          </cell>
          <cell r="M1248" t="e">
            <v>#N/A</v>
          </cell>
          <cell r="N1248">
            <v>80</v>
          </cell>
          <cell r="O1248" t="e">
            <v>#N/A</v>
          </cell>
          <cell r="P1248" t="str">
            <v/>
          </cell>
          <cell r="Q1248" t="str">
            <v/>
          </cell>
          <cell r="R1248" t="e">
            <v>#N/A</v>
          </cell>
        </row>
        <row r="1249">
          <cell r="A1249" t="str">
            <v/>
          </cell>
          <cell r="B1249" t="str">
            <v/>
          </cell>
          <cell r="C1249" t="str">
            <v>Future</v>
          </cell>
          <cell r="D1249" t="e">
            <v>#N/A</v>
          </cell>
          <cell r="E1249">
            <v>-109.2672047244085</v>
          </cell>
          <cell r="F1249">
            <v>135.57531496063328</v>
          </cell>
          <cell r="G1249">
            <v>26.756417322834359</v>
          </cell>
          <cell r="H1249">
            <v>26.756417322834359</v>
          </cell>
          <cell r="I1249" t="e">
            <v>#N/A</v>
          </cell>
          <cell r="J1249" t="e">
            <v>#N/A</v>
          </cell>
          <cell r="K1249">
            <v>90</v>
          </cell>
          <cell r="L1249">
            <v>50</v>
          </cell>
          <cell r="M1249" t="e">
            <v>#N/A</v>
          </cell>
          <cell r="N1249">
            <v>80</v>
          </cell>
          <cell r="O1249" t="e">
            <v>#N/A</v>
          </cell>
          <cell r="P1249" t="str">
            <v/>
          </cell>
          <cell r="Q1249" t="str">
            <v/>
          </cell>
          <cell r="R1249" t="e">
            <v>#N/A</v>
          </cell>
        </row>
        <row r="1250">
          <cell r="A1250" t="str">
            <v/>
          </cell>
          <cell r="B1250" t="str">
            <v/>
          </cell>
          <cell r="C1250" t="str">
            <v>Future</v>
          </cell>
          <cell r="D1250" t="e">
            <v>#N/A</v>
          </cell>
          <cell r="E1250">
            <v>-109.51724409448724</v>
          </cell>
          <cell r="F1250">
            <v>135.67960629921595</v>
          </cell>
          <cell r="G1250">
            <v>26.703228346456406</v>
          </cell>
          <cell r="H1250">
            <v>26.703228346456406</v>
          </cell>
          <cell r="I1250" t="e">
            <v>#N/A</v>
          </cell>
          <cell r="J1250" t="e">
            <v>#N/A</v>
          </cell>
          <cell r="K1250">
            <v>90</v>
          </cell>
          <cell r="L1250">
            <v>50</v>
          </cell>
          <cell r="M1250" t="e">
            <v>#N/A</v>
          </cell>
          <cell r="N1250">
            <v>80</v>
          </cell>
          <cell r="O1250" t="e">
            <v>#N/A</v>
          </cell>
          <cell r="P1250" t="str">
            <v/>
          </cell>
          <cell r="Q1250" t="str">
            <v/>
          </cell>
          <cell r="R1250" t="e">
            <v>#N/A</v>
          </cell>
        </row>
        <row r="1251">
          <cell r="A1251" t="str">
            <v/>
          </cell>
          <cell r="B1251" t="str">
            <v/>
          </cell>
          <cell r="C1251" t="str">
            <v>Future</v>
          </cell>
          <cell r="D1251" t="e">
            <v>#N/A</v>
          </cell>
          <cell r="E1251">
            <v>-109.76728346456598</v>
          </cell>
          <cell r="F1251">
            <v>135.78389763779862</v>
          </cell>
          <cell r="G1251">
            <v>26.650039370078453</v>
          </cell>
          <cell r="H1251">
            <v>26.650039370078453</v>
          </cell>
          <cell r="I1251" t="e">
            <v>#N/A</v>
          </cell>
          <cell r="J1251" t="e">
            <v>#N/A</v>
          </cell>
          <cell r="K1251">
            <v>90</v>
          </cell>
          <cell r="L1251">
            <v>50</v>
          </cell>
          <cell r="M1251" t="e">
            <v>#N/A</v>
          </cell>
          <cell r="N1251">
            <v>80</v>
          </cell>
          <cell r="O1251" t="e">
            <v>#N/A</v>
          </cell>
          <cell r="P1251" t="str">
            <v/>
          </cell>
          <cell r="Q1251" t="str">
            <v/>
          </cell>
          <cell r="R1251" t="e">
            <v>#N/A</v>
          </cell>
        </row>
        <row r="1252">
          <cell r="A1252" t="str">
            <v/>
          </cell>
          <cell r="B1252" t="str">
            <v/>
          </cell>
          <cell r="C1252" t="str">
            <v>Future</v>
          </cell>
          <cell r="D1252" t="e">
            <v>#N/A</v>
          </cell>
          <cell r="E1252">
            <v>-110.01732283464472</v>
          </cell>
          <cell r="F1252">
            <v>135.88818897638129</v>
          </cell>
          <cell r="G1252">
            <v>26.5968503937005</v>
          </cell>
          <cell r="H1252">
            <v>26.5968503937005</v>
          </cell>
          <cell r="I1252" t="e">
            <v>#N/A</v>
          </cell>
          <cell r="J1252" t="e">
            <v>#N/A</v>
          </cell>
          <cell r="K1252">
            <v>90</v>
          </cell>
          <cell r="L1252">
            <v>50</v>
          </cell>
          <cell r="M1252" t="e">
            <v>#N/A</v>
          </cell>
          <cell r="N1252">
            <v>80</v>
          </cell>
          <cell r="O1252" t="e">
            <v>#N/A</v>
          </cell>
          <cell r="P1252" t="str">
            <v/>
          </cell>
          <cell r="Q1252" t="str">
            <v/>
          </cell>
          <cell r="R1252" t="e">
            <v>#N/A</v>
          </cell>
        </row>
        <row r="1253">
          <cell r="A1253" t="str">
            <v/>
          </cell>
          <cell r="P1253" t="str">
            <v/>
          </cell>
          <cell r="Q1253" t="str">
            <v/>
          </cell>
        </row>
      </sheetData>
      <sheetData sheetId="25" refreshError="1"/>
      <sheetData sheetId="26" refreshError="1"/>
      <sheetData sheetId="27" refreshError="1"/>
      <sheetData sheetId="28" refreshError="1"/>
      <sheetData sheetId="29" refreshError="1"/>
      <sheetData sheetId="30" refreshError="1"/>
      <sheetData sheetId="31" refreshError="1"/>
      <sheetData sheetId="32"/>
      <sheetData sheetId="33"/>
      <sheetData sheetId="34" refreshError="1"/>
      <sheetData sheetId="35" refreshError="1"/>
      <sheetData sheetId="36" refreshError="1"/>
      <sheetData sheetId="37"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35 Analysis"/>
      <sheetName val="Exclusion List"/>
    </sheetNames>
    <sheetDataSet>
      <sheetData sheetId="0">
        <row r="1">
          <cell r="A1" t="str">
            <v>Lockheed Martin Corp.</v>
          </cell>
          <cell r="P1" t="str">
            <v>SCENARIOS</v>
          </cell>
        </row>
        <row r="2">
          <cell r="A2" t="str">
            <v>F-35 Program Scenario Analysis</v>
          </cell>
          <cell r="P2" t="str">
            <v>BEAR</v>
          </cell>
          <cell r="Q2" t="str">
            <v>BASE</v>
          </cell>
          <cell r="R2" t="str">
            <v xml:space="preserve">    PoR      (Program of Record)</v>
          </cell>
          <cell r="S2" t="str">
            <v>BULL</v>
          </cell>
        </row>
        <row r="3">
          <cell r="A3" t="str">
            <v>Morgan Stanley Research</v>
          </cell>
          <cell r="K3" t="str">
            <v>Per Share Program Value</v>
          </cell>
          <cell r="P3">
            <v>14.862270549726547</v>
          </cell>
          <cell r="Q3">
            <v>32.768803772552332</v>
          </cell>
          <cell r="R3">
            <v>33.13023730964948</v>
          </cell>
          <cell r="S3">
            <v>54.612947782574075</v>
          </cell>
          <cell r="U3" t="str">
            <v>Note on Color Coding</v>
          </cell>
        </row>
        <row r="4">
          <cell r="A4" t="str">
            <v>($ in Millions Except EPS)</v>
          </cell>
          <cell r="K4" t="str">
            <v>Development</v>
          </cell>
          <cell r="P4">
            <v>6.7667254672483024E-2</v>
          </cell>
          <cell r="Q4">
            <v>0.22200514629041349</v>
          </cell>
          <cell r="R4">
            <v>0.20300176401744907</v>
          </cell>
          <cell r="S4">
            <v>0.33833627336241512</v>
          </cell>
          <cell r="U4" t="str">
            <v>Blue is driver / key assumptions</v>
          </cell>
        </row>
        <row r="5">
          <cell r="K5" t="str">
            <v>U.S. DoD Production</v>
          </cell>
          <cell r="P5">
            <v>7.6960544354000238</v>
          </cell>
          <cell r="Q5">
            <v>13.690563412563034</v>
          </cell>
          <cell r="R5">
            <v>15.436357772638008</v>
          </cell>
          <cell r="S5">
            <v>19.250282699555779</v>
          </cell>
          <cell r="U5" t="str">
            <v>Green is linked</v>
          </cell>
        </row>
        <row r="6">
          <cell r="K6" t="str">
            <v>International Production</v>
          </cell>
          <cell r="P6">
            <v>3.4867331559815744</v>
          </cell>
          <cell r="Q6">
            <v>7.8585296622938543</v>
          </cell>
          <cell r="R6">
            <v>4.8984636117160578</v>
          </cell>
          <cell r="S6">
            <v>9.6908816587528932</v>
          </cell>
          <cell r="U6" t="str">
            <v>Red is driven by key assumptions</v>
          </cell>
        </row>
        <row r="7">
          <cell r="B7" t="str">
            <v>CASE RUNNING: BASE</v>
          </cell>
          <cell r="G7">
            <v>2</v>
          </cell>
          <cell r="K7" t="str">
            <v>Spares and Sustainment</v>
          </cell>
          <cell r="P7">
            <v>3.282608618152218</v>
          </cell>
          <cell r="Q7">
            <v>9.8196941709320757</v>
          </cell>
          <cell r="R7">
            <v>10.953943134343897</v>
          </cell>
          <cell r="S7">
            <v>20.358378015253042</v>
          </cell>
          <cell r="U7" t="str">
            <v>Black is passive formula / basic arithmatic</v>
          </cell>
        </row>
        <row r="8">
          <cell r="B8" t="str">
            <v>Midpoint Program Value (10% Cost of Equity)</v>
          </cell>
          <cell r="G8">
            <v>32.768803772552332</v>
          </cell>
          <cell r="I8" t="str">
            <v>Comments</v>
          </cell>
          <cell r="K8" t="str">
            <v>Modernization and Upgrade</v>
          </cell>
          <cell r="P8">
            <v>0.32920708552024669</v>
          </cell>
          <cell r="Q8">
            <v>1.178011380472952</v>
          </cell>
          <cell r="R8">
            <v>1.6384710269340679</v>
          </cell>
          <cell r="S8">
            <v>4.975069135649945</v>
          </cell>
        </row>
        <row r="9">
          <cell r="P9">
            <v>1</v>
          </cell>
          <cell r="Q9">
            <v>2</v>
          </cell>
          <cell r="R9">
            <v>3</v>
          </cell>
          <cell r="S9">
            <v>4</v>
          </cell>
        </row>
        <row r="11">
          <cell r="B11" t="str">
            <v>Key Assumptions and Drivers</v>
          </cell>
        </row>
        <row r="13">
          <cell r="B13" t="str">
            <v>U.S. DoD Production</v>
          </cell>
          <cell r="U13" t="str">
            <v>Current Backlog (12/31/09)</v>
          </cell>
        </row>
        <row r="14">
          <cell r="C14" t="str">
            <v>U.S. Air Force</v>
          </cell>
          <cell r="G14">
            <v>1250</v>
          </cell>
          <cell r="P14">
            <v>800</v>
          </cell>
          <cell r="Q14">
            <v>1250</v>
          </cell>
          <cell r="R14">
            <v>1763</v>
          </cell>
          <cell r="S14">
            <v>1763</v>
          </cell>
        </row>
        <row r="15">
          <cell r="C15" t="str">
            <v>U.S. Navy</v>
          </cell>
          <cell r="G15">
            <v>250</v>
          </cell>
          <cell r="P15">
            <v>0</v>
          </cell>
          <cell r="Q15">
            <v>250</v>
          </cell>
          <cell r="R15">
            <v>339.99999999999977</v>
          </cell>
          <cell r="S15">
            <v>339.99999999999977</v>
          </cell>
        </row>
        <row r="16">
          <cell r="C16" t="str">
            <v>U.S. Marine Corps</v>
          </cell>
          <cell r="G16">
            <v>300</v>
          </cell>
          <cell r="P16">
            <v>200</v>
          </cell>
          <cell r="Q16">
            <v>300</v>
          </cell>
          <cell r="R16">
            <v>339.99999999999977</v>
          </cell>
          <cell r="S16">
            <v>339.99999999999977</v>
          </cell>
        </row>
        <row r="17">
          <cell r="C17" t="str">
            <v>Lifetime U.S. Deliveries</v>
          </cell>
          <cell r="G17">
            <v>1800</v>
          </cell>
          <cell r="P17">
            <v>1000</v>
          </cell>
          <cell r="Q17">
            <v>1800</v>
          </cell>
          <cell r="R17">
            <v>2443</v>
          </cell>
          <cell r="S17">
            <v>2443</v>
          </cell>
          <cell r="U17" t="str">
            <v>U.S. Program of Record (Quantity)</v>
          </cell>
          <cell r="Y17">
            <v>2442.9999999999995</v>
          </cell>
        </row>
        <row r="18">
          <cell r="C18" t="str">
            <v>Avg. Selling Price (ASP, in constant 2015 $MM)</v>
          </cell>
          <cell r="G18">
            <v>90</v>
          </cell>
          <cell r="I18" t="str">
            <v>HIGHER ASP MEANS FEWER PLANES</v>
          </cell>
          <cell r="P18">
            <v>90</v>
          </cell>
          <cell r="Q18">
            <v>90</v>
          </cell>
          <cell r="R18">
            <v>75</v>
          </cell>
          <cell r="S18">
            <v>75</v>
          </cell>
          <cell r="U18" t="str">
            <v>Current International Backlog</v>
          </cell>
          <cell r="Y18">
            <v>730</v>
          </cell>
        </row>
        <row r="19">
          <cell r="C19" t="str">
            <v>Lifetime Production Value (2015 constant $B)</v>
          </cell>
          <cell r="G19">
            <v>162</v>
          </cell>
          <cell r="I19" t="str">
            <v>CHECK VS PROGRAM OF RECORD DATA</v>
          </cell>
          <cell r="P19">
            <v>90</v>
          </cell>
          <cell r="Q19">
            <v>162</v>
          </cell>
          <cell r="R19">
            <v>183.22499999999999</v>
          </cell>
          <cell r="S19">
            <v>183.22499999999999</v>
          </cell>
          <cell r="U19" t="str">
            <v>Total F-35 Unit Backlog</v>
          </cell>
          <cell r="Y19">
            <v>3172.9999999999995</v>
          </cell>
        </row>
        <row r="20">
          <cell r="C20" t="str">
            <v>Change to U.S. Program of Record - Quantity</v>
          </cell>
          <cell r="G20">
            <v>-642.99999999999955</v>
          </cell>
          <cell r="I20" t="str">
            <v>EITHER BUDGET OR TECHNOLOGY DRIVEN (UAV LONG TERM)</v>
          </cell>
          <cell r="P20">
            <v>-1442.9999999999995</v>
          </cell>
          <cell r="Q20">
            <v>-642.99999999999955</v>
          </cell>
          <cell r="R20">
            <v>0</v>
          </cell>
          <cell r="S20">
            <v>0</v>
          </cell>
        </row>
        <row r="21">
          <cell r="C21" t="str">
            <v>Change to U.S. Program of Record - Year</v>
          </cell>
          <cell r="G21">
            <v>2025</v>
          </cell>
          <cell r="P21">
            <v>2020</v>
          </cell>
          <cell r="Q21">
            <v>2025</v>
          </cell>
          <cell r="R21">
            <v>0</v>
          </cell>
          <cell r="S21">
            <v>0</v>
          </cell>
        </row>
        <row r="22">
          <cell r="C22" t="str">
            <v>ASP Price Inflation (Post-2015)</v>
          </cell>
          <cell r="G22">
            <v>2.5000000000000001E-2</v>
          </cell>
          <cell r="P22">
            <v>2.5000000000000001E-2</v>
          </cell>
          <cell r="Q22">
            <v>2.5000000000000001E-2</v>
          </cell>
          <cell r="R22">
            <v>2.5000000000000001E-2</v>
          </cell>
          <cell r="S22">
            <v>2.5000000000000001E-2</v>
          </cell>
        </row>
        <row r="23">
          <cell r="C23" t="str">
            <v>2010 Production Margin</v>
          </cell>
          <cell r="G23">
            <v>0.06</v>
          </cell>
          <cell r="P23">
            <v>0.06</v>
          </cell>
          <cell r="Q23">
            <v>0.06</v>
          </cell>
          <cell r="R23">
            <v>0.06</v>
          </cell>
          <cell r="S23">
            <v>0.06</v>
          </cell>
        </row>
        <row r="24">
          <cell r="C24" t="str">
            <v>2015 Production Margin</v>
          </cell>
          <cell r="G24">
            <v>0.09</v>
          </cell>
          <cell r="P24">
            <v>7.4999999999999997E-2</v>
          </cell>
          <cell r="Q24">
            <v>0.09</v>
          </cell>
          <cell r="R24">
            <v>0.09</v>
          </cell>
          <cell r="S24">
            <v>0.1</v>
          </cell>
        </row>
        <row r="25">
          <cell r="C25" t="str">
            <v>Peak Production Margin</v>
          </cell>
          <cell r="G25">
            <v>0.12</v>
          </cell>
          <cell r="I25" t="str">
            <v>CHECK VS FOURTH GENS AND F-22</v>
          </cell>
          <cell r="P25">
            <v>0.09</v>
          </cell>
          <cell r="Q25">
            <v>0.12</v>
          </cell>
          <cell r="R25">
            <v>0.12</v>
          </cell>
          <cell r="S25">
            <v>0.15</v>
          </cell>
        </row>
        <row r="26">
          <cell r="C26" t="str">
            <v>Year Peak Production Margin Achieved</v>
          </cell>
          <cell r="G26">
            <v>2020</v>
          </cell>
          <cell r="P26">
            <v>2025</v>
          </cell>
          <cell r="Q26">
            <v>2020</v>
          </cell>
          <cell r="R26">
            <v>2020</v>
          </cell>
          <cell r="S26">
            <v>2020</v>
          </cell>
        </row>
        <row r="27">
          <cell r="C27" t="str">
            <v>Years to Peak Margin (after 2015)</v>
          </cell>
          <cell r="G27">
            <v>5</v>
          </cell>
          <cell r="P27">
            <v>10</v>
          </cell>
          <cell r="Q27">
            <v>5</v>
          </cell>
          <cell r="R27">
            <v>5</v>
          </cell>
          <cell r="S27">
            <v>5</v>
          </cell>
        </row>
        <row r="28">
          <cell r="C28" t="str">
            <v>Annual Margin Step - 2010 to 2015</v>
          </cell>
          <cell r="G28">
            <v>6.0000000000000001E-3</v>
          </cell>
          <cell r="P28">
            <v>3.0000000000000001E-3</v>
          </cell>
          <cell r="Q28">
            <v>6.0000000000000001E-3</v>
          </cell>
          <cell r="R28">
            <v>6.0000000000000001E-3</v>
          </cell>
          <cell r="S28">
            <v>8.0000000000000019E-3</v>
          </cell>
        </row>
        <row r="29">
          <cell r="C29" t="str">
            <v>Annual Margin Step - 2015 to Peak</v>
          </cell>
          <cell r="G29">
            <v>6.0000000000000001E-3</v>
          </cell>
          <cell r="P29">
            <v>1.5E-3</v>
          </cell>
          <cell r="Q29">
            <v>6.0000000000000001E-3</v>
          </cell>
          <cell r="R29">
            <v>6.0000000000000001E-3</v>
          </cell>
          <cell r="S29">
            <v>9.9999999999999985E-3</v>
          </cell>
        </row>
        <row r="31">
          <cell r="B31" t="str">
            <v>International Production</v>
          </cell>
        </row>
        <row r="32">
          <cell r="C32" t="str">
            <v>Lifetime Deliveries</v>
          </cell>
          <cell r="G32">
            <v>1000</v>
          </cell>
          <cell r="I32" t="str">
            <v>BULL CASE BASED ON 4TH INSTALLED BASE REPLACEMENT</v>
          </cell>
          <cell r="P32">
            <v>500</v>
          </cell>
          <cell r="Q32">
            <v>1000</v>
          </cell>
          <cell r="R32">
            <v>730</v>
          </cell>
          <cell r="S32">
            <v>1500</v>
          </cell>
        </row>
        <row r="33">
          <cell r="C33" t="str">
            <v>Export Price Premium</v>
          </cell>
          <cell r="G33">
            <v>0.05</v>
          </cell>
          <cell r="I33" t="str">
            <v>LIMITED GIVEN SALES VIA FMS; BULL CASE ASSUMES DIRECT</v>
          </cell>
          <cell r="P33">
            <v>0.05</v>
          </cell>
          <cell r="Q33">
            <v>0.05</v>
          </cell>
          <cell r="R33">
            <v>0.05</v>
          </cell>
          <cell r="S33">
            <v>0.1</v>
          </cell>
        </row>
        <row r="34">
          <cell r="C34" t="str">
            <v>Avg. Selling Price (ASP, in constant 2015 $MM)</v>
          </cell>
          <cell r="G34">
            <v>94.5</v>
          </cell>
          <cell r="P34">
            <v>94.5</v>
          </cell>
          <cell r="Q34">
            <v>94.5</v>
          </cell>
          <cell r="R34">
            <v>78.75</v>
          </cell>
          <cell r="S34">
            <v>82.5</v>
          </cell>
        </row>
        <row r="35">
          <cell r="C35" t="str">
            <v>Lifetime Production Value (2015 constant $B)</v>
          </cell>
          <cell r="G35">
            <v>94.5</v>
          </cell>
          <cell r="P35">
            <v>47.25</v>
          </cell>
          <cell r="Q35">
            <v>94.5</v>
          </cell>
          <cell r="R35">
            <v>57.487499999999997</v>
          </cell>
          <cell r="S35">
            <v>123.75</v>
          </cell>
        </row>
        <row r="36">
          <cell r="C36" t="str">
            <v>Change to MOU International Orders - Quantity</v>
          </cell>
          <cell r="G36">
            <v>270</v>
          </cell>
          <cell r="P36">
            <v>-230</v>
          </cell>
          <cell r="Q36">
            <v>270</v>
          </cell>
          <cell r="R36">
            <v>0</v>
          </cell>
          <cell r="S36">
            <v>770</v>
          </cell>
        </row>
        <row r="37">
          <cell r="C37" t="str">
            <v>Year of Last International Order</v>
          </cell>
          <cell r="G37">
            <v>2025</v>
          </cell>
          <cell r="P37">
            <v>2020</v>
          </cell>
          <cell r="Q37">
            <v>2025</v>
          </cell>
          <cell r="R37">
            <v>2030</v>
          </cell>
          <cell r="S37">
            <v>2030</v>
          </cell>
        </row>
        <row r="38">
          <cell r="C38" t="str">
            <v>Avg. Annual Net International Orders</v>
          </cell>
          <cell r="G38">
            <v>16.875</v>
          </cell>
          <cell r="P38">
            <v>-20.90909090909091</v>
          </cell>
          <cell r="Q38">
            <v>16.875</v>
          </cell>
          <cell r="R38">
            <v>0</v>
          </cell>
          <cell r="S38">
            <v>36.666666666666664</v>
          </cell>
        </row>
        <row r="39">
          <cell r="C39" t="str">
            <v>ASP Price Inflation (Post-2015)</v>
          </cell>
          <cell r="G39">
            <v>2.5000000000000001E-2</v>
          </cell>
          <cell r="P39">
            <v>2.5000000000000001E-2</v>
          </cell>
          <cell r="Q39">
            <v>2.5000000000000001E-2</v>
          </cell>
          <cell r="R39">
            <v>2.5000000000000001E-2</v>
          </cell>
          <cell r="S39">
            <v>2.5000000000000001E-2</v>
          </cell>
        </row>
        <row r="40">
          <cell r="C40" t="str">
            <v>2010 Production Margin</v>
          </cell>
          <cell r="G40" t="str">
            <v xml:space="preserve">NA </v>
          </cell>
          <cell r="I40" t="str">
            <v>SIMPLIFYING ASSUMPTION INT'L DELIVERIES START AFTER 2015</v>
          </cell>
          <cell r="P40" t="str">
            <v xml:space="preserve">NA </v>
          </cell>
          <cell r="Q40" t="str">
            <v xml:space="preserve">NA </v>
          </cell>
          <cell r="R40" t="str">
            <v xml:space="preserve">NA </v>
          </cell>
          <cell r="S40" t="str">
            <v xml:space="preserve">NA </v>
          </cell>
        </row>
        <row r="41">
          <cell r="C41" t="str">
            <v>2015 Production Margin</v>
          </cell>
          <cell r="G41">
            <v>9.9999999999999992E-2</v>
          </cell>
          <cell r="I41" t="str">
            <v>FMS so shouldn’t be much higher than US</v>
          </cell>
          <cell r="P41">
            <v>8.4999999999999992E-2</v>
          </cell>
          <cell r="Q41">
            <v>9.9999999999999992E-2</v>
          </cell>
          <cell r="R41">
            <v>9.9999999999999992E-2</v>
          </cell>
          <cell r="S41">
            <v>0.11</v>
          </cell>
        </row>
        <row r="42">
          <cell r="C42" t="str">
            <v>Peak Production Margin (Driver)</v>
          </cell>
          <cell r="G42">
            <v>0.13</v>
          </cell>
          <cell r="P42">
            <v>9.9999999999999992E-2</v>
          </cell>
          <cell r="Q42">
            <v>0.13</v>
          </cell>
          <cell r="R42">
            <v>0.13</v>
          </cell>
          <cell r="S42">
            <v>0.16</v>
          </cell>
        </row>
        <row r="43">
          <cell r="C43" t="str">
            <v>Peak Margin Check - DoD Cost Base Applied to FMS ASP</v>
          </cell>
          <cell r="G43">
            <v>0.16190476190476188</v>
          </cell>
          <cell r="I43" t="str">
            <v>NOT A DRIVER…MARGINS IF SOLD DIRECT</v>
          </cell>
          <cell r="P43">
            <v>0.1333333333333333</v>
          </cell>
          <cell r="Q43">
            <v>0.16190476190476188</v>
          </cell>
          <cell r="R43">
            <v>0.16190476190476188</v>
          </cell>
          <cell r="S43">
            <v>0.22727272727272729</v>
          </cell>
        </row>
        <row r="44">
          <cell r="C44" t="str">
            <v>Year Peak Production Margin Achieved</v>
          </cell>
          <cell r="G44">
            <v>2020</v>
          </cell>
          <cell r="I44" t="str">
            <v>SHOULD THERE BE A TIME LAG?</v>
          </cell>
          <cell r="P44">
            <v>2025</v>
          </cell>
          <cell r="Q44">
            <v>2020</v>
          </cell>
          <cell r="R44">
            <v>2020</v>
          </cell>
          <cell r="S44">
            <v>2020</v>
          </cell>
        </row>
        <row r="45">
          <cell r="C45" t="str">
            <v>Annual Margin Step - 2015 to Peak</v>
          </cell>
          <cell r="G45">
            <v>6.0000000000000027E-3</v>
          </cell>
          <cell r="P45">
            <v>1.5E-3</v>
          </cell>
          <cell r="Q45">
            <v>6.0000000000000027E-3</v>
          </cell>
          <cell r="R45">
            <v>6.0000000000000027E-3</v>
          </cell>
          <cell r="S45">
            <v>0.01</v>
          </cell>
        </row>
        <row r="47">
          <cell r="B47" t="str">
            <v>Total Program Production</v>
          </cell>
        </row>
        <row r="48">
          <cell r="C48" t="str">
            <v>Lifetime Deliveries</v>
          </cell>
          <cell r="G48">
            <v>2800</v>
          </cell>
          <cell r="P48">
            <v>1500</v>
          </cell>
          <cell r="Q48">
            <v>2800</v>
          </cell>
          <cell r="R48">
            <v>3173</v>
          </cell>
          <cell r="S48">
            <v>3943</v>
          </cell>
        </row>
        <row r="49">
          <cell r="C49" t="str">
            <v>% U.S. DoD</v>
          </cell>
          <cell r="G49">
            <v>0.6428571428571429</v>
          </cell>
          <cell r="P49">
            <v>0.66666666666666663</v>
          </cell>
          <cell r="Q49">
            <v>0.6428571428571429</v>
          </cell>
          <cell r="R49">
            <v>0.76993381657737159</v>
          </cell>
          <cell r="S49">
            <v>0.61957900076084205</v>
          </cell>
        </row>
        <row r="50">
          <cell r="C50" t="str">
            <v>% International</v>
          </cell>
          <cell r="G50">
            <v>0.3571428571428571</v>
          </cell>
          <cell r="P50">
            <v>0.33333333333333337</v>
          </cell>
          <cell r="Q50">
            <v>0.3571428571428571</v>
          </cell>
          <cell r="R50">
            <v>0.23006618342262841</v>
          </cell>
          <cell r="S50">
            <v>0.38042099923915795</v>
          </cell>
          <cell r="AO50">
            <v>54.612947782574075</v>
          </cell>
        </row>
        <row r="51">
          <cell r="C51" t="str">
            <v>Peak Production Rate (Annual)</v>
          </cell>
          <cell r="G51">
            <v>200</v>
          </cell>
          <cell r="P51">
            <v>145</v>
          </cell>
          <cell r="Q51">
            <v>200</v>
          </cell>
          <cell r="R51">
            <v>200</v>
          </cell>
          <cell r="S51">
            <v>250</v>
          </cell>
        </row>
        <row r="52">
          <cell r="C52" t="str">
            <v>Peak U.S. DoD Delivery Rate</v>
          </cell>
          <cell r="G52">
            <v>100</v>
          </cell>
          <cell r="P52">
            <v>85</v>
          </cell>
          <cell r="Q52">
            <v>100</v>
          </cell>
          <cell r="R52">
            <v>130</v>
          </cell>
          <cell r="S52">
            <v>150</v>
          </cell>
        </row>
        <row r="53">
          <cell r="C53" t="str">
            <v>Peak Production Year</v>
          </cell>
          <cell r="G53">
            <v>2020</v>
          </cell>
          <cell r="I53" t="str">
            <v>MUST BE AFTER 2015</v>
          </cell>
          <cell r="P53">
            <v>2020</v>
          </cell>
          <cell r="Q53">
            <v>2020</v>
          </cell>
          <cell r="R53">
            <v>2020</v>
          </cell>
          <cell r="S53">
            <v>2023</v>
          </cell>
          <cell r="AK53">
            <v>32.768803772552332</v>
          </cell>
        </row>
        <row r="54">
          <cell r="C54" t="str">
            <v>Years to Peak Production (after 2015)</v>
          </cell>
          <cell r="G54">
            <v>5</v>
          </cell>
          <cell r="P54">
            <v>5</v>
          </cell>
          <cell r="Q54">
            <v>5</v>
          </cell>
          <cell r="R54">
            <v>5</v>
          </cell>
          <cell r="S54">
            <v>8</v>
          </cell>
          <cell r="AM54">
            <v>33.13023730964948</v>
          </cell>
        </row>
        <row r="55">
          <cell r="C55" t="str">
            <v>Years of Peak Production</v>
          </cell>
          <cell r="G55">
            <v>6</v>
          </cell>
          <cell r="P55">
            <v>6</v>
          </cell>
          <cell r="Q55">
            <v>6</v>
          </cell>
          <cell r="R55">
            <v>7</v>
          </cell>
          <cell r="S55">
            <v>4</v>
          </cell>
          <cell r="AI55">
            <v>14.862270549726547</v>
          </cell>
        </row>
        <row r="56">
          <cell r="C56" t="str">
            <v>Last Production Year</v>
          </cell>
          <cell r="G56">
            <v>2032</v>
          </cell>
          <cell r="I56" t="str">
            <v xml:space="preserve">SELF REFERENCING </v>
          </cell>
        </row>
        <row r="57">
          <cell r="C57" t="str">
            <v>Production Lifetime</v>
          </cell>
          <cell r="G57">
            <v>0</v>
          </cell>
        </row>
        <row r="58">
          <cell r="C58" t="str">
            <v>Production Cut Begins (% Lifetime Deliveries)</v>
          </cell>
          <cell r="G58">
            <v>0.8</v>
          </cell>
          <cell r="P58">
            <v>0.75</v>
          </cell>
          <cell r="Q58">
            <v>0.8</v>
          </cell>
          <cell r="R58">
            <v>0.8</v>
          </cell>
          <cell r="S58">
            <v>0.7</v>
          </cell>
        </row>
        <row r="59">
          <cell r="C59" t="str">
            <v>Annual Production Rate Decrease</v>
          </cell>
          <cell r="G59">
            <v>0.15</v>
          </cell>
          <cell r="P59">
            <v>0.12</v>
          </cell>
          <cell r="Q59">
            <v>0.15</v>
          </cell>
          <cell r="R59">
            <v>0.15</v>
          </cell>
          <cell r="S59">
            <v>0.12</v>
          </cell>
        </row>
        <row r="60">
          <cell r="C60" t="str">
            <v>Number of Post-Peak Production Step Downs (Annual)</v>
          </cell>
          <cell r="G60">
            <v>10</v>
          </cell>
          <cell r="P60">
            <v>8</v>
          </cell>
          <cell r="Q60">
            <v>10</v>
          </cell>
          <cell r="R60">
            <v>10</v>
          </cell>
          <cell r="S60">
            <v>12</v>
          </cell>
        </row>
        <row r="61">
          <cell r="C61" t="str">
            <v>Trough Production Rate</v>
          </cell>
          <cell r="G61">
            <v>39.374880868144515</v>
          </cell>
          <cell r="P61">
            <v>52.147006096801789</v>
          </cell>
          <cell r="Q61">
            <v>39.374880868144515</v>
          </cell>
          <cell r="R61">
            <v>39.374880868144515</v>
          </cell>
          <cell r="S61">
            <v>53.917788955420249</v>
          </cell>
        </row>
        <row r="63">
          <cell r="B63" t="str">
            <v>Development</v>
          </cell>
        </row>
        <row r="64">
          <cell r="C64" t="str">
            <v>EBIT Margin</v>
          </cell>
          <cell r="G64">
            <v>0.03</v>
          </cell>
          <cell r="P64">
            <v>0.01</v>
          </cell>
          <cell r="Q64">
            <v>0.03</v>
          </cell>
          <cell r="R64">
            <v>0.03</v>
          </cell>
          <cell r="S64">
            <v>0.05</v>
          </cell>
        </row>
        <row r="65">
          <cell r="C65" t="str">
            <v>Note: Development Revenue Constant to 2015</v>
          </cell>
        </row>
        <row r="67">
          <cell r="B67" t="str">
            <v>Spares and Sustainment</v>
          </cell>
        </row>
        <row r="68">
          <cell r="C68" t="str">
            <v>Useful Life (years)</v>
          </cell>
          <cell r="G68">
            <v>20</v>
          </cell>
          <cell r="I68" t="str">
            <v>not currently an active driver. Does it need to be?</v>
          </cell>
          <cell r="P68">
            <v>20</v>
          </cell>
          <cell r="Q68">
            <v>20</v>
          </cell>
          <cell r="R68">
            <v>20</v>
          </cell>
          <cell r="S68">
            <v>20</v>
          </cell>
        </row>
        <row r="69">
          <cell r="C69" t="str">
            <v>Avg. Annual Lifecycle Revenue (2015 $MM)</v>
          </cell>
          <cell r="G69">
            <v>4</v>
          </cell>
          <cell r="I69" t="str">
            <v>key diligence item</v>
          </cell>
          <cell r="P69">
            <v>2</v>
          </cell>
          <cell r="Q69">
            <v>4</v>
          </cell>
          <cell r="R69">
            <v>4</v>
          </cell>
          <cell r="S69">
            <v>6</v>
          </cell>
          <cell r="U69" t="str">
            <v>6-8MM looks very light</v>
          </cell>
        </row>
        <row r="70">
          <cell r="C70" t="str">
            <v>% ASP</v>
          </cell>
          <cell r="P70">
            <v>2.2222222222222223E-2</v>
          </cell>
          <cell r="Q70">
            <v>4.4444444444444446E-2</v>
          </cell>
          <cell r="R70">
            <v>5.3333333333333337E-2</v>
          </cell>
          <cell r="S70">
            <v>0.08</v>
          </cell>
        </row>
        <row r="71">
          <cell r="C71" t="str">
            <v>Avg. Annual Lifecycle Margin</v>
          </cell>
          <cell r="G71">
            <v>0.11</v>
          </cell>
          <cell r="I71" t="str">
            <v>Won't be much higher than production on JSF</v>
          </cell>
          <cell r="P71">
            <v>0.1</v>
          </cell>
          <cell r="Q71">
            <v>0.11</v>
          </cell>
          <cell r="R71">
            <v>0.11</v>
          </cell>
          <cell r="S71">
            <v>0.12</v>
          </cell>
        </row>
        <row r="73">
          <cell r="B73" t="str">
            <v>Modernization and Upgrades</v>
          </cell>
        </row>
        <row r="74">
          <cell r="C74" t="str">
            <v>Modernization and Upgrades Begin</v>
          </cell>
          <cell r="G74" t="str">
            <v>10 yrs</v>
          </cell>
          <cell r="I74" t="str">
            <v>not currently an active driver. Does it need to be?</v>
          </cell>
          <cell r="P74">
            <v>2020</v>
          </cell>
          <cell r="Q74">
            <v>2020</v>
          </cell>
          <cell r="R74">
            <v>2020</v>
          </cell>
          <cell r="S74">
            <v>2020</v>
          </cell>
        </row>
        <row r="75">
          <cell r="C75" t="str">
            <v>% Participation</v>
          </cell>
          <cell r="G75">
            <v>0.5</v>
          </cell>
          <cell r="P75">
            <v>0.25</v>
          </cell>
          <cell r="Q75">
            <v>0.5</v>
          </cell>
          <cell r="R75">
            <v>0.5</v>
          </cell>
          <cell r="S75">
            <v>0.75</v>
          </cell>
          <cell r="U75" t="str">
            <v>intl</v>
          </cell>
        </row>
        <row r="76">
          <cell r="C76" t="str">
            <v>Mod/Upgrade Opportunity (2015 $MM)</v>
          </cell>
          <cell r="G76">
            <v>20</v>
          </cell>
          <cell r="I76" t="str">
            <v>key diligence item</v>
          </cell>
          <cell r="P76">
            <v>25</v>
          </cell>
          <cell r="Q76">
            <v>20</v>
          </cell>
          <cell r="R76">
            <v>25</v>
          </cell>
          <cell r="S76">
            <v>35</v>
          </cell>
          <cell r="U76" t="str">
            <v>split by intl u/s</v>
          </cell>
        </row>
        <row r="77">
          <cell r="C77" t="str">
            <v>% ASP (U.S)</v>
          </cell>
          <cell r="G77">
            <v>0.22222222222222221</v>
          </cell>
          <cell r="I77" t="str">
            <v>key diligence item</v>
          </cell>
          <cell r="P77">
            <v>0.27777777777777779</v>
          </cell>
          <cell r="Q77">
            <v>0.22222222222222221</v>
          </cell>
          <cell r="R77">
            <v>0.33333333333333331</v>
          </cell>
          <cell r="S77">
            <v>0.46666666666666667</v>
          </cell>
        </row>
        <row r="78">
          <cell r="C78" t="str">
            <v>Avg. Mod/Upgrade Margin</v>
          </cell>
          <cell r="G78">
            <v>0.12</v>
          </cell>
          <cell r="I78" t="str">
            <v>key diligence item</v>
          </cell>
          <cell r="P78">
            <v>0.08</v>
          </cell>
          <cell r="Q78">
            <v>0.12</v>
          </cell>
          <cell r="R78">
            <v>0.12</v>
          </cell>
          <cell r="S78">
            <v>0.15</v>
          </cell>
        </row>
        <row r="80">
          <cell r="C80" t="str">
            <v>Period</v>
          </cell>
          <cell r="G80">
            <v>1</v>
          </cell>
          <cell r="H80">
            <v>2</v>
          </cell>
          <cell r="I80">
            <v>3</v>
          </cell>
          <cell r="J80">
            <v>4</v>
          </cell>
          <cell r="K80">
            <v>5</v>
          </cell>
          <cell r="L80">
            <v>6</v>
          </cell>
          <cell r="M80">
            <v>7</v>
          </cell>
          <cell r="N80">
            <v>8</v>
          </cell>
          <cell r="O80">
            <v>9</v>
          </cell>
          <cell r="P80">
            <v>10</v>
          </cell>
          <cell r="Q80">
            <v>11</v>
          </cell>
          <cell r="R80">
            <v>12</v>
          </cell>
          <cell r="S80">
            <v>13</v>
          </cell>
          <cell r="T80">
            <v>14</v>
          </cell>
          <cell r="U80">
            <v>15</v>
          </cell>
          <cell r="V80">
            <v>16</v>
          </cell>
          <cell r="W80">
            <v>17</v>
          </cell>
          <cell r="X80">
            <v>18</v>
          </cell>
          <cell r="Y80">
            <v>19</v>
          </cell>
          <cell r="Z80">
            <v>20</v>
          </cell>
          <cell r="AA80">
            <v>21</v>
          </cell>
          <cell r="AB80">
            <v>22</v>
          </cell>
          <cell r="AC80">
            <v>23</v>
          </cell>
          <cell r="AD80">
            <v>24</v>
          </cell>
          <cell r="AE80">
            <v>25</v>
          </cell>
          <cell r="AF80">
            <v>26</v>
          </cell>
          <cell r="AG80">
            <v>27</v>
          </cell>
          <cell r="AH80">
            <v>28</v>
          </cell>
          <cell r="AI80">
            <v>29</v>
          </cell>
          <cell r="AJ80">
            <v>30</v>
          </cell>
          <cell r="AK80">
            <v>31</v>
          </cell>
          <cell r="AL80">
            <v>32</v>
          </cell>
          <cell r="AM80">
            <v>33</v>
          </cell>
          <cell r="AN80">
            <v>34</v>
          </cell>
          <cell r="AO80">
            <v>35</v>
          </cell>
          <cell r="AP80">
            <v>36</v>
          </cell>
          <cell r="AQ80">
            <v>37</v>
          </cell>
          <cell r="AR80">
            <v>38</v>
          </cell>
          <cell r="AS80">
            <v>39</v>
          </cell>
          <cell r="AT80">
            <v>40</v>
          </cell>
          <cell r="AU80">
            <v>41</v>
          </cell>
        </row>
        <row r="82">
          <cell r="B82" t="str">
            <v>Delivery and Backlog Model</v>
          </cell>
        </row>
        <row r="84">
          <cell r="C84" t="str">
            <v>Calendar Year</v>
          </cell>
          <cell r="G84">
            <v>2010</v>
          </cell>
          <cell r="H84">
            <v>2011</v>
          </cell>
          <cell r="I84">
            <v>2012</v>
          </cell>
          <cell r="J84">
            <v>2013</v>
          </cell>
          <cell r="K84">
            <v>2014</v>
          </cell>
          <cell r="L84">
            <v>2015</v>
          </cell>
          <cell r="M84">
            <v>2016</v>
          </cell>
          <cell r="N84">
            <v>2017</v>
          </cell>
          <cell r="O84">
            <v>2018</v>
          </cell>
          <cell r="P84">
            <v>2019</v>
          </cell>
          <cell r="Q84">
            <v>2020</v>
          </cell>
          <cell r="R84">
            <v>2021</v>
          </cell>
          <cell r="S84">
            <v>2022</v>
          </cell>
          <cell r="T84">
            <v>2023</v>
          </cell>
          <cell r="U84">
            <v>2024</v>
          </cell>
          <cell r="V84">
            <v>2025</v>
          </cell>
          <cell r="W84">
            <v>2026</v>
          </cell>
          <cell r="X84">
            <v>2027</v>
          </cell>
          <cell r="Y84">
            <v>2028</v>
          </cell>
          <cell r="Z84">
            <v>2029</v>
          </cell>
          <cell r="AA84">
            <v>2030</v>
          </cell>
          <cell r="AB84">
            <v>2031</v>
          </cell>
          <cell r="AC84">
            <v>2032</v>
          </cell>
          <cell r="AD84">
            <v>2033</v>
          </cell>
          <cell r="AE84">
            <v>2034</v>
          </cell>
          <cell r="AF84">
            <v>2035</v>
          </cell>
          <cell r="AG84">
            <v>2036</v>
          </cell>
          <cell r="AH84">
            <v>2037</v>
          </cell>
          <cell r="AI84">
            <v>2038</v>
          </cell>
          <cell r="AJ84">
            <v>2039</v>
          </cell>
          <cell r="AK84">
            <v>2040</v>
          </cell>
          <cell r="AL84">
            <v>2041</v>
          </cell>
          <cell r="AM84">
            <v>2042</v>
          </cell>
          <cell r="AN84">
            <v>2043</v>
          </cell>
          <cell r="AO84">
            <v>2044</v>
          </cell>
          <cell r="AP84">
            <v>2045</v>
          </cell>
          <cell r="AQ84">
            <v>2046</v>
          </cell>
          <cell r="AR84">
            <v>2047</v>
          </cell>
          <cell r="AS84">
            <v>2048</v>
          </cell>
          <cell r="AT84">
            <v>2049</v>
          </cell>
          <cell r="AU84">
            <v>2050</v>
          </cell>
        </row>
        <row r="86">
          <cell r="C86" t="str">
            <v>Theoretical Perpetual Backlog (Necessary to Drive Dynamic Model)</v>
          </cell>
        </row>
        <row r="87">
          <cell r="C87" t="str">
            <v>Delivery Skyline (Assuming Perpetual Backlog)</v>
          </cell>
          <cell r="G87">
            <v>10</v>
          </cell>
          <cell r="H87">
            <v>17</v>
          </cell>
          <cell r="I87">
            <v>35</v>
          </cell>
          <cell r="J87">
            <v>50</v>
          </cell>
          <cell r="K87">
            <v>75</v>
          </cell>
          <cell r="L87">
            <v>100</v>
          </cell>
          <cell r="M87">
            <v>120</v>
          </cell>
          <cell r="N87">
            <v>140</v>
          </cell>
          <cell r="O87">
            <v>160</v>
          </cell>
          <cell r="P87">
            <v>180</v>
          </cell>
          <cell r="Q87">
            <v>200</v>
          </cell>
          <cell r="R87">
            <v>200</v>
          </cell>
          <cell r="S87">
            <v>200</v>
          </cell>
          <cell r="T87">
            <v>200</v>
          </cell>
          <cell r="U87">
            <v>200</v>
          </cell>
          <cell r="V87">
            <v>200</v>
          </cell>
          <cell r="W87">
            <v>200</v>
          </cell>
          <cell r="X87">
            <v>200</v>
          </cell>
          <cell r="Y87">
            <v>200</v>
          </cell>
          <cell r="Z87">
            <v>200</v>
          </cell>
          <cell r="AA87">
            <v>200</v>
          </cell>
          <cell r="AB87">
            <v>200</v>
          </cell>
          <cell r="AC87">
            <v>200</v>
          </cell>
          <cell r="AD87">
            <v>200</v>
          </cell>
          <cell r="AE87">
            <v>200</v>
          </cell>
          <cell r="AF87">
            <v>200</v>
          </cell>
          <cell r="AG87">
            <v>200</v>
          </cell>
          <cell r="AH87">
            <v>200</v>
          </cell>
          <cell r="AI87">
            <v>200</v>
          </cell>
          <cell r="AJ87">
            <v>200</v>
          </cell>
          <cell r="AK87">
            <v>200</v>
          </cell>
          <cell r="AL87">
            <v>200</v>
          </cell>
          <cell r="AM87">
            <v>200</v>
          </cell>
          <cell r="AN87">
            <v>200</v>
          </cell>
          <cell r="AO87">
            <v>200</v>
          </cell>
          <cell r="AP87">
            <v>200</v>
          </cell>
          <cell r="AQ87">
            <v>200</v>
          </cell>
          <cell r="AR87">
            <v>200</v>
          </cell>
          <cell r="AS87">
            <v>200</v>
          </cell>
          <cell r="AT87">
            <v>200</v>
          </cell>
          <cell r="AU87">
            <v>200</v>
          </cell>
        </row>
        <row r="88">
          <cell r="C88" t="str">
            <v>Cumulative Deliveries (Assuming Perpetual Backlog)</v>
          </cell>
          <cell r="G88">
            <v>10</v>
          </cell>
          <cell r="H88">
            <v>27</v>
          </cell>
          <cell r="I88">
            <v>62</v>
          </cell>
          <cell r="J88">
            <v>112</v>
          </cell>
          <cell r="K88">
            <v>187</v>
          </cell>
          <cell r="L88">
            <v>287</v>
          </cell>
          <cell r="M88">
            <v>407</v>
          </cell>
          <cell r="N88">
            <v>547</v>
          </cell>
          <cell r="O88">
            <v>707</v>
          </cell>
          <cell r="P88">
            <v>887</v>
          </cell>
          <cell r="Q88">
            <v>1087</v>
          </cell>
          <cell r="R88">
            <v>1287</v>
          </cell>
          <cell r="S88">
            <v>1487</v>
          </cell>
          <cell r="T88">
            <v>1687</v>
          </cell>
          <cell r="U88">
            <v>1887</v>
          </cell>
          <cell r="V88">
            <v>2087</v>
          </cell>
          <cell r="W88">
            <v>2287</v>
          </cell>
          <cell r="X88">
            <v>2487</v>
          </cell>
          <cell r="Y88">
            <v>2687</v>
          </cell>
          <cell r="Z88">
            <v>2887</v>
          </cell>
          <cell r="AA88">
            <v>3087</v>
          </cell>
          <cell r="AB88">
            <v>3287</v>
          </cell>
          <cell r="AC88">
            <v>3487</v>
          </cell>
          <cell r="AD88">
            <v>3687</v>
          </cell>
          <cell r="AE88">
            <v>3887</v>
          </cell>
          <cell r="AF88">
            <v>4087</v>
          </cell>
          <cell r="AG88">
            <v>4287</v>
          </cell>
          <cell r="AH88">
            <v>4487</v>
          </cell>
          <cell r="AI88">
            <v>4687</v>
          </cell>
          <cell r="AJ88">
            <v>4887</v>
          </cell>
          <cell r="AK88">
            <v>5087</v>
          </cell>
          <cell r="AL88">
            <v>5287</v>
          </cell>
          <cell r="AM88">
            <v>5487</v>
          </cell>
          <cell r="AN88">
            <v>5687</v>
          </cell>
          <cell r="AO88">
            <v>5887</v>
          </cell>
          <cell r="AP88">
            <v>6087</v>
          </cell>
          <cell r="AQ88">
            <v>6287</v>
          </cell>
          <cell r="AR88">
            <v>6487</v>
          </cell>
          <cell r="AS88">
            <v>6687</v>
          </cell>
          <cell r="AT88">
            <v>6887</v>
          </cell>
          <cell r="AU88">
            <v>7087</v>
          </cell>
        </row>
        <row r="89">
          <cell r="C89" t="str">
            <v>% Actual Total Deliveries</v>
          </cell>
          <cell r="G89">
            <v>3.5714285714285713E-3</v>
          </cell>
          <cell r="H89">
            <v>9.6428571428571423E-3</v>
          </cell>
          <cell r="I89">
            <v>2.2142857142857141E-2</v>
          </cell>
          <cell r="J89">
            <v>0.04</v>
          </cell>
          <cell r="K89">
            <v>6.6785714285714282E-2</v>
          </cell>
          <cell r="L89">
            <v>0.10249999999999999</v>
          </cell>
          <cell r="M89">
            <v>0.14535714285714285</v>
          </cell>
          <cell r="N89">
            <v>0.19535714285714287</v>
          </cell>
          <cell r="O89">
            <v>0.2525</v>
          </cell>
          <cell r="P89">
            <v>0.31678571428571428</v>
          </cell>
          <cell r="Q89">
            <v>0.38821428571428573</v>
          </cell>
          <cell r="R89">
            <v>0.45964285714285713</v>
          </cell>
          <cell r="S89">
            <v>0.53107142857142853</v>
          </cell>
          <cell r="T89">
            <v>0.60250000000000004</v>
          </cell>
          <cell r="U89">
            <v>0.67392857142857143</v>
          </cell>
          <cell r="V89">
            <v>0.74535714285714283</v>
          </cell>
          <cell r="W89">
            <v>0.81678571428571434</v>
          </cell>
          <cell r="X89">
            <v>0.88821428571428573</v>
          </cell>
          <cell r="Y89">
            <v>0.95964285714285713</v>
          </cell>
          <cell r="Z89">
            <v>1.0310714285714286</v>
          </cell>
          <cell r="AA89">
            <v>1.1025</v>
          </cell>
          <cell r="AB89">
            <v>1.1739285714285714</v>
          </cell>
          <cell r="AC89">
            <v>1.2453571428571428</v>
          </cell>
          <cell r="AD89">
            <v>1.3167857142857142</v>
          </cell>
          <cell r="AE89">
            <v>1.3882142857142856</v>
          </cell>
          <cell r="AF89">
            <v>1.4596428571428572</v>
          </cell>
          <cell r="AG89">
            <v>1.5310714285714286</v>
          </cell>
          <cell r="AH89">
            <v>1.6025</v>
          </cell>
          <cell r="AI89">
            <v>1.6739285714285714</v>
          </cell>
          <cell r="AJ89">
            <v>1.7453571428571428</v>
          </cell>
          <cell r="AK89">
            <v>1.8167857142857142</v>
          </cell>
          <cell r="AL89">
            <v>1.8882142857142856</v>
          </cell>
          <cell r="AM89">
            <v>1.9596428571428572</v>
          </cell>
          <cell r="AN89">
            <v>2.0310714285714284</v>
          </cell>
          <cell r="AO89">
            <v>2.1025</v>
          </cell>
          <cell r="AP89">
            <v>2.1739285714285712</v>
          </cell>
          <cell r="AQ89">
            <v>2.2453571428571428</v>
          </cell>
          <cell r="AR89">
            <v>2.3167857142857144</v>
          </cell>
          <cell r="AS89">
            <v>2.3882142857142856</v>
          </cell>
          <cell r="AT89">
            <v>2.4596428571428572</v>
          </cell>
          <cell r="AU89">
            <v>2.5310714285714284</v>
          </cell>
        </row>
        <row r="91">
          <cell r="C91" t="str">
            <v>Production Quantity with Step Downs</v>
          </cell>
        </row>
        <row r="92">
          <cell r="C92" t="str">
            <v>Delivery Skyline (Assuming Production Step Downs)</v>
          </cell>
          <cell r="G92">
            <v>10</v>
          </cell>
          <cell r="H92">
            <v>17</v>
          </cell>
          <cell r="I92">
            <v>35</v>
          </cell>
          <cell r="J92">
            <v>50</v>
          </cell>
          <cell r="K92">
            <v>75</v>
          </cell>
          <cell r="L92">
            <v>100</v>
          </cell>
          <cell r="M92">
            <v>120</v>
          </cell>
          <cell r="N92">
            <v>140</v>
          </cell>
          <cell r="O92">
            <v>160</v>
          </cell>
          <cell r="P92">
            <v>180</v>
          </cell>
          <cell r="Q92">
            <v>200</v>
          </cell>
          <cell r="R92">
            <v>200</v>
          </cell>
          <cell r="S92">
            <v>200</v>
          </cell>
          <cell r="T92">
            <v>200</v>
          </cell>
          <cell r="U92">
            <v>200</v>
          </cell>
          <cell r="V92">
            <v>200</v>
          </cell>
          <cell r="W92">
            <v>170</v>
          </cell>
          <cell r="X92">
            <v>144.5</v>
          </cell>
          <cell r="Y92">
            <v>122.825</v>
          </cell>
          <cell r="Z92">
            <v>104.40125</v>
          </cell>
          <cell r="AA92">
            <v>88.741062499999998</v>
          </cell>
          <cell r="AB92">
            <v>75.429903124999996</v>
          </cell>
          <cell r="AC92">
            <v>64.115417656249988</v>
          </cell>
          <cell r="AD92">
            <v>54.498105007812491</v>
          </cell>
          <cell r="AE92">
            <v>46.323389256640617</v>
          </cell>
          <cell r="AF92">
            <v>39.374880868144523</v>
          </cell>
          <cell r="AG92">
            <v>39.374880868144523</v>
          </cell>
          <cell r="AH92">
            <v>39.374880868144523</v>
          </cell>
          <cell r="AI92">
            <v>39.374880868144523</v>
          </cell>
          <cell r="AJ92">
            <v>39.374880868144523</v>
          </cell>
          <cell r="AK92">
            <v>39.374880868144523</v>
          </cell>
          <cell r="AL92">
            <v>39.374880868144523</v>
          </cell>
          <cell r="AM92">
            <v>39.374880868144523</v>
          </cell>
          <cell r="AN92">
            <v>39.374880868144523</v>
          </cell>
          <cell r="AO92">
            <v>39.374880868144523</v>
          </cell>
          <cell r="AP92">
            <v>39.374880868144523</v>
          </cell>
          <cell r="AQ92">
            <v>39.374880868144523</v>
          </cell>
          <cell r="AR92">
            <v>39.374880868144523</v>
          </cell>
          <cell r="AS92">
            <v>39.374880868144523</v>
          </cell>
          <cell r="AT92">
            <v>39.374880868144523</v>
          </cell>
          <cell r="AU92">
            <v>39.374880868144523</v>
          </cell>
        </row>
        <row r="93">
          <cell r="C93" t="str">
            <v>Cumulative Deliveries (Assuming Production Step Downs)</v>
          </cell>
          <cell r="G93">
            <v>10</v>
          </cell>
          <cell r="H93">
            <v>27</v>
          </cell>
          <cell r="I93">
            <v>62</v>
          </cell>
          <cell r="J93">
            <v>112</v>
          </cell>
          <cell r="K93">
            <v>187</v>
          </cell>
          <cell r="L93">
            <v>287</v>
          </cell>
          <cell r="M93">
            <v>407</v>
          </cell>
          <cell r="N93">
            <v>547</v>
          </cell>
          <cell r="O93">
            <v>707</v>
          </cell>
          <cell r="P93">
            <v>887</v>
          </cell>
          <cell r="Q93">
            <v>1087</v>
          </cell>
          <cell r="R93">
            <v>1287</v>
          </cell>
          <cell r="S93">
            <v>1487</v>
          </cell>
          <cell r="T93">
            <v>1687</v>
          </cell>
          <cell r="U93">
            <v>1887</v>
          </cell>
          <cell r="V93">
            <v>2087</v>
          </cell>
          <cell r="W93">
            <v>2257</v>
          </cell>
          <cell r="X93">
            <v>2401.5</v>
          </cell>
          <cell r="Y93">
            <v>2524.3249999999998</v>
          </cell>
          <cell r="Z93">
            <v>2628.7262499999997</v>
          </cell>
          <cell r="AA93">
            <v>2717.4673124999999</v>
          </cell>
          <cell r="AB93">
            <v>2792.8972156249997</v>
          </cell>
          <cell r="AC93">
            <v>2857.0126332812497</v>
          </cell>
          <cell r="AD93">
            <v>2911.5107382890624</v>
          </cell>
          <cell r="AE93">
            <v>2957.8341275457028</v>
          </cell>
          <cell r="AF93">
            <v>2997.2090084138472</v>
          </cell>
          <cell r="AG93">
            <v>3036.5838892819916</v>
          </cell>
          <cell r="AH93">
            <v>3075.9587701501359</v>
          </cell>
          <cell r="AI93">
            <v>3115.3336510182803</v>
          </cell>
          <cell r="AJ93">
            <v>3154.7085318864247</v>
          </cell>
          <cell r="AK93">
            <v>3194.0834127545691</v>
          </cell>
          <cell r="AL93">
            <v>3233.4582936227134</v>
          </cell>
          <cell r="AM93">
            <v>3272.8331744908578</v>
          </cell>
          <cell r="AN93">
            <v>3312.2080553590022</v>
          </cell>
          <cell r="AO93">
            <v>3351.5829362271465</v>
          </cell>
          <cell r="AP93">
            <v>3390.9578170952909</v>
          </cell>
          <cell r="AQ93">
            <v>3430.3326979634353</v>
          </cell>
          <cell r="AR93">
            <v>3469.7075788315797</v>
          </cell>
          <cell r="AS93">
            <v>3509.082459699724</v>
          </cell>
          <cell r="AT93">
            <v>3548.4573405678684</v>
          </cell>
          <cell r="AU93">
            <v>3587.8322214360128</v>
          </cell>
        </row>
        <row r="95">
          <cell r="C95" t="str">
            <v>Acutal Delivery Backlog Model - U.S. DoD</v>
          </cell>
        </row>
        <row r="96">
          <cell r="C96" t="str">
            <v>Program of Record Backlog</v>
          </cell>
          <cell r="G96">
            <v>2442.9999999999995</v>
          </cell>
          <cell r="H96">
            <v>2432.9999999999995</v>
          </cell>
          <cell r="I96">
            <v>2415.9999999999995</v>
          </cell>
          <cell r="J96">
            <v>2380.9999999999995</v>
          </cell>
          <cell r="K96">
            <v>2330.9999999999995</v>
          </cell>
          <cell r="L96">
            <v>2255.9999999999995</v>
          </cell>
          <cell r="M96">
            <v>2155.9999999999995</v>
          </cell>
          <cell r="N96">
            <v>2055.9999999999995</v>
          </cell>
          <cell r="O96">
            <v>1955.9999999999995</v>
          </cell>
          <cell r="P96">
            <v>1855.9999999999995</v>
          </cell>
          <cell r="Q96">
            <v>1755.9999999999995</v>
          </cell>
          <cell r="R96">
            <v>1655.9999999999995</v>
          </cell>
          <cell r="S96">
            <v>1555.9999999999995</v>
          </cell>
          <cell r="T96">
            <v>1455.9999999999995</v>
          </cell>
          <cell r="U96">
            <v>1355.9999999999995</v>
          </cell>
          <cell r="V96">
            <v>1255.9999999999995</v>
          </cell>
          <cell r="W96">
            <v>513</v>
          </cell>
          <cell r="X96">
            <v>413</v>
          </cell>
          <cell r="Y96">
            <v>313</v>
          </cell>
          <cell r="Z96">
            <v>213</v>
          </cell>
          <cell r="AA96">
            <v>113</v>
          </cell>
          <cell r="AB96">
            <v>24.258937500000002</v>
          </cell>
          <cell r="AC96">
            <v>0</v>
          </cell>
          <cell r="AD96">
            <v>0</v>
          </cell>
          <cell r="AE96">
            <v>0</v>
          </cell>
          <cell r="AF96">
            <v>0</v>
          </cell>
          <cell r="AG96">
            <v>0</v>
          </cell>
          <cell r="AH96">
            <v>0</v>
          </cell>
          <cell r="AI96">
            <v>0</v>
          </cell>
          <cell r="AJ96">
            <v>0</v>
          </cell>
          <cell r="AK96">
            <v>0</v>
          </cell>
          <cell r="AL96">
            <v>0</v>
          </cell>
          <cell r="AM96">
            <v>0</v>
          </cell>
          <cell r="AN96">
            <v>0</v>
          </cell>
          <cell r="AO96">
            <v>0</v>
          </cell>
          <cell r="AP96">
            <v>0</v>
          </cell>
          <cell r="AQ96">
            <v>0</v>
          </cell>
          <cell r="AR96">
            <v>0</v>
          </cell>
          <cell r="AS96">
            <v>0</v>
          </cell>
          <cell r="AT96">
            <v>0</v>
          </cell>
          <cell r="AU96">
            <v>0</v>
          </cell>
        </row>
        <row r="97">
          <cell r="C97" t="str">
            <v>Less: Deliveries</v>
          </cell>
          <cell r="G97">
            <v>-10</v>
          </cell>
          <cell r="H97">
            <v>-17</v>
          </cell>
          <cell r="I97">
            <v>-35</v>
          </cell>
          <cell r="J97">
            <v>-50</v>
          </cell>
          <cell r="K97">
            <v>-75</v>
          </cell>
          <cell r="L97">
            <v>-100</v>
          </cell>
          <cell r="M97">
            <v>-100</v>
          </cell>
          <cell r="N97">
            <v>-100</v>
          </cell>
          <cell r="O97">
            <v>-100</v>
          </cell>
          <cell r="P97">
            <v>-100</v>
          </cell>
          <cell r="Q97">
            <v>-100</v>
          </cell>
          <cell r="R97">
            <v>-100</v>
          </cell>
          <cell r="S97">
            <v>-100</v>
          </cell>
          <cell r="T97">
            <v>-100</v>
          </cell>
          <cell r="U97">
            <v>-100</v>
          </cell>
          <cell r="V97">
            <v>-100</v>
          </cell>
          <cell r="W97">
            <v>-100</v>
          </cell>
          <cell r="X97">
            <v>-100</v>
          </cell>
          <cell r="Y97">
            <v>-100</v>
          </cell>
          <cell r="Z97">
            <v>-100</v>
          </cell>
          <cell r="AA97">
            <v>-88.741062499999998</v>
          </cell>
          <cell r="AB97">
            <v>-24.258937500000002</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row>
        <row r="98">
          <cell r="C98" t="str">
            <v>Change to U.S. Program of Record</v>
          </cell>
          <cell r="G98">
            <v>0</v>
          </cell>
          <cell r="H98">
            <v>0</v>
          </cell>
          <cell r="I98">
            <v>0</v>
          </cell>
          <cell r="J98">
            <v>0</v>
          </cell>
          <cell r="K98">
            <v>0</v>
          </cell>
          <cell r="L98">
            <v>0</v>
          </cell>
          <cell r="M98">
            <v>0</v>
          </cell>
          <cell r="N98">
            <v>0</v>
          </cell>
          <cell r="O98">
            <v>0</v>
          </cell>
          <cell r="P98">
            <v>0</v>
          </cell>
          <cell r="Q98">
            <v>0</v>
          </cell>
          <cell r="R98">
            <v>0</v>
          </cell>
          <cell r="S98">
            <v>0</v>
          </cell>
          <cell r="T98">
            <v>0</v>
          </cell>
          <cell r="U98">
            <v>0</v>
          </cell>
          <cell r="V98">
            <v>-642.99999999999955</v>
          </cell>
          <cell r="W98">
            <v>0</v>
          </cell>
          <cell r="X98">
            <v>0</v>
          </cell>
          <cell r="Y98">
            <v>0</v>
          </cell>
          <cell r="Z98">
            <v>0</v>
          </cell>
          <cell r="AA98">
            <v>0</v>
          </cell>
          <cell r="AB98">
            <v>0</v>
          </cell>
          <cell r="AC98">
            <v>0</v>
          </cell>
          <cell r="AD98">
            <v>0</v>
          </cell>
          <cell r="AE98">
            <v>0</v>
          </cell>
          <cell r="AF98">
            <v>0</v>
          </cell>
          <cell r="AG98">
            <v>0</v>
          </cell>
          <cell r="AH98">
            <v>0</v>
          </cell>
          <cell r="AI98">
            <v>0</v>
          </cell>
          <cell r="AJ98">
            <v>0</v>
          </cell>
          <cell r="AK98">
            <v>0</v>
          </cell>
          <cell r="AL98">
            <v>0</v>
          </cell>
          <cell r="AM98">
            <v>0</v>
          </cell>
          <cell r="AN98">
            <v>0</v>
          </cell>
          <cell r="AO98">
            <v>0</v>
          </cell>
          <cell r="AP98">
            <v>0</v>
          </cell>
          <cell r="AQ98">
            <v>0</v>
          </cell>
          <cell r="AR98">
            <v>0</v>
          </cell>
          <cell r="AS98">
            <v>0</v>
          </cell>
          <cell r="AT98">
            <v>0</v>
          </cell>
          <cell r="AU98">
            <v>0</v>
          </cell>
        </row>
        <row r="99">
          <cell r="C99" t="str">
            <v>Ending Backlog</v>
          </cell>
          <cell r="G99">
            <v>2432.9999999999995</v>
          </cell>
          <cell r="H99">
            <v>2415.9999999999995</v>
          </cell>
          <cell r="I99">
            <v>2380.9999999999995</v>
          </cell>
          <cell r="J99">
            <v>2330.9999999999995</v>
          </cell>
          <cell r="K99">
            <v>2255.9999999999995</v>
          </cell>
          <cell r="L99">
            <v>2155.9999999999995</v>
          </cell>
          <cell r="M99">
            <v>2055.9999999999995</v>
          </cell>
          <cell r="N99">
            <v>1955.9999999999995</v>
          </cell>
          <cell r="O99">
            <v>1855.9999999999995</v>
          </cell>
          <cell r="P99">
            <v>1755.9999999999995</v>
          </cell>
          <cell r="Q99">
            <v>1655.9999999999995</v>
          </cell>
          <cell r="R99">
            <v>1555.9999999999995</v>
          </cell>
          <cell r="S99">
            <v>1455.9999999999995</v>
          </cell>
          <cell r="T99">
            <v>1355.9999999999995</v>
          </cell>
          <cell r="U99">
            <v>1255.9999999999995</v>
          </cell>
          <cell r="V99">
            <v>513</v>
          </cell>
          <cell r="W99">
            <v>413</v>
          </cell>
          <cell r="X99">
            <v>313</v>
          </cell>
          <cell r="Y99">
            <v>213</v>
          </cell>
          <cell r="Z99">
            <v>113</v>
          </cell>
          <cell r="AA99">
            <v>24.258937500000002</v>
          </cell>
          <cell r="AB99">
            <v>0</v>
          </cell>
          <cell r="AC99">
            <v>0</v>
          </cell>
          <cell r="AD99">
            <v>0</v>
          </cell>
          <cell r="AE99">
            <v>0</v>
          </cell>
          <cell r="AF99">
            <v>0</v>
          </cell>
          <cell r="AG99">
            <v>0</v>
          </cell>
          <cell r="AH99">
            <v>0</v>
          </cell>
          <cell r="AI99">
            <v>0</v>
          </cell>
          <cell r="AJ99">
            <v>0</v>
          </cell>
          <cell r="AK99">
            <v>0</v>
          </cell>
          <cell r="AL99">
            <v>0</v>
          </cell>
          <cell r="AM99">
            <v>0</v>
          </cell>
          <cell r="AN99">
            <v>0</v>
          </cell>
          <cell r="AO99">
            <v>0</v>
          </cell>
          <cell r="AP99">
            <v>0</v>
          </cell>
          <cell r="AQ99">
            <v>0</v>
          </cell>
          <cell r="AR99">
            <v>0</v>
          </cell>
          <cell r="AS99">
            <v>0</v>
          </cell>
          <cell r="AT99">
            <v>0</v>
          </cell>
          <cell r="AU99">
            <v>0</v>
          </cell>
        </row>
        <row r="100">
          <cell r="C100" t="str">
            <v>Cumulative Deliveries (Actual)</v>
          </cell>
          <cell r="G100">
            <v>10</v>
          </cell>
          <cell r="H100">
            <v>27</v>
          </cell>
          <cell r="I100">
            <v>62</v>
          </cell>
          <cell r="J100">
            <v>112</v>
          </cell>
          <cell r="K100">
            <v>187</v>
          </cell>
          <cell r="L100">
            <v>287</v>
          </cell>
          <cell r="M100">
            <v>387</v>
          </cell>
          <cell r="N100">
            <v>487</v>
          </cell>
          <cell r="O100">
            <v>587</v>
          </cell>
          <cell r="P100">
            <v>687</v>
          </cell>
          <cell r="Q100">
            <v>787</v>
          </cell>
          <cell r="R100">
            <v>887</v>
          </cell>
          <cell r="S100">
            <v>987</v>
          </cell>
          <cell r="T100">
            <v>1087</v>
          </cell>
          <cell r="U100">
            <v>1187</v>
          </cell>
          <cell r="V100">
            <v>1287</v>
          </cell>
          <cell r="W100">
            <v>1387</v>
          </cell>
          <cell r="X100">
            <v>1487</v>
          </cell>
          <cell r="Y100">
            <v>1587</v>
          </cell>
          <cell r="Z100">
            <v>1687</v>
          </cell>
          <cell r="AA100">
            <v>1775.7410625</v>
          </cell>
          <cell r="AB100">
            <v>1800</v>
          </cell>
          <cell r="AC100">
            <v>1800</v>
          </cell>
          <cell r="AD100">
            <v>1800</v>
          </cell>
          <cell r="AE100">
            <v>1800</v>
          </cell>
          <cell r="AF100">
            <v>1800</v>
          </cell>
          <cell r="AG100">
            <v>1800</v>
          </cell>
          <cell r="AH100">
            <v>1800</v>
          </cell>
          <cell r="AI100">
            <v>1800</v>
          </cell>
          <cell r="AJ100">
            <v>1800</v>
          </cell>
          <cell r="AK100">
            <v>1800</v>
          </cell>
          <cell r="AL100">
            <v>1800</v>
          </cell>
          <cell r="AM100">
            <v>1800</v>
          </cell>
          <cell r="AN100">
            <v>1800</v>
          </cell>
          <cell r="AO100">
            <v>1800</v>
          </cell>
          <cell r="AP100">
            <v>1800</v>
          </cell>
          <cell r="AQ100">
            <v>1800</v>
          </cell>
          <cell r="AR100">
            <v>1800</v>
          </cell>
          <cell r="AS100">
            <v>1800</v>
          </cell>
          <cell r="AT100">
            <v>1800</v>
          </cell>
          <cell r="AU100">
            <v>1800</v>
          </cell>
        </row>
        <row r="102">
          <cell r="C102" t="str">
            <v>Acutal Delivery Backlog Model</v>
          </cell>
        </row>
        <row r="103">
          <cell r="C103" t="str">
            <v>Beginning Backlog</v>
          </cell>
          <cell r="G103">
            <v>730</v>
          </cell>
          <cell r="H103">
            <v>746.875</v>
          </cell>
          <cell r="I103">
            <v>763.75</v>
          </cell>
          <cell r="J103">
            <v>780.625</v>
          </cell>
          <cell r="K103">
            <v>797.5</v>
          </cell>
          <cell r="L103">
            <v>814.375</v>
          </cell>
          <cell r="M103">
            <v>831.25</v>
          </cell>
          <cell r="N103">
            <v>828.125</v>
          </cell>
          <cell r="O103">
            <v>805</v>
          </cell>
          <cell r="P103">
            <v>761.875</v>
          </cell>
          <cell r="Q103">
            <v>698.75</v>
          </cell>
          <cell r="R103">
            <v>615.625</v>
          </cell>
          <cell r="S103">
            <v>532.5</v>
          </cell>
          <cell r="T103">
            <v>449.375</v>
          </cell>
          <cell r="U103">
            <v>366.25</v>
          </cell>
          <cell r="V103">
            <v>283.125</v>
          </cell>
          <cell r="W103">
            <v>200</v>
          </cell>
          <cell r="X103">
            <v>130</v>
          </cell>
          <cell r="Y103">
            <v>85.5</v>
          </cell>
          <cell r="Z103">
            <v>62.674999999999997</v>
          </cell>
          <cell r="AA103">
            <v>58.273749999999993</v>
          </cell>
          <cell r="AB103">
            <v>58.273749999999993</v>
          </cell>
          <cell r="AC103">
            <v>7.1027843749999988</v>
          </cell>
          <cell r="AD103">
            <v>0</v>
          </cell>
          <cell r="AE103">
            <v>0</v>
          </cell>
          <cell r="AF103">
            <v>0</v>
          </cell>
          <cell r="AG103">
            <v>0</v>
          </cell>
          <cell r="AH103">
            <v>0</v>
          </cell>
          <cell r="AI103">
            <v>0</v>
          </cell>
          <cell r="AJ103">
            <v>0</v>
          </cell>
          <cell r="AK103">
            <v>0</v>
          </cell>
          <cell r="AL103">
            <v>0</v>
          </cell>
          <cell r="AM103">
            <v>0</v>
          </cell>
          <cell r="AN103">
            <v>0</v>
          </cell>
          <cell r="AO103">
            <v>0</v>
          </cell>
          <cell r="AP103">
            <v>0</v>
          </cell>
          <cell r="AQ103">
            <v>0</v>
          </cell>
          <cell r="AR103">
            <v>0</v>
          </cell>
          <cell r="AS103">
            <v>0</v>
          </cell>
          <cell r="AT103">
            <v>0</v>
          </cell>
          <cell r="AU103">
            <v>0</v>
          </cell>
        </row>
        <row r="104">
          <cell r="C104" t="str">
            <v>Less: Deliveries</v>
          </cell>
          <cell r="G104">
            <v>0</v>
          </cell>
          <cell r="H104">
            <v>0</v>
          </cell>
          <cell r="I104">
            <v>0</v>
          </cell>
          <cell r="J104">
            <v>0</v>
          </cell>
          <cell r="K104">
            <v>0</v>
          </cell>
          <cell r="L104">
            <v>0</v>
          </cell>
          <cell r="M104">
            <v>-20</v>
          </cell>
          <cell r="N104">
            <v>-40</v>
          </cell>
          <cell r="O104">
            <v>-60</v>
          </cell>
          <cell r="P104">
            <v>-80</v>
          </cell>
          <cell r="Q104">
            <v>-100</v>
          </cell>
          <cell r="R104">
            <v>-100</v>
          </cell>
          <cell r="S104">
            <v>-100</v>
          </cell>
          <cell r="T104">
            <v>-100</v>
          </cell>
          <cell r="U104">
            <v>-100</v>
          </cell>
          <cell r="V104">
            <v>-100</v>
          </cell>
          <cell r="W104">
            <v>-70</v>
          </cell>
          <cell r="X104">
            <v>-44.5</v>
          </cell>
          <cell r="Y104">
            <v>-22.825000000000003</v>
          </cell>
          <cell r="Z104">
            <v>-4.4012500000000045</v>
          </cell>
          <cell r="AA104">
            <v>0</v>
          </cell>
          <cell r="AB104">
            <v>-51.170965624999994</v>
          </cell>
          <cell r="AC104">
            <v>-7.1027843749999988</v>
          </cell>
          <cell r="AD104">
            <v>0</v>
          </cell>
          <cell r="AE104">
            <v>0</v>
          </cell>
          <cell r="AF104">
            <v>0</v>
          </cell>
          <cell r="AG104">
            <v>0</v>
          </cell>
          <cell r="AH104">
            <v>0</v>
          </cell>
          <cell r="AI104">
            <v>0</v>
          </cell>
          <cell r="AJ104">
            <v>0</v>
          </cell>
          <cell r="AK104">
            <v>0</v>
          </cell>
          <cell r="AL104">
            <v>0</v>
          </cell>
          <cell r="AM104">
            <v>0</v>
          </cell>
          <cell r="AN104">
            <v>0</v>
          </cell>
          <cell r="AO104">
            <v>0</v>
          </cell>
          <cell r="AP104">
            <v>0</v>
          </cell>
          <cell r="AQ104">
            <v>0</v>
          </cell>
          <cell r="AR104">
            <v>0</v>
          </cell>
          <cell r="AS104">
            <v>0</v>
          </cell>
          <cell r="AT104">
            <v>0</v>
          </cell>
          <cell r="AU104">
            <v>0</v>
          </cell>
        </row>
        <row r="105">
          <cell r="C105" t="str">
            <v>Net International Orders (Cancellations)</v>
          </cell>
          <cell r="G105">
            <v>16.875</v>
          </cell>
          <cell r="H105">
            <v>16.875</v>
          </cell>
          <cell r="I105">
            <v>16.875</v>
          </cell>
          <cell r="J105">
            <v>16.875</v>
          </cell>
          <cell r="K105">
            <v>16.875</v>
          </cell>
          <cell r="L105">
            <v>16.875</v>
          </cell>
          <cell r="M105">
            <v>16.875</v>
          </cell>
          <cell r="N105">
            <v>16.875</v>
          </cell>
          <cell r="O105">
            <v>16.875</v>
          </cell>
          <cell r="P105">
            <v>16.875</v>
          </cell>
          <cell r="Q105">
            <v>16.875</v>
          </cell>
          <cell r="R105">
            <v>16.875</v>
          </cell>
          <cell r="S105">
            <v>16.875</v>
          </cell>
          <cell r="T105">
            <v>16.875</v>
          </cell>
          <cell r="U105">
            <v>16.875</v>
          </cell>
          <cell r="V105">
            <v>16.875</v>
          </cell>
          <cell r="W105">
            <v>0</v>
          </cell>
          <cell r="X105">
            <v>0</v>
          </cell>
          <cell r="Y105">
            <v>0</v>
          </cell>
          <cell r="Z105">
            <v>0</v>
          </cell>
          <cell r="AA105">
            <v>0</v>
          </cell>
          <cell r="AB105">
            <v>0</v>
          </cell>
          <cell r="AC105">
            <v>0</v>
          </cell>
          <cell r="AD105">
            <v>0</v>
          </cell>
          <cell r="AE105">
            <v>0</v>
          </cell>
          <cell r="AF105">
            <v>0</v>
          </cell>
          <cell r="AG105">
            <v>0</v>
          </cell>
          <cell r="AH105">
            <v>0</v>
          </cell>
          <cell r="AI105">
            <v>0</v>
          </cell>
          <cell r="AJ105">
            <v>0</v>
          </cell>
          <cell r="AK105">
            <v>0</v>
          </cell>
          <cell r="AL105">
            <v>0</v>
          </cell>
          <cell r="AM105">
            <v>0</v>
          </cell>
          <cell r="AN105">
            <v>0</v>
          </cell>
          <cell r="AO105">
            <v>0</v>
          </cell>
          <cell r="AP105">
            <v>0</v>
          </cell>
          <cell r="AQ105">
            <v>0</v>
          </cell>
          <cell r="AR105">
            <v>0</v>
          </cell>
          <cell r="AS105">
            <v>0</v>
          </cell>
          <cell r="AT105">
            <v>0</v>
          </cell>
          <cell r="AU105">
            <v>0</v>
          </cell>
        </row>
        <row r="106">
          <cell r="C106" t="str">
            <v>Ending Backlog</v>
          </cell>
          <cell r="G106">
            <v>746.875</v>
          </cell>
          <cell r="H106">
            <v>763.75</v>
          </cell>
          <cell r="I106">
            <v>780.625</v>
          </cell>
          <cell r="J106">
            <v>797.5</v>
          </cell>
          <cell r="K106">
            <v>814.375</v>
          </cell>
          <cell r="L106">
            <v>831.25</v>
          </cell>
          <cell r="M106">
            <v>828.125</v>
          </cell>
          <cell r="N106">
            <v>805</v>
          </cell>
          <cell r="O106">
            <v>761.875</v>
          </cell>
          <cell r="P106">
            <v>698.75</v>
          </cell>
          <cell r="Q106">
            <v>615.625</v>
          </cell>
          <cell r="R106">
            <v>532.5</v>
          </cell>
          <cell r="S106">
            <v>449.375</v>
          </cell>
          <cell r="T106">
            <v>366.25</v>
          </cell>
          <cell r="U106">
            <v>283.125</v>
          </cell>
          <cell r="V106">
            <v>200</v>
          </cell>
          <cell r="W106">
            <v>130</v>
          </cell>
          <cell r="X106">
            <v>85.5</v>
          </cell>
          <cell r="Y106">
            <v>62.674999999999997</v>
          </cell>
          <cell r="Z106">
            <v>58.273749999999993</v>
          </cell>
          <cell r="AA106">
            <v>58.273749999999993</v>
          </cell>
          <cell r="AB106">
            <v>7.1027843749999988</v>
          </cell>
          <cell r="AC106">
            <v>0</v>
          </cell>
          <cell r="AD106">
            <v>0</v>
          </cell>
          <cell r="AE106">
            <v>0</v>
          </cell>
          <cell r="AF106">
            <v>0</v>
          </cell>
          <cell r="AG106">
            <v>0</v>
          </cell>
          <cell r="AH106">
            <v>0</v>
          </cell>
          <cell r="AI106">
            <v>0</v>
          </cell>
          <cell r="AJ106">
            <v>0</v>
          </cell>
          <cell r="AK106">
            <v>0</v>
          </cell>
          <cell r="AL106">
            <v>0</v>
          </cell>
          <cell r="AM106">
            <v>0</v>
          </cell>
          <cell r="AN106">
            <v>0</v>
          </cell>
          <cell r="AO106">
            <v>0</v>
          </cell>
          <cell r="AP106">
            <v>0</v>
          </cell>
          <cell r="AQ106">
            <v>0</v>
          </cell>
          <cell r="AR106">
            <v>0</v>
          </cell>
          <cell r="AS106">
            <v>0</v>
          </cell>
          <cell r="AT106">
            <v>0</v>
          </cell>
          <cell r="AU106">
            <v>0</v>
          </cell>
        </row>
        <row r="107">
          <cell r="C107" t="str">
            <v>Cumulative Deliveries (Actual)</v>
          </cell>
          <cell r="G107">
            <v>0</v>
          </cell>
          <cell r="H107">
            <v>0</v>
          </cell>
          <cell r="I107">
            <v>0</v>
          </cell>
          <cell r="J107">
            <v>0</v>
          </cell>
          <cell r="K107">
            <v>0</v>
          </cell>
          <cell r="L107">
            <v>0</v>
          </cell>
          <cell r="M107">
            <v>20</v>
          </cell>
          <cell r="N107">
            <v>60</v>
          </cell>
          <cell r="O107">
            <v>120</v>
          </cell>
          <cell r="P107">
            <v>200</v>
          </cell>
          <cell r="Q107">
            <v>300</v>
          </cell>
          <cell r="R107">
            <v>400</v>
          </cell>
          <cell r="S107">
            <v>500</v>
          </cell>
          <cell r="T107">
            <v>600</v>
          </cell>
          <cell r="U107">
            <v>700</v>
          </cell>
          <cell r="V107">
            <v>800</v>
          </cell>
          <cell r="W107">
            <v>870</v>
          </cell>
          <cell r="X107">
            <v>914.5</v>
          </cell>
          <cell r="Y107">
            <v>937.32500000000005</v>
          </cell>
          <cell r="Z107">
            <v>941.72625000000005</v>
          </cell>
          <cell r="AA107">
            <v>941.72625000000005</v>
          </cell>
          <cell r="AB107">
            <v>992.89721562500006</v>
          </cell>
          <cell r="AC107">
            <v>1000</v>
          </cell>
          <cell r="AD107">
            <v>1000</v>
          </cell>
          <cell r="AE107">
            <v>1000</v>
          </cell>
          <cell r="AF107">
            <v>1000</v>
          </cell>
          <cell r="AG107">
            <v>1000</v>
          </cell>
          <cell r="AH107">
            <v>1000</v>
          </cell>
          <cell r="AI107">
            <v>1000</v>
          </cell>
          <cell r="AJ107">
            <v>1000</v>
          </cell>
          <cell r="AK107">
            <v>1000</v>
          </cell>
          <cell r="AL107">
            <v>1000</v>
          </cell>
          <cell r="AM107">
            <v>1000</v>
          </cell>
          <cell r="AN107">
            <v>1000</v>
          </cell>
          <cell r="AO107">
            <v>1000</v>
          </cell>
          <cell r="AP107">
            <v>1000</v>
          </cell>
          <cell r="AQ107">
            <v>1000</v>
          </cell>
          <cell r="AR107">
            <v>1000</v>
          </cell>
          <cell r="AS107">
            <v>1000</v>
          </cell>
          <cell r="AT107">
            <v>1000</v>
          </cell>
          <cell r="AU107">
            <v>1000</v>
          </cell>
        </row>
        <row r="109">
          <cell r="C109" t="str">
            <v>Total U.S. and International Deliveries</v>
          </cell>
        </row>
        <row r="110">
          <cell r="C110" t="str">
            <v>U.S. DoD Deliveries</v>
          </cell>
          <cell r="G110">
            <v>10</v>
          </cell>
          <cell r="H110">
            <v>17</v>
          </cell>
          <cell r="I110">
            <v>35</v>
          </cell>
          <cell r="J110">
            <v>50</v>
          </cell>
          <cell r="K110">
            <v>75</v>
          </cell>
          <cell r="L110">
            <v>100</v>
          </cell>
          <cell r="M110">
            <v>100</v>
          </cell>
          <cell r="N110">
            <v>100</v>
          </cell>
          <cell r="O110">
            <v>100</v>
          </cell>
          <cell r="P110">
            <v>100</v>
          </cell>
          <cell r="Q110">
            <v>100</v>
          </cell>
          <cell r="R110">
            <v>100</v>
          </cell>
          <cell r="S110">
            <v>100</v>
          </cell>
          <cell r="T110">
            <v>100</v>
          </cell>
          <cell r="U110">
            <v>100</v>
          </cell>
          <cell r="V110">
            <v>100</v>
          </cell>
          <cell r="W110">
            <v>100</v>
          </cell>
          <cell r="X110">
            <v>100</v>
          </cell>
          <cell r="Y110">
            <v>100</v>
          </cell>
          <cell r="Z110">
            <v>100</v>
          </cell>
          <cell r="AA110">
            <v>88.741062499999998</v>
          </cell>
          <cell r="AB110">
            <v>24.258937500000002</v>
          </cell>
          <cell r="AC110">
            <v>0</v>
          </cell>
          <cell r="AD110">
            <v>0</v>
          </cell>
          <cell r="AE110">
            <v>0</v>
          </cell>
          <cell r="AF110">
            <v>0</v>
          </cell>
          <cell r="AG110">
            <v>0</v>
          </cell>
          <cell r="AH110">
            <v>0</v>
          </cell>
          <cell r="AI110">
            <v>0</v>
          </cell>
          <cell r="AJ110">
            <v>0</v>
          </cell>
          <cell r="AK110">
            <v>0</v>
          </cell>
          <cell r="AL110">
            <v>0</v>
          </cell>
          <cell r="AM110">
            <v>0</v>
          </cell>
          <cell r="AN110">
            <v>0</v>
          </cell>
          <cell r="AO110">
            <v>0</v>
          </cell>
          <cell r="AP110">
            <v>0</v>
          </cell>
          <cell r="AQ110">
            <v>0</v>
          </cell>
          <cell r="AR110">
            <v>0</v>
          </cell>
          <cell r="AS110">
            <v>0</v>
          </cell>
          <cell r="AT110">
            <v>0</v>
          </cell>
          <cell r="AU110">
            <v>0</v>
          </cell>
        </row>
        <row r="111">
          <cell r="C111" t="str">
            <v>International Deliveries</v>
          </cell>
          <cell r="G111">
            <v>0</v>
          </cell>
          <cell r="H111">
            <v>0</v>
          </cell>
          <cell r="I111">
            <v>0</v>
          </cell>
          <cell r="J111">
            <v>0</v>
          </cell>
          <cell r="K111">
            <v>0</v>
          </cell>
          <cell r="L111">
            <v>0</v>
          </cell>
          <cell r="M111">
            <v>20</v>
          </cell>
          <cell r="N111">
            <v>40</v>
          </cell>
          <cell r="O111">
            <v>60</v>
          </cell>
          <cell r="P111">
            <v>80</v>
          </cell>
          <cell r="Q111">
            <v>100</v>
          </cell>
          <cell r="R111">
            <v>100</v>
          </cell>
          <cell r="S111">
            <v>100</v>
          </cell>
          <cell r="T111">
            <v>100</v>
          </cell>
          <cell r="U111">
            <v>100</v>
          </cell>
          <cell r="V111">
            <v>100</v>
          </cell>
          <cell r="W111">
            <v>70</v>
          </cell>
          <cell r="X111">
            <v>44.5</v>
          </cell>
          <cell r="Y111">
            <v>22.825000000000003</v>
          </cell>
          <cell r="Z111">
            <v>4.4012500000000045</v>
          </cell>
          <cell r="AA111">
            <v>0</v>
          </cell>
          <cell r="AB111">
            <v>51.170965624999994</v>
          </cell>
          <cell r="AC111">
            <v>7.1027843749999988</v>
          </cell>
          <cell r="AD111">
            <v>0</v>
          </cell>
          <cell r="AE111">
            <v>0</v>
          </cell>
          <cell r="AF111">
            <v>0</v>
          </cell>
          <cell r="AG111">
            <v>0</v>
          </cell>
          <cell r="AH111">
            <v>0</v>
          </cell>
          <cell r="AI111">
            <v>0</v>
          </cell>
          <cell r="AJ111">
            <v>0</v>
          </cell>
          <cell r="AK111">
            <v>0</v>
          </cell>
          <cell r="AL111">
            <v>0</v>
          </cell>
          <cell r="AM111">
            <v>0</v>
          </cell>
          <cell r="AN111">
            <v>0</v>
          </cell>
          <cell r="AO111">
            <v>0</v>
          </cell>
          <cell r="AP111">
            <v>0</v>
          </cell>
          <cell r="AQ111">
            <v>0</v>
          </cell>
          <cell r="AR111">
            <v>0</v>
          </cell>
          <cell r="AS111">
            <v>0</v>
          </cell>
          <cell r="AT111">
            <v>0</v>
          </cell>
          <cell r="AU111">
            <v>0</v>
          </cell>
        </row>
        <row r="112">
          <cell r="C112" t="str">
            <v>Total Deliveries</v>
          </cell>
          <cell r="G112">
            <v>10</v>
          </cell>
          <cell r="H112">
            <v>17</v>
          </cell>
          <cell r="I112">
            <v>35</v>
          </cell>
          <cell r="J112">
            <v>50</v>
          </cell>
          <cell r="K112">
            <v>75</v>
          </cell>
          <cell r="L112">
            <v>100</v>
          </cell>
          <cell r="M112">
            <v>120</v>
          </cell>
          <cell r="N112">
            <v>140</v>
          </cell>
          <cell r="O112">
            <v>160</v>
          </cell>
          <cell r="P112">
            <v>180</v>
          </cell>
          <cell r="Q112">
            <v>200</v>
          </cell>
          <cell r="R112">
            <v>200</v>
          </cell>
          <cell r="S112">
            <v>200</v>
          </cell>
          <cell r="T112">
            <v>200</v>
          </cell>
          <cell r="U112">
            <v>200</v>
          </cell>
          <cell r="V112">
            <v>200</v>
          </cell>
          <cell r="W112">
            <v>170</v>
          </cell>
          <cell r="X112">
            <v>144.5</v>
          </cell>
          <cell r="Y112">
            <v>122.825</v>
          </cell>
          <cell r="Z112">
            <v>104.40125</v>
          </cell>
          <cell r="AA112">
            <v>88.741062499999998</v>
          </cell>
          <cell r="AB112">
            <v>75.429903124999996</v>
          </cell>
          <cell r="AC112">
            <v>7.1027843749999988</v>
          </cell>
          <cell r="AD112">
            <v>0</v>
          </cell>
          <cell r="AE112">
            <v>0</v>
          </cell>
          <cell r="AF112">
            <v>0</v>
          </cell>
          <cell r="AG112">
            <v>0</v>
          </cell>
          <cell r="AH112">
            <v>0</v>
          </cell>
          <cell r="AI112">
            <v>0</v>
          </cell>
          <cell r="AJ112">
            <v>0</v>
          </cell>
          <cell r="AK112">
            <v>0</v>
          </cell>
          <cell r="AL112">
            <v>0</v>
          </cell>
          <cell r="AM112">
            <v>0</v>
          </cell>
          <cell r="AN112">
            <v>0</v>
          </cell>
          <cell r="AO112">
            <v>0</v>
          </cell>
          <cell r="AP112">
            <v>0</v>
          </cell>
          <cell r="AQ112">
            <v>0</v>
          </cell>
          <cell r="AR112">
            <v>0</v>
          </cell>
          <cell r="AS112">
            <v>0</v>
          </cell>
          <cell r="AT112">
            <v>0</v>
          </cell>
          <cell r="AU112">
            <v>0</v>
          </cell>
        </row>
        <row r="113">
          <cell r="C113" t="str">
            <v>Cumulative</v>
          </cell>
          <cell r="G113">
            <v>10</v>
          </cell>
          <cell r="H113">
            <v>27</v>
          </cell>
          <cell r="I113">
            <v>62</v>
          </cell>
          <cell r="J113">
            <v>112</v>
          </cell>
          <cell r="K113">
            <v>187</v>
          </cell>
          <cell r="L113">
            <v>287</v>
          </cell>
          <cell r="M113">
            <v>407</v>
          </cell>
          <cell r="N113">
            <v>547</v>
          </cell>
          <cell r="O113">
            <v>707</v>
          </cell>
          <cell r="P113">
            <v>887</v>
          </cell>
          <cell r="Q113">
            <v>1087</v>
          </cell>
          <cell r="R113">
            <v>1287</v>
          </cell>
          <cell r="S113">
            <v>1487</v>
          </cell>
          <cell r="T113">
            <v>1687</v>
          </cell>
          <cell r="U113">
            <v>1887</v>
          </cell>
          <cell r="V113">
            <v>2087</v>
          </cell>
          <cell r="W113">
            <v>2257</v>
          </cell>
          <cell r="X113">
            <v>2401.5</v>
          </cell>
          <cell r="Y113">
            <v>2524.3249999999998</v>
          </cell>
          <cell r="Z113">
            <v>2628.7262500000002</v>
          </cell>
          <cell r="AA113">
            <v>2717.4673124999999</v>
          </cell>
          <cell r="AB113">
            <v>2792.8972156250002</v>
          </cell>
          <cell r="AC113">
            <v>2800</v>
          </cell>
          <cell r="AD113">
            <v>2800</v>
          </cell>
          <cell r="AE113">
            <v>2800</v>
          </cell>
          <cell r="AF113">
            <v>2800</v>
          </cell>
          <cell r="AG113">
            <v>2800</v>
          </cell>
          <cell r="AH113">
            <v>2800</v>
          </cell>
          <cell r="AI113">
            <v>2800</v>
          </cell>
          <cell r="AJ113">
            <v>2800</v>
          </cell>
          <cell r="AK113">
            <v>2800</v>
          </cell>
          <cell r="AL113">
            <v>2800</v>
          </cell>
          <cell r="AM113">
            <v>2800</v>
          </cell>
          <cell r="AN113">
            <v>2800</v>
          </cell>
          <cell r="AO113">
            <v>2800</v>
          </cell>
          <cell r="AP113">
            <v>2800</v>
          </cell>
          <cell r="AQ113">
            <v>2800</v>
          </cell>
          <cell r="AR113">
            <v>2800</v>
          </cell>
          <cell r="AS113">
            <v>2800</v>
          </cell>
          <cell r="AT113">
            <v>2800</v>
          </cell>
          <cell r="AU113">
            <v>2800</v>
          </cell>
        </row>
        <row r="114">
          <cell r="C114" t="str">
            <v>% Total</v>
          </cell>
          <cell r="G114">
            <v>3.5714285714285713E-3</v>
          </cell>
          <cell r="H114">
            <v>9.6428571428571423E-3</v>
          </cell>
          <cell r="I114">
            <v>2.2142857142857141E-2</v>
          </cell>
          <cell r="J114">
            <v>0.04</v>
          </cell>
          <cell r="K114">
            <v>6.6785714285714282E-2</v>
          </cell>
          <cell r="L114">
            <v>0.10249999999999999</v>
          </cell>
          <cell r="M114">
            <v>0.14535714285714285</v>
          </cell>
          <cell r="N114">
            <v>0.19535714285714287</v>
          </cell>
          <cell r="O114">
            <v>0.2525</v>
          </cell>
          <cell r="P114">
            <v>0.31678571428571428</v>
          </cell>
          <cell r="Q114">
            <v>0.38821428571428573</v>
          </cell>
          <cell r="R114">
            <v>0.45964285714285713</v>
          </cell>
          <cell r="S114">
            <v>0.53107142857142853</v>
          </cell>
          <cell r="T114">
            <v>0.60250000000000004</v>
          </cell>
          <cell r="U114">
            <v>0.67392857142857143</v>
          </cell>
          <cell r="V114">
            <v>0.74535714285714283</v>
          </cell>
          <cell r="W114">
            <v>0.80607142857142855</v>
          </cell>
          <cell r="X114">
            <v>0.8576785714285714</v>
          </cell>
          <cell r="Y114">
            <v>0.90154464285714275</v>
          </cell>
          <cell r="Z114">
            <v>0.93883080357142867</v>
          </cell>
          <cell r="AA114">
            <v>0.97052404017857141</v>
          </cell>
          <cell r="AB114">
            <v>0.99746329129464295</v>
          </cell>
          <cell r="AC114">
            <v>1</v>
          </cell>
          <cell r="AD114">
            <v>1</v>
          </cell>
          <cell r="AE114">
            <v>1</v>
          </cell>
          <cell r="AF114">
            <v>1</v>
          </cell>
          <cell r="AG114">
            <v>1</v>
          </cell>
          <cell r="AH114">
            <v>1</v>
          </cell>
          <cell r="AI114">
            <v>1</v>
          </cell>
          <cell r="AJ114">
            <v>1</v>
          </cell>
          <cell r="AK114">
            <v>1</v>
          </cell>
          <cell r="AL114">
            <v>1</v>
          </cell>
          <cell r="AM114">
            <v>1</v>
          </cell>
          <cell r="AN114">
            <v>1</v>
          </cell>
          <cell r="AO114">
            <v>1</v>
          </cell>
          <cell r="AP114">
            <v>1</v>
          </cell>
          <cell r="AQ114">
            <v>1</v>
          </cell>
          <cell r="AR114">
            <v>1</v>
          </cell>
          <cell r="AS114">
            <v>1</v>
          </cell>
          <cell r="AT114">
            <v>1</v>
          </cell>
          <cell r="AU114">
            <v>1</v>
          </cell>
        </row>
        <row r="115">
          <cell r="C115" t="str">
            <v>Final Production Year</v>
          </cell>
          <cell r="G115">
            <v>0</v>
          </cell>
          <cell r="H115">
            <v>0</v>
          </cell>
          <cell r="I115">
            <v>0</v>
          </cell>
          <cell r="J115">
            <v>0</v>
          </cell>
          <cell r="K115">
            <v>0</v>
          </cell>
          <cell r="L115">
            <v>0</v>
          </cell>
          <cell r="M115">
            <v>0</v>
          </cell>
          <cell r="N115">
            <v>0</v>
          </cell>
          <cell r="O115">
            <v>0</v>
          </cell>
          <cell r="P115">
            <v>0</v>
          </cell>
          <cell r="Q115">
            <v>0</v>
          </cell>
          <cell r="R115">
            <v>0</v>
          </cell>
          <cell r="S115">
            <v>0</v>
          </cell>
          <cell r="T115">
            <v>0</v>
          </cell>
          <cell r="U115">
            <v>0</v>
          </cell>
          <cell r="V115">
            <v>0</v>
          </cell>
          <cell r="W115">
            <v>0</v>
          </cell>
          <cell r="X115">
            <v>0</v>
          </cell>
          <cell r="Y115">
            <v>0</v>
          </cell>
          <cell r="Z115">
            <v>0</v>
          </cell>
          <cell r="AA115">
            <v>0</v>
          </cell>
          <cell r="AB115">
            <v>0</v>
          </cell>
          <cell r="AC115">
            <v>2032</v>
          </cell>
          <cell r="AD115">
            <v>0</v>
          </cell>
          <cell r="AE115">
            <v>0</v>
          </cell>
          <cell r="AF115">
            <v>0</v>
          </cell>
          <cell r="AG115">
            <v>0</v>
          </cell>
          <cell r="AH115">
            <v>0</v>
          </cell>
          <cell r="AI115">
            <v>0</v>
          </cell>
          <cell r="AJ115">
            <v>0</v>
          </cell>
          <cell r="AK115">
            <v>0</v>
          </cell>
          <cell r="AL115">
            <v>0</v>
          </cell>
          <cell r="AM115">
            <v>0</v>
          </cell>
          <cell r="AN115">
            <v>0</v>
          </cell>
          <cell r="AO115">
            <v>0</v>
          </cell>
          <cell r="AP115">
            <v>0</v>
          </cell>
          <cell r="AQ115">
            <v>0</v>
          </cell>
          <cell r="AR115">
            <v>0</v>
          </cell>
          <cell r="AS115">
            <v>0</v>
          </cell>
          <cell r="AT115">
            <v>0</v>
          </cell>
          <cell r="AU115">
            <v>0</v>
          </cell>
        </row>
        <row r="117">
          <cell r="B117" t="str">
            <v>Operating Projections</v>
          </cell>
        </row>
        <row r="119">
          <cell r="C119" t="str">
            <v>Calendar Year</v>
          </cell>
          <cell r="G119">
            <v>2010</v>
          </cell>
          <cell r="H119">
            <v>2011</v>
          </cell>
          <cell r="I119">
            <v>2012</v>
          </cell>
          <cell r="J119">
            <v>2013</v>
          </cell>
          <cell r="K119">
            <v>2014</v>
          </cell>
          <cell r="L119">
            <v>2015</v>
          </cell>
          <cell r="M119">
            <v>2016</v>
          </cell>
          <cell r="N119">
            <v>2017</v>
          </cell>
          <cell r="O119">
            <v>2018</v>
          </cell>
          <cell r="P119">
            <v>2019</v>
          </cell>
          <cell r="Q119">
            <v>2020</v>
          </cell>
          <cell r="R119">
            <v>2021</v>
          </cell>
          <cell r="S119">
            <v>2022</v>
          </cell>
          <cell r="T119">
            <v>2023</v>
          </cell>
          <cell r="U119">
            <v>2024</v>
          </cell>
          <cell r="V119">
            <v>2025</v>
          </cell>
          <cell r="W119">
            <v>2026</v>
          </cell>
          <cell r="X119">
            <v>2027</v>
          </cell>
          <cell r="Y119">
            <v>2028</v>
          </cell>
          <cell r="Z119">
            <v>2029</v>
          </cell>
          <cell r="AA119">
            <v>2030</v>
          </cell>
          <cell r="AB119">
            <v>2031</v>
          </cell>
          <cell r="AC119">
            <v>2032</v>
          </cell>
          <cell r="AD119">
            <v>2033</v>
          </cell>
          <cell r="AE119">
            <v>2034</v>
          </cell>
          <cell r="AF119">
            <v>2035</v>
          </cell>
          <cell r="AG119">
            <v>2036</v>
          </cell>
          <cell r="AH119">
            <v>2037</v>
          </cell>
          <cell r="AI119">
            <v>2038</v>
          </cell>
          <cell r="AJ119">
            <v>2039</v>
          </cell>
          <cell r="AK119">
            <v>2040</v>
          </cell>
          <cell r="AL119">
            <v>2041</v>
          </cell>
          <cell r="AM119">
            <v>2042</v>
          </cell>
          <cell r="AN119">
            <v>2043</v>
          </cell>
          <cell r="AO119">
            <v>2044</v>
          </cell>
          <cell r="AP119">
            <v>2045</v>
          </cell>
          <cell r="AQ119">
            <v>2046</v>
          </cell>
          <cell r="AR119">
            <v>2047</v>
          </cell>
          <cell r="AS119">
            <v>2048</v>
          </cell>
          <cell r="AT119">
            <v>2049</v>
          </cell>
          <cell r="AU119">
            <v>2050</v>
          </cell>
        </row>
        <row r="121">
          <cell r="C121" t="str">
            <v>Development</v>
          </cell>
        </row>
        <row r="122">
          <cell r="C122" t="str">
            <v>Development Revenue</v>
          </cell>
          <cell r="G122">
            <v>1600</v>
          </cell>
          <cell r="H122">
            <v>1500</v>
          </cell>
          <cell r="I122">
            <v>1300</v>
          </cell>
          <cell r="J122">
            <v>1100</v>
          </cell>
          <cell r="K122">
            <v>900</v>
          </cell>
          <cell r="L122">
            <v>500</v>
          </cell>
          <cell r="M122">
            <v>0</v>
          </cell>
          <cell r="N122">
            <v>0</v>
          </cell>
          <cell r="O122">
            <v>0</v>
          </cell>
          <cell r="P122">
            <v>0</v>
          </cell>
          <cell r="Q122">
            <v>0</v>
          </cell>
          <cell r="R122">
            <v>0</v>
          </cell>
          <cell r="S122">
            <v>0</v>
          </cell>
          <cell r="T122">
            <v>0</v>
          </cell>
          <cell r="U122">
            <v>0</v>
          </cell>
          <cell r="V122">
            <v>0</v>
          </cell>
          <cell r="W122">
            <v>0</v>
          </cell>
          <cell r="X122">
            <v>0</v>
          </cell>
          <cell r="Y122">
            <v>0</v>
          </cell>
          <cell r="Z122">
            <v>0</v>
          </cell>
          <cell r="AA122">
            <v>0</v>
          </cell>
          <cell r="AB122">
            <v>0</v>
          </cell>
          <cell r="AC122">
            <v>0</v>
          </cell>
          <cell r="AD122">
            <v>0</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row>
        <row r="123">
          <cell r="C123" t="str">
            <v>Margin</v>
          </cell>
          <cell r="G123">
            <v>0.03</v>
          </cell>
          <cell r="H123">
            <v>0.03</v>
          </cell>
          <cell r="I123">
            <v>0.03</v>
          </cell>
          <cell r="J123">
            <v>0.03</v>
          </cell>
          <cell r="K123">
            <v>0.03</v>
          </cell>
          <cell r="L123">
            <v>0.03</v>
          </cell>
          <cell r="M123">
            <v>0.03</v>
          </cell>
          <cell r="N123">
            <v>0.03</v>
          </cell>
          <cell r="O123">
            <v>0.03</v>
          </cell>
          <cell r="P123">
            <v>0.03</v>
          </cell>
          <cell r="Q123">
            <v>0.03</v>
          </cell>
          <cell r="R123">
            <v>0.03</v>
          </cell>
          <cell r="S123">
            <v>0.03</v>
          </cell>
          <cell r="T123">
            <v>0.03</v>
          </cell>
          <cell r="U123">
            <v>0.03</v>
          </cell>
          <cell r="V123">
            <v>0.03</v>
          </cell>
          <cell r="W123">
            <v>0.03</v>
          </cell>
          <cell r="X123">
            <v>0.03</v>
          </cell>
          <cell r="Y123">
            <v>0.03</v>
          </cell>
          <cell r="Z123">
            <v>0.03</v>
          </cell>
          <cell r="AA123">
            <v>0.03</v>
          </cell>
          <cell r="AB123">
            <v>0.03</v>
          </cell>
          <cell r="AC123">
            <v>0.03</v>
          </cell>
          <cell r="AD123">
            <v>0.03</v>
          </cell>
          <cell r="AE123">
            <v>0.03</v>
          </cell>
          <cell r="AF123">
            <v>0.03</v>
          </cell>
          <cell r="AG123">
            <v>0.03</v>
          </cell>
          <cell r="AH123">
            <v>0.03</v>
          </cell>
          <cell r="AI123">
            <v>0.03</v>
          </cell>
          <cell r="AJ123">
            <v>0.03</v>
          </cell>
          <cell r="AK123">
            <v>0.03</v>
          </cell>
          <cell r="AL123">
            <v>0.03</v>
          </cell>
          <cell r="AM123">
            <v>0.03</v>
          </cell>
          <cell r="AN123">
            <v>0.03</v>
          </cell>
          <cell r="AO123">
            <v>0.03</v>
          </cell>
          <cell r="AP123">
            <v>0.03</v>
          </cell>
          <cell r="AQ123">
            <v>0.03</v>
          </cell>
          <cell r="AR123">
            <v>0.03</v>
          </cell>
          <cell r="AS123">
            <v>0.03</v>
          </cell>
          <cell r="AT123">
            <v>0.03</v>
          </cell>
          <cell r="AU123">
            <v>0.03</v>
          </cell>
        </row>
        <row r="124">
          <cell r="C124" t="str">
            <v>Development EBIT</v>
          </cell>
          <cell r="G124">
            <v>48</v>
          </cell>
          <cell r="H124">
            <v>45</v>
          </cell>
          <cell r="I124">
            <v>39</v>
          </cell>
          <cell r="J124">
            <v>33</v>
          </cell>
          <cell r="K124">
            <v>27</v>
          </cell>
          <cell r="L124">
            <v>15</v>
          </cell>
          <cell r="M124">
            <v>0</v>
          </cell>
          <cell r="N124">
            <v>0</v>
          </cell>
          <cell r="O124">
            <v>0</v>
          </cell>
          <cell r="P124">
            <v>0</v>
          </cell>
          <cell r="Q124">
            <v>0</v>
          </cell>
          <cell r="R124">
            <v>0</v>
          </cell>
          <cell r="S124">
            <v>0</v>
          </cell>
          <cell r="T124">
            <v>0</v>
          </cell>
          <cell r="U124">
            <v>0</v>
          </cell>
          <cell r="V124">
            <v>0</v>
          </cell>
          <cell r="W124">
            <v>0</v>
          </cell>
          <cell r="X124">
            <v>0</v>
          </cell>
          <cell r="Y124">
            <v>0</v>
          </cell>
          <cell r="Z124">
            <v>0</v>
          </cell>
          <cell r="AA124">
            <v>0</v>
          </cell>
          <cell r="AB124">
            <v>0</v>
          </cell>
          <cell r="AC124">
            <v>0</v>
          </cell>
          <cell r="AD124">
            <v>0</v>
          </cell>
          <cell r="AE124">
            <v>0</v>
          </cell>
          <cell r="AF124">
            <v>0</v>
          </cell>
          <cell r="AG124">
            <v>0</v>
          </cell>
          <cell r="AH124">
            <v>0</v>
          </cell>
          <cell r="AI124">
            <v>0</v>
          </cell>
          <cell r="AJ124">
            <v>0</v>
          </cell>
          <cell r="AK124">
            <v>0</v>
          </cell>
          <cell r="AL124">
            <v>0</v>
          </cell>
          <cell r="AM124">
            <v>0</v>
          </cell>
          <cell r="AN124">
            <v>0</v>
          </cell>
          <cell r="AO124">
            <v>0</v>
          </cell>
          <cell r="AP124">
            <v>0</v>
          </cell>
          <cell r="AQ124">
            <v>0</v>
          </cell>
          <cell r="AR124">
            <v>0</v>
          </cell>
          <cell r="AS124">
            <v>0</v>
          </cell>
          <cell r="AT124">
            <v>0</v>
          </cell>
          <cell r="AU124">
            <v>0</v>
          </cell>
        </row>
        <row r="126">
          <cell r="C126" t="str">
            <v>U.S. DoD Production</v>
          </cell>
        </row>
        <row r="127">
          <cell r="C127" t="str">
            <v>Deliveries</v>
          </cell>
          <cell r="G127">
            <v>10</v>
          </cell>
          <cell r="H127">
            <v>17</v>
          </cell>
          <cell r="I127">
            <v>35</v>
          </cell>
          <cell r="J127">
            <v>50</v>
          </cell>
          <cell r="K127">
            <v>75</v>
          </cell>
          <cell r="L127">
            <v>100</v>
          </cell>
          <cell r="M127">
            <v>100</v>
          </cell>
          <cell r="N127">
            <v>100</v>
          </cell>
          <cell r="O127">
            <v>100</v>
          </cell>
          <cell r="P127">
            <v>100</v>
          </cell>
          <cell r="Q127">
            <v>100</v>
          </cell>
          <cell r="R127">
            <v>100</v>
          </cell>
          <cell r="S127">
            <v>100</v>
          </cell>
          <cell r="T127">
            <v>100</v>
          </cell>
          <cell r="U127">
            <v>100</v>
          </cell>
          <cell r="V127">
            <v>100</v>
          </cell>
          <cell r="W127">
            <v>100</v>
          </cell>
          <cell r="X127">
            <v>100</v>
          </cell>
          <cell r="Y127">
            <v>100</v>
          </cell>
          <cell r="Z127">
            <v>100</v>
          </cell>
          <cell r="AA127">
            <v>88.741062499999998</v>
          </cell>
          <cell r="AB127">
            <v>24.258937500000002</v>
          </cell>
          <cell r="AC127">
            <v>0</v>
          </cell>
          <cell r="AD127">
            <v>0</v>
          </cell>
          <cell r="AE127">
            <v>0</v>
          </cell>
          <cell r="AF127">
            <v>0</v>
          </cell>
          <cell r="AG127">
            <v>0</v>
          </cell>
          <cell r="AH127">
            <v>0</v>
          </cell>
          <cell r="AI127">
            <v>0</v>
          </cell>
          <cell r="AJ127">
            <v>0</v>
          </cell>
          <cell r="AK127">
            <v>0</v>
          </cell>
          <cell r="AL127">
            <v>0</v>
          </cell>
          <cell r="AM127">
            <v>0</v>
          </cell>
          <cell r="AN127">
            <v>0</v>
          </cell>
          <cell r="AO127">
            <v>0</v>
          </cell>
          <cell r="AP127">
            <v>0</v>
          </cell>
          <cell r="AQ127">
            <v>0</v>
          </cell>
          <cell r="AR127">
            <v>0</v>
          </cell>
          <cell r="AS127">
            <v>0</v>
          </cell>
          <cell r="AT127">
            <v>0</v>
          </cell>
          <cell r="AU127">
            <v>0</v>
          </cell>
        </row>
        <row r="128">
          <cell r="C128" t="str">
            <v>ASP ($MM)</v>
          </cell>
          <cell r="G128" t="str">
            <v xml:space="preserve">NM </v>
          </cell>
          <cell r="H128" t="str">
            <v xml:space="preserve">NM </v>
          </cell>
          <cell r="I128">
            <v>171.42857142857142</v>
          </cell>
          <cell r="J128">
            <v>140</v>
          </cell>
          <cell r="K128">
            <v>106.66666666666667</v>
          </cell>
          <cell r="L128">
            <v>90</v>
          </cell>
          <cell r="M128">
            <v>92.249999999999986</v>
          </cell>
          <cell r="N128">
            <v>94.556249999999977</v>
          </cell>
          <cell r="O128">
            <v>96.920156249999962</v>
          </cell>
          <cell r="P128">
            <v>99.343160156249951</v>
          </cell>
          <cell r="Q128">
            <v>101.82673916015619</v>
          </cell>
          <cell r="R128">
            <v>104.37240763916009</v>
          </cell>
          <cell r="S128">
            <v>106.98171783013908</v>
          </cell>
          <cell r="T128">
            <v>109.65626077589255</v>
          </cell>
          <cell r="U128">
            <v>112.39766729528985</v>
          </cell>
          <cell r="V128">
            <v>115.20760897767208</v>
          </cell>
          <cell r="W128">
            <v>118.08779920211387</v>
          </cell>
          <cell r="X128">
            <v>121.03999418216671</v>
          </cell>
          <cell r="Y128">
            <v>124.06599403672087</v>
          </cell>
          <cell r="Z128">
            <v>127.16764388763887</v>
          </cell>
          <cell r="AA128">
            <v>130.34683498482983</v>
          </cell>
          <cell r="AB128">
            <v>133.60550585945057</v>
          </cell>
          <cell r="AC128">
            <v>136.94564350593683</v>
          </cell>
          <cell r="AD128">
            <v>140.36928459358523</v>
          </cell>
          <cell r="AE128">
            <v>143.87851670842485</v>
          </cell>
          <cell r="AF128">
            <v>147.47547962613547</v>
          </cell>
          <cell r="AG128">
            <v>151.16236661678883</v>
          </cell>
          <cell r="AH128">
            <v>154.94142578220854</v>
          </cell>
          <cell r="AI128">
            <v>158.81496142676374</v>
          </cell>
          <cell r="AJ128">
            <v>162.78533546243281</v>
          </cell>
          <cell r="AK128">
            <v>166.85496884899362</v>
          </cell>
          <cell r="AL128">
            <v>171.02634307021845</v>
          </cell>
          <cell r="AM128">
            <v>175.30200164697388</v>
          </cell>
          <cell r="AN128">
            <v>179.68455168814822</v>
          </cell>
          <cell r="AO128">
            <v>184.17666548035191</v>
          </cell>
          <cell r="AP128">
            <v>188.78108211736068</v>
          </cell>
          <cell r="AQ128">
            <v>193.50060917029469</v>
          </cell>
          <cell r="AR128">
            <v>198.33812439955204</v>
          </cell>
          <cell r="AS128">
            <v>203.29657750954084</v>
          </cell>
          <cell r="AT128">
            <v>208.37899194727933</v>
          </cell>
          <cell r="AU128">
            <v>213.58846674596128</v>
          </cell>
        </row>
        <row r="129">
          <cell r="C129" t="str">
            <v>U.S. DoD Production Revenue</v>
          </cell>
          <cell r="G129">
            <v>3850</v>
          </cell>
          <cell r="H129">
            <v>5000</v>
          </cell>
          <cell r="I129">
            <v>6000</v>
          </cell>
          <cell r="J129">
            <v>7000</v>
          </cell>
          <cell r="K129">
            <v>8000</v>
          </cell>
          <cell r="L129">
            <v>9000</v>
          </cell>
          <cell r="M129">
            <v>9224.9999999999982</v>
          </cell>
          <cell r="N129">
            <v>9455.6249999999982</v>
          </cell>
          <cell r="O129">
            <v>9692.0156249999964</v>
          </cell>
          <cell r="P129">
            <v>9934.3160156249942</v>
          </cell>
          <cell r="Q129">
            <v>10182.673916015619</v>
          </cell>
          <cell r="R129">
            <v>10437.240763916008</v>
          </cell>
          <cell r="S129">
            <v>10698.171783013908</v>
          </cell>
          <cell r="T129">
            <v>10965.626077589255</v>
          </cell>
          <cell r="U129">
            <v>11239.766729528985</v>
          </cell>
          <cell r="V129">
            <v>11520.760897767208</v>
          </cell>
          <cell r="W129">
            <v>11808.779920211387</v>
          </cell>
          <cell r="X129">
            <v>12103.99941821667</v>
          </cell>
          <cell r="Y129">
            <v>12406.599403672086</v>
          </cell>
          <cell r="Z129">
            <v>12716.764388763888</v>
          </cell>
          <cell r="AA129">
            <v>11567.11663006597</v>
          </cell>
          <cell r="AB129">
            <v>3241.1276163002954</v>
          </cell>
          <cell r="AC129">
            <v>0</v>
          </cell>
          <cell r="AD129">
            <v>0</v>
          </cell>
          <cell r="AE129">
            <v>0</v>
          </cell>
          <cell r="AF129">
            <v>0</v>
          </cell>
          <cell r="AG129">
            <v>0</v>
          </cell>
          <cell r="AH129">
            <v>0</v>
          </cell>
          <cell r="AI129">
            <v>0</v>
          </cell>
          <cell r="AJ129">
            <v>0</v>
          </cell>
          <cell r="AK129">
            <v>0</v>
          </cell>
          <cell r="AL129">
            <v>0</v>
          </cell>
          <cell r="AM129">
            <v>0</v>
          </cell>
          <cell r="AN129">
            <v>0</v>
          </cell>
          <cell r="AO129">
            <v>0</v>
          </cell>
          <cell r="AP129">
            <v>0</v>
          </cell>
          <cell r="AQ129">
            <v>0</v>
          </cell>
          <cell r="AR129">
            <v>0</v>
          </cell>
          <cell r="AS129">
            <v>0</v>
          </cell>
          <cell r="AT129">
            <v>0</v>
          </cell>
          <cell r="AU129">
            <v>0</v>
          </cell>
        </row>
        <row r="130">
          <cell r="C130" t="str">
            <v>Margin</v>
          </cell>
          <cell r="G130">
            <v>0.06</v>
          </cell>
          <cell r="H130">
            <v>6.6000000000000003E-2</v>
          </cell>
          <cell r="I130">
            <v>7.2000000000000008E-2</v>
          </cell>
          <cell r="J130">
            <v>7.8000000000000014E-2</v>
          </cell>
          <cell r="K130">
            <v>8.4000000000000019E-2</v>
          </cell>
          <cell r="L130">
            <v>0.09</v>
          </cell>
          <cell r="M130">
            <v>9.6000000000000002E-2</v>
          </cell>
          <cell r="N130">
            <v>0.10200000000000001</v>
          </cell>
          <cell r="O130">
            <v>0.10800000000000001</v>
          </cell>
          <cell r="P130">
            <v>0.11400000000000002</v>
          </cell>
          <cell r="Q130">
            <v>0.12</v>
          </cell>
          <cell r="R130">
            <v>0.12</v>
          </cell>
          <cell r="S130">
            <v>0.12</v>
          </cell>
          <cell r="T130">
            <v>0.12</v>
          </cell>
          <cell r="U130">
            <v>0.12</v>
          </cell>
          <cell r="V130">
            <v>0.12</v>
          </cell>
          <cell r="W130">
            <v>0.12</v>
          </cell>
          <cell r="X130">
            <v>0.12</v>
          </cell>
          <cell r="Y130">
            <v>0.12</v>
          </cell>
          <cell r="Z130">
            <v>0.12</v>
          </cell>
          <cell r="AA130">
            <v>0.12</v>
          </cell>
          <cell r="AB130">
            <v>0.12</v>
          </cell>
          <cell r="AC130">
            <v>0.12</v>
          </cell>
          <cell r="AD130">
            <v>0.12</v>
          </cell>
          <cell r="AE130">
            <v>0.12</v>
          </cell>
          <cell r="AF130">
            <v>0.12</v>
          </cell>
          <cell r="AG130">
            <v>0.12</v>
          </cell>
          <cell r="AH130">
            <v>0.12</v>
          </cell>
          <cell r="AI130">
            <v>0.12</v>
          </cell>
          <cell r="AJ130">
            <v>0.12</v>
          </cell>
          <cell r="AK130">
            <v>0.12</v>
          </cell>
          <cell r="AL130">
            <v>0.12</v>
          </cell>
          <cell r="AM130">
            <v>0.12</v>
          </cell>
          <cell r="AN130">
            <v>0.12</v>
          </cell>
          <cell r="AO130">
            <v>0.12</v>
          </cell>
          <cell r="AP130">
            <v>0.12</v>
          </cell>
          <cell r="AQ130">
            <v>0.12</v>
          </cell>
          <cell r="AR130">
            <v>0.12</v>
          </cell>
          <cell r="AS130">
            <v>0.12</v>
          </cell>
          <cell r="AT130">
            <v>0.12</v>
          </cell>
          <cell r="AU130">
            <v>0.12</v>
          </cell>
        </row>
        <row r="131">
          <cell r="C131" t="str">
            <v>U.S. DoD Production EBIT</v>
          </cell>
          <cell r="G131">
            <v>231</v>
          </cell>
          <cell r="H131">
            <v>330</v>
          </cell>
          <cell r="I131">
            <v>432.00000000000006</v>
          </cell>
          <cell r="J131">
            <v>546.00000000000011</v>
          </cell>
          <cell r="K131">
            <v>672.00000000000011</v>
          </cell>
          <cell r="L131">
            <v>810</v>
          </cell>
          <cell r="M131">
            <v>885.5999999999998</v>
          </cell>
          <cell r="N131">
            <v>964.47374999999988</v>
          </cell>
          <cell r="O131">
            <v>1046.7376874999998</v>
          </cell>
          <cell r="P131">
            <v>1132.5120257812496</v>
          </cell>
          <cell r="Q131">
            <v>1221.9208699218743</v>
          </cell>
          <cell r="R131">
            <v>1252.468891669921</v>
          </cell>
          <cell r="S131">
            <v>1283.7806139616689</v>
          </cell>
          <cell r="T131">
            <v>1315.8751293107105</v>
          </cell>
          <cell r="U131">
            <v>1348.7720075434781</v>
          </cell>
          <cell r="V131">
            <v>1382.4913077320648</v>
          </cell>
          <cell r="W131">
            <v>1417.0535904253663</v>
          </cell>
          <cell r="X131">
            <v>1452.4799301860003</v>
          </cell>
          <cell r="Y131">
            <v>1488.7919284406503</v>
          </cell>
          <cell r="Z131">
            <v>1526.0117266516665</v>
          </cell>
          <cell r="AA131">
            <v>1388.0539956079162</v>
          </cell>
          <cell r="AB131">
            <v>388.93531395603543</v>
          </cell>
          <cell r="AC131">
            <v>0</v>
          </cell>
          <cell r="AD131">
            <v>0</v>
          </cell>
          <cell r="AE131">
            <v>0</v>
          </cell>
          <cell r="AF131">
            <v>0</v>
          </cell>
          <cell r="AG131">
            <v>0</v>
          </cell>
          <cell r="AH131">
            <v>0</v>
          </cell>
          <cell r="AI131">
            <v>0</v>
          </cell>
          <cell r="AJ131">
            <v>0</v>
          </cell>
          <cell r="AK131">
            <v>0</v>
          </cell>
          <cell r="AL131">
            <v>0</v>
          </cell>
          <cell r="AM131">
            <v>0</v>
          </cell>
          <cell r="AN131">
            <v>0</v>
          </cell>
          <cell r="AO131">
            <v>0</v>
          </cell>
          <cell r="AP131">
            <v>0</v>
          </cell>
          <cell r="AQ131">
            <v>0</v>
          </cell>
          <cell r="AR131">
            <v>0</v>
          </cell>
          <cell r="AS131">
            <v>0</v>
          </cell>
          <cell r="AT131">
            <v>0</v>
          </cell>
          <cell r="AU131">
            <v>0</v>
          </cell>
        </row>
        <row r="133">
          <cell r="C133" t="str">
            <v>International Production</v>
          </cell>
        </row>
        <row r="134">
          <cell r="C134" t="str">
            <v>Deliveries</v>
          </cell>
          <cell r="G134">
            <v>0</v>
          </cell>
          <cell r="H134">
            <v>0</v>
          </cell>
          <cell r="I134">
            <v>0</v>
          </cell>
          <cell r="J134">
            <v>0</v>
          </cell>
          <cell r="K134">
            <v>0</v>
          </cell>
          <cell r="L134">
            <v>0</v>
          </cell>
          <cell r="M134">
            <v>20</v>
          </cell>
          <cell r="N134">
            <v>40</v>
          </cell>
          <cell r="O134">
            <v>60</v>
          </cell>
          <cell r="P134">
            <v>80</v>
          </cell>
          <cell r="Q134">
            <v>100</v>
          </cell>
          <cell r="R134">
            <v>100</v>
          </cell>
          <cell r="S134">
            <v>100</v>
          </cell>
          <cell r="T134">
            <v>100</v>
          </cell>
          <cell r="U134">
            <v>100</v>
          </cell>
          <cell r="V134">
            <v>100</v>
          </cell>
          <cell r="W134">
            <v>70</v>
          </cell>
          <cell r="X134">
            <v>44.5</v>
          </cell>
          <cell r="Y134">
            <v>22.825000000000003</v>
          </cell>
          <cell r="Z134">
            <v>4.4012500000000045</v>
          </cell>
          <cell r="AA134">
            <v>0</v>
          </cell>
          <cell r="AB134">
            <v>51.170965624999994</v>
          </cell>
          <cell r="AC134">
            <v>7.1027843749999988</v>
          </cell>
          <cell r="AD134">
            <v>0</v>
          </cell>
          <cell r="AE134">
            <v>0</v>
          </cell>
          <cell r="AF134">
            <v>0</v>
          </cell>
          <cell r="AG134">
            <v>0</v>
          </cell>
          <cell r="AH134">
            <v>0</v>
          </cell>
          <cell r="AI134">
            <v>0</v>
          </cell>
          <cell r="AJ134">
            <v>0</v>
          </cell>
          <cell r="AK134">
            <v>0</v>
          </cell>
          <cell r="AL134">
            <v>0</v>
          </cell>
          <cell r="AM134">
            <v>0</v>
          </cell>
          <cell r="AN134">
            <v>0</v>
          </cell>
          <cell r="AO134">
            <v>0</v>
          </cell>
          <cell r="AP134">
            <v>0</v>
          </cell>
          <cell r="AQ134">
            <v>0</v>
          </cell>
          <cell r="AR134">
            <v>0</v>
          </cell>
          <cell r="AS134">
            <v>0</v>
          </cell>
          <cell r="AT134">
            <v>0</v>
          </cell>
          <cell r="AU134">
            <v>0</v>
          </cell>
        </row>
        <row r="135">
          <cell r="C135" t="str">
            <v>ASP ($MM)</v>
          </cell>
          <cell r="L135">
            <v>94.5</v>
          </cell>
          <cell r="M135">
            <v>96.862499999999997</v>
          </cell>
          <cell r="N135">
            <v>99.28406249999999</v>
          </cell>
          <cell r="O135">
            <v>101.76616406249998</v>
          </cell>
          <cell r="P135">
            <v>104.31031816406247</v>
          </cell>
          <cell r="Q135">
            <v>106.91807611816402</v>
          </cell>
          <cell r="R135">
            <v>109.59102802111812</v>
          </cell>
          <cell r="S135">
            <v>112.33080372164606</v>
          </cell>
          <cell r="T135">
            <v>115.13907381468721</v>
          </cell>
          <cell r="U135">
            <v>118.01755066005438</v>
          </cell>
          <cell r="V135">
            <v>120.96798942655573</v>
          </cell>
          <cell r="W135">
            <v>123.99218916221962</v>
          </cell>
          <cell r="X135">
            <v>127.0919938912751</v>
          </cell>
          <cell r="Y135">
            <v>130.26929373855697</v>
          </cell>
          <cell r="Z135">
            <v>133.52602608202088</v>
          </cell>
          <cell r="AA135">
            <v>136.86417673407138</v>
          </cell>
          <cell r="AB135">
            <v>140.28578115242314</v>
          </cell>
          <cell r="AC135">
            <v>143.7929256812337</v>
          </cell>
          <cell r="AD135">
            <v>147.38774882326453</v>
          </cell>
          <cell r="AE135">
            <v>151.07244254384614</v>
          </cell>
          <cell r="AF135">
            <v>154.84925360744228</v>
          </cell>
          <cell r="AG135">
            <v>158.72048494762834</v>
          </cell>
          <cell r="AH135">
            <v>162.68849707131903</v>
          </cell>
          <cell r="AI135">
            <v>166.75570949810199</v>
          </cell>
          <cell r="AJ135">
            <v>170.92460223555452</v>
          </cell>
          <cell r="AK135">
            <v>175.19771729144335</v>
          </cell>
          <cell r="AL135">
            <v>179.57766022372942</v>
          </cell>
          <cell r="AM135">
            <v>184.06710172932264</v>
          </cell>
          <cell r="AN135">
            <v>188.6687792725557</v>
          </cell>
          <cell r="AO135">
            <v>193.38549875436956</v>
          </cell>
          <cell r="AP135">
            <v>198.22013622322879</v>
          </cell>
          <cell r="AQ135">
            <v>203.17563962880951</v>
          </cell>
          <cell r="AR135">
            <v>208.25503061952972</v>
          </cell>
          <cell r="AS135">
            <v>213.46140638501794</v>
          </cell>
          <cell r="AT135">
            <v>218.79794154464338</v>
          </cell>
          <cell r="AU135">
            <v>224.26789008325943</v>
          </cell>
        </row>
        <row r="136">
          <cell r="C136" t="str">
            <v>International Production Revenue</v>
          </cell>
          <cell r="G136">
            <v>0</v>
          </cell>
          <cell r="H136">
            <v>0</v>
          </cell>
          <cell r="I136">
            <v>0</v>
          </cell>
          <cell r="J136">
            <v>0</v>
          </cell>
          <cell r="K136">
            <v>0</v>
          </cell>
          <cell r="L136">
            <v>0</v>
          </cell>
          <cell r="M136">
            <v>1937.25</v>
          </cell>
          <cell r="N136">
            <v>3971.3624999999997</v>
          </cell>
          <cell r="O136">
            <v>6105.9698437499992</v>
          </cell>
          <cell r="P136">
            <v>8344.8254531249968</v>
          </cell>
          <cell r="Q136">
            <v>10691.807611816403</v>
          </cell>
          <cell r="R136">
            <v>10959.102802111813</v>
          </cell>
          <cell r="S136">
            <v>11233.080372164606</v>
          </cell>
          <cell r="T136">
            <v>11513.907381468722</v>
          </cell>
          <cell r="U136">
            <v>11801.755066005438</v>
          </cell>
          <cell r="V136">
            <v>12096.798942655572</v>
          </cell>
          <cell r="W136">
            <v>8679.4532413553734</v>
          </cell>
          <cell r="X136">
            <v>5655.5937281617416</v>
          </cell>
          <cell r="Y136">
            <v>2973.396629582563</v>
          </cell>
          <cell r="Z136">
            <v>587.68142229349496</v>
          </cell>
          <cell r="AA136">
            <v>0</v>
          </cell>
          <cell r="AB136">
            <v>7178.5588850269169</v>
          </cell>
          <cell r="AC136">
            <v>1021.3301457642027</v>
          </cell>
          <cell r="AD136">
            <v>0</v>
          </cell>
          <cell r="AE136">
            <v>0</v>
          </cell>
          <cell r="AF136">
            <v>0</v>
          </cell>
          <cell r="AG136">
            <v>0</v>
          </cell>
          <cell r="AH136">
            <v>0</v>
          </cell>
          <cell r="AI136">
            <v>0</v>
          </cell>
          <cell r="AJ136">
            <v>0</v>
          </cell>
          <cell r="AK136">
            <v>0</v>
          </cell>
          <cell r="AL136">
            <v>0</v>
          </cell>
          <cell r="AM136">
            <v>0</v>
          </cell>
          <cell r="AN136">
            <v>0</v>
          </cell>
          <cell r="AO136">
            <v>0</v>
          </cell>
          <cell r="AP136">
            <v>0</v>
          </cell>
          <cell r="AQ136">
            <v>0</v>
          </cell>
          <cell r="AR136">
            <v>0</v>
          </cell>
          <cell r="AS136">
            <v>0</v>
          </cell>
          <cell r="AT136">
            <v>0</v>
          </cell>
          <cell r="AU136">
            <v>0</v>
          </cell>
        </row>
        <row r="137">
          <cell r="C137" t="str">
            <v>Margin</v>
          </cell>
          <cell r="G137">
            <v>0</v>
          </cell>
          <cell r="H137">
            <v>0</v>
          </cell>
          <cell r="I137">
            <v>0</v>
          </cell>
          <cell r="J137">
            <v>0</v>
          </cell>
          <cell r="K137">
            <v>0</v>
          </cell>
          <cell r="L137">
            <v>9.9999999999999992E-2</v>
          </cell>
          <cell r="M137">
            <v>0.106</v>
          </cell>
          <cell r="N137">
            <v>0.112</v>
          </cell>
          <cell r="O137">
            <v>0.11800000000000001</v>
          </cell>
          <cell r="P137">
            <v>0.12400000000000001</v>
          </cell>
          <cell r="Q137">
            <v>0.13</v>
          </cell>
          <cell r="R137">
            <v>0.13</v>
          </cell>
          <cell r="S137">
            <v>0.13</v>
          </cell>
          <cell r="T137">
            <v>0.13</v>
          </cell>
          <cell r="U137">
            <v>0.13</v>
          </cell>
          <cell r="V137">
            <v>0.13</v>
          </cell>
          <cell r="W137">
            <v>0.13</v>
          </cell>
          <cell r="X137">
            <v>0.13</v>
          </cell>
          <cell r="Y137">
            <v>0.13</v>
          </cell>
          <cell r="Z137">
            <v>0.13</v>
          </cell>
          <cell r="AA137">
            <v>0.13</v>
          </cell>
          <cell r="AB137">
            <v>0.13</v>
          </cell>
          <cell r="AC137">
            <v>0.13</v>
          </cell>
          <cell r="AD137">
            <v>0.13</v>
          </cell>
          <cell r="AE137">
            <v>0.13</v>
          </cell>
          <cell r="AF137">
            <v>0.13</v>
          </cell>
          <cell r="AG137">
            <v>0.13</v>
          </cell>
          <cell r="AH137">
            <v>0.13</v>
          </cell>
          <cell r="AI137">
            <v>0.13</v>
          </cell>
          <cell r="AJ137">
            <v>0.13</v>
          </cell>
          <cell r="AK137">
            <v>0.13</v>
          </cell>
          <cell r="AL137">
            <v>0.13</v>
          </cell>
          <cell r="AM137">
            <v>0.13</v>
          </cell>
          <cell r="AN137">
            <v>0.13</v>
          </cell>
          <cell r="AO137">
            <v>0.13</v>
          </cell>
          <cell r="AP137">
            <v>0.13</v>
          </cell>
          <cell r="AQ137">
            <v>0.13</v>
          </cell>
          <cell r="AR137">
            <v>0.13</v>
          </cell>
          <cell r="AS137">
            <v>0.13</v>
          </cell>
          <cell r="AT137">
            <v>0.13</v>
          </cell>
          <cell r="AU137">
            <v>0.13</v>
          </cell>
        </row>
        <row r="138">
          <cell r="C138" t="str">
            <v>International Production EBIT</v>
          </cell>
          <cell r="G138">
            <v>0</v>
          </cell>
          <cell r="H138">
            <v>0</v>
          </cell>
          <cell r="I138">
            <v>0</v>
          </cell>
          <cell r="J138">
            <v>0</v>
          </cell>
          <cell r="K138">
            <v>0</v>
          </cell>
          <cell r="L138">
            <v>0</v>
          </cell>
          <cell r="M138">
            <v>205.3485</v>
          </cell>
          <cell r="N138">
            <v>444.79259999999999</v>
          </cell>
          <cell r="O138">
            <v>720.50444156250001</v>
          </cell>
          <cell r="P138">
            <v>1034.7583561874997</v>
          </cell>
          <cell r="Q138">
            <v>1389.9349895361324</v>
          </cell>
          <cell r="R138">
            <v>1424.6833642745357</v>
          </cell>
          <cell r="S138">
            <v>1460.3004483813988</v>
          </cell>
          <cell r="T138">
            <v>1496.8079595909339</v>
          </cell>
          <cell r="U138">
            <v>1534.228158580707</v>
          </cell>
          <cell r="V138">
            <v>1572.5838625452245</v>
          </cell>
          <cell r="W138">
            <v>1128.3289213761987</v>
          </cell>
          <cell r="X138">
            <v>735.2271846610264</v>
          </cell>
          <cell r="Y138">
            <v>386.54156184573321</v>
          </cell>
          <cell r="Z138">
            <v>76.398584898154354</v>
          </cell>
          <cell r="AA138">
            <v>0</v>
          </cell>
          <cell r="AB138">
            <v>933.21265505349925</v>
          </cell>
          <cell r="AC138">
            <v>132.77291894934635</v>
          </cell>
          <cell r="AD138">
            <v>0</v>
          </cell>
          <cell r="AE138">
            <v>0</v>
          </cell>
          <cell r="AF138">
            <v>0</v>
          </cell>
          <cell r="AG138">
            <v>0</v>
          </cell>
          <cell r="AH138">
            <v>0</v>
          </cell>
          <cell r="AI138">
            <v>0</v>
          </cell>
          <cell r="AJ138">
            <v>0</v>
          </cell>
          <cell r="AK138">
            <v>0</v>
          </cell>
          <cell r="AL138">
            <v>0</v>
          </cell>
          <cell r="AM138">
            <v>0</v>
          </cell>
          <cell r="AN138">
            <v>0</v>
          </cell>
          <cell r="AO138">
            <v>0</v>
          </cell>
          <cell r="AP138">
            <v>0</v>
          </cell>
          <cell r="AQ138">
            <v>0</v>
          </cell>
          <cell r="AR138">
            <v>0</v>
          </cell>
          <cell r="AS138">
            <v>0</v>
          </cell>
          <cell r="AT138">
            <v>0</v>
          </cell>
          <cell r="AU138">
            <v>0</v>
          </cell>
        </row>
        <row r="140">
          <cell r="C140" t="str">
            <v>Spares and Sustainment</v>
          </cell>
        </row>
        <row r="141">
          <cell r="C141" t="str">
            <v>Cumulative Deliveries</v>
          </cell>
          <cell r="G141">
            <v>10</v>
          </cell>
          <cell r="H141">
            <v>27</v>
          </cell>
          <cell r="I141">
            <v>62</v>
          </cell>
          <cell r="J141">
            <v>112</v>
          </cell>
          <cell r="K141">
            <v>187</v>
          </cell>
          <cell r="L141">
            <v>287</v>
          </cell>
          <cell r="M141">
            <v>407</v>
          </cell>
          <cell r="N141">
            <v>547</v>
          </cell>
          <cell r="O141">
            <v>707</v>
          </cell>
          <cell r="P141">
            <v>887</v>
          </cell>
          <cell r="Q141">
            <v>1087</v>
          </cell>
          <cell r="R141">
            <v>1287</v>
          </cell>
          <cell r="S141">
            <v>1487</v>
          </cell>
          <cell r="T141">
            <v>1687</v>
          </cell>
          <cell r="U141">
            <v>1887</v>
          </cell>
          <cell r="V141">
            <v>2087</v>
          </cell>
          <cell r="W141">
            <v>2257</v>
          </cell>
          <cell r="X141">
            <v>2401.5</v>
          </cell>
          <cell r="Y141">
            <v>2524.3249999999998</v>
          </cell>
          <cell r="Z141">
            <v>2628.7262500000002</v>
          </cell>
          <cell r="AA141">
            <v>2717.4673124999999</v>
          </cell>
          <cell r="AB141">
            <v>2792.8972156250002</v>
          </cell>
          <cell r="AC141">
            <v>2800</v>
          </cell>
          <cell r="AD141">
            <v>2800</v>
          </cell>
          <cell r="AE141">
            <v>2800</v>
          </cell>
          <cell r="AF141">
            <v>2800</v>
          </cell>
          <cell r="AG141">
            <v>2800</v>
          </cell>
          <cell r="AH141">
            <v>2800</v>
          </cell>
          <cell r="AI141">
            <v>2800</v>
          </cell>
          <cell r="AJ141">
            <v>2800</v>
          </cell>
          <cell r="AK141">
            <v>2800</v>
          </cell>
          <cell r="AL141">
            <v>2800</v>
          </cell>
          <cell r="AM141">
            <v>2800</v>
          </cell>
          <cell r="AN141">
            <v>2800</v>
          </cell>
          <cell r="AO141">
            <v>2800</v>
          </cell>
          <cell r="AP141">
            <v>2800</v>
          </cell>
          <cell r="AQ141">
            <v>2800</v>
          </cell>
          <cell r="AR141">
            <v>2800</v>
          </cell>
          <cell r="AS141">
            <v>2800</v>
          </cell>
          <cell r="AT141">
            <v>2800</v>
          </cell>
          <cell r="AU141">
            <v>2800</v>
          </cell>
        </row>
        <row r="142">
          <cell r="C142" t="str">
            <v>Planes Retired After 20 Years</v>
          </cell>
          <cell r="AA142">
            <v>-10</v>
          </cell>
          <cell r="AB142">
            <v>-27</v>
          </cell>
          <cell r="AC142">
            <v>-62</v>
          </cell>
          <cell r="AD142">
            <v>-112</v>
          </cell>
          <cell r="AE142">
            <v>-187</v>
          </cell>
          <cell r="AF142">
            <v>-287</v>
          </cell>
          <cell r="AG142">
            <v>-407</v>
          </cell>
          <cell r="AH142">
            <v>-547</v>
          </cell>
          <cell r="AI142">
            <v>-707</v>
          </cell>
          <cell r="AJ142">
            <v>-887</v>
          </cell>
          <cell r="AK142">
            <v>-1087</v>
          </cell>
          <cell r="AL142">
            <v>-1287</v>
          </cell>
          <cell r="AM142">
            <v>-1487</v>
          </cell>
          <cell r="AN142">
            <v>-1687</v>
          </cell>
          <cell r="AO142">
            <v>-1887</v>
          </cell>
          <cell r="AP142">
            <v>-2087</v>
          </cell>
          <cell r="AQ142">
            <v>-2257</v>
          </cell>
          <cell r="AR142">
            <v>-2401.5</v>
          </cell>
          <cell r="AS142">
            <v>-2524.3249999999998</v>
          </cell>
          <cell r="AT142">
            <v>-2628.7262500000002</v>
          </cell>
          <cell r="AU142">
            <v>-2717.4673124999999</v>
          </cell>
        </row>
        <row r="143">
          <cell r="C143" t="str">
            <v>Active Installed Base</v>
          </cell>
          <cell r="G143">
            <v>10</v>
          </cell>
          <cell r="H143">
            <v>27</v>
          </cell>
          <cell r="I143">
            <v>62</v>
          </cell>
          <cell r="J143">
            <v>112</v>
          </cell>
          <cell r="K143">
            <v>187</v>
          </cell>
          <cell r="L143">
            <v>287</v>
          </cell>
          <cell r="M143">
            <v>407</v>
          </cell>
          <cell r="N143">
            <v>547</v>
          </cell>
          <cell r="O143">
            <v>707</v>
          </cell>
          <cell r="P143">
            <v>887</v>
          </cell>
          <cell r="Q143">
            <v>1087</v>
          </cell>
          <cell r="R143">
            <v>1287</v>
          </cell>
          <cell r="S143">
            <v>1487</v>
          </cell>
          <cell r="T143">
            <v>1687</v>
          </cell>
          <cell r="U143">
            <v>1887</v>
          </cell>
          <cell r="V143">
            <v>2087</v>
          </cell>
          <cell r="W143">
            <v>2257</v>
          </cell>
          <cell r="X143">
            <v>2401.5</v>
          </cell>
          <cell r="Y143">
            <v>2524.3249999999998</v>
          </cell>
          <cell r="Z143">
            <v>2628.7262500000002</v>
          </cell>
          <cell r="AA143">
            <v>2707.4673124999999</v>
          </cell>
          <cell r="AB143">
            <v>2765.8972156250002</v>
          </cell>
          <cell r="AC143">
            <v>2738</v>
          </cell>
          <cell r="AD143">
            <v>2688</v>
          </cell>
          <cell r="AE143">
            <v>2613</v>
          </cell>
          <cell r="AF143">
            <v>2513</v>
          </cell>
          <cell r="AG143">
            <v>2393</v>
          </cell>
          <cell r="AH143">
            <v>2253</v>
          </cell>
          <cell r="AI143">
            <v>2093</v>
          </cell>
          <cell r="AJ143">
            <v>1913</v>
          </cell>
          <cell r="AK143">
            <v>1713</v>
          </cell>
          <cell r="AL143">
            <v>1513</v>
          </cell>
          <cell r="AM143">
            <v>1313</v>
          </cell>
          <cell r="AN143">
            <v>1113</v>
          </cell>
          <cell r="AO143">
            <v>913</v>
          </cell>
          <cell r="AP143">
            <v>713</v>
          </cell>
          <cell r="AQ143">
            <v>543</v>
          </cell>
          <cell r="AR143">
            <v>398.5</v>
          </cell>
          <cell r="AS143">
            <v>275.67500000000018</v>
          </cell>
          <cell r="AT143">
            <v>171.27374999999984</v>
          </cell>
          <cell r="AU143">
            <v>82.532687500000065</v>
          </cell>
        </row>
        <row r="144">
          <cell r="C144" t="str">
            <v>Avg. Annual Lifecycle Revenue</v>
          </cell>
          <cell r="E144" t="str">
            <v>provisioning</v>
          </cell>
          <cell r="G144">
            <v>20</v>
          </cell>
          <cell r="H144">
            <v>11.111111111111111</v>
          </cell>
          <cell r="I144">
            <v>8.064516129032258</v>
          </cell>
          <cell r="J144">
            <v>6.25</v>
          </cell>
          <cell r="K144">
            <v>4.5454545454545459</v>
          </cell>
          <cell r="L144">
            <v>4</v>
          </cell>
          <cell r="M144">
            <v>4.0999999999999996</v>
          </cell>
          <cell r="N144">
            <v>4.2024999999999997</v>
          </cell>
          <cell r="O144">
            <v>4.3075624999999995</v>
          </cell>
          <cell r="P144">
            <v>4.4152515624999991</v>
          </cell>
          <cell r="Q144">
            <v>4.5256328515624986</v>
          </cell>
          <cell r="R144">
            <v>4.6387736728515607</v>
          </cell>
          <cell r="S144">
            <v>4.7547430146728491</v>
          </cell>
          <cell r="T144">
            <v>4.8736115900396699</v>
          </cell>
          <cell r="U144">
            <v>4.9954518797906609</v>
          </cell>
          <cell r="V144">
            <v>5.1203381767854266</v>
          </cell>
          <cell r="W144">
            <v>5.2483466312050622</v>
          </cell>
          <cell r="X144">
            <v>5.3795552969851883</v>
          </cell>
          <cell r="Y144">
            <v>5.5140441794098178</v>
          </cell>
          <cell r="Z144">
            <v>5.6518952838950627</v>
          </cell>
          <cell r="AA144">
            <v>5.7931926659924384</v>
          </cell>
          <cell r="AB144">
            <v>5.938022482642249</v>
          </cell>
          <cell r="AC144">
            <v>6.0864730447083044</v>
          </cell>
          <cell r="AD144">
            <v>6.2386348708260115</v>
          </cell>
          <cell r="AE144">
            <v>6.3946007425966611</v>
          </cell>
          <cell r="AF144">
            <v>6.5544657611615769</v>
          </cell>
          <cell r="AG144">
            <v>6.7183274051906157</v>
          </cell>
          <cell r="AH144">
            <v>6.8862855903203801</v>
          </cell>
          <cell r="AI144">
            <v>7.0584427300783892</v>
          </cell>
          <cell r="AJ144">
            <v>7.2349037983303486</v>
          </cell>
          <cell r="AK144">
            <v>7.4157763932886063</v>
          </cell>
          <cell r="AL144">
            <v>7.6011708031208212</v>
          </cell>
          <cell r="AM144">
            <v>7.7912000731988407</v>
          </cell>
          <cell r="AN144">
            <v>7.9859800750288112</v>
          </cell>
          <cell r="AO144">
            <v>8.18562957690453</v>
          </cell>
          <cell r="AP144">
            <v>8.3902703163271433</v>
          </cell>
          <cell r="AQ144">
            <v>8.6000270742353209</v>
          </cell>
          <cell r="AR144">
            <v>8.8150277510912023</v>
          </cell>
          <cell r="AS144">
            <v>9.0354034448684821</v>
          </cell>
          <cell r="AT144">
            <v>9.2612885309901927</v>
          </cell>
          <cell r="AU144">
            <v>9.4928207442649466</v>
          </cell>
        </row>
        <row r="145">
          <cell r="C145" t="str">
            <v>Spares and Sustainment Revenue</v>
          </cell>
          <cell r="G145">
            <v>200</v>
          </cell>
          <cell r="H145">
            <v>300</v>
          </cell>
          <cell r="I145">
            <v>500</v>
          </cell>
          <cell r="J145">
            <v>700</v>
          </cell>
          <cell r="K145">
            <v>850</v>
          </cell>
          <cell r="L145">
            <v>1000</v>
          </cell>
          <cell r="M145">
            <v>1668.6999999999998</v>
          </cell>
          <cell r="N145">
            <v>2298.7674999999999</v>
          </cell>
          <cell r="O145">
            <v>3045.4466874999998</v>
          </cell>
          <cell r="P145">
            <v>3916.3281359374992</v>
          </cell>
          <cell r="Q145">
            <v>4919.3629096484356</v>
          </cell>
          <cell r="R145">
            <v>5970.101716959959</v>
          </cell>
          <cell r="S145">
            <v>7070.3028628185266</v>
          </cell>
          <cell r="T145">
            <v>8221.7827523969227</v>
          </cell>
          <cell r="U145">
            <v>9426.4176971649777</v>
          </cell>
          <cell r="V145">
            <v>10686.145774951185</v>
          </cell>
          <cell r="W145">
            <v>11845.518346629826</v>
          </cell>
          <cell r="X145">
            <v>12919.002045709929</v>
          </cell>
          <cell r="Y145">
            <v>13919.239573188688</v>
          </cell>
          <cell r="Z145">
            <v>14857.285495026155</v>
          </cell>
          <cell r="AA145">
            <v>15684.879778189257</v>
          </cell>
          <cell r="AB145">
            <v>16423.959851058848</v>
          </cell>
          <cell r="AC145">
            <v>16664.763196411339</v>
          </cell>
          <cell r="AD145">
            <v>16769.45053278032</v>
          </cell>
          <cell r="AE145">
            <v>16709.091740405074</v>
          </cell>
          <cell r="AF145">
            <v>16471.372457799043</v>
          </cell>
          <cell r="AG145">
            <v>16076.957480621144</v>
          </cell>
          <cell r="AH145">
            <v>15514.801434991816</v>
          </cell>
          <cell r="AI145">
            <v>14773.320634054069</v>
          </cell>
          <cell r="AJ145">
            <v>13840.370966205957</v>
          </cell>
          <cell r="AK145">
            <v>12703.224961703383</v>
          </cell>
          <cell r="AL145">
            <v>11500.571425121803</v>
          </cell>
          <cell r="AM145">
            <v>10229.845696110078</v>
          </cell>
          <cell r="AN145">
            <v>8888.3958235070677</v>
          </cell>
          <cell r="AO145">
            <v>7473.4798037138362</v>
          </cell>
          <cell r="AP145">
            <v>5982.2627355412533</v>
          </cell>
          <cell r="AQ145">
            <v>4669.8147013097796</v>
          </cell>
          <cell r="AR145">
            <v>3512.7885588098443</v>
          </cell>
          <cell r="AS145">
            <v>2490.8348446641203</v>
          </cell>
          <cell r="AT145">
            <v>1586.2156165346801</v>
          </cell>
          <cell r="AU145">
            <v>783.46800797993683</v>
          </cell>
        </row>
        <row r="146">
          <cell r="C146" t="str">
            <v>Margin</v>
          </cell>
          <cell r="G146">
            <v>0.11</v>
          </cell>
          <cell r="H146">
            <v>0.11</v>
          </cell>
          <cell r="I146">
            <v>0.11</v>
          </cell>
          <cell r="J146">
            <v>0.11</v>
          </cell>
          <cell r="K146">
            <v>0.11</v>
          </cell>
          <cell r="L146">
            <v>0.11</v>
          </cell>
          <cell r="M146">
            <v>0.11</v>
          </cell>
          <cell r="N146">
            <v>0.11</v>
          </cell>
          <cell r="O146">
            <v>0.11</v>
          </cell>
          <cell r="P146">
            <v>0.11</v>
          </cell>
          <cell r="Q146">
            <v>0.11</v>
          </cell>
          <cell r="R146">
            <v>0.11</v>
          </cell>
          <cell r="S146">
            <v>0.11</v>
          </cell>
          <cell r="T146">
            <v>0.11</v>
          </cell>
          <cell r="U146">
            <v>0.11</v>
          </cell>
          <cell r="V146">
            <v>0.11</v>
          </cell>
          <cell r="W146">
            <v>0.11</v>
          </cell>
          <cell r="X146">
            <v>0.11</v>
          </cell>
          <cell r="Y146">
            <v>0.11</v>
          </cell>
          <cell r="Z146">
            <v>0.11</v>
          </cell>
          <cell r="AA146">
            <v>0.11</v>
          </cell>
          <cell r="AB146">
            <v>0.11</v>
          </cell>
          <cell r="AC146">
            <v>0.11</v>
          </cell>
          <cell r="AD146">
            <v>0.11</v>
          </cell>
          <cell r="AE146">
            <v>0.11</v>
          </cell>
          <cell r="AF146">
            <v>0.11</v>
          </cell>
          <cell r="AG146">
            <v>0.11</v>
          </cell>
          <cell r="AH146">
            <v>0.11</v>
          </cell>
          <cell r="AI146">
            <v>0.11</v>
          </cell>
          <cell r="AJ146">
            <v>0.11</v>
          </cell>
          <cell r="AK146">
            <v>0.11</v>
          </cell>
          <cell r="AL146">
            <v>0.11</v>
          </cell>
          <cell r="AM146">
            <v>0.11</v>
          </cell>
          <cell r="AN146">
            <v>0.11</v>
          </cell>
          <cell r="AO146">
            <v>0.11</v>
          </cell>
          <cell r="AP146">
            <v>0.11</v>
          </cell>
          <cell r="AQ146">
            <v>0.11</v>
          </cell>
          <cell r="AR146">
            <v>0.11</v>
          </cell>
          <cell r="AS146">
            <v>0.11</v>
          </cell>
          <cell r="AT146">
            <v>0.11</v>
          </cell>
          <cell r="AU146">
            <v>0.11</v>
          </cell>
        </row>
        <row r="147">
          <cell r="C147" t="str">
            <v>Spares and Sustainment EBIT</v>
          </cell>
          <cell r="G147">
            <v>22</v>
          </cell>
          <cell r="H147">
            <v>33</v>
          </cell>
          <cell r="I147">
            <v>55</v>
          </cell>
          <cell r="J147">
            <v>77</v>
          </cell>
          <cell r="K147">
            <v>93.5</v>
          </cell>
          <cell r="L147">
            <v>110</v>
          </cell>
          <cell r="M147">
            <v>183.55699999999999</v>
          </cell>
          <cell r="N147">
            <v>252.86442499999998</v>
          </cell>
          <cell r="O147">
            <v>334.99913562500001</v>
          </cell>
          <cell r="P147">
            <v>430.79609495312491</v>
          </cell>
          <cell r="Q147">
            <v>541.12992006132788</v>
          </cell>
          <cell r="R147">
            <v>656.71118886559555</v>
          </cell>
          <cell r="S147">
            <v>777.73331491003796</v>
          </cell>
          <cell r="T147">
            <v>904.39610276366147</v>
          </cell>
          <cell r="U147">
            <v>1036.9059466881477</v>
          </cell>
          <cell r="V147">
            <v>1175.4760352446303</v>
          </cell>
          <cell r="W147">
            <v>1303.0070181292808</v>
          </cell>
          <cell r="X147">
            <v>1421.0902250280922</v>
          </cell>
          <cell r="Y147">
            <v>1531.1163530507556</v>
          </cell>
          <cell r="Z147">
            <v>1634.301404452877</v>
          </cell>
          <cell r="AA147">
            <v>1725.3367756008183</v>
          </cell>
          <cell r="AB147">
            <v>1806.6355836164732</v>
          </cell>
          <cell r="AC147">
            <v>1833.1239516052474</v>
          </cell>
          <cell r="AD147">
            <v>1844.6395586058352</v>
          </cell>
          <cell r="AE147">
            <v>1838.0000914445582</v>
          </cell>
          <cell r="AF147">
            <v>1811.8509703578948</v>
          </cell>
          <cell r="AG147">
            <v>1768.4653228683258</v>
          </cell>
          <cell r="AH147">
            <v>1706.6281578490998</v>
          </cell>
          <cell r="AI147">
            <v>1625.0652697459477</v>
          </cell>
          <cell r="AJ147">
            <v>1522.4408062826553</v>
          </cell>
          <cell r="AK147">
            <v>1397.3547457873722</v>
          </cell>
          <cell r="AL147">
            <v>1265.0628567633983</v>
          </cell>
          <cell r="AM147">
            <v>1125.2830265721086</v>
          </cell>
          <cell r="AN147">
            <v>977.72354058577741</v>
          </cell>
          <cell r="AO147">
            <v>822.08277840852202</v>
          </cell>
          <cell r="AP147">
            <v>658.04890090953791</v>
          </cell>
          <cell r="AQ147">
            <v>513.67961714407579</v>
          </cell>
          <cell r="AR147">
            <v>386.40674146908287</v>
          </cell>
          <cell r="AS147">
            <v>273.99183291305326</v>
          </cell>
          <cell r="AT147">
            <v>174.4837178188148</v>
          </cell>
          <cell r="AU147">
            <v>86.181480877793049</v>
          </cell>
        </row>
        <row r="149">
          <cell r="C149" t="str">
            <v>Modernization and Upgrade</v>
          </cell>
        </row>
        <row r="150">
          <cell r="C150" t="str">
            <v>Annual Deliveries - 10 Yr Lag</v>
          </cell>
          <cell r="Q150">
            <v>10</v>
          </cell>
          <cell r="R150">
            <v>17</v>
          </cell>
          <cell r="S150">
            <v>35</v>
          </cell>
          <cell r="T150">
            <v>50</v>
          </cell>
          <cell r="U150">
            <v>75</v>
          </cell>
          <cell r="V150">
            <v>100</v>
          </cell>
          <cell r="W150">
            <v>120</v>
          </cell>
          <cell r="X150">
            <v>140</v>
          </cell>
          <cell r="Y150">
            <v>160</v>
          </cell>
          <cell r="Z150">
            <v>180</v>
          </cell>
          <cell r="AA150">
            <v>200</v>
          </cell>
          <cell r="AB150">
            <v>200</v>
          </cell>
          <cell r="AC150">
            <v>200</v>
          </cell>
          <cell r="AD150">
            <v>200</v>
          </cell>
          <cell r="AE150">
            <v>200</v>
          </cell>
          <cell r="AF150">
            <v>200</v>
          </cell>
          <cell r="AG150">
            <v>170</v>
          </cell>
          <cell r="AH150">
            <v>144.5</v>
          </cell>
          <cell r="AI150">
            <v>122.825</v>
          </cell>
          <cell r="AJ150">
            <v>104.40125</v>
          </cell>
          <cell r="AK150">
            <v>88.741062499999998</v>
          </cell>
          <cell r="AL150">
            <v>75.429903124999996</v>
          </cell>
          <cell r="AM150">
            <v>7.1027843749999988</v>
          </cell>
          <cell r="AN150">
            <v>0</v>
          </cell>
          <cell r="AO150">
            <v>0</v>
          </cell>
          <cell r="AP150">
            <v>0</v>
          </cell>
          <cell r="AQ150">
            <v>0</v>
          </cell>
          <cell r="AR150">
            <v>0</v>
          </cell>
          <cell r="AS150">
            <v>0</v>
          </cell>
          <cell r="AT150">
            <v>0</v>
          </cell>
          <cell r="AU150">
            <v>0</v>
          </cell>
        </row>
        <row r="151">
          <cell r="C151" t="str">
            <v>Participation</v>
          </cell>
          <cell r="L151">
            <v>0.5</v>
          </cell>
          <cell r="M151">
            <v>0.5</v>
          </cell>
          <cell r="N151">
            <v>0.5</v>
          </cell>
          <cell r="O151">
            <v>0.5</v>
          </cell>
          <cell r="P151">
            <v>0.5</v>
          </cell>
          <cell r="Q151">
            <v>0.5</v>
          </cell>
          <cell r="R151">
            <v>0.5</v>
          </cell>
          <cell r="S151">
            <v>0.5</v>
          </cell>
          <cell r="T151">
            <v>0.5</v>
          </cell>
          <cell r="U151">
            <v>0.5</v>
          </cell>
          <cell r="V151">
            <v>0.5</v>
          </cell>
          <cell r="W151">
            <v>0.5</v>
          </cell>
          <cell r="X151">
            <v>0.5</v>
          </cell>
          <cell r="Y151">
            <v>0.5</v>
          </cell>
          <cell r="Z151">
            <v>0.5</v>
          </cell>
          <cell r="AA151">
            <v>0.5</v>
          </cell>
          <cell r="AB151">
            <v>0.5</v>
          </cell>
          <cell r="AC151">
            <v>0.5</v>
          </cell>
          <cell r="AD151">
            <v>0.5</v>
          </cell>
          <cell r="AE151">
            <v>0.5</v>
          </cell>
          <cell r="AF151">
            <v>0.5</v>
          </cell>
          <cell r="AG151">
            <v>0.5</v>
          </cell>
          <cell r="AH151">
            <v>0.5</v>
          </cell>
          <cell r="AI151">
            <v>0.5</v>
          </cell>
          <cell r="AJ151">
            <v>0.5</v>
          </cell>
          <cell r="AK151">
            <v>0.5</v>
          </cell>
          <cell r="AL151">
            <v>0.5</v>
          </cell>
          <cell r="AM151">
            <v>0.5</v>
          </cell>
          <cell r="AN151">
            <v>0.5</v>
          </cell>
          <cell r="AO151">
            <v>0.5</v>
          </cell>
          <cell r="AP151">
            <v>0.5</v>
          </cell>
          <cell r="AQ151">
            <v>0.5</v>
          </cell>
          <cell r="AR151">
            <v>0.5</v>
          </cell>
          <cell r="AS151">
            <v>0.5</v>
          </cell>
          <cell r="AT151">
            <v>0.5</v>
          </cell>
          <cell r="AU151">
            <v>0.5</v>
          </cell>
        </row>
        <row r="152">
          <cell r="C152" t="str">
            <v>Upgrade Revenue ($MM per Plane)</v>
          </cell>
          <cell r="L152">
            <v>20</v>
          </cell>
          <cell r="M152">
            <v>20.5</v>
          </cell>
          <cell r="N152">
            <v>21.012499999999999</v>
          </cell>
          <cell r="O152">
            <v>21.537812499999998</v>
          </cell>
          <cell r="P152">
            <v>22.076257812499996</v>
          </cell>
          <cell r="Q152">
            <v>22.628164257812493</v>
          </cell>
          <cell r="R152">
            <v>23.193868364257803</v>
          </cell>
          <cell r="S152">
            <v>23.773715073364247</v>
          </cell>
          <cell r="T152">
            <v>24.368057950198352</v>
          </cell>
          <cell r="U152">
            <v>24.977259398953308</v>
          </cell>
          <cell r="V152">
            <v>25.601690883927137</v>
          </cell>
          <cell r="W152">
            <v>26.241733156025312</v>
          </cell>
          <cell r="X152">
            <v>26.897776484925942</v>
          </cell>
          <cell r="Y152">
            <v>27.570220897049087</v>
          </cell>
          <cell r="Z152">
            <v>28.259476419475313</v>
          </cell>
          <cell r="AA152">
            <v>28.965963329962193</v>
          </cell>
          <cell r="AB152">
            <v>29.690112413211246</v>
          </cell>
          <cell r="AC152">
            <v>30.432365223541524</v>
          </cell>
          <cell r="AD152">
            <v>31.193174354130058</v>
          </cell>
          <cell r="AE152">
            <v>31.973003712983306</v>
          </cell>
          <cell r="AF152">
            <v>32.772328805807888</v>
          </cell>
          <cell r="AG152">
            <v>33.591637025953084</v>
          </cell>
          <cell r="AH152">
            <v>34.431427951601911</v>
          </cell>
          <cell r="AI152">
            <v>35.292213650391957</v>
          </cell>
          <cell r="AJ152">
            <v>36.174518991651752</v>
          </cell>
          <cell r="AK152">
            <v>37.078881966443042</v>
          </cell>
          <cell r="AL152">
            <v>38.005854015604115</v>
          </cell>
          <cell r="AM152">
            <v>38.956000365994214</v>
          </cell>
          <cell r="AN152">
            <v>39.929900375144065</v>
          </cell>
          <cell r="AO152">
            <v>40.928147884522666</v>
          </cell>
          <cell r="AP152">
            <v>41.951351581635727</v>
          </cell>
          <cell r="AQ152">
            <v>43.000135371176619</v>
          </cell>
          <cell r="AR152">
            <v>44.075138755456031</v>
          </cell>
          <cell r="AS152">
            <v>45.177017224342428</v>
          </cell>
          <cell r="AT152">
            <v>46.306442654950985</v>
          </cell>
          <cell r="AU152">
            <v>47.464103721324754</v>
          </cell>
        </row>
        <row r="153">
          <cell r="C153" t="str">
            <v>Modernization and Upgrade Revenue</v>
          </cell>
          <cell r="G153">
            <v>0</v>
          </cell>
          <cell r="H153">
            <v>0</v>
          </cell>
          <cell r="I153">
            <v>0</v>
          </cell>
          <cell r="J153">
            <v>0</v>
          </cell>
          <cell r="K153">
            <v>0</v>
          </cell>
          <cell r="L153">
            <v>0</v>
          </cell>
          <cell r="M153">
            <v>0</v>
          </cell>
          <cell r="N153">
            <v>0</v>
          </cell>
          <cell r="O153">
            <v>0</v>
          </cell>
          <cell r="P153">
            <v>0</v>
          </cell>
          <cell r="Q153">
            <v>113.14082128906247</v>
          </cell>
          <cell r="R153">
            <v>197.14788109619133</v>
          </cell>
          <cell r="S153">
            <v>416.04001378387431</v>
          </cell>
          <cell r="T153">
            <v>609.20144875495885</v>
          </cell>
          <cell r="U153">
            <v>936.64722746074904</v>
          </cell>
          <cell r="V153">
            <v>1280.0845441963568</v>
          </cell>
          <cell r="W153">
            <v>1574.5039893615187</v>
          </cell>
          <cell r="X153">
            <v>1882.8443539448158</v>
          </cell>
          <cell r="Y153">
            <v>2205.6176717639269</v>
          </cell>
          <cell r="Z153">
            <v>2543.3528777527781</v>
          </cell>
          <cell r="AA153">
            <v>2896.5963329962192</v>
          </cell>
          <cell r="AB153">
            <v>2969.0112413211245</v>
          </cell>
          <cell r="AC153">
            <v>3043.2365223541524</v>
          </cell>
          <cell r="AD153">
            <v>3119.3174354130056</v>
          </cell>
          <cell r="AE153">
            <v>3197.3003712983304</v>
          </cell>
          <cell r="AF153">
            <v>3277.2328805807888</v>
          </cell>
          <cell r="AG153">
            <v>2855.2891472060123</v>
          </cell>
          <cell r="AH153">
            <v>2487.6706695032381</v>
          </cell>
          <cell r="AI153">
            <v>2167.3830708046962</v>
          </cell>
          <cell r="AJ153">
            <v>1888.3325004385913</v>
          </cell>
          <cell r="AK153">
            <v>1645.2096910071225</v>
          </cell>
          <cell r="AL153">
            <v>1433.3889432899553</v>
          </cell>
          <cell r="AM153">
            <v>138.34803535603896</v>
          </cell>
          <cell r="AN153">
            <v>0</v>
          </cell>
          <cell r="AO153">
            <v>0</v>
          </cell>
          <cell r="AP153">
            <v>0</v>
          </cell>
          <cell r="AQ153">
            <v>0</v>
          </cell>
          <cell r="AR153">
            <v>0</v>
          </cell>
          <cell r="AS153">
            <v>0</v>
          </cell>
          <cell r="AT153">
            <v>0</v>
          </cell>
          <cell r="AU153">
            <v>0</v>
          </cell>
        </row>
        <row r="154">
          <cell r="C154" t="str">
            <v>Margin</v>
          </cell>
          <cell r="G154">
            <v>0.12</v>
          </cell>
          <cell r="H154">
            <v>0.12</v>
          </cell>
          <cell r="I154">
            <v>0.12</v>
          </cell>
          <cell r="J154">
            <v>0.12</v>
          </cell>
          <cell r="K154">
            <v>0.12</v>
          </cell>
          <cell r="L154">
            <v>0.12</v>
          </cell>
          <cell r="M154">
            <v>0.12</v>
          </cell>
          <cell r="N154">
            <v>0.12</v>
          </cell>
          <cell r="O154">
            <v>0.12</v>
          </cell>
          <cell r="P154">
            <v>0.12</v>
          </cell>
          <cell r="Q154">
            <v>0.12</v>
          </cell>
          <cell r="R154">
            <v>0.12</v>
          </cell>
          <cell r="S154">
            <v>0.12</v>
          </cell>
          <cell r="T154">
            <v>0.12</v>
          </cell>
          <cell r="U154">
            <v>0.12</v>
          </cell>
          <cell r="V154">
            <v>0.12</v>
          </cell>
          <cell r="W154">
            <v>0.12</v>
          </cell>
          <cell r="X154">
            <v>0.12</v>
          </cell>
          <cell r="Y154">
            <v>0.12</v>
          </cell>
          <cell r="Z154">
            <v>0.12</v>
          </cell>
          <cell r="AA154">
            <v>0.12</v>
          </cell>
          <cell r="AB154">
            <v>0.12</v>
          </cell>
          <cell r="AC154">
            <v>0.12</v>
          </cell>
          <cell r="AD154">
            <v>0.12</v>
          </cell>
          <cell r="AE154">
            <v>0.12</v>
          </cell>
          <cell r="AF154">
            <v>0.12</v>
          </cell>
          <cell r="AG154">
            <v>0.12</v>
          </cell>
          <cell r="AH154">
            <v>0.12</v>
          </cell>
          <cell r="AI154">
            <v>0.12</v>
          </cell>
          <cell r="AJ154">
            <v>0.12</v>
          </cell>
          <cell r="AK154">
            <v>0.12</v>
          </cell>
          <cell r="AL154">
            <v>0.12</v>
          </cell>
          <cell r="AM154">
            <v>0.12</v>
          </cell>
          <cell r="AN154">
            <v>0.12</v>
          </cell>
          <cell r="AO154">
            <v>0.12</v>
          </cell>
          <cell r="AP154">
            <v>0.12</v>
          </cell>
          <cell r="AQ154">
            <v>0.12</v>
          </cell>
          <cell r="AR154">
            <v>0.12</v>
          </cell>
          <cell r="AS154">
            <v>0.12</v>
          </cell>
          <cell r="AT154">
            <v>0.12</v>
          </cell>
          <cell r="AU154">
            <v>0.12</v>
          </cell>
        </row>
        <row r="155">
          <cell r="C155" t="str">
            <v>Modernization and Upgrade EBIT</v>
          </cell>
          <cell r="G155">
            <v>0</v>
          </cell>
          <cell r="H155">
            <v>0</v>
          </cell>
          <cell r="I155">
            <v>0</v>
          </cell>
          <cell r="J155">
            <v>0</v>
          </cell>
          <cell r="K155">
            <v>0</v>
          </cell>
          <cell r="L155">
            <v>0</v>
          </cell>
          <cell r="M155">
            <v>0</v>
          </cell>
          <cell r="N155">
            <v>0</v>
          </cell>
          <cell r="O155">
            <v>0</v>
          </cell>
          <cell r="P155">
            <v>0</v>
          </cell>
          <cell r="Q155">
            <v>13.576898554687496</v>
          </cell>
          <cell r="R155">
            <v>23.65774573154296</v>
          </cell>
          <cell r="S155">
            <v>49.924801654064915</v>
          </cell>
          <cell r="T155">
            <v>73.10417385059506</v>
          </cell>
          <cell r="U155">
            <v>112.39766729528988</v>
          </cell>
          <cell r="V155">
            <v>153.6101453035628</v>
          </cell>
          <cell r="W155">
            <v>188.94047872338223</v>
          </cell>
          <cell r="X155">
            <v>225.94132247337788</v>
          </cell>
          <cell r="Y155">
            <v>264.67412061167124</v>
          </cell>
          <cell r="Z155">
            <v>305.20234533033334</v>
          </cell>
          <cell r="AA155">
            <v>347.59155995954632</v>
          </cell>
          <cell r="AB155">
            <v>356.28134895853492</v>
          </cell>
          <cell r="AC155">
            <v>365.18838268249829</v>
          </cell>
          <cell r="AD155">
            <v>374.31809224956066</v>
          </cell>
          <cell r="AE155">
            <v>383.67604455579965</v>
          </cell>
          <cell r="AF155">
            <v>393.26794566969465</v>
          </cell>
          <cell r="AG155">
            <v>342.63469766472144</v>
          </cell>
          <cell r="AH155">
            <v>298.52048034038853</v>
          </cell>
          <cell r="AI155">
            <v>260.08596849656351</v>
          </cell>
          <cell r="AJ155">
            <v>226.59990005263094</v>
          </cell>
          <cell r="AK155">
            <v>197.42516292085469</v>
          </cell>
          <cell r="AL155">
            <v>172.00667319479462</v>
          </cell>
          <cell r="AM155">
            <v>16.601764242724673</v>
          </cell>
          <cell r="AN155">
            <v>0</v>
          </cell>
          <cell r="AO155">
            <v>0</v>
          </cell>
          <cell r="AP155">
            <v>0</v>
          </cell>
          <cell r="AQ155">
            <v>0</v>
          </cell>
          <cell r="AR155">
            <v>0</v>
          </cell>
          <cell r="AS155">
            <v>0</v>
          </cell>
          <cell r="AT155">
            <v>0</v>
          </cell>
          <cell r="AU155">
            <v>0</v>
          </cell>
        </row>
        <row r="157">
          <cell r="C157" t="str">
            <v>Total JSF Revenue</v>
          </cell>
          <cell r="G157">
            <v>5650</v>
          </cell>
          <cell r="H157">
            <v>6800</v>
          </cell>
          <cell r="I157">
            <v>7800</v>
          </cell>
          <cell r="J157">
            <v>8800</v>
          </cell>
          <cell r="K157">
            <v>9750</v>
          </cell>
          <cell r="L157">
            <v>10500</v>
          </cell>
          <cell r="M157">
            <v>12830.949999999997</v>
          </cell>
          <cell r="N157">
            <v>15725.754999999997</v>
          </cell>
          <cell r="O157">
            <v>18843.432156249997</v>
          </cell>
          <cell r="P157">
            <v>22195.469604687492</v>
          </cell>
          <cell r="Q157">
            <v>25906.985258769524</v>
          </cell>
          <cell r="R157">
            <v>27563.59316408397</v>
          </cell>
          <cell r="S157">
            <v>29417.595031780915</v>
          </cell>
          <cell r="T157">
            <v>31310.517660209858</v>
          </cell>
          <cell r="U157">
            <v>33404.58672016015</v>
          </cell>
          <cell r="V157">
            <v>35583.790159570315</v>
          </cell>
          <cell r="W157">
            <v>33908.255497558108</v>
          </cell>
          <cell r="X157">
            <v>32561.439546033154</v>
          </cell>
          <cell r="Y157">
            <v>31504.853278207265</v>
          </cell>
          <cell r="Z157">
            <v>30705.084183836316</v>
          </cell>
          <cell r="AA157">
            <v>30148.592741251443</v>
          </cell>
          <cell r="AB157">
            <v>29812.657593707183</v>
          </cell>
          <cell r="AC157">
            <v>20729.329864529693</v>
          </cell>
          <cell r="AD157">
            <v>19888.767968193326</v>
          </cell>
          <cell r="AE157">
            <v>19906.392111703404</v>
          </cell>
          <cell r="AF157">
            <v>19748.605338379832</v>
          </cell>
          <cell r="AG157">
            <v>18932.246627827157</v>
          </cell>
          <cell r="AH157">
            <v>18002.472104495053</v>
          </cell>
          <cell r="AI157">
            <v>16940.703704858766</v>
          </cell>
          <cell r="AJ157">
            <v>15728.703466644549</v>
          </cell>
          <cell r="AK157">
            <v>14348.434652710506</v>
          </cell>
          <cell r="AL157">
            <v>12933.960368411759</v>
          </cell>
          <cell r="AM157">
            <v>10368.193731466117</v>
          </cell>
          <cell r="AN157">
            <v>8888.3958235070677</v>
          </cell>
          <cell r="AO157">
            <v>7473.4798037138362</v>
          </cell>
          <cell r="AP157">
            <v>5982.2627355412533</v>
          </cell>
          <cell r="AQ157">
            <v>4669.8147013097796</v>
          </cell>
          <cell r="AR157">
            <v>3512.7885588098443</v>
          </cell>
          <cell r="AS157">
            <v>2490.8348446641203</v>
          </cell>
          <cell r="AT157">
            <v>1586.2156165346801</v>
          </cell>
          <cell r="AU157">
            <v>783.46800797993683</v>
          </cell>
        </row>
        <row r="158">
          <cell r="C158" t="str">
            <v>Y/Y Change</v>
          </cell>
          <cell r="H158">
            <v>0.20353982300884965</v>
          </cell>
          <cell r="I158">
            <v>0.14705882352941169</v>
          </cell>
          <cell r="J158">
            <v>0.12820512820512819</v>
          </cell>
          <cell r="K158">
            <v>0.10795454545454541</v>
          </cell>
          <cell r="L158">
            <v>7.6923076923076872E-2</v>
          </cell>
          <cell r="M158">
            <v>0.22199523809523791</v>
          </cell>
          <cell r="N158">
            <v>0.22561111998721839</v>
          </cell>
          <cell r="O158">
            <v>0.19825293960448964</v>
          </cell>
          <cell r="P158">
            <v>0.17788890158875281</v>
          </cell>
          <cell r="Q158">
            <v>0.16721951462104645</v>
          </cell>
          <cell r="R158">
            <v>6.3944449296881478E-2</v>
          </cell>
          <cell r="S158">
            <v>6.7262706159542107E-2</v>
          </cell>
          <cell r="T158">
            <v>6.4346613867787283E-2</v>
          </cell>
          <cell r="U158">
            <v>6.6880691104366008E-2</v>
          </cell>
          <cell r="V158">
            <v>6.5236653207715989E-2</v>
          </cell>
          <cell r="W158">
            <v>-4.7087020648967304E-2</v>
          </cell>
          <cell r="X158">
            <v>-3.9719411446039854E-2</v>
          </cell>
          <cell r="Y158">
            <v>-3.2449003562393441E-2</v>
          </cell>
          <cell r="Z158">
            <v>-2.5385583843495318E-2</v>
          </cell>
          <cell r="AA158">
            <v>-1.8123755637765693E-2</v>
          </cell>
          <cell r="AB158">
            <v>-1.1142647699260877E-2</v>
          </cell>
          <cell r="AC158">
            <v>-0.30468024196188359</v>
          </cell>
          <cell r="AD158">
            <v>-4.0549400382434264E-2</v>
          </cell>
          <cell r="AE158">
            <v>8.8613550815530573E-4</v>
          </cell>
          <cell r="AF158">
            <v>-7.9264375200770454E-3</v>
          </cell>
          <cell r="AG158">
            <v>-4.1337537338201114E-2</v>
          </cell>
          <cell r="AH158">
            <v>-4.91106281050393E-2</v>
          </cell>
          <cell r="AI158">
            <v>-5.8979033183513274E-2</v>
          </cell>
          <cell r="AJ158">
            <v>-7.154367724798838E-2</v>
          </cell>
          <cell r="AK158">
            <v>-8.7754773739688208E-2</v>
          </cell>
          <cell r="AL158">
            <v>-9.8580390024046616E-2</v>
          </cell>
          <cell r="AM158">
            <v>-0.19837440071425771</v>
          </cell>
          <cell r="AN158">
            <v>-0.14272475479196112</v>
          </cell>
          <cell r="AO158">
            <v>-0.15918688230009004</v>
          </cell>
          <cell r="AP158">
            <v>-0.1995345016429354</v>
          </cell>
          <cell r="AQ158">
            <v>-0.219389901823282</v>
          </cell>
          <cell r="AR158">
            <v>-0.247767034990792</v>
          </cell>
          <cell r="AS158">
            <v>-0.29092377666248392</v>
          </cell>
          <cell r="AT158">
            <v>-0.36317912850276701</v>
          </cell>
          <cell r="AU158">
            <v>-0.50607723198972332</v>
          </cell>
        </row>
        <row r="159">
          <cell r="D159" t="str">
            <v>CHECK vs. Aero Model</v>
          </cell>
          <cell r="G159">
            <v>5650</v>
          </cell>
          <cell r="H159">
            <v>6800</v>
          </cell>
          <cell r="I159">
            <v>7800</v>
          </cell>
          <cell r="J159">
            <v>8800</v>
          </cell>
          <cell r="K159">
            <v>9750</v>
          </cell>
          <cell r="L159">
            <v>10500</v>
          </cell>
        </row>
        <row r="160">
          <cell r="D160" t="str">
            <v>Difference</v>
          </cell>
          <cell r="G160">
            <v>0</v>
          </cell>
          <cell r="H160">
            <v>0</v>
          </cell>
          <cell r="I160">
            <v>0</v>
          </cell>
          <cell r="J160">
            <v>0</v>
          </cell>
          <cell r="K160">
            <v>0</v>
          </cell>
          <cell r="L160">
            <v>0</v>
          </cell>
        </row>
        <row r="161">
          <cell r="C161" t="str">
            <v>Total JSF EBIT</v>
          </cell>
          <cell r="G161">
            <v>301</v>
          </cell>
          <cell r="H161">
            <v>408</v>
          </cell>
          <cell r="I161">
            <v>526</v>
          </cell>
          <cell r="J161">
            <v>656.00000000000011</v>
          </cell>
          <cell r="K161">
            <v>792.50000000000011</v>
          </cell>
          <cell r="L161">
            <v>935</v>
          </cell>
          <cell r="M161">
            <v>1274.5054999999998</v>
          </cell>
          <cell r="N161">
            <v>1662.1307749999999</v>
          </cell>
          <cell r="O161">
            <v>2102.2412646875</v>
          </cell>
          <cell r="P161">
            <v>2598.0664769218743</v>
          </cell>
          <cell r="Q161">
            <v>3166.5626780740222</v>
          </cell>
          <cell r="R161">
            <v>3357.5211905415949</v>
          </cell>
          <cell r="S161">
            <v>3571.7391789071708</v>
          </cell>
          <cell r="T161">
            <v>3790.1833655159012</v>
          </cell>
          <cell r="U161">
            <v>4032.3037801076225</v>
          </cell>
          <cell r="V161">
            <v>4284.1613508254823</v>
          </cell>
          <cell r="W161">
            <v>4037.3300086542276</v>
          </cell>
          <cell r="X161">
            <v>3834.7386623484972</v>
          </cell>
          <cell r="Y161">
            <v>3671.1239639488103</v>
          </cell>
          <cell r="Z161">
            <v>3541.9140613330314</v>
          </cell>
          <cell r="AA161">
            <v>3460.9823311682812</v>
          </cell>
          <cell r="AB161">
            <v>3485.0649015845429</v>
          </cell>
          <cell r="AC161">
            <v>2331.0852532370918</v>
          </cell>
          <cell r="AD161">
            <v>2218.957650855396</v>
          </cell>
          <cell r="AE161">
            <v>2221.6761360003579</v>
          </cell>
          <cell r="AF161">
            <v>2205.1189160275894</v>
          </cell>
          <cell r="AG161">
            <v>2111.1000205330474</v>
          </cell>
          <cell r="AH161">
            <v>2005.1486381894883</v>
          </cell>
          <cell r="AI161">
            <v>1885.1512382425112</v>
          </cell>
          <cell r="AJ161">
            <v>1749.0407063352864</v>
          </cell>
          <cell r="AK161">
            <v>1594.7799087082269</v>
          </cell>
          <cell r="AL161">
            <v>1437.0695299581928</v>
          </cell>
          <cell r="AM161">
            <v>1141.8847908148332</v>
          </cell>
          <cell r="AN161">
            <v>977.72354058577741</v>
          </cell>
          <cell r="AO161">
            <v>822.08277840852202</v>
          </cell>
          <cell r="AP161">
            <v>658.04890090953791</v>
          </cell>
          <cell r="AQ161">
            <v>513.67961714407579</v>
          </cell>
          <cell r="AR161">
            <v>386.40674146908287</v>
          </cell>
          <cell r="AS161">
            <v>273.99183291305326</v>
          </cell>
          <cell r="AT161">
            <v>174.4837178188148</v>
          </cell>
          <cell r="AU161">
            <v>86.181480877793049</v>
          </cell>
        </row>
        <row r="162">
          <cell r="C162" t="str">
            <v>Blended Margin</v>
          </cell>
          <cell r="G162">
            <v>5.3274336283185841E-2</v>
          </cell>
          <cell r="H162">
            <v>0.06</v>
          </cell>
          <cell r="I162">
            <v>6.7435897435897438E-2</v>
          </cell>
          <cell r="J162">
            <v>7.4545454545454554E-2</v>
          </cell>
          <cell r="K162">
            <v>8.1282051282051293E-2</v>
          </cell>
          <cell r="L162">
            <v>8.9047619047619042E-2</v>
          </cell>
          <cell r="M162">
            <v>9.9330563987857487E-2</v>
          </cell>
          <cell r="N162">
            <v>0.10569481560662748</v>
          </cell>
          <cell r="O162">
            <v>0.11156360726940223</v>
          </cell>
          <cell r="P162">
            <v>0.11705390889198329</v>
          </cell>
          <cell r="Q162">
            <v>0.12222814219582495</v>
          </cell>
          <cell r="R162">
            <v>0.12180999663412992</v>
          </cell>
          <cell r="S162">
            <v>0.12141506384354292</v>
          </cell>
          <cell r="T162">
            <v>0.12105144369211612</v>
          </cell>
          <cell r="U162">
            <v>0.12071108120233288</v>
          </cell>
          <cell r="V162">
            <v>0.12039643139794232</v>
          </cell>
          <cell r="W162">
            <v>0.11906628487404711</v>
          </cell>
          <cell r="X162">
            <v>0.11776932211265426</v>
          </cell>
          <cell r="Y162">
            <v>0.11652566452319342</v>
          </cell>
          <cell r="Z162">
            <v>0.11535269013193443</v>
          </cell>
          <cell r="AA162">
            <v>0.11479747532072102</v>
          </cell>
          <cell r="AB162">
            <v>0.11689883367929486</v>
          </cell>
          <cell r="AC162">
            <v>0.11245347864456783</v>
          </cell>
          <cell r="AD162">
            <v>0.11156838143036386</v>
          </cell>
          <cell r="AE162">
            <v>0.1116061676839062</v>
          </cell>
          <cell r="AF162">
            <v>0.1116594756057086</v>
          </cell>
          <cell r="AG162">
            <v>0.11150816181689141</v>
          </cell>
          <cell r="AH162">
            <v>0.11138184947881802</v>
          </cell>
          <cell r="AI162">
            <v>0.11127939376578735</v>
          </cell>
          <cell r="AJ162">
            <v>0.11120056462660328</v>
          </cell>
          <cell r="AK162">
            <v>0.111146612666</v>
          </cell>
          <cell r="AL162">
            <v>0.11110823669043447</v>
          </cell>
          <cell r="AM162">
            <v>0.11013343504079805</v>
          </cell>
          <cell r="AN162">
            <v>0.11</v>
          </cell>
          <cell r="AO162">
            <v>0.11</v>
          </cell>
          <cell r="AP162">
            <v>0.11000000000000001</v>
          </cell>
          <cell r="AQ162">
            <v>0.11000000000000001</v>
          </cell>
          <cell r="AR162">
            <v>0.11</v>
          </cell>
          <cell r="AS162">
            <v>0.11000000000000001</v>
          </cell>
          <cell r="AT162">
            <v>0.10999999999999999</v>
          </cell>
          <cell r="AU162">
            <v>0.11</v>
          </cell>
        </row>
        <row r="163">
          <cell r="D163" t="str">
            <v>CHECK vs. Aero Model</v>
          </cell>
          <cell r="G163">
            <v>310.75</v>
          </cell>
          <cell r="H163">
            <v>306</v>
          </cell>
          <cell r="I163">
            <v>389.99999999999994</v>
          </cell>
          <cell r="J163">
            <v>483.99999999999994</v>
          </cell>
          <cell r="K163">
            <v>584.99999999999989</v>
          </cell>
          <cell r="L163">
            <v>682.49999999999989</v>
          </cell>
        </row>
        <row r="164">
          <cell r="D164" t="str">
            <v>Difference</v>
          </cell>
          <cell r="G164">
            <v>-9.75</v>
          </cell>
          <cell r="H164">
            <v>102</v>
          </cell>
          <cell r="I164">
            <v>136.00000000000006</v>
          </cell>
          <cell r="J164">
            <v>172.00000000000017</v>
          </cell>
          <cell r="K164">
            <v>207.50000000000023</v>
          </cell>
          <cell r="L164">
            <v>252.50000000000011</v>
          </cell>
        </row>
        <row r="165">
          <cell r="C165" t="str">
            <v>Margin (for chart)</v>
          </cell>
          <cell r="G165">
            <v>5.3274336283185839</v>
          </cell>
          <cell r="H165">
            <v>6</v>
          </cell>
          <cell r="I165">
            <v>6.7435897435897436</v>
          </cell>
          <cell r="J165">
            <v>7.454545454545455</v>
          </cell>
          <cell r="K165">
            <v>8.1282051282051295</v>
          </cell>
          <cell r="L165">
            <v>8.9047619047619051</v>
          </cell>
          <cell r="M165">
            <v>9.9330563987857481</v>
          </cell>
          <cell r="N165">
            <v>10.569481560662748</v>
          </cell>
          <cell r="O165">
            <v>11.156360726940223</v>
          </cell>
          <cell r="P165">
            <v>11.705390889198329</v>
          </cell>
          <cell r="Q165">
            <v>12.222814219582496</v>
          </cell>
          <cell r="R165">
            <v>12.180999663412992</v>
          </cell>
          <cell r="S165">
            <v>12.141506384354292</v>
          </cell>
          <cell r="T165">
            <v>12.105144369211612</v>
          </cell>
          <cell r="U165">
            <v>12.071108120233289</v>
          </cell>
          <cell r="V165">
            <v>12.039643139794231</v>
          </cell>
          <cell r="W165">
            <v>11.90662848740471</v>
          </cell>
          <cell r="X165">
            <v>11.776932211265425</v>
          </cell>
          <cell r="Y165">
            <v>11.652566452319341</v>
          </cell>
          <cell r="Z165">
            <v>11.535269013193442</v>
          </cell>
          <cell r="AA165">
            <v>11.479747532072102</v>
          </cell>
          <cell r="AB165">
            <v>11.689883367929486</v>
          </cell>
          <cell r="AC165">
            <v>11.245347864456782</v>
          </cell>
          <cell r="AD165">
            <v>11.156838143036387</v>
          </cell>
          <cell r="AE165">
            <v>11.16061676839062</v>
          </cell>
          <cell r="AF165">
            <v>11.16594756057086</v>
          </cell>
          <cell r="AG165">
            <v>11.150816181689141</v>
          </cell>
          <cell r="AH165">
            <v>11.138184947881802</v>
          </cell>
          <cell r="AI165">
            <v>11.127939376578736</v>
          </cell>
          <cell r="AJ165">
            <v>11.120056462660328</v>
          </cell>
          <cell r="AK165">
            <v>11.114661266599999</v>
          </cell>
          <cell r="AL165">
            <v>11.110823669043448</v>
          </cell>
          <cell r="AM165">
            <v>11.013343504079804</v>
          </cell>
          <cell r="AN165">
            <v>11</v>
          </cell>
          <cell r="AO165">
            <v>11</v>
          </cell>
          <cell r="AP165">
            <v>11.000000000000002</v>
          </cell>
          <cell r="AQ165">
            <v>11.000000000000002</v>
          </cell>
          <cell r="AR165">
            <v>11</v>
          </cell>
          <cell r="AS165">
            <v>11.000000000000002</v>
          </cell>
        </row>
        <row r="167">
          <cell r="C167" t="str">
            <v>EPS (Constant 2010E Share Count)</v>
          </cell>
        </row>
        <row r="168">
          <cell r="C168" t="str">
            <v>Development</v>
          </cell>
          <cell r="G168">
            <v>8.4782608695652184E-2</v>
          </cell>
          <cell r="H168">
            <v>7.9483695652173905E-2</v>
          </cell>
          <cell r="I168">
            <v>6.8885869565217389E-2</v>
          </cell>
          <cell r="J168">
            <v>5.8288043478260866E-2</v>
          </cell>
          <cell r="K168">
            <v>4.769021739130435E-2</v>
          </cell>
          <cell r="L168">
            <v>2.6494565217391304E-2</v>
          </cell>
          <cell r="M168">
            <v>0</v>
          </cell>
          <cell r="N168">
            <v>0</v>
          </cell>
          <cell r="O168">
            <v>0</v>
          </cell>
          <cell r="P168">
            <v>0</v>
          </cell>
          <cell r="Q168">
            <v>0</v>
          </cell>
          <cell r="R168">
            <v>0</v>
          </cell>
          <cell r="S168">
            <v>0</v>
          </cell>
          <cell r="T168">
            <v>0</v>
          </cell>
          <cell r="U168">
            <v>0</v>
          </cell>
          <cell r="V168">
            <v>0</v>
          </cell>
          <cell r="W168">
            <v>0</v>
          </cell>
          <cell r="X168">
            <v>0</v>
          </cell>
          <cell r="Y168">
            <v>0</v>
          </cell>
          <cell r="Z168">
            <v>0</v>
          </cell>
          <cell r="AA168">
            <v>0</v>
          </cell>
          <cell r="AB168">
            <v>0</v>
          </cell>
          <cell r="AC168">
            <v>0</v>
          </cell>
          <cell r="AD168">
            <v>0</v>
          </cell>
          <cell r="AE168">
            <v>0</v>
          </cell>
          <cell r="AF168">
            <v>0</v>
          </cell>
          <cell r="AG168">
            <v>0</v>
          </cell>
          <cell r="AH168">
            <v>0</v>
          </cell>
          <cell r="AI168">
            <v>0</v>
          </cell>
          <cell r="AJ168">
            <v>0</v>
          </cell>
          <cell r="AK168">
            <v>0</v>
          </cell>
          <cell r="AL168">
            <v>0</v>
          </cell>
          <cell r="AM168">
            <v>0</v>
          </cell>
          <cell r="AN168">
            <v>0</v>
          </cell>
          <cell r="AO168">
            <v>0</v>
          </cell>
          <cell r="AP168">
            <v>0</v>
          </cell>
          <cell r="AQ168">
            <v>0</v>
          </cell>
          <cell r="AR168">
            <v>0</v>
          </cell>
          <cell r="AS168">
            <v>0</v>
          </cell>
          <cell r="AT168">
            <v>0</v>
          </cell>
          <cell r="AU168">
            <v>0</v>
          </cell>
        </row>
        <row r="169">
          <cell r="C169" t="str">
            <v>U.S. DoD Production</v>
          </cell>
          <cell r="G169">
            <v>0.4080163043478261</v>
          </cell>
          <cell r="H169">
            <v>0.58288043478260865</v>
          </cell>
          <cell r="I169">
            <v>0.76304347826086971</v>
          </cell>
          <cell r="J169">
            <v>0.96440217391304373</v>
          </cell>
          <cell r="K169">
            <v>1.1869565217391307</v>
          </cell>
          <cell r="L169">
            <v>1.4307065217391304</v>
          </cell>
          <cell r="M169">
            <v>1.5642391304347822</v>
          </cell>
          <cell r="N169">
            <v>1.7035541779891301</v>
          </cell>
          <cell r="O169">
            <v>1.8488573284646734</v>
          </cell>
          <cell r="P169">
            <v>2.0003609151027506</v>
          </cell>
          <cell r="Q169">
            <v>2.1582841452424408</v>
          </cell>
          <cell r="R169">
            <v>2.2122412488735019</v>
          </cell>
          <cell r="S169">
            <v>2.2675472800953393</v>
          </cell>
          <cell r="T169">
            <v>2.3242359620977222</v>
          </cell>
          <cell r="U169">
            <v>2.3823418611501652</v>
          </cell>
          <cell r="V169">
            <v>2.4419004076789186</v>
          </cell>
          <cell r="W169">
            <v>2.5029479178708915</v>
          </cell>
          <cell r="X169">
            <v>2.5655216158176635</v>
          </cell>
          <cell r="Y169">
            <v>2.6296596562131054</v>
          </cell>
          <cell r="Z169">
            <v>2.6954011476184325</v>
          </cell>
          <cell r="AA169">
            <v>2.4517258074596344</v>
          </cell>
          <cell r="AB169">
            <v>0.68697813606364955</v>
          </cell>
          <cell r="AC169">
            <v>0</v>
          </cell>
          <cell r="AD169">
            <v>0</v>
          </cell>
          <cell r="AE169">
            <v>0</v>
          </cell>
          <cell r="AF169">
            <v>0</v>
          </cell>
          <cell r="AG169">
            <v>0</v>
          </cell>
          <cell r="AH169">
            <v>0</v>
          </cell>
          <cell r="AI169">
            <v>0</v>
          </cell>
          <cell r="AJ169">
            <v>0</v>
          </cell>
          <cell r="AK169">
            <v>0</v>
          </cell>
          <cell r="AL169">
            <v>0</v>
          </cell>
          <cell r="AM169">
            <v>0</v>
          </cell>
          <cell r="AN169">
            <v>0</v>
          </cell>
          <cell r="AO169">
            <v>0</v>
          </cell>
          <cell r="AP169">
            <v>0</v>
          </cell>
          <cell r="AQ169">
            <v>0</v>
          </cell>
          <cell r="AR169">
            <v>0</v>
          </cell>
          <cell r="AS169">
            <v>0</v>
          </cell>
          <cell r="AT169">
            <v>0</v>
          </cell>
          <cell r="AU169">
            <v>0</v>
          </cell>
        </row>
        <row r="170">
          <cell r="C170" t="str">
            <v>International Production</v>
          </cell>
          <cell r="G170">
            <v>0</v>
          </cell>
          <cell r="H170">
            <v>0</v>
          </cell>
          <cell r="I170">
            <v>0</v>
          </cell>
          <cell r="J170">
            <v>0</v>
          </cell>
          <cell r="K170">
            <v>0</v>
          </cell>
          <cell r="L170">
            <v>0</v>
          </cell>
          <cell r="M170">
            <v>0.36270794836956521</v>
          </cell>
          <cell r="N170">
            <v>0.7856391032608695</v>
          </cell>
          <cell r="O170">
            <v>1.2726301277598506</v>
          </cell>
          <cell r="P170">
            <v>1.8276981834833554</v>
          </cell>
          <cell r="Q170">
            <v>2.4550482152132775</v>
          </cell>
          <cell r="R170">
            <v>2.5164244205936095</v>
          </cell>
          <cell r="S170">
            <v>2.5793350311084491</v>
          </cell>
          <cell r="T170">
            <v>2.6438184068861603</v>
          </cell>
          <cell r="U170">
            <v>2.7099138670583138</v>
          </cell>
          <cell r="V170">
            <v>2.7776617137347714</v>
          </cell>
          <cell r="W170">
            <v>1.9929722796046987</v>
          </cell>
          <cell r="X170">
            <v>1.2986349729067042</v>
          </cell>
          <cell r="Y170">
            <v>0.68275004130360484</v>
          </cell>
          <cell r="Z170">
            <v>0.13494315267337048</v>
          </cell>
          <cell r="AA170">
            <v>0</v>
          </cell>
          <cell r="AB170">
            <v>1.648337570067322</v>
          </cell>
          <cell r="AC170">
            <v>0.23451738401379113</v>
          </cell>
          <cell r="AD170">
            <v>0</v>
          </cell>
          <cell r="AE170">
            <v>0</v>
          </cell>
          <cell r="AF170">
            <v>0</v>
          </cell>
          <cell r="AG170">
            <v>0</v>
          </cell>
          <cell r="AH170">
            <v>0</v>
          </cell>
          <cell r="AI170">
            <v>0</v>
          </cell>
          <cell r="AJ170">
            <v>0</v>
          </cell>
          <cell r="AK170">
            <v>0</v>
          </cell>
          <cell r="AL170">
            <v>0</v>
          </cell>
          <cell r="AM170">
            <v>0</v>
          </cell>
          <cell r="AN170">
            <v>0</v>
          </cell>
          <cell r="AO170">
            <v>0</v>
          </cell>
          <cell r="AP170">
            <v>0</v>
          </cell>
          <cell r="AQ170">
            <v>0</v>
          </cell>
          <cell r="AR170">
            <v>0</v>
          </cell>
          <cell r="AS170">
            <v>0</v>
          </cell>
          <cell r="AT170">
            <v>0</v>
          </cell>
          <cell r="AU170">
            <v>0</v>
          </cell>
        </row>
        <row r="171">
          <cell r="C171" t="str">
            <v>Spares and Sustainment</v>
          </cell>
          <cell r="G171">
            <v>3.8858695652173911E-2</v>
          </cell>
          <cell r="H171">
            <v>5.8288043478260866E-2</v>
          </cell>
          <cell r="I171">
            <v>9.7146739130434784E-2</v>
          </cell>
          <cell r="J171">
            <v>0.13600543478260871</v>
          </cell>
          <cell r="K171">
            <v>0.16514945652173912</v>
          </cell>
          <cell r="L171">
            <v>0.19429347826086957</v>
          </cell>
          <cell r="M171">
            <v>0.32421752717391306</v>
          </cell>
          <cell r="N171">
            <v>0.44663553328804345</v>
          </cell>
          <cell r="O171">
            <v>0.5917104297724185</v>
          </cell>
          <cell r="P171">
            <v>0.76091701554220426</v>
          </cell>
          <cell r="Q171">
            <v>0.95580013054310631</v>
          </cell>
          <cell r="R171">
            <v>1.1599518281593399</v>
          </cell>
          <cell r="S171">
            <v>1.3737137355747953</v>
          </cell>
          <cell r="T171">
            <v>1.5974387684684239</v>
          </cell>
          <cell r="U171">
            <v>1.8314914819220001</v>
          </cell>
          <cell r="V171">
            <v>2.076248431817961</v>
          </cell>
          <cell r="W171">
            <v>2.3015069613696535</v>
          </cell>
          <cell r="X171">
            <v>2.5100778431202717</v>
          </cell>
          <cell r="Y171">
            <v>2.7044174714211717</v>
          </cell>
          <cell r="Z171">
            <v>2.8866736763433969</v>
          </cell>
          <cell r="AA171">
            <v>3.0474698482079674</v>
          </cell>
          <cell r="AB171">
            <v>3.1910682862790969</v>
          </cell>
          <cell r="AC171">
            <v>3.2378548058244863</v>
          </cell>
          <cell r="AD171">
            <v>3.258194872537481</v>
          </cell>
          <cell r="AE171">
            <v>3.2464675528232685</v>
          </cell>
          <cell r="AF171">
            <v>3.2002802465560642</v>
          </cell>
          <cell r="AG171">
            <v>3.1236479887619883</v>
          </cell>
          <cell r="AH171">
            <v>3.0144247353312905</v>
          </cell>
          <cell r="AI171">
            <v>2.8703598514534403</v>
          </cell>
          <cell r="AJ171">
            <v>2.6890938154449073</v>
          </cell>
          <cell r="AK171">
            <v>2.4681537629396519</v>
          </cell>
          <cell r="AL171">
            <v>2.2344860241744806</v>
          </cell>
          <cell r="AM171">
            <v>1.9875923023692137</v>
          </cell>
          <cell r="AN171">
            <v>1.7269573407085741</v>
          </cell>
          <cell r="AO171">
            <v>1.4520483857759221</v>
          </cell>
          <cell r="AP171">
            <v>1.1623146347586946</v>
          </cell>
          <cell r="AQ171">
            <v>0.9073145411512209</v>
          </cell>
          <cell r="AR171">
            <v>0.68251190748615187</v>
          </cell>
          <cell r="AS171">
            <v>0.48395296574316471</v>
          </cell>
          <cell r="AT171">
            <v>0.30819134940823267</v>
          </cell>
          <cell r="AU171">
            <v>0.15222272437653664</v>
          </cell>
        </row>
        <row r="172">
          <cell r="C172" t="str">
            <v>Modernization and Upgrade</v>
          </cell>
          <cell r="G172">
            <v>0</v>
          </cell>
          <cell r="H172">
            <v>0</v>
          </cell>
          <cell r="I172">
            <v>0</v>
          </cell>
          <cell r="J172">
            <v>0</v>
          </cell>
          <cell r="K172">
            <v>0</v>
          </cell>
          <cell r="L172">
            <v>0</v>
          </cell>
          <cell r="M172">
            <v>0</v>
          </cell>
          <cell r="N172">
            <v>0</v>
          </cell>
          <cell r="O172">
            <v>0</v>
          </cell>
          <cell r="P172">
            <v>0</v>
          </cell>
          <cell r="Q172">
            <v>2.3980934947138242E-2</v>
          </cell>
          <cell r="R172">
            <v>4.1786779145388378E-2</v>
          </cell>
          <cell r="S172">
            <v>8.8182394225929883E-2</v>
          </cell>
          <cell r="T172">
            <v>0.12912422011654021</v>
          </cell>
          <cell r="U172">
            <v>0.19852848842918047</v>
          </cell>
          <cell r="V172">
            <v>0.27132226751987992</v>
          </cell>
          <cell r="W172">
            <v>0.33372638904945229</v>
          </cell>
          <cell r="X172">
            <v>0.39908114023830332</v>
          </cell>
          <cell r="Y172">
            <v>0.46749504999344105</v>
          </cell>
          <cell r="Z172">
            <v>0.53908022952368662</v>
          </cell>
          <cell r="AA172">
            <v>0.61395248362419863</v>
          </cell>
          <cell r="AB172">
            <v>0.62930129571480353</v>
          </cell>
          <cell r="AC172">
            <v>0.64503382810767362</v>
          </cell>
          <cell r="AD172">
            <v>0.66115967381036533</v>
          </cell>
          <cell r="AE172">
            <v>0.67768866565562436</v>
          </cell>
          <cell r="AF172">
            <v>0.69463088229701497</v>
          </cell>
          <cell r="AG172">
            <v>0.60519715620127434</v>
          </cell>
          <cell r="AH172">
            <v>0.52727802234036014</v>
          </cell>
          <cell r="AI172">
            <v>0.4593909769640388</v>
          </cell>
          <cell r="AJ172">
            <v>0.40024438867991879</v>
          </cell>
          <cell r="AK172">
            <v>0.34871292363737921</v>
          </cell>
          <cell r="AL172">
            <v>0.3038161347190666</v>
          </cell>
          <cell r="AM172">
            <v>2.9323768363508255E-2</v>
          </cell>
          <cell r="AN172">
            <v>0</v>
          </cell>
          <cell r="AO172">
            <v>0</v>
          </cell>
          <cell r="AP172">
            <v>0</v>
          </cell>
          <cell r="AQ172">
            <v>0</v>
          </cell>
          <cell r="AR172">
            <v>0</v>
          </cell>
          <cell r="AS172">
            <v>0</v>
          </cell>
          <cell r="AT172">
            <v>0</v>
          </cell>
          <cell r="AU172">
            <v>0</v>
          </cell>
        </row>
        <row r="173">
          <cell r="C173" t="str">
            <v>F-35 EPS</v>
          </cell>
          <cell r="G173">
            <v>0.53165760869565215</v>
          </cell>
          <cell r="H173">
            <v>0.72065217391304348</v>
          </cell>
          <cell r="I173">
            <v>0.92907608695652188</v>
          </cell>
          <cell r="J173">
            <v>1.1586956521739133</v>
          </cell>
          <cell r="K173">
            <v>1.3997961956521741</v>
          </cell>
          <cell r="L173">
            <v>1.6514945652173914</v>
          </cell>
          <cell r="M173">
            <v>2.2511646059782606</v>
          </cell>
          <cell r="N173">
            <v>2.9358288145380431</v>
          </cell>
          <cell r="O173">
            <v>3.7131978859969426</v>
          </cell>
          <cell r="P173">
            <v>4.5889761141283101</v>
          </cell>
          <cell r="Q173">
            <v>5.5931134259459627</v>
          </cell>
          <cell r="R173">
            <v>5.9304042767718395</v>
          </cell>
          <cell r="S173">
            <v>6.308778441004514</v>
          </cell>
          <cell r="T173">
            <v>6.6946173575688457</v>
          </cell>
          <cell r="U173">
            <v>7.1222756985596591</v>
          </cell>
          <cell r="V173">
            <v>7.5671328207515298</v>
          </cell>
          <cell r="W173">
            <v>7.1311535478946961</v>
          </cell>
          <cell r="X173">
            <v>6.773315572082943</v>
          </cell>
          <cell r="Y173">
            <v>6.4843222189313225</v>
          </cell>
          <cell r="Z173">
            <v>6.2560982061588861</v>
          </cell>
          <cell r="AA173">
            <v>6.113148139291801</v>
          </cell>
          <cell r="AB173">
            <v>6.1556852881248716</v>
          </cell>
          <cell r="AC173">
            <v>4.1174060179459513</v>
          </cell>
          <cell r="AD173">
            <v>3.9193545463478463</v>
          </cell>
          <cell r="AE173">
            <v>3.9241562184788927</v>
          </cell>
          <cell r="AF173">
            <v>3.8949111288530793</v>
          </cell>
          <cell r="AG173">
            <v>3.7288451449632625</v>
          </cell>
          <cell r="AH173">
            <v>3.5417027576716507</v>
          </cell>
          <cell r="AI173">
            <v>3.3297508284174793</v>
          </cell>
          <cell r="AJ173">
            <v>3.0893382041248261</v>
          </cell>
          <cell r="AK173">
            <v>2.8168666865770313</v>
          </cell>
          <cell r="AL173">
            <v>2.538302158893547</v>
          </cell>
          <cell r="AM173">
            <v>2.0169160707327221</v>
          </cell>
          <cell r="AN173">
            <v>1.7269573407085741</v>
          </cell>
          <cell r="AO173">
            <v>1.4520483857759221</v>
          </cell>
          <cell r="AP173">
            <v>1.1623146347586946</v>
          </cell>
          <cell r="AQ173">
            <v>0.9073145411512209</v>
          </cell>
          <cell r="AR173">
            <v>0.68251190748615187</v>
          </cell>
          <cell r="AS173">
            <v>0.48395296574316471</v>
          </cell>
          <cell r="AT173">
            <v>0.30819134940823267</v>
          </cell>
          <cell r="AU173">
            <v>0.15222272437653664</v>
          </cell>
        </row>
        <row r="175">
          <cell r="C175" t="str">
            <v>Tax Rate</v>
          </cell>
          <cell r="G175">
            <v>0.35</v>
          </cell>
        </row>
        <row r="176">
          <cell r="C176" t="str">
            <v>Shares</v>
          </cell>
          <cell r="G176">
            <v>368</v>
          </cell>
        </row>
        <row r="178">
          <cell r="B178" t="str">
            <v>Valuation Summary</v>
          </cell>
        </row>
        <row r="180">
          <cell r="C180" t="str">
            <v>Calendar Year</v>
          </cell>
          <cell r="G180">
            <v>2010</v>
          </cell>
          <cell r="H180">
            <v>2011</v>
          </cell>
          <cell r="I180">
            <v>2012</v>
          </cell>
          <cell r="J180">
            <v>2013</v>
          </cell>
          <cell r="K180">
            <v>2014</v>
          </cell>
          <cell r="L180">
            <v>2015</v>
          </cell>
          <cell r="M180">
            <v>2016</v>
          </cell>
          <cell r="N180">
            <v>2017</v>
          </cell>
          <cell r="O180">
            <v>2018</v>
          </cell>
          <cell r="P180">
            <v>2019</v>
          </cell>
          <cell r="Q180">
            <v>2020</v>
          </cell>
          <cell r="R180">
            <v>2021</v>
          </cell>
          <cell r="S180">
            <v>2022</v>
          </cell>
          <cell r="T180">
            <v>2023</v>
          </cell>
          <cell r="U180">
            <v>2024</v>
          </cell>
          <cell r="V180">
            <v>2025</v>
          </cell>
          <cell r="W180">
            <v>2026</v>
          </cell>
          <cell r="X180">
            <v>2027</v>
          </cell>
          <cell r="Y180">
            <v>2028</v>
          </cell>
          <cell r="Z180">
            <v>2029</v>
          </cell>
          <cell r="AA180">
            <v>2030</v>
          </cell>
          <cell r="AB180">
            <v>2031</v>
          </cell>
          <cell r="AC180">
            <v>2032</v>
          </cell>
          <cell r="AD180">
            <v>2033</v>
          </cell>
          <cell r="AE180">
            <v>2034</v>
          </cell>
          <cell r="AF180">
            <v>2035</v>
          </cell>
          <cell r="AG180">
            <v>2036</v>
          </cell>
          <cell r="AH180">
            <v>2037</v>
          </cell>
          <cell r="AI180">
            <v>2038</v>
          </cell>
          <cell r="AJ180">
            <v>2039</v>
          </cell>
          <cell r="AK180">
            <v>2040</v>
          </cell>
          <cell r="AL180">
            <v>2041</v>
          </cell>
          <cell r="AM180">
            <v>2042</v>
          </cell>
          <cell r="AN180">
            <v>2043</v>
          </cell>
          <cell r="AO180">
            <v>2044</v>
          </cell>
          <cell r="AP180">
            <v>2045</v>
          </cell>
          <cell r="AQ180">
            <v>2046</v>
          </cell>
          <cell r="AR180">
            <v>2047</v>
          </cell>
          <cell r="AS180">
            <v>2048</v>
          </cell>
          <cell r="AT180">
            <v>2049</v>
          </cell>
          <cell r="AU180">
            <v>2050</v>
          </cell>
        </row>
        <row r="182">
          <cell r="C182" t="str">
            <v>Present Value of F-35 EPS</v>
          </cell>
        </row>
        <row r="184">
          <cell r="C184" t="str">
            <v>PV of Lifetime Program</v>
          </cell>
          <cell r="K184" t="str">
            <v>PV of Next Ten Years</v>
          </cell>
          <cell r="U184" t="str">
            <v>PV of Next Five Years</v>
          </cell>
        </row>
        <row r="185">
          <cell r="C185" t="str">
            <v>Cost of Equity</v>
          </cell>
          <cell r="E185">
            <v>0.09</v>
          </cell>
          <cell r="F185">
            <v>9.5000000000000001E-2</v>
          </cell>
          <cell r="G185">
            <v>0.1</v>
          </cell>
          <cell r="H185">
            <v>0.105</v>
          </cell>
          <cell r="I185">
            <v>0.11</v>
          </cell>
          <cell r="K185" t="str">
            <v>Cost of Equity</v>
          </cell>
          <cell r="O185">
            <v>0.09</v>
          </cell>
          <cell r="P185">
            <v>9.5000000000000001E-2</v>
          </cell>
          <cell r="Q185">
            <v>0.1</v>
          </cell>
          <cell r="R185">
            <v>0.105</v>
          </cell>
          <cell r="S185">
            <v>0.11</v>
          </cell>
          <cell r="U185" t="str">
            <v>Cost of Equity</v>
          </cell>
          <cell r="Y185">
            <v>0.09</v>
          </cell>
          <cell r="Z185">
            <v>9.5000000000000001E-2</v>
          </cell>
          <cell r="AA185">
            <v>0.1</v>
          </cell>
          <cell r="AB185">
            <v>0.105</v>
          </cell>
          <cell r="AC185">
            <v>0.11</v>
          </cell>
        </row>
        <row r="187">
          <cell r="C187" t="str">
            <v>Development</v>
          </cell>
          <cell r="E187">
            <v>0.22691434601234042</v>
          </cell>
          <cell r="F187">
            <v>0.22443690349367001</v>
          </cell>
          <cell r="G187">
            <v>0.22200514629041349</v>
          </cell>
          <cell r="H187">
            <v>0.21961794982444441</v>
          </cell>
          <cell r="I187">
            <v>0.21727422339078592</v>
          </cell>
          <cell r="K187" t="str">
            <v>Development</v>
          </cell>
          <cell r="O187">
            <v>0.22691434601234042</v>
          </cell>
          <cell r="P187">
            <v>0.22443690349367001</v>
          </cell>
          <cell r="Q187">
            <v>0.22200514629041349</v>
          </cell>
          <cell r="R187">
            <v>0.21961794982444441</v>
          </cell>
          <cell r="S187">
            <v>0.21727422339078592</v>
          </cell>
          <cell r="U187" t="str">
            <v>Development</v>
          </cell>
          <cell r="Y187">
            <v>0.22691434601234042</v>
          </cell>
          <cell r="Z187">
            <v>0.22443690349367001</v>
          </cell>
          <cell r="AA187">
            <v>0.22200514629041349</v>
          </cell>
          <cell r="AB187">
            <v>0.21961794982444441</v>
          </cell>
          <cell r="AC187">
            <v>0.21727422339078592</v>
          </cell>
        </row>
        <row r="188">
          <cell r="C188" t="str">
            <v>U.S. DoD Production</v>
          </cell>
          <cell r="E188">
            <v>14.97739396905882</v>
          </cell>
          <cell r="F188">
            <v>14.313811801368541</v>
          </cell>
          <cell r="G188">
            <v>13.690563412563034</v>
          </cell>
          <cell r="H188">
            <v>13.104746028368105</v>
          </cell>
          <cell r="I188">
            <v>12.553690900436289</v>
          </cell>
          <cell r="K188" t="str">
            <v>U.S. DoD Production</v>
          </cell>
          <cell r="O188">
            <v>8.3176081354011551</v>
          </cell>
          <cell r="P188">
            <v>8.0969152339789936</v>
          </cell>
          <cell r="Q188">
            <v>7.8842695614686784</v>
          </cell>
          <cell r="R188">
            <v>7.6793201091552943</v>
          </cell>
          <cell r="S188">
            <v>7.4817332899479361</v>
          </cell>
          <cell r="U188" t="str">
            <v>U.S. DoD Production</v>
          </cell>
          <cell r="Y188">
            <v>3.6924175464346916</v>
          </cell>
          <cell r="Z188">
            <v>3.6376789662362095</v>
          </cell>
          <cell r="AA188">
            <v>3.5841388381428176</v>
          </cell>
          <cell r="AB188">
            <v>3.5317641538423885</v>
          </cell>
          <cell r="AC188">
            <v>3.4805229822044792</v>
          </cell>
        </row>
        <row r="189">
          <cell r="C189" t="str">
            <v>International Production</v>
          </cell>
          <cell r="E189">
            <v>8.7694806542524084</v>
          </cell>
          <cell r="F189">
            <v>8.2995034255780205</v>
          </cell>
          <cell r="G189">
            <v>7.8585296622938543</v>
          </cell>
          <cell r="H189">
            <v>7.4445463763818225</v>
          </cell>
          <cell r="I189">
            <v>7.0556950060670083</v>
          </cell>
          <cell r="K189" t="str">
            <v>International Production</v>
          </cell>
          <cell r="O189">
            <v>3.1632944538054515</v>
          </cell>
          <cell r="P189">
            <v>3.0405742764434511</v>
          </cell>
          <cell r="Q189">
            <v>2.9232374231133789</v>
          </cell>
          <cell r="R189">
            <v>2.8110215850210181</v>
          </cell>
          <cell r="S189">
            <v>2.7036784658847779</v>
          </cell>
          <cell r="U189" t="str">
            <v>International Production</v>
          </cell>
          <cell r="Y189">
            <v>0</v>
          </cell>
          <cell r="Z189">
            <v>0</v>
          </cell>
          <cell r="AA189">
            <v>0</v>
          </cell>
          <cell r="AB189">
            <v>0</v>
          </cell>
          <cell r="AC189">
            <v>0</v>
          </cell>
        </row>
        <row r="190">
          <cell r="C190" t="str">
            <v>Spares and Sustainment</v>
          </cell>
          <cell r="E190">
            <v>11.535427555924514</v>
          </cell>
          <cell r="F190">
            <v>10.634911923129135</v>
          </cell>
          <cell r="G190">
            <v>9.8196941709320757</v>
          </cell>
          <cell r="H190">
            <v>9.0805973218824452</v>
          </cell>
          <cell r="I190">
            <v>8.4095312313876498</v>
          </cell>
          <cell r="K190" t="str">
            <v>Spares and Sustainment</v>
          </cell>
          <cell r="O190">
            <v>1.9722287523867066</v>
          </cell>
          <cell r="P190">
            <v>1.9090135708300247</v>
          </cell>
          <cell r="Q190">
            <v>1.8483485468153686</v>
          </cell>
          <cell r="R190">
            <v>1.7901151041286676</v>
          </cell>
          <cell r="S190">
            <v>1.7342008162815321</v>
          </cell>
          <cell r="U190" t="str">
            <v>Spares and Sustainment</v>
          </cell>
          <cell r="Y190">
            <v>0.48353635418946633</v>
          </cell>
          <cell r="Z190">
            <v>0.47613590812442907</v>
          </cell>
          <cell r="AA190">
            <v>0.46889885238891366</v>
          </cell>
          <cell r="AB190">
            <v>0.46182067478473643</v>
          </cell>
          <cell r="AC190">
            <v>0.45489701048032921</v>
          </cell>
        </row>
        <row r="191">
          <cell r="C191" t="str">
            <v>Modernization and Upgrade</v>
          </cell>
          <cell r="E191">
            <v>1.4196895600541874</v>
          </cell>
          <cell r="F191">
            <v>1.2926297968374183</v>
          </cell>
          <cell r="G191">
            <v>1.178011380472952</v>
          </cell>
          <cell r="H191">
            <v>1.0745194293146472</v>
          </cell>
          <cell r="I191">
            <v>0.98098746554643079</v>
          </cell>
          <cell r="K191" t="str">
            <v>Modernization and Upgrade</v>
          </cell>
          <cell r="O191">
            <v>1.0129806081133692E-2</v>
          </cell>
          <cell r="P191">
            <v>9.6766474624460138E-3</v>
          </cell>
          <cell r="Q191">
            <v>9.2456885431152838E-3</v>
          </cell>
          <cell r="R191">
            <v>8.8357481970764134E-3</v>
          </cell>
          <cell r="S191">
            <v>8.4457130748822815E-3</v>
          </cell>
          <cell r="U191" t="str">
            <v>Modernization and Upgrade</v>
          </cell>
          <cell r="Y191">
            <v>0</v>
          </cell>
          <cell r="Z191">
            <v>0</v>
          </cell>
          <cell r="AA191">
            <v>0</v>
          </cell>
          <cell r="AB191">
            <v>0</v>
          </cell>
          <cell r="AC191">
            <v>0</v>
          </cell>
        </row>
        <row r="192">
          <cell r="C192" t="str">
            <v>Total Value per Share</v>
          </cell>
          <cell r="E192">
            <v>36.928906085302273</v>
          </cell>
          <cell r="F192">
            <v>34.765293850406778</v>
          </cell>
          <cell r="G192">
            <v>32.768803772552332</v>
          </cell>
          <cell r="H192">
            <v>30.924027105771465</v>
          </cell>
          <cell r="I192">
            <v>29.217178826828164</v>
          </cell>
          <cell r="K192" t="str">
            <v>Total Value per Share</v>
          </cell>
          <cell r="O192">
            <v>13.690175493686787</v>
          </cell>
          <cell r="P192">
            <v>13.280616632208584</v>
          </cell>
          <cell r="Q192">
            <v>12.887106366230954</v>
          </cell>
          <cell r="R192">
            <v>12.508910496326502</v>
          </cell>
          <cell r="S192">
            <v>12.145332508579914</v>
          </cell>
          <cell r="U192" t="str">
            <v>Total Value per Share</v>
          </cell>
          <cell r="Y192">
            <v>4.4028682466364986</v>
          </cell>
          <cell r="Z192">
            <v>4.3382517778543086</v>
          </cell>
          <cell r="AA192">
            <v>4.2750428368221449</v>
          </cell>
          <cell r="AB192">
            <v>4.2132027784515689</v>
          </cell>
          <cell r="AC192">
            <v>4.1526942160755942</v>
          </cell>
        </row>
        <row r="195">
          <cell r="C195" t="str">
            <v>F-35 Valuation Sensitivities</v>
          </cell>
        </row>
        <row r="196">
          <cell r="G196">
            <v>0.54887907608695652</v>
          </cell>
          <cell r="H196">
            <v>0.54048913043478264</v>
          </cell>
          <cell r="I196">
            <v>0.68885869565217384</v>
          </cell>
          <cell r="K196" t="str">
            <v>&lt;--- aero model forecasts…should be similar to our f-35 model base case)</v>
          </cell>
        </row>
        <row r="197">
          <cell r="G197">
            <v>368</v>
          </cell>
          <cell r="H197">
            <v>368</v>
          </cell>
          <cell r="I197">
            <v>368</v>
          </cell>
        </row>
        <row r="198">
          <cell r="C198" t="str">
            <v>Current LMT Stock Price</v>
          </cell>
          <cell r="E198">
            <v>72</v>
          </cell>
        </row>
        <row r="199">
          <cell r="C199" t="str">
            <v>Annual Dividend</v>
          </cell>
          <cell r="E199">
            <v>2.52</v>
          </cell>
        </row>
        <row r="200">
          <cell r="G200" t="str">
            <v>2010E</v>
          </cell>
          <cell r="H200" t="str">
            <v>2011E</v>
          </cell>
          <cell r="I200" t="str">
            <v>2012E</v>
          </cell>
        </row>
        <row r="201">
          <cell r="C201" t="str">
            <v>EPS from Operations</v>
          </cell>
          <cell r="G201">
            <v>6.8313858695652172</v>
          </cell>
          <cell r="H201">
            <v>6.1005828089244849</v>
          </cell>
          <cell r="I201">
            <v>8.0465174485125868</v>
          </cell>
        </row>
        <row r="202">
          <cell r="C202" t="str">
            <v>Less: F-35 EPS</v>
          </cell>
          <cell r="G202">
            <v>-0.53165760869565215</v>
          </cell>
          <cell r="H202">
            <v>-0.72065217391304348</v>
          </cell>
          <cell r="I202">
            <v>-0.92907608695652188</v>
          </cell>
          <cell r="K202" t="str">
            <v>Check vs aero model</v>
          </cell>
          <cell r="M202">
            <v>48.419375715102973</v>
          </cell>
          <cell r="O202" t="str">
            <v>+</v>
          </cell>
        </row>
        <row r="203">
          <cell r="C203" t="str">
            <v>LMT EPS excl. F-35</v>
          </cell>
          <cell r="G203">
            <v>6.2997282608695651</v>
          </cell>
          <cell r="H203">
            <v>5.3799306350114415</v>
          </cell>
          <cell r="I203">
            <v>7.1174413615560645</v>
          </cell>
        </row>
        <row r="206">
          <cell r="C206" t="str">
            <v>RemainCo LMT Valuation Assuming a Value for F-35</v>
          </cell>
          <cell r="L206" t="str">
            <v>F-35 Value Assuming Peer Multiple on RemainCo</v>
          </cell>
          <cell r="T206" t="str">
            <v>Steady-State RemainCo Earnings + F-35 Intrinsic Value</v>
          </cell>
        </row>
        <row r="208">
          <cell r="G208" t="str">
            <v xml:space="preserve">JSF </v>
          </cell>
          <cell r="H208" t="str">
            <v>RemainCo LMT P/E</v>
          </cell>
          <cell r="U208" t="str">
            <v>Cost of</v>
          </cell>
          <cell r="W208" t="str">
            <v>Non F-35 Steady</v>
          </cell>
          <cell r="X208" t="str">
            <v>F-35</v>
          </cell>
          <cell r="Y208" t="str">
            <v>Full</v>
          </cell>
          <cell r="AB208" t="str">
            <v>F-35 In</v>
          </cell>
          <cell r="AD208" t="str">
            <v>Dividend</v>
          </cell>
        </row>
        <row r="209">
          <cell r="G209" t="str">
            <v xml:space="preserve">Value </v>
          </cell>
          <cell r="H209" t="str">
            <v>2010E</v>
          </cell>
          <cell r="I209" t="str">
            <v>2011E</v>
          </cell>
          <cell r="J209" t="str">
            <v>2012E</v>
          </cell>
          <cell r="P209" t="str">
            <v>2010E</v>
          </cell>
          <cell r="Q209" t="str">
            <v>2011E</v>
          </cell>
          <cell r="R209" t="str">
            <v>2012E</v>
          </cell>
          <cell r="U209" t="str">
            <v>Equity</v>
          </cell>
          <cell r="W209" t="str">
            <v>State Value</v>
          </cell>
          <cell r="X209" t="str">
            <v>Equity</v>
          </cell>
          <cell r="Y209" t="str">
            <v>Value</v>
          </cell>
          <cell r="Z209" t="str">
            <v>Upside</v>
          </cell>
          <cell r="AB209" t="str">
            <v>Price</v>
          </cell>
          <cell r="AD209" t="str">
            <v>Value</v>
          </cell>
        </row>
        <row r="210">
          <cell r="G210">
            <v>0</v>
          </cell>
          <cell r="H210">
            <v>11.429064400638399</v>
          </cell>
          <cell r="I210">
            <v>13.383072177815706</v>
          </cell>
          <cell r="J210">
            <v>10.115994827705734</v>
          </cell>
          <cell r="L210" t="str">
            <v>Defense Peer P/E Multiple</v>
          </cell>
          <cell r="P210">
            <v>9.5</v>
          </cell>
          <cell r="Q210">
            <v>8.5</v>
          </cell>
          <cell r="R210">
            <v>8</v>
          </cell>
          <cell r="U210">
            <v>0.09</v>
          </cell>
          <cell r="W210">
            <v>69.996980676328505</v>
          </cell>
          <cell r="X210">
            <v>36.928906085302273</v>
          </cell>
          <cell r="Y210">
            <v>106.92588676163078</v>
          </cell>
          <cell r="Z210">
            <v>0.48508176057820518</v>
          </cell>
          <cell r="AB210">
            <v>2.003019323671495</v>
          </cell>
          <cell r="AD210">
            <v>28</v>
          </cell>
          <cell r="AE210">
            <v>97.996980676328505</v>
          </cell>
        </row>
        <row r="211">
          <cell r="G211">
            <v>5</v>
          </cell>
          <cell r="H211">
            <v>10.635379372816288</v>
          </cell>
          <cell r="I211">
            <v>12.453692165467391</v>
          </cell>
          <cell r="J211">
            <v>9.4134951868928347</v>
          </cell>
          <cell r="L211" t="str">
            <v>LMT EPS excl. F-35</v>
          </cell>
          <cell r="P211">
            <v>6.2997282608695651</v>
          </cell>
          <cell r="Q211">
            <v>5.3799306350114415</v>
          </cell>
          <cell r="R211">
            <v>7.1174413615560645</v>
          </cell>
          <cell r="U211">
            <v>9.5000000000000001E-2</v>
          </cell>
          <cell r="W211">
            <v>66.312929061784899</v>
          </cell>
          <cell r="X211">
            <v>34.765293850406778</v>
          </cell>
          <cell r="Y211">
            <v>101.07822291219168</v>
          </cell>
          <cell r="Z211">
            <v>0.40386420711377324</v>
          </cell>
          <cell r="AB211">
            <v>5.6870709382151006</v>
          </cell>
          <cell r="AD211">
            <v>26.526315789473685</v>
          </cell>
          <cell r="AE211">
            <v>92.839244851258584</v>
          </cell>
        </row>
        <row r="212">
          <cell r="G212">
            <v>10</v>
          </cell>
          <cell r="H212">
            <v>9.8416943449941776</v>
          </cell>
          <cell r="I212">
            <v>11.524312153119078</v>
          </cell>
          <cell r="J212">
            <v>8.7109955460799373</v>
          </cell>
          <cell r="L212" t="str">
            <v>LMT Value excl. F-35</v>
          </cell>
          <cell r="P212">
            <v>59.84741847826087</v>
          </cell>
          <cell r="Q212">
            <v>45.729410397597256</v>
          </cell>
          <cell r="R212">
            <v>56.939530892448516</v>
          </cell>
          <cell r="U212">
            <v>0.1</v>
          </cell>
          <cell r="W212">
            <v>62.997282608695649</v>
          </cell>
          <cell r="X212">
            <v>32.768803772552332</v>
          </cell>
          <cell r="Y212">
            <v>95.766086381247987</v>
          </cell>
          <cell r="Z212">
            <v>0.33008453307288876</v>
          </cell>
          <cell r="AB212">
            <v>9.0027173913043512</v>
          </cell>
          <cell r="AD212">
            <v>25.2</v>
          </cell>
          <cell r="AE212">
            <v>88.197282608695645</v>
          </cell>
        </row>
        <row r="213">
          <cell r="G213">
            <v>15</v>
          </cell>
          <cell r="H213">
            <v>9.0480093171720668</v>
          </cell>
          <cell r="I213">
            <v>10.594932140770766</v>
          </cell>
          <cell r="J213">
            <v>8.0084959052670381</v>
          </cell>
          <cell r="U213">
            <v>0.105</v>
          </cell>
          <cell r="W213">
            <v>59.997412008281572</v>
          </cell>
          <cell r="X213">
            <v>30.924027105771465</v>
          </cell>
          <cell r="Y213">
            <v>90.921439114053044</v>
          </cell>
          <cell r="Z213">
            <v>0.26279776547295897</v>
          </cell>
          <cell r="AB213">
            <v>12.002587991718428</v>
          </cell>
          <cell r="AD213">
            <v>24</v>
          </cell>
          <cell r="AE213">
            <v>83.997412008281572</v>
          </cell>
        </row>
        <row r="214">
          <cell r="G214">
            <v>20</v>
          </cell>
          <cell r="H214">
            <v>8.2543242893499542</v>
          </cell>
          <cell r="I214">
            <v>9.665552128422453</v>
          </cell>
          <cell r="J214">
            <v>7.3059962644541407</v>
          </cell>
          <cell r="L214" t="str">
            <v>Implied F-35 Value</v>
          </cell>
          <cell r="P214">
            <v>12.15258152173913</v>
          </cell>
          <cell r="Q214">
            <v>26.270589602402744</v>
          </cell>
          <cell r="R214">
            <v>15.060469107551484</v>
          </cell>
          <cell r="U214">
            <v>0.11</v>
          </cell>
          <cell r="W214">
            <v>57.270256916996047</v>
          </cell>
          <cell r="X214">
            <v>29.217178826828164</v>
          </cell>
          <cell r="Y214">
            <v>86.487435743824207</v>
          </cell>
          <cell r="Z214">
            <v>0.20121438533089187</v>
          </cell>
          <cell r="AB214">
            <v>14.729743083003953</v>
          </cell>
          <cell r="AD214">
            <v>22.90909090909091</v>
          </cell>
          <cell r="AE214">
            <v>80.179347826086953</v>
          </cell>
        </row>
        <row r="215">
          <cell r="G215">
            <v>25</v>
          </cell>
          <cell r="H215">
            <v>7.4606392615278443</v>
          </cell>
          <cell r="I215">
            <v>8.7361721160741403</v>
          </cell>
          <cell r="J215">
            <v>6.6034966236412425</v>
          </cell>
          <cell r="L215" t="str">
            <v>F-35 EPS</v>
          </cell>
          <cell r="P215">
            <v>0.53165760869565215</v>
          </cell>
          <cell r="Q215">
            <v>0.72065217391304348</v>
          </cell>
          <cell r="R215">
            <v>0.92907608695652188</v>
          </cell>
        </row>
        <row r="216">
          <cell r="G216">
            <v>30</v>
          </cell>
          <cell r="H216">
            <v>6.6669542337057326</v>
          </cell>
          <cell r="I216">
            <v>7.8067921037258277</v>
          </cell>
          <cell r="J216">
            <v>5.9009969828283442</v>
          </cell>
          <cell r="L216" t="str">
            <v>P/E</v>
          </cell>
          <cell r="P216">
            <v>22.857909532328136</v>
          </cell>
          <cell r="Q216">
            <v>36.453910157180275</v>
          </cell>
          <cell r="R216">
            <v>16.210156863348772</v>
          </cell>
        </row>
        <row r="217">
          <cell r="G217">
            <v>35</v>
          </cell>
          <cell r="H217">
            <v>5.8732692058836218</v>
          </cell>
          <cell r="I217">
            <v>6.877412091377515</v>
          </cell>
          <cell r="J217">
            <v>5.1984973420154459</v>
          </cell>
        </row>
        <row r="221">
          <cell r="C221" t="str">
            <v>Official Program Delivery Schedule</v>
          </cell>
        </row>
        <row r="223">
          <cell r="C223" t="str">
            <v>Source:</v>
          </cell>
          <cell r="E223" t="str">
            <v>http://www.jsf.mil/downloads/documents/JSF_PSFD_MOU_-_Update_12_2009.PDF</v>
          </cell>
        </row>
        <row r="224">
          <cell r="D224" t="str">
            <v>NOTE 2 yrs forward</v>
          </cell>
        </row>
        <row r="226">
          <cell r="C226" t="str">
            <v>Total</v>
          </cell>
          <cell r="E226">
            <v>3172.9999999999995</v>
          </cell>
          <cell r="F226">
            <v>31</v>
          </cell>
          <cell r="G226">
            <v>32</v>
          </cell>
          <cell r="H226">
            <v>52</v>
          </cell>
          <cell r="I226">
            <v>70</v>
          </cell>
          <cell r="J226">
            <v>156</v>
          </cell>
          <cell r="K226">
            <v>177</v>
          </cell>
          <cell r="L226">
            <v>240</v>
          </cell>
          <cell r="M226">
            <v>227</v>
          </cell>
          <cell r="N226">
            <v>219</v>
          </cell>
          <cell r="O226">
            <v>212</v>
          </cell>
          <cell r="P226">
            <v>186</v>
          </cell>
          <cell r="Q226">
            <v>183</v>
          </cell>
          <cell r="R226">
            <v>171</v>
          </cell>
          <cell r="S226">
            <v>152</v>
          </cell>
          <cell r="T226">
            <v>158</v>
          </cell>
          <cell r="U226">
            <v>129</v>
          </cell>
          <cell r="V226">
            <v>119</v>
          </cell>
          <cell r="W226">
            <v>117</v>
          </cell>
          <cell r="X226">
            <v>93</v>
          </cell>
          <cell r="Y226">
            <v>80</v>
          </cell>
          <cell r="Z226">
            <v>33.545454545454547</v>
          </cell>
          <cell r="AA226">
            <v>33.545454545454547</v>
          </cell>
          <cell r="AB226">
            <v>33.545454545454547</v>
          </cell>
          <cell r="AC226">
            <v>33.545454545454547</v>
          </cell>
          <cell r="AD226">
            <v>33.545454545454547</v>
          </cell>
          <cell r="AE226">
            <v>33.545454545454547</v>
          </cell>
          <cell r="AF226">
            <v>33.545454545454547</v>
          </cell>
          <cell r="AG226">
            <v>33.545454545454547</v>
          </cell>
          <cell r="AH226">
            <v>33.545454545454547</v>
          </cell>
          <cell r="AI226">
            <v>33.545454545454547</v>
          </cell>
          <cell r="AJ226">
            <v>33.545454545454547</v>
          </cell>
        </row>
        <row r="228">
          <cell r="C228" t="str">
            <v>U.S. Deliveries</v>
          </cell>
          <cell r="F228">
            <v>1250</v>
          </cell>
        </row>
        <row r="229">
          <cell r="D229" t="str">
            <v>Air Force</v>
          </cell>
          <cell r="E229">
            <v>1763</v>
          </cell>
          <cell r="F229">
            <v>910</v>
          </cell>
        </row>
        <row r="230">
          <cell r="D230" t="str">
            <v>Navy</v>
          </cell>
          <cell r="E230">
            <v>339.99999999999977</v>
          </cell>
          <cell r="F230">
            <v>0</v>
          </cell>
        </row>
        <row r="231">
          <cell r="D231" t="str">
            <v>Marine Corps</v>
          </cell>
          <cell r="E231">
            <v>339.99999999999977</v>
          </cell>
          <cell r="F231">
            <v>340</v>
          </cell>
        </row>
        <row r="232">
          <cell r="C232" t="str">
            <v>Total Deliveries</v>
          </cell>
          <cell r="E232">
            <v>2442.9999999999995</v>
          </cell>
          <cell r="F232">
            <v>28</v>
          </cell>
          <cell r="G232">
            <v>30</v>
          </cell>
          <cell r="H232">
            <v>52</v>
          </cell>
          <cell r="I232">
            <v>62</v>
          </cell>
          <cell r="J232">
            <v>123</v>
          </cell>
          <cell r="K232">
            <v>110</v>
          </cell>
          <cell r="L232">
            <v>146</v>
          </cell>
          <cell r="M232">
            <v>130</v>
          </cell>
          <cell r="N232">
            <v>130</v>
          </cell>
          <cell r="O232">
            <v>130</v>
          </cell>
          <cell r="P232">
            <v>130</v>
          </cell>
          <cell r="Q232">
            <v>130</v>
          </cell>
          <cell r="R232">
            <v>130</v>
          </cell>
          <cell r="S232">
            <v>130</v>
          </cell>
          <cell r="T232">
            <v>130</v>
          </cell>
          <cell r="U232">
            <v>115</v>
          </cell>
          <cell r="V232">
            <v>105</v>
          </cell>
          <cell r="W232">
            <v>103</v>
          </cell>
          <cell r="X232">
            <v>80</v>
          </cell>
          <cell r="Y232">
            <v>80</v>
          </cell>
          <cell r="Z232">
            <v>33.545454545454547</v>
          </cell>
          <cell r="AA232">
            <v>33.545454545454547</v>
          </cell>
          <cell r="AB232">
            <v>33.545454545454547</v>
          </cell>
          <cell r="AC232">
            <v>33.545454545454547</v>
          </cell>
          <cell r="AD232">
            <v>33.545454545454547</v>
          </cell>
          <cell r="AE232">
            <v>33.545454545454547</v>
          </cell>
          <cell r="AF232">
            <v>33.545454545454547</v>
          </cell>
          <cell r="AG232">
            <v>33.545454545454547</v>
          </cell>
          <cell r="AH232">
            <v>33.545454545454547</v>
          </cell>
          <cell r="AI232">
            <v>33.545454545454547</v>
          </cell>
          <cell r="AJ232">
            <v>33.545454545454547</v>
          </cell>
        </row>
        <row r="233">
          <cell r="G233">
            <v>0.9375</v>
          </cell>
          <cell r="H233">
            <v>1</v>
          </cell>
          <cell r="I233">
            <v>0.88571428571428568</v>
          </cell>
          <cell r="J233">
            <v>0.78846153846153844</v>
          </cell>
          <cell r="K233">
            <v>0.62146892655367236</v>
          </cell>
          <cell r="L233">
            <v>0.60833333333333328</v>
          </cell>
          <cell r="M233">
            <v>0.57268722466960353</v>
          </cell>
          <cell r="N233">
            <v>0.59360730593607303</v>
          </cell>
          <cell r="O233">
            <v>0.6132075471698113</v>
          </cell>
          <cell r="P233">
            <v>0.69892473118279574</v>
          </cell>
          <cell r="Q233">
            <v>0.7103825136612022</v>
          </cell>
          <cell r="R233">
            <v>0.76023391812865493</v>
          </cell>
          <cell r="S233">
            <v>0.85526315789473684</v>
          </cell>
          <cell r="T233">
            <v>0.82278481012658233</v>
          </cell>
          <cell r="U233">
            <v>0.89147286821705429</v>
          </cell>
          <cell r="V233">
            <v>0.88235294117647056</v>
          </cell>
          <cell r="W233">
            <v>0.88034188034188032</v>
          </cell>
          <cell r="X233">
            <v>0.86021505376344087</v>
          </cell>
          <cell r="Y233">
            <v>1</v>
          </cell>
          <cell r="Z233">
            <v>1</v>
          </cell>
          <cell r="AA233">
            <v>1</v>
          </cell>
          <cell r="AB233">
            <v>1</v>
          </cell>
          <cell r="AC233">
            <v>1</v>
          </cell>
          <cell r="AD233">
            <v>1</v>
          </cell>
          <cell r="AE233">
            <v>1</v>
          </cell>
          <cell r="AF233">
            <v>1</v>
          </cell>
        </row>
        <row r="234">
          <cell r="C234" t="str">
            <v>International Deliveries (Existing)</v>
          </cell>
        </row>
        <row r="235">
          <cell r="D235" t="str">
            <v>Australia</v>
          </cell>
          <cell r="E235">
            <v>100</v>
          </cell>
          <cell r="F235">
            <v>0</v>
          </cell>
          <cell r="G235">
            <v>0</v>
          </cell>
          <cell r="H235">
            <v>0</v>
          </cell>
          <cell r="I235">
            <v>2</v>
          </cell>
          <cell r="J235">
            <v>4</v>
          </cell>
          <cell r="K235">
            <v>8</v>
          </cell>
          <cell r="L235">
            <v>15</v>
          </cell>
          <cell r="M235">
            <v>15</v>
          </cell>
          <cell r="N235">
            <v>15</v>
          </cell>
          <cell r="O235">
            <v>13</v>
          </cell>
          <cell r="P235">
            <v>0</v>
          </cell>
          <cell r="Q235">
            <v>15</v>
          </cell>
          <cell r="R235">
            <v>13</v>
          </cell>
          <cell r="S235">
            <v>0</v>
          </cell>
          <cell r="T235">
            <v>0</v>
          </cell>
          <cell r="U235">
            <v>0</v>
          </cell>
          <cell r="V235">
            <v>0</v>
          </cell>
          <cell r="W235">
            <v>0</v>
          </cell>
          <cell r="X235">
            <v>0</v>
          </cell>
          <cell r="Y235">
            <v>0</v>
          </cell>
          <cell r="Z235">
            <v>0</v>
          </cell>
          <cell r="AA235">
            <v>0</v>
          </cell>
          <cell r="AB235">
            <v>0</v>
          </cell>
          <cell r="AC235">
            <v>0</v>
          </cell>
          <cell r="AD235">
            <v>0</v>
          </cell>
          <cell r="AE235">
            <v>0</v>
          </cell>
          <cell r="AF235">
            <v>0</v>
          </cell>
          <cell r="AG235">
            <v>0</v>
          </cell>
          <cell r="AH235">
            <v>0</v>
          </cell>
          <cell r="AI235">
            <v>0</v>
          </cell>
          <cell r="AJ235">
            <v>0</v>
          </cell>
        </row>
        <row r="236">
          <cell r="D236" t="str">
            <v>Canada</v>
          </cell>
          <cell r="E236">
            <v>80</v>
          </cell>
          <cell r="F236">
            <v>0</v>
          </cell>
          <cell r="G236">
            <v>0</v>
          </cell>
          <cell r="H236">
            <v>0</v>
          </cell>
          <cell r="I236">
            <v>0</v>
          </cell>
          <cell r="J236">
            <v>0</v>
          </cell>
          <cell r="K236">
            <v>16</v>
          </cell>
          <cell r="L236">
            <v>16</v>
          </cell>
          <cell r="M236">
            <v>16</v>
          </cell>
          <cell r="N236">
            <v>16</v>
          </cell>
          <cell r="O236">
            <v>16</v>
          </cell>
          <cell r="P236">
            <v>0</v>
          </cell>
          <cell r="Q236">
            <v>0</v>
          </cell>
          <cell r="R236">
            <v>0</v>
          </cell>
          <cell r="S236">
            <v>0</v>
          </cell>
          <cell r="T236">
            <v>0</v>
          </cell>
          <cell r="U236">
            <v>0</v>
          </cell>
          <cell r="V236">
            <v>0</v>
          </cell>
          <cell r="W236">
            <v>0</v>
          </cell>
          <cell r="X236">
            <v>0</v>
          </cell>
          <cell r="Y236">
            <v>0</v>
          </cell>
          <cell r="Z236">
            <v>0</v>
          </cell>
          <cell r="AA236">
            <v>0</v>
          </cell>
          <cell r="AB236">
            <v>0</v>
          </cell>
          <cell r="AC236">
            <v>0</v>
          </cell>
          <cell r="AD236">
            <v>0</v>
          </cell>
          <cell r="AE236">
            <v>0</v>
          </cell>
          <cell r="AF236">
            <v>0</v>
          </cell>
          <cell r="AG236">
            <v>0</v>
          </cell>
          <cell r="AH236">
            <v>0</v>
          </cell>
          <cell r="AI236">
            <v>0</v>
          </cell>
          <cell r="AJ236">
            <v>0</v>
          </cell>
        </row>
        <row r="237">
          <cell r="D237" t="str">
            <v>Denmark</v>
          </cell>
          <cell r="E237">
            <v>48</v>
          </cell>
          <cell r="F237">
            <v>0</v>
          </cell>
          <cell r="G237">
            <v>0</v>
          </cell>
          <cell r="H237">
            <v>0</v>
          </cell>
          <cell r="I237">
            <v>0</v>
          </cell>
          <cell r="J237">
            <v>0</v>
          </cell>
          <cell r="K237">
            <v>8</v>
          </cell>
          <cell r="L237">
            <v>8</v>
          </cell>
          <cell r="M237">
            <v>8</v>
          </cell>
          <cell r="N237">
            <v>8</v>
          </cell>
          <cell r="O237">
            <v>8</v>
          </cell>
          <cell r="P237">
            <v>8</v>
          </cell>
          <cell r="Q237">
            <v>0</v>
          </cell>
          <cell r="R237">
            <v>0</v>
          </cell>
          <cell r="S237">
            <v>0</v>
          </cell>
          <cell r="T237">
            <v>0</v>
          </cell>
          <cell r="U237">
            <v>0</v>
          </cell>
          <cell r="V237">
            <v>0</v>
          </cell>
          <cell r="W237">
            <v>0</v>
          </cell>
          <cell r="X237">
            <v>0</v>
          </cell>
          <cell r="Y237">
            <v>0</v>
          </cell>
          <cell r="Z237">
            <v>0</v>
          </cell>
          <cell r="AA237">
            <v>0</v>
          </cell>
          <cell r="AB237">
            <v>0</v>
          </cell>
          <cell r="AC237">
            <v>0</v>
          </cell>
          <cell r="AD237">
            <v>0</v>
          </cell>
          <cell r="AE237">
            <v>0</v>
          </cell>
          <cell r="AF237">
            <v>0</v>
          </cell>
          <cell r="AG237">
            <v>0</v>
          </cell>
          <cell r="AH237">
            <v>0</v>
          </cell>
          <cell r="AI237">
            <v>0</v>
          </cell>
          <cell r="AJ237">
            <v>0</v>
          </cell>
        </row>
        <row r="238">
          <cell r="D238" t="str">
            <v>Italy</v>
          </cell>
          <cell r="E238">
            <v>131</v>
          </cell>
          <cell r="F238">
            <v>0</v>
          </cell>
          <cell r="G238">
            <v>0</v>
          </cell>
          <cell r="H238">
            <v>0</v>
          </cell>
          <cell r="I238">
            <v>4</v>
          </cell>
          <cell r="J238">
            <v>12</v>
          </cell>
          <cell r="K238">
            <v>12</v>
          </cell>
          <cell r="L238">
            <v>12</v>
          </cell>
          <cell r="M238">
            <v>13</v>
          </cell>
          <cell r="N238">
            <v>13</v>
          </cell>
          <cell r="O238">
            <v>13</v>
          </cell>
          <cell r="P238">
            <v>12</v>
          </cell>
          <cell r="Q238">
            <v>10</v>
          </cell>
          <cell r="R238">
            <v>10</v>
          </cell>
          <cell r="S238">
            <v>10</v>
          </cell>
          <cell r="T238">
            <v>10</v>
          </cell>
          <cell r="U238">
            <v>0</v>
          </cell>
          <cell r="V238">
            <v>0</v>
          </cell>
          <cell r="W238">
            <v>0</v>
          </cell>
          <cell r="X238">
            <v>0</v>
          </cell>
          <cell r="Y238">
            <v>0</v>
          </cell>
          <cell r="Z238">
            <v>0</v>
          </cell>
          <cell r="AA238">
            <v>0</v>
          </cell>
          <cell r="AB238">
            <v>0</v>
          </cell>
          <cell r="AC238">
            <v>0</v>
          </cell>
          <cell r="AD238">
            <v>0</v>
          </cell>
          <cell r="AE238">
            <v>0</v>
          </cell>
          <cell r="AF238">
            <v>0</v>
          </cell>
          <cell r="AG238">
            <v>0</v>
          </cell>
          <cell r="AH238">
            <v>0</v>
          </cell>
          <cell r="AI238">
            <v>0</v>
          </cell>
          <cell r="AJ238">
            <v>0</v>
          </cell>
        </row>
        <row r="239">
          <cell r="D239" t="str">
            <v>Netherlands</v>
          </cell>
          <cell r="E239">
            <v>85</v>
          </cell>
          <cell r="F239">
            <v>1</v>
          </cell>
          <cell r="G239">
            <v>1</v>
          </cell>
          <cell r="H239">
            <v>0</v>
          </cell>
          <cell r="I239">
            <v>2</v>
          </cell>
          <cell r="J239">
            <v>4</v>
          </cell>
          <cell r="K239">
            <v>9</v>
          </cell>
          <cell r="L239">
            <v>10</v>
          </cell>
          <cell r="M239">
            <v>10</v>
          </cell>
          <cell r="N239">
            <v>10</v>
          </cell>
          <cell r="O239">
            <v>10</v>
          </cell>
          <cell r="P239">
            <v>10</v>
          </cell>
          <cell r="Q239">
            <v>10</v>
          </cell>
          <cell r="R239">
            <v>8</v>
          </cell>
          <cell r="S239">
            <v>0</v>
          </cell>
          <cell r="T239">
            <v>0</v>
          </cell>
          <cell r="U239">
            <v>0</v>
          </cell>
          <cell r="V239">
            <v>0</v>
          </cell>
          <cell r="W239">
            <v>0</v>
          </cell>
          <cell r="X239">
            <v>0</v>
          </cell>
          <cell r="Y239">
            <v>0</v>
          </cell>
          <cell r="Z239">
            <v>0</v>
          </cell>
          <cell r="AA239">
            <v>0</v>
          </cell>
          <cell r="AB239">
            <v>0</v>
          </cell>
          <cell r="AC239">
            <v>0</v>
          </cell>
          <cell r="AD239">
            <v>0</v>
          </cell>
          <cell r="AE239">
            <v>0</v>
          </cell>
          <cell r="AF239">
            <v>0</v>
          </cell>
          <cell r="AG239">
            <v>0</v>
          </cell>
          <cell r="AH239">
            <v>0</v>
          </cell>
          <cell r="AI239">
            <v>0</v>
          </cell>
          <cell r="AJ239">
            <v>0</v>
          </cell>
        </row>
        <row r="240">
          <cell r="D240" t="str">
            <v>Norway</v>
          </cell>
          <cell r="E240">
            <v>48</v>
          </cell>
          <cell r="F240">
            <v>0</v>
          </cell>
          <cell r="G240">
            <v>0</v>
          </cell>
          <cell r="H240">
            <v>0</v>
          </cell>
          <cell r="I240">
            <v>0</v>
          </cell>
          <cell r="J240">
            <v>0</v>
          </cell>
          <cell r="K240">
            <v>8</v>
          </cell>
          <cell r="L240">
            <v>12</v>
          </cell>
          <cell r="M240">
            <v>12</v>
          </cell>
          <cell r="N240">
            <v>12</v>
          </cell>
          <cell r="O240">
            <v>4</v>
          </cell>
          <cell r="P240">
            <v>0</v>
          </cell>
          <cell r="Q240">
            <v>0</v>
          </cell>
          <cell r="R240">
            <v>0</v>
          </cell>
          <cell r="S240">
            <v>0</v>
          </cell>
          <cell r="T240">
            <v>0</v>
          </cell>
          <cell r="U240">
            <v>0</v>
          </cell>
          <cell r="V240">
            <v>0</v>
          </cell>
          <cell r="W240">
            <v>0</v>
          </cell>
          <cell r="X240">
            <v>0</v>
          </cell>
          <cell r="Y240">
            <v>0</v>
          </cell>
          <cell r="Z240">
            <v>0</v>
          </cell>
          <cell r="AA240">
            <v>0</v>
          </cell>
          <cell r="AB240">
            <v>0</v>
          </cell>
          <cell r="AC240">
            <v>0</v>
          </cell>
          <cell r="AD240">
            <v>0</v>
          </cell>
          <cell r="AE240">
            <v>0</v>
          </cell>
          <cell r="AF240">
            <v>0</v>
          </cell>
          <cell r="AG240">
            <v>0</v>
          </cell>
          <cell r="AH240">
            <v>0</v>
          </cell>
          <cell r="AI240">
            <v>0</v>
          </cell>
          <cell r="AJ240">
            <v>0</v>
          </cell>
        </row>
        <row r="241">
          <cell r="D241" t="str">
            <v>Turkey</v>
          </cell>
          <cell r="E241">
            <v>100</v>
          </cell>
          <cell r="F241">
            <v>0</v>
          </cell>
          <cell r="G241">
            <v>0</v>
          </cell>
          <cell r="H241">
            <v>0</v>
          </cell>
          <cell r="I241">
            <v>0</v>
          </cell>
          <cell r="J241">
            <v>6</v>
          </cell>
          <cell r="K241">
            <v>6</v>
          </cell>
          <cell r="L241">
            <v>12</v>
          </cell>
          <cell r="M241">
            <v>12</v>
          </cell>
          <cell r="N241">
            <v>12</v>
          </cell>
          <cell r="O241">
            <v>12</v>
          </cell>
          <cell r="P241">
            <v>12</v>
          </cell>
          <cell r="Q241">
            <v>8</v>
          </cell>
          <cell r="R241">
            <v>8</v>
          </cell>
          <cell r="S241">
            <v>8</v>
          </cell>
          <cell r="T241">
            <v>4</v>
          </cell>
          <cell r="U241">
            <v>0</v>
          </cell>
          <cell r="V241">
            <v>0</v>
          </cell>
          <cell r="W241">
            <v>0</v>
          </cell>
          <cell r="X241">
            <v>0</v>
          </cell>
          <cell r="Y241">
            <v>0</v>
          </cell>
          <cell r="Z241">
            <v>0</v>
          </cell>
          <cell r="AA241">
            <v>0</v>
          </cell>
          <cell r="AB241">
            <v>0</v>
          </cell>
          <cell r="AC241">
            <v>0</v>
          </cell>
          <cell r="AD241">
            <v>0</v>
          </cell>
          <cell r="AE241">
            <v>0</v>
          </cell>
          <cell r="AF241">
            <v>0</v>
          </cell>
          <cell r="AG241">
            <v>0</v>
          </cell>
          <cell r="AH241">
            <v>0</v>
          </cell>
          <cell r="AI241">
            <v>0</v>
          </cell>
          <cell r="AJ241">
            <v>0</v>
          </cell>
        </row>
        <row r="242">
          <cell r="D242" t="str">
            <v>United Kingdom</v>
          </cell>
          <cell r="E242">
            <v>138</v>
          </cell>
          <cell r="F242">
            <v>2</v>
          </cell>
          <cell r="G242">
            <v>1</v>
          </cell>
          <cell r="H242">
            <v>0</v>
          </cell>
          <cell r="I242">
            <v>0</v>
          </cell>
          <cell r="J242">
            <v>7</v>
          </cell>
          <cell r="K242">
            <v>0</v>
          </cell>
          <cell r="L242">
            <v>9</v>
          </cell>
          <cell r="M242">
            <v>11</v>
          </cell>
          <cell r="N242">
            <v>3</v>
          </cell>
          <cell r="O242">
            <v>6</v>
          </cell>
          <cell r="P242">
            <v>14</v>
          </cell>
          <cell r="Q242">
            <v>10</v>
          </cell>
          <cell r="R242">
            <v>2</v>
          </cell>
          <cell r="S242">
            <v>4</v>
          </cell>
          <cell r="T242">
            <v>14</v>
          </cell>
          <cell r="U242">
            <v>14</v>
          </cell>
          <cell r="V242">
            <v>14</v>
          </cell>
          <cell r="W242">
            <v>14</v>
          </cell>
          <cell r="X242">
            <v>13</v>
          </cell>
          <cell r="Y242">
            <v>0</v>
          </cell>
          <cell r="Z242">
            <v>0</v>
          </cell>
          <cell r="AA242">
            <v>0</v>
          </cell>
          <cell r="AB242">
            <v>0</v>
          </cell>
          <cell r="AC242">
            <v>0</v>
          </cell>
          <cell r="AD242">
            <v>0</v>
          </cell>
          <cell r="AE242">
            <v>0</v>
          </cell>
          <cell r="AF242">
            <v>0</v>
          </cell>
          <cell r="AG242">
            <v>0</v>
          </cell>
          <cell r="AH242">
            <v>0</v>
          </cell>
          <cell r="AI242">
            <v>0</v>
          </cell>
          <cell r="AJ242">
            <v>0</v>
          </cell>
        </row>
        <row r="243">
          <cell r="C243" t="str">
            <v>Total Deliveries</v>
          </cell>
          <cell r="E243">
            <v>730</v>
          </cell>
          <cell r="F243">
            <v>3</v>
          </cell>
          <cell r="G243">
            <v>2</v>
          </cell>
          <cell r="H243">
            <v>0</v>
          </cell>
          <cell r="I243">
            <v>8</v>
          </cell>
          <cell r="J243">
            <v>33</v>
          </cell>
          <cell r="K243">
            <v>67</v>
          </cell>
          <cell r="L243">
            <v>94</v>
          </cell>
          <cell r="M243">
            <v>97</v>
          </cell>
          <cell r="N243">
            <v>89</v>
          </cell>
          <cell r="O243">
            <v>82</v>
          </cell>
          <cell r="P243">
            <v>56</v>
          </cell>
          <cell r="Q243">
            <v>53</v>
          </cell>
          <cell r="R243">
            <v>41</v>
          </cell>
          <cell r="S243">
            <v>22</v>
          </cell>
          <cell r="T243">
            <v>28</v>
          </cell>
          <cell r="U243">
            <v>14</v>
          </cell>
          <cell r="V243">
            <v>14</v>
          </cell>
          <cell r="W243">
            <v>14</v>
          </cell>
          <cell r="X243">
            <v>13</v>
          </cell>
          <cell r="Y243">
            <v>0</v>
          </cell>
          <cell r="Z243">
            <v>0</v>
          </cell>
          <cell r="AA243">
            <v>0</v>
          </cell>
          <cell r="AB243">
            <v>0</v>
          </cell>
          <cell r="AC243">
            <v>0</v>
          </cell>
          <cell r="AD243">
            <v>0</v>
          </cell>
          <cell r="AE243">
            <v>0</v>
          </cell>
          <cell r="AF243">
            <v>0</v>
          </cell>
          <cell r="AG243">
            <v>0</v>
          </cell>
          <cell r="AH243">
            <v>0</v>
          </cell>
          <cell r="AI243">
            <v>0</v>
          </cell>
          <cell r="AJ243">
            <v>0</v>
          </cell>
        </row>
        <row r="245">
          <cell r="C245" t="str">
            <v>International Deliveries (New Orders)</v>
          </cell>
        </row>
        <row r="246">
          <cell r="D246" t="str">
            <v>Singapore</v>
          </cell>
          <cell r="E246">
            <v>50</v>
          </cell>
          <cell r="F246">
            <v>0</v>
          </cell>
          <cell r="G246">
            <v>0</v>
          </cell>
          <cell r="H246">
            <v>0</v>
          </cell>
          <cell r="I246">
            <v>0</v>
          </cell>
          <cell r="J246">
            <v>0</v>
          </cell>
          <cell r="K246">
            <v>0</v>
          </cell>
          <cell r="L246">
            <v>0</v>
          </cell>
          <cell r="M246">
            <v>0</v>
          </cell>
          <cell r="N246">
            <v>0</v>
          </cell>
          <cell r="O246">
            <v>0</v>
          </cell>
          <cell r="P246">
            <v>0</v>
          </cell>
          <cell r="Q246">
            <v>0</v>
          </cell>
          <cell r="R246">
            <v>0</v>
          </cell>
          <cell r="S246">
            <v>0</v>
          </cell>
          <cell r="T246">
            <v>0</v>
          </cell>
          <cell r="U246">
            <v>0</v>
          </cell>
          <cell r="V246">
            <v>0</v>
          </cell>
          <cell r="W246">
            <v>0</v>
          </cell>
          <cell r="X246">
            <v>0</v>
          </cell>
          <cell r="Y246">
            <v>0</v>
          </cell>
          <cell r="Z246">
            <v>0</v>
          </cell>
          <cell r="AA246">
            <v>0</v>
          </cell>
          <cell r="AB246">
            <v>0</v>
          </cell>
          <cell r="AC246">
            <v>0</v>
          </cell>
          <cell r="AD246">
            <v>0</v>
          </cell>
          <cell r="AE246">
            <v>0</v>
          </cell>
          <cell r="AF246">
            <v>0</v>
          </cell>
          <cell r="AG246">
            <v>0</v>
          </cell>
          <cell r="AH246">
            <v>0</v>
          </cell>
          <cell r="AI246">
            <v>0</v>
          </cell>
          <cell r="AJ246">
            <v>0</v>
          </cell>
        </row>
        <row r="247">
          <cell r="D247" t="str">
            <v>Israel</v>
          </cell>
          <cell r="E247">
            <v>50</v>
          </cell>
          <cell r="F247">
            <v>0</v>
          </cell>
          <cell r="G247">
            <v>0</v>
          </cell>
          <cell r="H247">
            <v>0</v>
          </cell>
          <cell r="I247">
            <v>0</v>
          </cell>
          <cell r="J247">
            <v>0</v>
          </cell>
          <cell r="K247">
            <v>0</v>
          </cell>
          <cell r="L247">
            <v>0</v>
          </cell>
          <cell r="M247">
            <v>0</v>
          </cell>
          <cell r="N247">
            <v>0</v>
          </cell>
          <cell r="O247">
            <v>0</v>
          </cell>
          <cell r="P247">
            <v>0</v>
          </cell>
          <cell r="Q247">
            <v>0</v>
          </cell>
          <cell r="R247">
            <v>0</v>
          </cell>
          <cell r="S247">
            <v>0</v>
          </cell>
          <cell r="T247">
            <v>0</v>
          </cell>
          <cell r="U247">
            <v>0</v>
          </cell>
          <cell r="V247">
            <v>0</v>
          </cell>
          <cell r="W247">
            <v>0</v>
          </cell>
          <cell r="X247">
            <v>0</v>
          </cell>
          <cell r="Y247">
            <v>0</v>
          </cell>
          <cell r="Z247">
            <v>0</v>
          </cell>
          <cell r="AA247">
            <v>0</v>
          </cell>
          <cell r="AB247">
            <v>0</v>
          </cell>
          <cell r="AC247">
            <v>0</v>
          </cell>
          <cell r="AD247">
            <v>0</v>
          </cell>
          <cell r="AE247">
            <v>0</v>
          </cell>
          <cell r="AF247">
            <v>0</v>
          </cell>
          <cell r="AG247">
            <v>0</v>
          </cell>
          <cell r="AH247">
            <v>0</v>
          </cell>
          <cell r="AI247">
            <v>0</v>
          </cell>
          <cell r="AJ247">
            <v>0</v>
          </cell>
        </row>
        <row r="248">
          <cell r="D248" t="str">
            <v>Japan</v>
          </cell>
          <cell r="E248">
            <v>50</v>
          </cell>
          <cell r="F248">
            <v>0</v>
          </cell>
          <cell r="G248">
            <v>0</v>
          </cell>
          <cell r="H248">
            <v>0</v>
          </cell>
          <cell r="I248">
            <v>0</v>
          </cell>
          <cell r="J248">
            <v>0</v>
          </cell>
          <cell r="K248">
            <v>0</v>
          </cell>
          <cell r="L248">
            <v>0</v>
          </cell>
          <cell r="M248">
            <v>0</v>
          </cell>
          <cell r="N248">
            <v>0</v>
          </cell>
          <cell r="O248">
            <v>0</v>
          </cell>
          <cell r="P248">
            <v>0</v>
          </cell>
          <cell r="Q248">
            <v>0</v>
          </cell>
          <cell r="R248">
            <v>0</v>
          </cell>
          <cell r="S248">
            <v>0</v>
          </cell>
          <cell r="T248">
            <v>0</v>
          </cell>
          <cell r="U248">
            <v>0</v>
          </cell>
          <cell r="V248">
            <v>0</v>
          </cell>
          <cell r="W248">
            <v>0</v>
          </cell>
          <cell r="X248">
            <v>0</v>
          </cell>
          <cell r="Y248">
            <v>0</v>
          </cell>
          <cell r="Z248">
            <v>0</v>
          </cell>
          <cell r="AA248">
            <v>0</v>
          </cell>
          <cell r="AB248">
            <v>0</v>
          </cell>
          <cell r="AC248">
            <v>0</v>
          </cell>
          <cell r="AD248">
            <v>0</v>
          </cell>
          <cell r="AE248">
            <v>0</v>
          </cell>
          <cell r="AF248">
            <v>0</v>
          </cell>
          <cell r="AG248">
            <v>0</v>
          </cell>
          <cell r="AH248">
            <v>0</v>
          </cell>
          <cell r="AI248">
            <v>0</v>
          </cell>
          <cell r="AJ248">
            <v>0</v>
          </cell>
        </row>
        <row r="249">
          <cell r="C249" t="str">
            <v>Total Deliveries</v>
          </cell>
          <cell r="E249">
            <v>0</v>
          </cell>
          <cell r="F249">
            <v>0</v>
          </cell>
          <cell r="G249">
            <v>0</v>
          </cell>
          <cell r="H249">
            <v>0</v>
          </cell>
          <cell r="I249">
            <v>0</v>
          </cell>
          <cell r="J249">
            <v>0</v>
          </cell>
          <cell r="K249">
            <v>0</v>
          </cell>
          <cell r="L249">
            <v>0</v>
          </cell>
          <cell r="M249">
            <v>0</v>
          </cell>
          <cell r="N249">
            <v>0</v>
          </cell>
          <cell r="O249">
            <v>0</v>
          </cell>
          <cell r="P249">
            <v>0</v>
          </cell>
          <cell r="Q249">
            <v>0</v>
          </cell>
          <cell r="R249">
            <v>0</v>
          </cell>
          <cell r="S249">
            <v>0</v>
          </cell>
          <cell r="T249">
            <v>0</v>
          </cell>
          <cell r="U249">
            <v>0</v>
          </cell>
          <cell r="V249">
            <v>0</v>
          </cell>
          <cell r="W249">
            <v>0</v>
          </cell>
          <cell r="X249">
            <v>0</v>
          </cell>
          <cell r="Y249">
            <v>0</v>
          </cell>
          <cell r="Z249">
            <v>0</v>
          </cell>
          <cell r="AA249">
            <v>0</v>
          </cell>
          <cell r="AB249">
            <v>0</v>
          </cell>
          <cell r="AC249">
            <v>0</v>
          </cell>
          <cell r="AD249">
            <v>0</v>
          </cell>
          <cell r="AE249">
            <v>0</v>
          </cell>
          <cell r="AF249">
            <v>0</v>
          </cell>
          <cell r="AG249">
            <v>0</v>
          </cell>
          <cell r="AH249">
            <v>0</v>
          </cell>
          <cell r="AI249">
            <v>0</v>
          </cell>
          <cell r="AJ249">
            <v>0</v>
          </cell>
        </row>
        <row r="256">
          <cell r="D256" t="str">
            <v>F-15</v>
          </cell>
          <cell r="E256">
            <v>1600</v>
          </cell>
        </row>
      </sheetData>
      <sheetData sheetId="1"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 of Contents"/>
      <sheetName val="__FDSCACHE__"/>
      <sheetName val="Instructions"/>
      <sheetName val="1. Order_Deliveries&gt;&gt;"/>
      <sheetName val="from AIRCAP"/>
      <sheetName val="Old Format"/>
      <sheetName val="Aftermarket Aggregation"/>
      <sheetName val="Deliveries LCA &amp; RJ"/>
      <sheetName val="Program Lifecycles"/>
      <sheetName val="QTR Comm Deliveries"/>
      <sheetName val="QTR Comm_Short Form"/>
      <sheetName val="RJ Deliveries_Orders"/>
      <sheetName val="WW Fleet Stats"/>
      <sheetName val="Boeing &amp; Airbus Delivs."/>
      <sheetName val="Deliveries Charts"/>
      <sheetName val="Boeing Monthly"/>
      <sheetName val="AFOSHEET"/>
      <sheetName val="Boeing Book to Bill"/>
      <sheetName val="Airbus Monthly"/>
      <sheetName val="Production"/>
      <sheetName val="Airbus Book to Bill"/>
      <sheetName val="B Delivs by Customer"/>
      <sheetName val="Boeing Backlog"/>
      <sheetName val="BA Deliveries vs. Backlog"/>
      <sheetName val="Boeing Charts"/>
      <sheetName val="A Delivs by Customer"/>
      <sheetName val="Backlog v Deliveries"/>
      <sheetName val="Sang-scratch"/>
      <sheetName val="Sang - Charts"/>
      <sheetName val="2. Stored Aircraft&gt;&gt;"/>
      <sheetName val="StoredAC"/>
      <sheetName val="StoredAC v2"/>
      <sheetName val="Storage Summary"/>
      <sheetName val="LinkingMetadata"/>
      <sheetName val="Storage Graphs"/>
      <sheetName val="Years Backlog"/>
      <sheetName val="#REF"/>
      <sheetName val="Boeing Book to Bill (2)"/>
      <sheetName val="Gross Backlog Charts"/>
      <sheetName val="Boeing Book to Bill (Total)"/>
      <sheetName val="Boeing Book to Bill (737)"/>
      <sheetName val="Boeing Book to Bill (747)"/>
      <sheetName val="Boeing Book to Bill (777)"/>
      <sheetName val="Boeing Book to Bill (787)"/>
      <sheetName val="Boeing&amp;Airbus Book to Bill"/>
      <sheetName val="Sheet1"/>
      <sheetName val="Deliveries"/>
    </sheetNames>
    <sheetDataSet>
      <sheetData sheetId="0">
        <row r="1">
          <cell r="A1" t="str">
            <v>Aerospace Data Pack</v>
          </cell>
        </row>
      </sheetData>
      <sheetData sheetId="1"/>
      <sheetData sheetId="2"/>
      <sheetData sheetId="3"/>
      <sheetData sheetId="4">
        <row r="1">
          <cell r="AG1" t="str">
            <v>OLD NUMBERS</v>
          </cell>
        </row>
      </sheetData>
      <sheetData sheetId="5">
        <row r="2">
          <cell r="A2" t="str">
            <v>Commercial Jet Transport</v>
          </cell>
        </row>
      </sheetData>
      <sheetData sheetId="6"/>
      <sheetData sheetId="7">
        <row r="1">
          <cell r="A1" t="str">
            <v>Annual Deliveries</v>
          </cell>
        </row>
      </sheetData>
      <sheetData sheetId="8">
        <row r="1">
          <cell r="A1" t="str">
            <v>Program Lifecycles</v>
          </cell>
        </row>
      </sheetData>
      <sheetData sheetId="9"/>
      <sheetData sheetId="10"/>
      <sheetData sheetId="11"/>
      <sheetData sheetId="12">
        <row r="1">
          <cell r="A1" t="str">
            <v>Worldwide Flight Stats</v>
          </cell>
        </row>
      </sheetData>
      <sheetData sheetId="13"/>
      <sheetData sheetId="14" refreshError="1"/>
      <sheetData sheetId="15">
        <row r="1">
          <cell r="A1" t="str">
            <v>Boeing Monthly</v>
          </cell>
        </row>
      </sheetData>
      <sheetData sheetId="16"/>
      <sheetData sheetId="17" refreshError="1"/>
      <sheetData sheetId="18">
        <row r="1">
          <cell r="A1" t="str">
            <v>Airbus Monthly</v>
          </cell>
        </row>
      </sheetData>
      <sheetData sheetId="19" refreshError="1"/>
      <sheetData sheetId="20" refreshError="1"/>
      <sheetData sheetId="21"/>
      <sheetData sheetId="22"/>
      <sheetData sheetId="23" refreshError="1"/>
      <sheetData sheetId="24">
        <row r="4">
          <cell r="C4" t="str">
            <v xml:space="preserve">BA Gross </v>
          </cell>
        </row>
      </sheetData>
      <sheetData sheetId="25"/>
      <sheetData sheetId="26" refreshError="1"/>
      <sheetData sheetId="27" refreshError="1"/>
      <sheetData sheetId="28" refreshError="1"/>
      <sheetData sheetId="29"/>
      <sheetData sheetId="30">
        <row r="3">
          <cell r="B3">
            <v>41639</v>
          </cell>
        </row>
      </sheetData>
      <sheetData sheetId="31">
        <row r="8">
          <cell r="B8" t="str">
            <v>Date</v>
          </cell>
        </row>
      </sheetData>
      <sheetData sheetId="32">
        <row r="1">
          <cell r="A1" t="str">
            <v>Stored Aircraft Summary</v>
          </cell>
        </row>
      </sheetData>
      <sheetData sheetId="33"/>
      <sheetData sheetId="34" refreshError="1"/>
      <sheetData sheetId="35">
        <row r="3">
          <cell r="V3" t="str">
            <v>TOTAL</v>
          </cell>
        </row>
      </sheetData>
      <sheetData sheetId="36" refreshError="1"/>
      <sheetData sheetId="37" refreshError="1"/>
      <sheetData sheetId="38"/>
      <sheetData sheetId="39" refreshError="1"/>
      <sheetData sheetId="40" refreshError="1"/>
      <sheetData sheetId="41" refreshError="1"/>
      <sheetData sheetId="42" refreshError="1"/>
      <sheetData sheetId="43" refreshError="1"/>
      <sheetData sheetId="44" refreshError="1"/>
      <sheetData sheetId="45"/>
      <sheetData sheetId="46"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C"/>
      <sheetName val="__FDSCACHE__"/>
      <sheetName val="Main"/>
      <sheetName val="Earnings Analysis"/>
      <sheetName val="QTR Analysis"/>
      <sheetName val="Valuation"/>
      <sheetName val="Act &amp; Landing"/>
      <sheetName val="Nac &amp; Interior"/>
      <sheetName val="Electronic Systems"/>
      <sheetName val="Revs by Market Channel"/>
      <sheetName val="Large Aircraft Build-Up"/>
      <sheetName val="Ship Set Values"/>
      <sheetName val="Bull Base Bear"/>
      <sheetName val="Aftermarket"/>
      <sheetName val="Aircraft Content"/>
      <sheetName val="DCF"/>
      <sheetName val="Output"/>
      <sheetName val="Guidance History"/>
      <sheetName val="MW-Cache"/>
      <sheetName val="MWA RR"/>
      <sheetName val="mwareDates"/>
      <sheetName val="mwareSettings"/>
      <sheetName val="P"/>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row r="1">
          <cell r="A1" t="str">
            <v>Goodrich Corp.</v>
          </cell>
        </row>
        <row r="2">
          <cell r="A2" t="str">
            <v>DCF</v>
          </cell>
        </row>
        <row r="3">
          <cell r="A3" t="str">
            <v>Morgan Stanley Research</v>
          </cell>
        </row>
        <row r="4">
          <cell r="A4" t="str">
            <v>Model Updated: 4/10</v>
          </cell>
          <cell r="J4" t="str">
            <v>red = factset code</v>
          </cell>
        </row>
        <row r="5">
          <cell r="A5" t="str">
            <v>GR</v>
          </cell>
        </row>
        <row r="6">
          <cell r="G6">
            <v>39447</v>
          </cell>
          <cell r="H6">
            <v>39813</v>
          </cell>
          <cell r="I6">
            <v>40178</v>
          </cell>
          <cell r="J6">
            <v>40543</v>
          </cell>
        </row>
        <row r="7">
          <cell r="B7" t="str">
            <v>($ in Millions)</v>
          </cell>
          <cell r="G7">
            <v>2007</v>
          </cell>
          <cell r="H7">
            <v>2008</v>
          </cell>
          <cell r="I7" t="str">
            <v>2009A</v>
          </cell>
          <cell r="J7" t="str">
            <v>2010E</v>
          </cell>
          <cell r="K7" t="str">
            <v>2011E</v>
          </cell>
          <cell r="L7" t="str">
            <v>2012E</v>
          </cell>
          <cell r="M7" t="str">
            <v>2013E</v>
          </cell>
        </row>
        <row r="9">
          <cell r="B9" t="str">
            <v>EBITDA</v>
          </cell>
        </row>
        <row r="10">
          <cell r="C10" t="str">
            <v>Operating Profit</v>
          </cell>
          <cell r="G10">
            <v>881.3</v>
          </cell>
          <cell r="H10">
            <v>1100.9000000000001</v>
          </cell>
          <cell r="I10">
            <v>929.19999999999982</v>
          </cell>
          <cell r="J10">
            <v>1012.7673172403875</v>
          </cell>
          <cell r="K10">
            <v>1180.3258922403872</v>
          </cell>
          <cell r="L10">
            <v>1297.7783044903874</v>
          </cell>
          <cell r="M10">
            <v>1392.5415591078875</v>
          </cell>
        </row>
        <row r="11">
          <cell r="C11" t="str">
            <v>D&amp;A</v>
          </cell>
          <cell r="G11">
            <v>250.2</v>
          </cell>
          <cell r="H11">
            <v>257.2</v>
          </cell>
          <cell r="I11">
            <v>249.3</v>
          </cell>
          <cell r="J11">
            <v>282.14499999999998</v>
          </cell>
          <cell r="K11">
            <v>300.14499999999998</v>
          </cell>
          <cell r="L11">
            <v>318.14499999999998</v>
          </cell>
          <cell r="M11">
            <v>336.14499999999998</v>
          </cell>
        </row>
        <row r="12">
          <cell r="B12" t="str">
            <v>Total</v>
          </cell>
          <cell r="G12">
            <v>1131.5</v>
          </cell>
          <cell r="H12">
            <v>1358.1000000000001</v>
          </cell>
          <cell r="I12">
            <v>1178.4999999999998</v>
          </cell>
          <cell r="J12">
            <v>1294.9123172403874</v>
          </cell>
          <cell r="K12">
            <v>1480.4708922403872</v>
          </cell>
          <cell r="L12">
            <v>1615.9233044903874</v>
          </cell>
          <cell r="M12">
            <v>1728.6865591078874</v>
          </cell>
        </row>
        <row r="14">
          <cell r="B14" t="str">
            <v>Enterprise Value</v>
          </cell>
        </row>
        <row r="15">
          <cell r="C15" t="str">
            <v>Equity Market Cap</v>
          </cell>
          <cell r="G15">
            <v>7713.3689999999997</v>
          </cell>
          <cell r="H15">
            <v>6101.0950000000003</v>
          </cell>
          <cell r="I15">
            <v>8786.5360000000019</v>
          </cell>
          <cell r="J15">
            <v>8772.5</v>
          </cell>
          <cell r="K15">
            <v>8655.9559901674966</v>
          </cell>
          <cell r="L15">
            <v>8491.9533266582257</v>
          </cell>
          <cell r="M15">
            <v>8329.2866217802275</v>
          </cell>
        </row>
        <row r="16">
          <cell r="C16" t="str">
            <v xml:space="preserve">Average/Current Net/Debt </v>
          </cell>
          <cell r="G16">
            <v>1437.65</v>
          </cell>
          <cell r="H16">
            <v>1270.4000000000001</v>
          </cell>
          <cell r="I16">
            <v>956.30000000000018</v>
          </cell>
          <cell r="J16">
            <v>985.90014700921961</v>
          </cell>
          <cell r="K16">
            <v>786.30251518595628</v>
          </cell>
          <cell r="L16">
            <v>424.08717862148092</v>
          </cell>
          <cell r="M16">
            <v>-64.488348509995149</v>
          </cell>
        </row>
        <row r="17">
          <cell r="B17" t="str">
            <v>Total</v>
          </cell>
          <cell r="G17">
            <v>9151.0190000000002</v>
          </cell>
          <cell r="H17">
            <v>7371.4950000000008</v>
          </cell>
          <cell r="I17">
            <v>9742.836000000003</v>
          </cell>
          <cell r="J17">
            <v>9758.4001470092189</v>
          </cell>
          <cell r="K17">
            <v>9442.2585053534531</v>
          </cell>
          <cell r="L17">
            <v>8916.0405052797068</v>
          </cell>
          <cell r="M17">
            <v>8264.798273270233</v>
          </cell>
        </row>
        <row r="19">
          <cell r="B19" t="str">
            <v>EV / EBITDA</v>
          </cell>
          <cell r="G19">
            <v>8.0875112682280168</v>
          </cell>
          <cell r="H19">
            <v>5.4277998674618955</v>
          </cell>
          <cell r="I19">
            <v>8.267149766652528</v>
          </cell>
          <cell r="J19">
            <v>7.5359543785988024</v>
          </cell>
          <cell r="K19">
            <v>6.3778751442147863</v>
          </cell>
          <cell r="L19">
            <v>5.5176136642769391</v>
          </cell>
          <cell r="M19">
            <v>4.7809698234336917</v>
          </cell>
        </row>
        <row r="20">
          <cell r="B20" t="str">
            <v>P/E Ratio (Cont. Ops.)</v>
          </cell>
          <cell r="G20">
            <v>15.551147177419354</v>
          </cell>
          <cell r="H20">
            <v>9.057176152727056</v>
          </cell>
          <cell r="I20">
            <v>15.831596396396403</v>
          </cell>
          <cell r="J20">
            <v>15.775110226807117</v>
          </cell>
          <cell r="K20">
            <v>12.76315945368774</v>
          </cell>
          <cell r="L20">
            <v>11.136637311832281</v>
          </cell>
          <cell r="M20">
            <v>10.027795841372653</v>
          </cell>
        </row>
        <row r="22">
          <cell r="B22" t="str">
            <v>52w High</v>
          </cell>
          <cell r="G22">
            <v>75.739999999999995</v>
          </cell>
          <cell r="H22">
            <v>71.350000000000009</v>
          </cell>
        </row>
        <row r="23">
          <cell r="B23" t="str">
            <v>52w Low</v>
          </cell>
          <cell r="G23">
            <v>44.97</v>
          </cell>
          <cell r="H23">
            <v>25.11</v>
          </cell>
        </row>
        <row r="24">
          <cell r="B24" t="str">
            <v>Current / Average Price</v>
          </cell>
          <cell r="G24">
            <v>60.354999999999997</v>
          </cell>
          <cell r="H24">
            <v>48.230000000000004</v>
          </cell>
          <cell r="I24">
            <v>70.180000000000007</v>
          </cell>
          <cell r="J24">
            <v>70.180000000000007</v>
          </cell>
          <cell r="K24">
            <v>70.180000000000007</v>
          </cell>
          <cell r="L24">
            <v>70.180000000000007</v>
          </cell>
          <cell r="M24">
            <v>70.180000000000007</v>
          </cell>
        </row>
        <row r="27">
          <cell r="A27" t="str">
            <v>DCF</v>
          </cell>
        </row>
        <row r="29">
          <cell r="G29">
            <v>2010</v>
          </cell>
          <cell r="H29">
            <v>2011</v>
          </cell>
          <cell r="I29">
            <v>2012</v>
          </cell>
          <cell r="J29">
            <v>2013</v>
          </cell>
          <cell r="K29">
            <v>2014</v>
          </cell>
        </row>
        <row r="31">
          <cell r="B31" t="str">
            <v>Revenue</v>
          </cell>
          <cell r="F31">
            <v>6685.5999999999995</v>
          </cell>
          <cell r="G31">
            <v>7146.35</v>
          </cell>
          <cell r="H31">
            <v>7769.9804999999997</v>
          </cell>
          <cell r="I31">
            <v>8381.1399149999997</v>
          </cell>
          <cell r="J31">
            <v>8800.1969107500008</v>
          </cell>
          <cell r="K31">
            <v>9064.202818072501</v>
          </cell>
        </row>
        <row r="32">
          <cell r="B32" t="str">
            <v>% Growth</v>
          </cell>
          <cell r="G32">
            <v>6.8916776355151477E-2</v>
          </cell>
          <cell r="H32">
            <v>8.7265597123006744E-2</v>
          </cell>
          <cell r="I32">
            <v>7.8656492767259945E-2</v>
          </cell>
          <cell r="J32">
            <v>0.05</v>
          </cell>
          <cell r="K32">
            <v>0.03</v>
          </cell>
        </row>
        <row r="34">
          <cell r="B34" t="str">
            <v>EBITDA</v>
          </cell>
          <cell r="G34">
            <v>1260.5123172403873</v>
          </cell>
          <cell r="H34">
            <v>1448.4708922403872</v>
          </cell>
          <cell r="I34">
            <v>1583.9233044903874</v>
          </cell>
          <cell r="J34">
            <v>1663.1194697149069</v>
          </cell>
          <cell r="K34">
            <v>1713.0130538063543</v>
          </cell>
        </row>
        <row r="35">
          <cell r="B35" t="str">
            <v>% Margin</v>
          </cell>
          <cell r="G35">
            <v>0.17638547191788637</v>
          </cell>
          <cell r="H35">
            <v>0.18641885809628317</v>
          </cell>
          <cell r="I35">
            <v>0.18898662002475203</v>
          </cell>
          <cell r="J35">
            <v>0.18898662002475203</v>
          </cell>
          <cell r="K35">
            <v>0.18898662002475203</v>
          </cell>
        </row>
        <row r="37">
          <cell r="B37" t="str">
            <v>EBIT</v>
          </cell>
          <cell r="G37">
            <v>978.36731724038748</v>
          </cell>
          <cell r="H37">
            <v>1148.3258922403872</v>
          </cell>
          <cell r="I37">
            <v>1265.7783044903874</v>
          </cell>
          <cell r="J37">
            <v>1329.067219714907</v>
          </cell>
          <cell r="K37">
            <v>1368.9392363063541</v>
          </cell>
        </row>
        <row r="38">
          <cell r="B38" t="str">
            <v>% Margin</v>
          </cell>
          <cell r="G38">
            <v>0.13690447812385168</v>
          </cell>
          <cell r="H38">
            <v>0.14779006102272552</v>
          </cell>
          <cell r="I38">
            <v>0.15102698646337864</v>
          </cell>
          <cell r="J38">
            <v>0.15102698646337864</v>
          </cell>
          <cell r="K38">
            <v>0.15102698646337864</v>
          </cell>
        </row>
        <row r="40">
          <cell r="B40" t="str">
            <v>Taxes</v>
          </cell>
          <cell r="G40">
            <v>-303.29386834452009</v>
          </cell>
          <cell r="H40">
            <v>-344.49776767211614</v>
          </cell>
          <cell r="I40">
            <v>-386.06238286956818</v>
          </cell>
          <cell r="J40">
            <v>-405.36550201304664</v>
          </cell>
          <cell r="K40">
            <v>-417.52646707343803</v>
          </cell>
        </row>
        <row r="41">
          <cell r="B41" t="str">
            <v>Tax-Effected EBIT</v>
          </cell>
          <cell r="G41">
            <v>675.07344889586739</v>
          </cell>
          <cell r="H41">
            <v>803.82812456827105</v>
          </cell>
          <cell r="I41">
            <v>879.71592162081924</v>
          </cell>
          <cell r="J41">
            <v>923.70171770186039</v>
          </cell>
          <cell r="K41">
            <v>951.41276923291616</v>
          </cell>
        </row>
        <row r="42">
          <cell r="B42" t="str">
            <v>Effective Tax Rate</v>
          </cell>
          <cell r="G42">
            <v>0.31</v>
          </cell>
          <cell r="H42">
            <v>0.3</v>
          </cell>
          <cell r="I42">
            <v>0.30499999999999999</v>
          </cell>
          <cell r="J42">
            <v>0.30499999999999999</v>
          </cell>
          <cell r="K42">
            <v>0.30499999999999999</v>
          </cell>
        </row>
        <row r="44">
          <cell r="B44" t="str">
            <v>Plus:  D&amp;A</v>
          </cell>
          <cell r="G44">
            <v>282.14499999999987</v>
          </cell>
          <cell r="H44">
            <v>300.14499999999998</v>
          </cell>
          <cell r="I44">
            <v>318.14499999999998</v>
          </cell>
          <cell r="J44">
            <v>334.05224999999996</v>
          </cell>
          <cell r="K44">
            <v>344.07381750000013</v>
          </cell>
        </row>
        <row r="45">
          <cell r="B45" t="str">
            <v>Less:  Capex</v>
          </cell>
          <cell r="G45">
            <v>-275</v>
          </cell>
          <cell r="H45">
            <v>-275</v>
          </cell>
          <cell r="I45">
            <v>-275</v>
          </cell>
          <cell r="J45">
            <v>-288.75000000000006</v>
          </cell>
          <cell r="K45">
            <v>-297.41250000000002</v>
          </cell>
        </row>
        <row r="46">
          <cell r="B46" t="str">
            <v>Less:  Change in WC</v>
          </cell>
          <cell r="G46">
            <v>64.856713025219335</v>
          </cell>
          <cell r="H46">
            <v>-130.43461654093767</v>
          </cell>
          <cell r="I46">
            <v>-61.327295758393291</v>
          </cell>
          <cell r="J46">
            <v>-41.905699575000114</v>
          </cell>
          <cell r="K46">
            <v>-26.400590732250024</v>
          </cell>
        </row>
        <row r="47">
          <cell r="B47" t="str">
            <v>Unlevered Free Cash Flow</v>
          </cell>
          <cell r="G47">
            <v>747.07516192108665</v>
          </cell>
          <cell r="H47">
            <v>698.53850802733336</v>
          </cell>
          <cell r="I47">
            <v>861.53362586242588</v>
          </cell>
          <cell r="J47">
            <v>927.09826812686015</v>
          </cell>
          <cell r="K47">
            <v>971.6734960006662</v>
          </cell>
        </row>
        <row r="49">
          <cell r="B49" t="str">
            <v>D&amp;A % of Sales</v>
          </cell>
          <cell r="G49">
            <v>3.9480993794034698E-2</v>
          </cell>
          <cell r="H49">
            <v>3.8628797073557646E-2</v>
          </cell>
          <cell r="I49">
            <v>3.7959633561373378E-2</v>
          </cell>
          <cell r="J49">
            <v>3.7959633561373378E-2</v>
          </cell>
          <cell r="K49">
            <v>3.7959633561373378E-2</v>
          </cell>
        </row>
        <row r="50">
          <cell r="B50" t="str">
            <v>CapEx % of Sales</v>
          </cell>
          <cell r="G50">
            <v>-3.8481182701658886E-2</v>
          </cell>
          <cell r="H50">
            <v>-3.5392624215723582E-2</v>
          </cell>
          <cell r="I50">
            <v>-3.2811765796657746E-2</v>
          </cell>
          <cell r="J50">
            <v>-3.2811765796657746E-2</v>
          </cell>
          <cell r="K50">
            <v>-3.2811765796657746E-2</v>
          </cell>
        </row>
        <row r="51">
          <cell r="B51" t="str">
            <v>Working Capital % Change in Rev</v>
          </cell>
          <cell r="H51">
            <v>0.20915368401792056</v>
          </cell>
          <cell r="I51">
            <v>0.10034582508786727</v>
          </cell>
          <cell r="J51">
            <v>0.1</v>
          </cell>
          <cell r="K51">
            <v>0.1</v>
          </cell>
        </row>
        <row r="53">
          <cell r="B53" t="str">
            <v>Discount Factor</v>
          </cell>
          <cell r="G53">
            <v>0.5</v>
          </cell>
          <cell r="H53">
            <v>1.5</v>
          </cell>
          <cell r="I53">
            <v>2.5</v>
          </cell>
          <cell r="J53">
            <v>3.5</v>
          </cell>
          <cell r="K53">
            <v>4.5</v>
          </cell>
        </row>
        <row r="54">
          <cell r="D54">
            <v>8.5000000000000006E-2</v>
          </cell>
          <cell r="G54">
            <v>717.21510669488327</v>
          </cell>
          <cell r="H54">
            <v>618.08150031271759</v>
          </cell>
          <cell r="I54">
            <v>702.58340454149902</v>
          </cell>
          <cell r="J54">
            <v>696.82173112349778</v>
          </cell>
          <cell r="K54">
            <v>673.11076301112791</v>
          </cell>
        </row>
        <row r="55">
          <cell r="D55">
            <v>9.0000000000000011E-2</v>
          </cell>
          <cell r="G55">
            <v>715.56822712386452</v>
          </cell>
          <cell r="H55">
            <v>613.83352681444592</v>
          </cell>
          <cell r="I55">
            <v>694.55395375213914</v>
          </cell>
          <cell r="J55">
            <v>685.69822775776697</v>
          </cell>
          <cell r="K55">
            <v>659.32738747012093</v>
          </cell>
        </row>
        <row r="56">
          <cell r="D56">
            <v>9.5000000000000015E-2</v>
          </cell>
          <cell r="G56">
            <v>713.93264046600086</v>
          </cell>
          <cell r="H56">
            <v>609.63399072252685</v>
          </cell>
          <cell r="I56">
            <v>686.65238804938633</v>
          </cell>
          <cell r="J56">
            <v>674.8019869147189</v>
          </cell>
          <cell r="K56">
            <v>645.88741206089378</v>
          </cell>
        </row>
        <row r="58">
          <cell r="F58" t="str">
            <v>PV of</v>
          </cell>
          <cell r="G58" t="str">
            <v>PV of Terminal Value at</v>
          </cell>
          <cell r="M58" t="str">
            <v>Implied Terminal</v>
          </cell>
        </row>
        <row r="59">
          <cell r="D59" t="str">
            <v>Discount</v>
          </cell>
          <cell r="F59" t="str">
            <v>Cash Flows</v>
          </cell>
          <cell r="G59" t="str">
            <v>Terminal EBITDA Multiple</v>
          </cell>
          <cell r="J59" t="str">
            <v>Enterprise Value</v>
          </cell>
          <cell r="M59" t="str">
            <v>Growth Rate</v>
          </cell>
        </row>
        <row r="60">
          <cell r="D60" t="str">
            <v>Rate</v>
          </cell>
          <cell r="F60" t="str">
            <v>'FY10-'14</v>
          </cell>
          <cell r="G60" t="str">
            <v>6.0x</v>
          </cell>
          <cell r="H60" t="str">
            <v>7.0x</v>
          </cell>
          <cell r="I60" t="str">
            <v>8.0x</v>
          </cell>
          <cell r="J60" t="str">
            <v>6.0x</v>
          </cell>
          <cell r="K60" t="str">
            <v>7.0x</v>
          </cell>
          <cell r="L60" t="str">
            <v>8.0x</v>
          </cell>
          <cell r="M60" t="str">
            <v>6.0x</v>
          </cell>
          <cell r="O60" t="str">
            <v>7.0x</v>
          </cell>
          <cell r="P60" t="str">
            <v>8.0x</v>
          </cell>
        </row>
        <row r="61">
          <cell r="D61">
            <v>8.5000000000000006E-2</v>
          </cell>
          <cell r="F61">
            <v>3407.8125056837257</v>
          </cell>
          <cell r="G61">
            <v>7119.9689717264473</v>
          </cell>
          <cell r="H61">
            <v>8306.6304670141872</v>
          </cell>
          <cell r="I61">
            <v>9493.2919623019297</v>
          </cell>
          <cell r="J61">
            <v>10527.781477410173</v>
          </cell>
          <cell r="K61">
            <v>11714.442972697912</v>
          </cell>
          <cell r="L61">
            <v>12901.104467985655</v>
          </cell>
          <cell r="M61">
            <v>-8.7145778980877858E-3</v>
          </cell>
          <cell r="O61">
            <v>3.6696855556254317E-3</v>
          </cell>
          <cell r="P61">
            <v>1.3162871607608416E-2</v>
          </cell>
        </row>
        <row r="62">
          <cell r="D62">
            <v>9.0000000000000011E-2</v>
          </cell>
          <cell r="F62">
            <v>3368.9813229183374</v>
          </cell>
          <cell r="G62">
            <v>6974.1724526831149</v>
          </cell>
          <cell r="H62">
            <v>8136.5345281303007</v>
          </cell>
          <cell r="I62">
            <v>9298.8966035774865</v>
          </cell>
          <cell r="J62">
            <v>10343.153775601451</v>
          </cell>
          <cell r="K62">
            <v>11505.515851048638</v>
          </cell>
          <cell r="L62">
            <v>12667.877926495825</v>
          </cell>
          <cell r="M62">
            <v>-4.1464423123646846E-3</v>
          </cell>
          <cell r="O62">
            <v>8.2948914798449108E-3</v>
          </cell>
          <cell r="P62">
            <v>1.7831824932989102E-2</v>
          </cell>
        </row>
        <row r="63">
          <cell r="D63">
            <v>9.5000000000000015E-2</v>
          </cell>
          <cell r="F63">
            <v>3330.9084182135266</v>
          </cell>
          <cell r="G63">
            <v>6832.0083198940492</v>
          </cell>
          <cell r="H63">
            <v>7970.6763732097234</v>
          </cell>
          <cell r="I63">
            <v>9109.3444265253984</v>
          </cell>
          <cell r="J63">
            <v>10162.916738107575</v>
          </cell>
          <cell r="K63">
            <v>11301.584791423251</v>
          </cell>
          <cell r="L63">
            <v>12440.252844738925</v>
          </cell>
          <cell r="M63">
            <v>4.216932733584155E-4</v>
          </cell>
          <cell r="O63">
            <v>1.2920097404064372E-2</v>
          </cell>
          <cell r="P63">
            <v>2.250077825836979E-2</v>
          </cell>
        </row>
        <row r="65">
          <cell r="D65" t="str">
            <v>Discount</v>
          </cell>
          <cell r="H65" t="str">
            <v>Equity Value</v>
          </cell>
          <cell r="K65" t="str">
            <v>Equity Value Per Share</v>
          </cell>
        </row>
        <row r="66">
          <cell r="D66" t="str">
            <v>Rate</v>
          </cell>
          <cell r="G66" t="str">
            <v>Net Debt</v>
          </cell>
          <cell r="H66" t="str">
            <v>6.0x</v>
          </cell>
          <cell r="I66" t="str">
            <v>7.0x</v>
          </cell>
          <cell r="J66" t="str">
            <v>8.0x</v>
          </cell>
          <cell r="K66" t="str">
            <v>6.0x</v>
          </cell>
          <cell r="L66" t="str">
            <v>7.0x</v>
          </cell>
          <cell r="M66" t="str">
            <v>8.0x</v>
          </cell>
        </row>
        <row r="67">
          <cell r="D67">
            <v>8.5000000000000006E-2</v>
          </cell>
          <cell r="G67">
            <v>-1200.6799999999996</v>
          </cell>
          <cell r="H67">
            <v>9327.1014774101732</v>
          </cell>
          <cell r="I67">
            <v>10513.762972697912</v>
          </cell>
          <cell r="J67">
            <v>11700.424467985655</v>
          </cell>
          <cell r="K67">
            <v>74.083411258222185</v>
          </cell>
          <cell r="L67">
            <v>83.508840132628364</v>
          </cell>
          <cell r="M67">
            <v>92.934269007034587</v>
          </cell>
        </row>
        <row r="68">
          <cell r="D68">
            <v>9.0000000000000011E-2</v>
          </cell>
          <cell r="G68">
            <v>-1200.6799999999996</v>
          </cell>
          <cell r="H68">
            <v>9142.4737756014511</v>
          </cell>
          <cell r="I68">
            <v>10304.835851048638</v>
          </cell>
          <cell r="J68">
            <v>11467.197926495825</v>
          </cell>
          <cell r="K68">
            <v>72.61694817793051</v>
          </cell>
          <cell r="L68">
            <v>81.849371334778695</v>
          </cell>
          <cell r="M68">
            <v>91.08179449162688</v>
          </cell>
        </row>
        <row r="69">
          <cell r="D69">
            <v>9.5000000000000015E-2</v>
          </cell>
          <cell r="G69">
            <v>-1200.6799999999996</v>
          </cell>
          <cell r="H69">
            <v>8962.2367381075746</v>
          </cell>
          <cell r="I69">
            <v>10100.904791423251</v>
          </cell>
          <cell r="J69">
            <v>11239.572844738925</v>
          </cell>
          <cell r="K69">
            <v>71.185359317772637</v>
          </cell>
          <cell r="L69">
            <v>80.22958531710286</v>
          </cell>
          <cell r="M69">
            <v>89.273811316433068</v>
          </cell>
        </row>
        <row r="71">
          <cell r="F71" t="str">
            <v>PV of</v>
          </cell>
          <cell r="G71" t="str">
            <v>PV of Terminal Value at</v>
          </cell>
          <cell r="M71" t="str">
            <v>Implied Terminal 2014E</v>
          </cell>
        </row>
        <row r="72">
          <cell r="D72" t="str">
            <v>Discount</v>
          </cell>
          <cell r="F72" t="str">
            <v>Cash Flows</v>
          </cell>
          <cell r="G72" t="str">
            <v>FCF Perpetual Growth Rate</v>
          </cell>
          <cell r="J72" t="str">
            <v>Enterprise Value</v>
          </cell>
          <cell r="M72" t="str">
            <v>EBITDA Multiple</v>
          </cell>
        </row>
        <row r="73">
          <cell r="D73" t="str">
            <v>Rate</v>
          </cell>
          <cell r="F73" t="str">
            <v>'FY10-'14</v>
          </cell>
          <cell r="G73" t="str">
            <v>1.5%</v>
          </cell>
          <cell r="H73" t="str">
            <v>2.0%</v>
          </cell>
          <cell r="I73" t="str">
            <v>2.5%</v>
          </cell>
          <cell r="J73" t="str">
            <v>1.5%</v>
          </cell>
          <cell r="K73" t="str">
            <v>2.0%</v>
          </cell>
          <cell r="L73" t="str">
            <v>2.5%</v>
          </cell>
          <cell r="M73" t="str">
            <v>1.5%</v>
          </cell>
          <cell r="O73" t="str">
            <v>2.0%</v>
          </cell>
          <cell r="P73" t="str">
            <v>2.5%</v>
          </cell>
        </row>
        <row r="74">
          <cell r="D74">
            <v>8.5000000000000006E-2</v>
          </cell>
          <cell r="F74">
            <v>3407.8125056837257</v>
          </cell>
          <cell r="G74">
            <v>9760.1060636613547</v>
          </cell>
          <cell r="H74">
            <v>10562.661204174623</v>
          </cell>
          <cell r="I74">
            <v>11498.975534773434</v>
          </cell>
          <cell r="J74">
            <v>13167.91856934508</v>
          </cell>
          <cell r="K74">
            <v>13970.473709858348</v>
          </cell>
          <cell r="L74">
            <v>14906.788040457159</v>
          </cell>
          <cell r="M74">
            <v>8.2248443236920963</v>
          </cell>
          <cell r="O74">
            <v>8.9011577826694328</v>
          </cell>
          <cell r="P74">
            <v>9.6901901514763207</v>
          </cell>
        </row>
        <row r="75">
          <cell r="D75">
            <v>9.0000000000000011E-2</v>
          </cell>
          <cell r="F75">
            <v>3368.9813229183374</v>
          </cell>
          <cell r="G75">
            <v>8922.8973104289671</v>
          </cell>
          <cell r="H75">
            <v>9607.3419317074749</v>
          </cell>
          <cell r="I75">
            <v>10397.085725490368</v>
          </cell>
          <cell r="J75">
            <v>12291.878633347304</v>
          </cell>
          <cell r="K75">
            <v>12976.323254625811</v>
          </cell>
          <cell r="L75">
            <v>13766.067048408706</v>
          </cell>
          <cell r="M75">
            <v>7.6765213687792899</v>
          </cell>
          <cell r="O75">
            <v>8.2653607981930435</v>
          </cell>
          <cell r="P75">
            <v>8.944790909055067</v>
          </cell>
        </row>
        <row r="76">
          <cell r="D76">
            <v>9.5000000000000015E-2</v>
          </cell>
          <cell r="F76">
            <v>3330.9084182135266</v>
          </cell>
          <cell r="G76">
            <v>8194.6965405225892</v>
          </cell>
          <cell r="H76">
            <v>8784.0688040281548</v>
          </cell>
          <cell r="I76">
            <v>9457.6371051773713</v>
          </cell>
          <cell r="J76">
            <v>11525.604958736116</v>
          </cell>
          <cell r="K76">
            <v>12114.977222241681</v>
          </cell>
          <cell r="L76">
            <v>12788.545523390898</v>
          </cell>
          <cell r="M76">
            <v>7.196738783230586</v>
          </cell>
          <cell r="O76">
            <v>7.7143367449801739</v>
          </cell>
          <cell r="P76">
            <v>8.3058772726939889</v>
          </cell>
        </row>
        <row r="78">
          <cell r="D78" t="str">
            <v>Discount</v>
          </cell>
          <cell r="H78" t="str">
            <v>Equity Value</v>
          </cell>
          <cell r="K78" t="str">
            <v>Equity Value Per Share</v>
          </cell>
        </row>
        <row r="79">
          <cell r="D79" t="str">
            <v>Rate</v>
          </cell>
          <cell r="G79" t="str">
            <v>Net Debt</v>
          </cell>
          <cell r="H79" t="str">
            <v>1.5%</v>
          </cell>
          <cell r="I79" t="str">
            <v>2.0%</v>
          </cell>
          <cell r="J79" t="str">
            <v>2.5%</v>
          </cell>
          <cell r="K79" t="str">
            <v>1.5%</v>
          </cell>
          <cell r="L79" t="str">
            <v>2.0%</v>
          </cell>
          <cell r="M79" t="str">
            <v>2.5%</v>
          </cell>
        </row>
        <row r="80">
          <cell r="D80">
            <v>8.5000000000000006E-2</v>
          </cell>
          <cell r="G80">
            <v>-1200.6799999999996</v>
          </cell>
          <cell r="H80">
            <v>11967.23856934508</v>
          </cell>
          <cell r="I80">
            <v>12769.793709858348</v>
          </cell>
          <cell r="J80">
            <v>13706.108040457158</v>
          </cell>
          <cell r="K80">
            <v>95.053523187808409</v>
          </cell>
          <cell r="L80">
            <v>101.42806759220292</v>
          </cell>
          <cell r="M80">
            <v>108.86503606399648</v>
          </cell>
        </row>
        <row r="81">
          <cell r="D81">
            <v>9.0000000000000011E-2</v>
          </cell>
          <cell r="G81">
            <v>-1200.6799999999996</v>
          </cell>
          <cell r="H81">
            <v>11091.198633347303</v>
          </cell>
          <cell r="I81">
            <v>11775.643254625811</v>
          </cell>
          <cell r="J81">
            <v>12565.387048408706</v>
          </cell>
          <cell r="K81">
            <v>88.095302885999232</v>
          </cell>
          <cell r="L81">
            <v>93.531717669784044</v>
          </cell>
          <cell r="M81">
            <v>99.804503958766517</v>
          </cell>
        </row>
        <row r="82">
          <cell r="D82">
            <v>9.5000000000000015E-2</v>
          </cell>
          <cell r="G82">
            <v>-1200.6799999999996</v>
          </cell>
          <cell r="H82">
            <v>10324.924958736116</v>
          </cell>
          <cell r="I82">
            <v>10914.297222241681</v>
          </cell>
          <cell r="J82">
            <v>11587.865523390898</v>
          </cell>
          <cell r="K82">
            <v>82.00893533547351</v>
          </cell>
          <cell r="L82">
            <v>86.690208278329479</v>
          </cell>
          <cell r="M82">
            <v>92.040234498736268</v>
          </cell>
        </row>
        <row r="84">
          <cell r="D84" t="str">
            <v>Terminal Multiple</v>
          </cell>
          <cell r="G84">
            <v>6</v>
          </cell>
          <cell r="H84">
            <v>7</v>
          </cell>
          <cell r="I84">
            <v>8</v>
          </cell>
        </row>
        <row r="85">
          <cell r="D85" t="str">
            <v>Terminal Growth Rate</v>
          </cell>
          <cell r="G85">
            <v>1.4999999999999999E-2</v>
          </cell>
          <cell r="H85">
            <v>0.02</v>
          </cell>
          <cell r="I85">
            <v>2.5000000000000001E-2</v>
          </cell>
        </row>
        <row r="86">
          <cell r="D86" t="str">
            <v>Sharecount</v>
          </cell>
          <cell r="G86">
            <v>125.9</v>
          </cell>
        </row>
        <row r="87">
          <cell r="D87" t="str">
            <v>Implied Terminal Value</v>
          </cell>
          <cell r="G87">
            <v>10278.078322838126</v>
          </cell>
          <cell r="H87">
            <v>11991.091376644479</v>
          </cell>
          <cell r="I87">
            <v>13704.104430450834</v>
          </cell>
        </row>
        <row r="88">
          <cell r="D88" t="str">
            <v>Mult. Of Revenue</v>
          </cell>
          <cell r="G88">
            <v>1.1339197201485123</v>
          </cell>
          <cell r="H88">
            <v>1.3229063401732641</v>
          </cell>
          <cell r="I88">
            <v>1.5118929601980162</v>
          </cell>
        </row>
        <row r="92">
          <cell r="D92" t="str">
            <v>Discount Rate</v>
          </cell>
          <cell r="F92" t="str">
            <v>Comments</v>
          </cell>
        </row>
        <row r="94">
          <cell r="D94" t="str">
            <v>Cost of Debt</v>
          </cell>
          <cell r="E94">
            <v>7.0000000000000007E-2</v>
          </cell>
        </row>
        <row r="95">
          <cell r="D95" t="str">
            <v>Corporate Tax Rate</v>
          </cell>
          <cell r="E95">
            <v>0.315</v>
          </cell>
        </row>
        <row r="96">
          <cell r="D96" t="str">
            <v>Beta</v>
          </cell>
          <cell r="E96">
            <v>1.24</v>
          </cell>
        </row>
        <row r="97">
          <cell r="D97" t="str">
            <v>E(RM)-RF</v>
          </cell>
          <cell r="E97">
            <v>0.05</v>
          </cell>
        </row>
        <row r="98">
          <cell r="D98" t="str">
            <v>RF</v>
          </cell>
          <cell r="E98">
            <v>3.6799999999999999E-2</v>
          </cell>
        </row>
        <row r="99">
          <cell r="D99" t="str">
            <v>Cost of Equity</v>
          </cell>
          <cell r="E99">
            <v>9.8799999999999999E-2</v>
          </cell>
        </row>
        <row r="100">
          <cell r="D100" t="str">
            <v>Target Debt ratio</v>
          </cell>
          <cell r="E100">
            <v>0.3</v>
          </cell>
        </row>
        <row r="101">
          <cell r="D101" t="str">
            <v>Target Equity ratio</v>
          </cell>
          <cell r="E101">
            <v>0.7</v>
          </cell>
        </row>
        <row r="103">
          <cell r="D103" t="str">
            <v>Cost of Capital</v>
          </cell>
          <cell r="E103">
            <v>8.3545000000000008E-2</v>
          </cell>
        </row>
      </sheetData>
      <sheetData sheetId="16"/>
      <sheetData sheetId="17"/>
      <sheetData sheetId="18"/>
      <sheetData sheetId="19">
        <row r="1">
          <cell r="A1" t="str">
            <v>RRS-5.13</v>
          </cell>
          <cell r="D1" t="str">
            <v>RISK-REWARD SNAPSHOT
(You must upload your model to ModelWare to capture changes to your scenario values and NOT delete this worksheet.)</v>
          </cell>
          <cell r="I1" t="str">
            <v>Select Language</v>
          </cell>
          <cell r="N1" t="str">
            <v>http://ChartGallery</v>
          </cell>
          <cell r="O1" t="str">
            <v>http://ChartGallery</v>
          </cell>
          <cell r="AA1" t="str">
            <v>ElementName</v>
          </cell>
          <cell r="AB1" t="str">
            <v>ScaleOverride</v>
          </cell>
          <cell r="AC1" t="str">
            <v>UnitOverride</v>
          </cell>
          <cell r="AD1" t="str">
            <v>ReverseSign</v>
          </cell>
          <cell r="AE1" t="str">
            <v>IsDrivingAssumption</v>
          </cell>
          <cell r="AF1" t="str">
            <v>SegmentID</v>
          </cell>
        </row>
        <row r="2">
          <cell r="B2" t="str">
            <v>Instructions:</v>
          </cell>
          <cell r="G2" t="str">
            <v>Is refreshing chart data too slow? Read below to improve performance.</v>
          </cell>
          <cell r="AQ2" t="str">
            <v>Refer to cell G2 to learn about improving chart refresh performance</v>
          </cell>
        </row>
        <row r="4">
          <cell r="B4" t="str">
            <v>Ticker:</v>
          </cell>
          <cell r="C4" t="str">
            <v>GR.N</v>
          </cell>
          <cell r="E4" t="str">
            <v>Company Name:</v>
          </cell>
          <cell r="F4" t="str">
            <v>Goodrich Corp</v>
          </cell>
          <cell r="I4" t="str">
            <v>Sedol:</v>
          </cell>
          <cell r="J4">
            <v>2377809</v>
          </cell>
          <cell r="K4">
            <v>2377809</v>
          </cell>
        </row>
        <row r="5">
          <cell r="B5" t="str">
            <v xml:space="preserve">Chart Data Inputs (decimal formats will reflect on chart): </v>
          </cell>
          <cell r="H5" t="str">
            <v>Risk Reward Chart Gallery 
(Click on the below image for other Risk-Reward Charts)</v>
          </cell>
        </row>
        <row r="6">
          <cell r="B6" t="str">
            <v>Bull Case</v>
          </cell>
          <cell r="C6">
            <v>105</v>
          </cell>
          <cell r="AA6" t="str">
            <v>mstag:bullCaseValueEstimatePerShare</v>
          </cell>
          <cell r="AB6">
            <v>0</v>
          </cell>
          <cell r="AC6" t="str">
            <v>ISO4217:USD</v>
          </cell>
          <cell r="AD6" t="b">
            <v>0</v>
          </cell>
        </row>
        <row r="7">
          <cell r="B7" t="str">
            <v>Base Case</v>
          </cell>
          <cell r="C7">
            <v>90</v>
          </cell>
          <cell r="AA7" t="str">
            <v>mstag:met_12monthIntrinsicValueEstimate</v>
          </cell>
          <cell r="AB7">
            <v>0</v>
          </cell>
          <cell r="AC7" t="str">
            <v>ISO4217:USD</v>
          </cell>
          <cell r="AD7" t="b">
            <v>0</v>
          </cell>
        </row>
        <row r="8">
          <cell r="B8" t="str">
            <v>Bear Case</v>
          </cell>
          <cell r="C8">
            <v>55</v>
          </cell>
          <cell r="K8" t="str">
            <v>日本語</v>
          </cell>
          <cell r="M8" t="str">
            <v>-</v>
          </cell>
          <cell r="AA8" t="str">
            <v>mstag:bearCaseValueEstimatePerShare</v>
          </cell>
          <cell r="AB8">
            <v>0</v>
          </cell>
          <cell r="AC8" t="str">
            <v>ISO4217:USD</v>
          </cell>
          <cell r="AD8" t="b">
            <v>0</v>
          </cell>
        </row>
        <row r="9">
          <cell r="B9" t="str">
            <v>Extreme Upside</v>
          </cell>
          <cell r="K9" t="str">
            <v>English</v>
          </cell>
          <cell r="L9" t="str">
            <v>年</v>
          </cell>
          <cell r="M9" t="str">
            <v>月</v>
          </cell>
          <cell r="N9" t="str">
            <v>-</v>
          </cell>
          <cell r="AA9" t="str">
            <v>mstag:extremeBullCaseValueEstimatePerShare</v>
          </cell>
          <cell r="AB9">
            <v>0</v>
          </cell>
          <cell r="AC9" t="str">
            <v>ISO4217:USD</v>
          </cell>
          <cell r="AD9" t="b">
            <v>0</v>
          </cell>
          <cell r="AH9" t="str">
            <v>Other Refresh Chart Option</v>
          </cell>
        </row>
        <row r="10">
          <cell r="B10" t="str">
            <v>Extreme Downside</v>
          </cell>
          <cell r="O10" t="b">
            <v>0</v>
          </cell>
          <cell r="AA10" t="str">
            <v>mstag:extremeBearCaseValueEstimatePerShare</v>
          </cell>
          <cell r="AB10">
            <v>0</v>
          </cell>
          <cell r="AC10" t="str">
            <v>ISO4217:USD</v>
          </cell>
          <cell r="AD10" t="b">
            <v>0</v>
          </cell>
        </row>
        <row r="11">
          <cell r="B11" t="str">
            <v>Price Target</v>
          </cell>
          <cell r="O11" t="b">
            <v>1</v>
          </cell>
        </row>
        <row r="12">
          <cell r="B12" t="str">
            <v>Currency</v>
          </cell>
          <cell r="C12" t="str">
            <v>USD American Dollar</v>
          </cell>
          <cell r="F12">
            <v>0</v>
          </cell>
        </row>
        <row r="13">
          <cell r="B13" t="str">
            <v>Currency Symbol</v>
          </cell>
          <cell r="C13" t="str">
            <v>$</v>
          </cell>
          <cell r="F13">
            <v>0</v>
          </cell>
          <cell r="I13" t="str">
            <v xml:space="preserve">WARNINGDONOTEDIT_RRS4RL~GR.N~ </v>
          </cell>
        </row>
        <row r="14">
          <cell r="B14" t="str">
            <v>"Refresh RR Chart" updates chart dates below, as of today. If your PT time horizon is &gt; 1yr. or price history is &lt; 2yrs., adjust Start/End dates and select "Apply Manually Adjusted Dates" option.</v>
          </cell>
        </row>
        <row r="15">
          <cell r="B15" t="str">
            <v>Start Date (-2 Yrs)</v>
          </cell>
          <cell r="C15">
            <v>39547</v>
          </cell>
          <cell r="E15" t="str">
            <v>NA</v>
          </cell>
          <cell r="F15" t="str">
            <v>USD</v>
          </cell>
        </row>
        <row r="16">
          <cell r="B16" t="str">
            <v>End Date (+1 Yr)</v>
          </cell>
          <cell r="C16">
            <v>40642</v>
          </cell>
          <cell r="E16" t="str">
            <v>USD</v>
          </cell>
          <cell r="F16" t="str">
            <v>USD</v>
          </cell>
        </row>
        <row r="17">
          <cell r="B17">
            <v>71.03</v>
          </cell>
          <cell r="C17" t="str">
            <v>Hand entert Share Price</v>
          </cell>
          <cell r="H17" t="str">
            <v>2007-FY</v>
          </cell>
        </row>
        <row r="18">
          <cell r="B18" t="b">
            <v>0</v>
          </cell>
          <cell r="C18">
            <v>40277</v>
          </cell>
        </row>
        <row r="19">
          <cell r="C19" t="str">
            <v>2009-FY</v>
          </cell>
        </row>
        <row r="34">
          <cell r="A34" t="str">
            <v>BullCase</v>
          </cell>
        </row>
        <row r="52">
          <cell r="A52">
            <v>40642</v>
          </cell>
          <cell r="B52">
            <v>758</v>
          </cell>
          <cell r="N52" t="str">
            <v>Apr-11</v>
          </cell>
          <cell r="R52" t="b">
            <v>1</v>
          </cell>
        </row>
        <row r="53">
          <cell r="A53" t="str">
            <v>Header</v>
          </cell>
          <cell r="B53" t="str">
            <v>Date</v>
          </cell>
          <cell r="C53" t="str">
            <v>Past/Future</v>
          </cell>
          <cell r="D53" t="str">
            <v>Historical Stock Performance</v>
          </cell>
          <cell r="E53" t="str">
            <v>Extreme Upside Cone</v>
          </cell>
          <cell r="F53" t="str">
            <v>Blue Cone</v>
          </cell>
          <cell r="G53" t="str">
            <v>Extreme Downside Cone</v>
          </cell>
          <cell r="H53" t="str">
            <v>White Mask</v>
          </cell>
          <cell r="I53" t="str">
            <v>Current Stock Price</v>
          </cell>
          <cell r="J53" t="str">
            <v>Extreme Upside Price(Apr-11)</v>
          </cell>
          <cell r="K53" t="str">
            <v>Bull Price(Apr-11)</v>
          </cell>
          <cell r="L53" t="str">
            <v>Bear Price(Apr-11)</v>
          </cell>
          <cell r="M53" t="str">
            <v>Extreme Downside Price(Apr-11)</v>
          </cell>
          <cell r="N53" t="str">
            <v>Base Case  (Apr-11)</v>
          </cell>
          <cell r="O53" t="str">
            <v>Gray Line</v>
          </cell>
          <cell r="P53" t="str">
            <v>Prices</v>
          </cell>
          <cell r="Q53" t="str">
            <v>Volume</v>
          </cell>
          <cell r="R53" t="str">
            <v>Base Case(Apr-11)</v>
          </cell>
          <cell r="S53" t="str">
            <v>Header Row</v>
          </cell>
          <cell r="T53">
            <v>53</v>
          </cell>
          <cell r="U53">
            <v>0</v>
          </cell>
          <cell r="AI53" t="str">
            <v xml:space="preserve">Display </v>
          </cell>
          <cell r="AJ53" t="str">
            <v>Symbol</v>
          </cell>
          <cell r="AK53" t="str">
            <v>Unit</v>
          </cell>
          <cell r="AL53" t="str">
            <v>FactsetUnit</v>
          </cell>
          <cell r="AM53" t="str">
            <v>Right alligned</v>
          </cell>
          <cell r="AN53" t="str">
            <v>Display 2 Decimal Places for Currency Amount</v>
          </cell>
        </row>
        <row r="54">
          <cell r="A54">
            <v>39547</v>
          </cell>
          <cell r="B54">
            <v>39547</v>
          </cell>
          <cell r="C54" t="str">
            <v>Past</v>
          </cell>
          <cell r="D54">
            <v>59.28</v>
          </cell>
          <cell r="E54" t="e">
            <v>#N/A</v>
          </cell>
          <cell r="F54" t="e">
            <v>#N/A</v>
          </cell>
          <cell r="G54" t="e">
            <v>#N/A</v>
          </cell>
          <cell r="H54" t="e">
            <v>#N/A</v>
          </cell>
          <cell r="I54" t="e">
            <v>#N/A</v>
          </cell>
          <cell r="J54" t="e">
            <v>#N/A</v>
          </cell>
          <cell r="K54" t="e">
            <v>#N/A</v>
          </cell>
          <cell r="L54" t="e">
            <v>#N/A</v>
          </cell>
          <cell r="M54" t="e">
            <v>#N/A</v>
          </cell>
          <cell r="N54" t="e">
            <v>#N/A</v>
          </cell>
          <cell r="O54" t="e">
            <v>#N/A</v>
          </cell>
          <cell r="P54">
            <v>59.28</v>
          </cell>
          <cell r="Q54">
            <v>1.614668</v>
          </cell>
          <cell r="R54" t="e">
            <v>#N/A</v>
          </cell>
          <cell r="S54" t="str">
            <v>Count</v>
          </cell>
          <cell r="T54">
            <v>758</v>
          </cell>
          <cell r="U54">
            <v>105</v>
          </cell>
          <cell r="AI54" t="str">
            <v>AED UAE Dirham</v>
          </cell>
          <cell r="AJ54" t="str">
            <v>AED</v>
          </cell>
          <cell r="AK54" t="str">
            <v>AED</v>
          </cell>
          <cell r="AL54" t="str">
            <v>AED</v>
          </cell>
          <cell r="AM54">
            <v>0</v>
          </cell>
          <cell r="AN54">
            <v>2</v>
          </cell>
        </row>
        <row r="55">
          <cell r="A55">
            <v>39548</v>
          </cell>
          <cell r="B55">
            <v>39548</v>
          </cell>
          <cell r="C55" t="str">
            <v>Past</v>
          </cell>
          <cell r="D55">
            <v>59.77</v>
          </cell>
          <cell r="E55" t="e">
            <v>#N/A</v>
          </cell>
          <cell r="F55" t="e">
            <v>#N/A</v>
          </cell>
          <cell r="G55" t="e">
            <v>#N/A</v>
          </cell>
          <cell r="H55" t="e">
            <v>#N/A</v>
          </cell>
          <cell r="I55" t="e">
            <v>#N/A</v>
          </cell>
          <cell r="J55" t="e">
            <v>#N/A</v>
          </cell>
          <cell r="K55" t="e">
            <v>#N/A</v>
          </cell>
          <cell r="L55" t="e">
            <v>#N/A</v>
          </cell>
          <cell r="M55" t="e">
            <v>#N/A</v>
          </cell>
          <cell r="N55" t="e">
            <v>#N/A</v>
          </cell>
          <cell r="O55" t="e">
            <v>#N/A</v>
          </cell>
          <cell r="P55">
            <v>59.77</v>
          </cell>
          <cell r="Q55">
            <v>1.5319039999999999</v>
          </cell>
          <cell r="R55" t="e">
            <v>#N/A</v>
          </cell>
          <cell r="S55" t="str">
            <v>Curr Price</v>
          </cell>
          <cell r="T55">
            <v>71.03</v>
          </cell>
          <cell r="U55">
            <v>505</v>
          </cell>
          <cell r="V55">
            <v>36.378945000000002</v>
          </cell>
          <cell r="AI55" t="str">
            <v>ARS Argentinian Pesos</v>
          </cell>
          <cell r="AJ55" t="str">
            <v>Ar$</v>
          </cell>
          <cell r="AK55" t="str">
            <v>ARS</v>
          </cell>
          <cell r="AL55" t="str">
            <v>ARS</v>
          </cell>
          <cell r="AM55">
            <v>0</v>
          </cell>
          <cell r="AN55">
            <v>2</v>
          </cell>
        </row>
        <row r="56">
          <cell r="A56">
            <v>39549</v>
          </cell>
          <cell r="B56">
            <v>39549</v>
          </cell>
          <cell r="C56" t="str">
            <v>Past</v>
          </cell>
          <cell r="D56">
            <v>58.39</v>
          </cell>
          <cell r="E56" t="e">
            <v>#N/A</v>
          </cell>
          <cell r="F56" t="e">
            <v>#N/A</v>
          </cell>
          <cell r="G56" t="e">
            <v>#N/A</v>
          </cell>
          <cell r="H56" t="e">
            <v>#N/A</v>
          </cell>
          <cell r="I56" t="e">
            <v>#N/A</v>
          </cell>
          <cell r="J56" t="e">
            <v>#N/A</v>
          </cell>
          <cell r="K56" t="e">
            <v>#N/A</v>
          </cell>
          <cell r="L56" t="e">
            <v>#N/A</v>
          </cell>
          <cell r="M56" t="e">
            <v>#N/A</v>
          </cell>
          <cell r="N56" t="e">
            <v>#N/A</v>
          </cell>
          <cell r="O56" t="e">
            <v>#N/A</v>
          </cell>
          <cell r="P56">
            <v>58.39</v>
          </cell>
          <cell r="Q56">
            <v>1.363524</v>
          </cell>
          <cell r="R56" t="e">
            <v>#N/A</v>
          </cell>
          <cell r="S56" t="str">
            <v>Curr Price Date</v>
          </cell>
          <cell r="T56">
            <v>40277</v>
          </cell>
          <cell r="U56">
            <v>40276.740370370368</v>
          </cell>
          <cell r="AI56" t="str">
            <v>AUD Australian Dollar</v>
          </cell>
          <cell r="AJ56" t="str">
            <v>A$</v>
          </cell>
          <cell r="AK56" t="str">
            <v>AUD</v>
          </cell>
          <cell r="AL56" t="str">
            <v>AUD</v>
          </cell>
          <cell r="AM56">
            <v>0</v>
          </cell>
          <cell r="AN56">
            <v>2</v>
          </cell>
        </row>
        <row r="57">
          <cell r="A57">
            <v>39552</v>
          </cell>
          <cell r="B57">
            <v>39552</v>
          </cell>
          <cell r="C57" t="str">
            <v>Past</v>
          </cell>
          <cell r="D57">
            <v>58.5</v>
          </cell>
          <cell r="E57" t="e">
            <v>#N/A</v>
          </cell>
          <cell r="F57" t="e">
            <v>#N/A</v>
          </cell>
          <cell r="G57" t="e">
            <v>#N/A</v>
          </cell>
          <cell r="H57" t="e">
            <v>#N/A</v>
          </cell>
          <cell r="I57" t="e">
            <v>#N/A</v>
          </cell>
          <cell r="J57" t="e">
            <v>#N/A</v>
          </cell>
          <cell r="K57" t="e">
            <v>#N/A</v>
          </cell>
          <cell r="L57" t="e">
            <v>#N/A</v>
          </cell>
          <cell r="M57" t="e">
            <v>#N/A</v>
          </cell>
          <cell r="N57" t="e">
            <v>#N/A</v>
          </cell>
          <cell r="O57" t="e">
            <v>#N/A</v>
          </cell>
          <cell r="P57">
            <v>58.5</v>
          </cell>
          <cell r="Q57">
            <v>1.358312</v>
          </cell>
          <cell r="R57" t="e">
            <v>#N/A</v>
          </cell>
          <cell r="S57" t="str">
            <v>Bull-Curr</v>
          </cell>
          <cell r="T57">
            <v>33.97</v>
          </cell>
          <cell r="U57">
            <v>0.13374015748031495</v>
          </cell>
          <cell r="AI57" t="str">
            <v>BGL Bulgarian levs</v>
          </cell>
          <cell r="AJ57" t="str">
            <v>BGL</v>
          </cell>
          <cell r="AK57" t="str">
            <v>BGL</v>
          </cell>
          <cell r="AL57" t="str">
            <v>BGN</v>
          </cell>
          <cell r="AM57">
            <v>0</v>
          </cell>
          <cell r="AN57">
            <v>2</v>
          </cell>
        </row>
        <row r="58">
          <cell r="A58">
            <v>39553</v>
          </cell>
          <cell r="B58">
            <v>39553</v>
          </cell>
          <cell r="C58" t="str">
            <v>Past</v>
          </cell>
          <cell r="D58">
            <v>58.66</v>
          </cell>
          <cell r="E58" t="e">
            <v>#N/A</v>
          </cell>
          <cell r="F58" t="e">
            <v>#N/A</v>
          </cell>
          <cell r="G58" t="e">
            <v>#N/A</v>
          </cell>
          <cell r="H58" t="e">
            <v>#N/A</v>
          </cell>
          <cell r="I58" t="e">
            <v>#N/A</v>
          </cell>
          <cell r="J58" t="e">
            <v>#N/A</v>
          </cell>
          <cell r="K58" t="e">
            <v>#N/A</v>
          </cell>
          <cell r="L58" t="e">
            <v>#N/A</v>
          </cell>
          <cell r="M58" t="e">
            <v>#N/A</v>
          </cell>
          <cell r="N58" t="e">
            <v>#N/A</v>
          </cell>
          <cell r="O58" t="e">
            <v>#N/A</v>
          </cell>
          <cell r="P58">
            <v>58.66</v>
          </cell>
          <cell r="Q58">
            <v>2.153565</v>
          </cell>
          <cell r="R58" t="e">
            <v>#N/A</v>
          </cell>
          <cell r="S58" t="str">
            <v>Upp-Cur</v>
          </cell>
          <cell r="T58">
            <v>-71.03</v>
          </cell>
          <cell r="U58">
            <v>-0.27964566929133861</v>
          </cell>
          <cell r="AI58" t="str">
            <v>BMD Bermudan Dollars</v>
          </cell>
          <cell r="AJ58" t="str">
            <v>BMD</v>
          </cell>
          <cell r="AK58" t="str">
            <v>BMD</v>
          </cell>
          <cell r="AL58" t="str">
            <v>BMD</v>
          </cell>
          <cell r="AM58">
            <v>0</v>
          </cell>
          <cell r="AN58">
            <v>2</v>
          </cell>
        </row>
        <row r="59">
          <cell r="A59">
            <v>39554</v>
          </cell>
          <cell r="B59">
            <v>39554</v>
          </cell>
          <cell r="C59" t="str">
            <v>Past</v>
          </cell>
          <cell r="D59">
            <v>60.33</v>
          </cell>
          <cell r="E59" t="e">
            <v>#N/A</v>
          </cell>
          <cell r="F59" t="e">
            <v>#N/A</v>
          </cell>
          <cell r="G59" t="e">
            <v>#N/A</v>
          </cell>
          <cell r="H59" t="e">
            <v>#N/A</v>
          </cell>
          <cell r="I59" t="e">
            <v>#N/A</v>
          </cell>
          <cell r="J59" t="e">
            <v>#N/A</v>
          </cell>
          <cell r="K59" t="e">
            <v>#N/A</v>
          </cell>
          <cell r="L59" t="e">
            <v>#N/A</v>
          </cell>
          <cell r="M59" t="e">
            <v>#N/A</v>
          </cell>
          <cell r="N59" t="e">
            <v>#N/A</v>
          </cell>
          <cell r="O59" t="e">
            <v>#N/A</v>
          </cell>
          <cell r="P59">
            <v>60.33</v>
          </cell>
          <cell r="Q59">
            <v>1.2908200000000001</v>
          </cell>
          <cell r="R59" t="e">
            <v>#N/A</v>
          </cell>
          <cell r="S59" t="str">
            <v>Curr-Bear</v>
          </cell>
          <cell r="T59">
            <v>16.03</v>
          </cell>
          <cell r="U59">
            <v>6.3110236220472446E-2</v>
          </cell>
          <cell r="AI59" t="str">
            <v>BRL Brazilian Real</v>
          </cell>
          <cell r="AJ59" t="str">
            <v>R$</v>
          </cell>
          <cell r="AK59" t="str">
            <v>BRL</v>
          </cell>
          <cell r="AL59" t="str">
            <v>BRL</v>
          </cell>
          <cell r="AM59">
            <v>0</v>
          </cell>
          <cell r="AN59">
            <v>2</v>
          </cell>
        </row>
        <row r="60">
          <cell r="A60">
            <v>39555</v>
          </cell>
          <cell r="B60">
            <v>39555</v>
          </cell>
          <cell r="C60" t="str">
            <v>Past</v>
          </cell>
          <cell r="D60">
            <v>59.59</v>
          </cell>
          <cell r="E60" t="e">
            <v>#N/A</v>
          </cell>
          <cell r="F60" t="e">
            <v>#N/A</v>
          </cell>
          <cell r="G60" t="e">
            <v>#N/A</v>
          </cell>
          <cell r="H60" t="e">
            <v>#N/A</v>
          </cell>
          <cell r="I60" t="e">
            <v>#N/A</v>
          </cell>
          <cell r="J60" t="e">
            <v>#N/A</v>
          </cell>
          <cell r="K60" t="e">
            <v>#N/A</v>
          </cell>
          <cell r="L60" t="e">
            <v>#N/A</v>
          </cell>
          <cell r="M60" t="e">
            <v>#N/A</v>
          </cell>
          <cell r="N60" t="e">
            <v>#N/A</v>
          </cell>
          <cell r="O60" t="e">
            <v>#N/A</v>
          </cell>
          <cell r="P60">
            <v>59.59</v>
          </cell>
          <cell r="Q60">
            <v>1.2312619999999999</v>
          </cell>
          <cell r="R60" t="e">
            <v>#N/A</v>
          </cell>
          <cell r="S60" t="str">
            <v>Curr-Lower</v>
          </cell>
          <cell r="T60">
            <v>71.03</v>
          </cell>
          <cell r="U60">
            <v>0.27964566929133861</v>
          </cell>
          <cell r="AI60" t="str">
            <v>CAD Canadian Dollars</v>
          </cell>
          <cell r="AJ60" t="str">
            <v>C$</v>
          </cell>
          <cell r="AK60" t="str">
            <v>CAD</v>
          </cell>
          <cell r="AL60" t="str">
            <v>CAD</v>
          </cell>
          <cell r="AM60">
            <v>0</v>
          </cell>
          <cell r="AN60">
            <v>2</v>
          </cell>
        </row>
        <row r="61">
          <cell r="A61">
            <v>39556</v>
          </cell>
          <cell r="B61">
            <v>39556</v>
          </cell>
          <cell r="C61" t="str">
            <v>Past</v>
          </cell>
          <cell r="D61">
            <v>61.75</v>
          </cell>
          <cell r="E61" t="e">
            <v>#N/A</v>
          </cell>
          <cell r="F61" t="e">
            <v>#N/A</v>
          </cell>
          <cell r="G61" t="e">
            <v>#N/A</v>
          </cell>
          <cell r="H61" t="e">
            <v>#N/A</v>
          </cell>
          <cell r="I61" t="e">
            <v>#N/A</v>
          </cell>
          <cell r="J61" t="e">
            <v>#N/A</v>
          </cell>
          <cell r="K61" t="e">
            <v>#N/A</v>
          </cell>
          <cell r="L61" t="e">
            <v>#N/A</v>
          </cell>
          <cell r="M61" t="e">
            <v>#N/A</v>
          </cell>
          <cell r="N61" t="e">
            <v>#N/A</v>
          </cell>
          <cell r="O61" t="e">
            <v>#N/A</v>
          </cell>
          <cell r="P61">
            <v>61.75</v>
          </cell>
          <cell r="Q61">
            <v>1.858247</v>
          </cell>
          <cell r="R61" t="e">
            <v>#N/A</v>
          </cell>
          <cell r="S61" t="str">
            <v>PriceFoundAt</v>
          </cell>
          <cell r="T61">
            <v>505</v>
          </cell>
          <cell r="AI61" t="str">
            <v>CHF Swiss Francs</v>
          </cell>
          <cell r="AJ61" t="str">
            <v>SFr</v>
          </cell>
          <cell r="AK61" t="str">
            <v>CHF</v>
          </cell>
          <cell r="AL61" t="str">
            <v>CHF</v>
          </cell>
          <cell r="AM61">
            <v>0</v>
          </cell>
          <cell r="AN61">
            <v>2</v>
          </cell>
        </row>
        <row r="62">
          <cell r="A62">
            <v>39559</v>
          </cell>
          <cell r="B62">
            <v>39559</v>
          </cell>
          <cell r="C62" t="str">
            <v>Past</v>
          </cell>
          <cell r="D62">
            <v>60.66</v>
          </cell>
          <cell r="E62" t="e">
            <v>#N/A</v>
          </cell>
          <cell r="F62" t="e">
            <v>#N/A</v>
          </cell>
          <cell r="G62" t="e">
            <v>#N/A</v>
          </cell>
          <cell r="H62" t="e">
            <v>#N/A</v>
          </cell>
          <cell r="I62" t="e">
            <v>#N/A</v>
          </cell>
          <cell r="J62" t="e">
            <v>#N/A</v>
          </cell>
          <cell r="K62" t="e">
            <v>#N/A</v>
          </cell>
          <cell r="L62" t="e">
            <v>#N/A</v>
          </cell>
          <cell r="M62" t="e">
            <v>#N/A</v>
          </cell>
          <cell r="N62" t="e">
            <v>#N/A</v>
          </cell>
          <cell r="O62" t="e">
            <v>#N/A</v>
          </cell>
          <cell r="P62">
            <v>60.66</v>
          </cell>
          <cell r="Q62">
            <v>1.0490729999999999</v>
          </cell>
          <cell r="R62" t="e">
            <v>#N/A</v>
          </cell>
          <cell r="S62" t="str">
            <v>Starting Point</v>
          </cell>
          <cell r="T62">
            <v>558</v>
          </cell>
          <cell r="AI62" t="str">
            <v>CLP Chilean Pesos</v>
          </cell>
          <cell r="AJ62" t="str">
            <v>CLP</v>
          </cell>
          <cell r="AK62" t="str">
            <v>CLP</v>
          </cell>
          <cell r="AL62" t="str">
            <v>CLP</v>
          </cell>
          <cell r="AM62">
            <v>0</v>
          </cell>
          <cell r="AN62">
            <v>2</v>
          </cell>
        </row>
        <row r="63">
          <cell r="A63">
            <v>39560</v>
          </cell>
          <cell r="B63">
            <v>39560</v>
          </cell>
          <cell r="C63" t="str">
            <v>Past</v>
          </cell>
          <cell r="D63">
            <v>60.28</v>
          </cell>
          <cell r="E63" t="e">
            <v>#N/A</v>
          </cell>
          <cell r="F63" t="e">
            <v>#N/A</v>
          </cell>
          <cell r="G63" t="e">
            <v>#N/A</v>
          </cell>
          <cell r="H63" t="e">
            <v>#N/A</v>
          </cell>
          <cell r="I63" t="e">
            <v>#N/A</v>
          </cell>
          <cell r="J63" t="e">
            <v>#N/A</v>
          </cell>
          <cell r="K63" t="e">
            <v>#N/A</v>
          </cell>
          <cell r="L63" t="e">
            <v>#N/A</v>
          </cell>
          <cell r="M63" t="e">
            <v>#N/A</v>
          </cell>
          <cell r="N63" t="e">
            <v>#N/A</v>
          </cell>
          <cell r="O63" t="e">
            <v>#N/A</v>
          </cell>
          <cell r="P63">
            <v>60.28</v>
          </cell>
          <cell r="Q63">
            <v>1.2401469999999999</v>
          </cell>
          <cell r="R63" t="e">
            <v>#N/A</v>
          </cell>
          <cell r="S63" t="str">
            <v>Saved</v>
          </cell>
          <cell r="T63">
            <v>254</v>
          </cell>
          <cell r="AI63" t="str">
            <v>CNY Chinese Renminbi Yuan</v>
          </cell>
          <cell r="AJ63" t="str">
            <v>Rmb</v>
          </cell>
          <cell r="AK63" t="str">
            <v>CNY</v>
          </cell>
          <cell r="AL63" t="str">
            <v>CNY</v>
          </cell>
          <cell r="AM63">
            <v>0</v>
          </cell>
          <cell r="AN63">
            <v>2</v>
          </cell>
        </row>
        <row r="64">
          <cell r="A64">
            <v>39561</v>
          </cell>
          <cell r="B64">
            <v>39561</v>
          </cell>
          <cell r="C64" t="str">
            <v>Past</v>
          </cell>
          <cell r="D64">
            <v>61.66</v>
          </cell>
          <cell r="E64" t="e">
            <v>#N/A</v>
          </cell>
          <cell r="F64" t="e">
            <v>#N/A</v>
          </cell>
          <cell r="G64" t="e">
            <v>#N/A</v>
          </cell>
          <cell r="H64" t="e">
            <v>#N/A</v>
          </cell>
          <cell r="I64" t="e">
            <v>#N/A</v>
          </cell>
          <cell r="J64" t="e">
            <v>#N/A</v>
          </cell>
          <cell r="K64" t="e">
            <v>#N/A</v>
          </cell>
          <cell r="L64" t="e">
            <v>#N/A</v>
          </cell>
          <cell r="M64" t="e">
            <v>#N/A</v>
          </cell>
          <cell r="N64" t="e">
            <v>#N/A</v>
          </cell>
          <cell r="O64" t="e">
            <v>#N/A</v>
          </cell>
          <cell r="P64">
            <v>61.66</v>
          </cell>
          <cell r="Q64">
            <v>1.4397179999999998</v>
          </cell>
          <cell r="R64" t="e">
            <v>#N/A</v>
          </cell>
          <cell r="S64" t="str">
            <v>Right alligned</v>
          </cell>
          <cell r="T64">
            <v>0</v>
          </cell>
          <cell r="AI64" t="str">
            <v>COP Colombian Peso</v>
          </cell>
          <cell r="AJ64" t="str">
            <v>COP</v>
          </cell>
          <cell r="AK64" t="str">
            <v>COP</v>
          </cell>
          <cell r="AL64" t="str">
            <v>COP</v>
          </cell>
          <cell r="AM64">
            <v>0</v>
          </cell>
          <cell r="AN64">
            <v>2</v>
          </cell>
        </row>
        <row r="65">
          <cell r="A65">
            <v>39562</v>
          </cell>
          <cell r="B65">
            <v>39562</v>
          </cell>
          <cell r="C65" t="str">
            <v>Past</v>
          </cell>
          <cell r="D65">
            <v>67.66</v>
          </cell>
          <cell r="E65" t="e">
            <v>#N/A</v>
          </cell>
          <cell r="F65" t="e">
            <v>#N/A</v>
          </cell>
          <cell r="G65" t="e">
            <v>#N/A</v>
          </cell>
          <cell r="H65" t="e">
            <v>#N/A</v>
          </cell>
          <cell r="I65" t="e">
            <v>#N/A</v>
          </cell>
          <cell r="J65" t="e">
            <v>#N/A</v>
          </cell>
          <cell r="K65" t="e">
            <v>#N/A</v>
          </cell>
          <cell r="L65" t="e">
            <v>#N/A</v>
          </cell>
          <cell r="M65" t="e">
            <v>#N/A</v>
          </cell>
          <cell r="N65" t="e">
            <v>#N/A</v>
          </cell>
          <cell r="O65" t="e">
            <v>#N/A</v>
          </cell>
          <cell r="P65">
            <v>67.66</v>
          </cell>
          <cell r="Q65">
            <v>2.9815619999999998</v>
          </cell>
          <cell r="R65" t="e">
            <v>#N/A</v>
          </cell>
          <cell r="S65" t="str">
            <v>Decimal</v>
          </cell>
          <cell r="T65">
            <v>2</v>
          </cell>
          <cell r="AI65" t="str">
            <v>CZK Czech Krona</v>
          </cell>
          <cell r="AJ65" t="str">
            <v>Kcs</v>
          </cell>
          <cell r="AK65" t="str">
            <v>CZK</v>
          </cell>
          <cell r="AL65" t="str">
            <v>CZK</v>
          </cell>
          <cell r="AM65">
            <v>0</v>
          </cell>
          <cell r="AN65">
            <v>2</v>
          </cell>
        </row>
        <row r="66">
          <cell r="A66">
            <v>39563</v>
          </cell>
          <cell r="B66">
            <v>39563</v>
          </cell>
          <cell r="C66" t="str">
            <v>Past</v>
          </cell>
          <cell r="D66">
            <v>67.61</v>
          </cell>
          <cell r="E66" t="e">
            <v>#N/A</v>
          </cell>
          <cell r="F66" t="e">
            <v>#N/A</v>
          </cell>
          <cell r="G66" t="e">
            <v>#N/A</v>
          </cell>
          <cell r="H66" t="e">
            <v>#N/A</v>
          </cell>
          <cell r="I66" t="e">
            <v>#N/A</v>
          </cell>
          <cell r="J66" t="e">
            <v>#N/A</v>
          </cell>
          <cell r="K66" t="e">
            <v>#N/A</v>
          </cell>
          <cell r="L66" t="e">
            <v>#N/A</v>
          </cell>
          <cell r="M66" t="e">
            <v>#N/A</v>
          </cell>
          <cell r="N66" t="e">
            <v>#N/A</v>
          </cell>
          <cell r="O66" t="e">
            <v>#N/A</v>
          </cell>
          <cell r="P66">
            <v>67.61</v>
          </cell>
          <cell r="Q66">
            <v>1.900412</v>
          </cell>
          <cell r="R66" t="e">
            <v>#N/A</v>
          </cell>
          <cell r="S66" t="str">
            <v>default StartDate</v>
          </cell>
          <cell r="T66">
            <v>39547</v>
          </cell>
          <cell r="AI66" t="str">
            <v>DKK Danish Krone</v>
          </cell>
          <cell r="AJ66" t="str">
            <v>DKr</v>
          </cell>
          <cell r="AK66" t="str">
            <v>DKK</v>
          </cell>
          <cell r="AL66" t="str">
            <v>DKK</v>
          </cell>
          <cell r="AM66">
            <v>0</v>
          </cell>
          <cell r="AN66">
            <v>2</v>
          </cell>
        </row>
        <row r="67">
          <cell r="A67">
            <v>39566</v>
          </cell>
          <cell r="B67">
            <v>39566</v>
          </cell>
          <cell r="C67" t="str">
            <v>Past</v>
          </cell>
          <cell r="D67">
            <v>67.81</v>
          </cell>
          <cell r="E67" t="e">
            <v>#N/A</v>
          </cell>
          <cell r="F67" t="e">
            <v>#N/A</v>
          </cell>
          <cell r="G67" t="e">
            <v>#N/A</v>
          </cell>
          <cell r="H67" t="e">
            <v>#N/A</v>
          </cell>
          <cell r="I67" t="e">
            <v>#N/A</v>
          </cell>
          <cell r="J67" t="e">
            <v>#N/A</v>
          </cell>
          <cell r="K67" t="e">
            <v>#N/A</v>
          </cell>
          <cell r="L67" t="e">
            <v>#N/A</v>
          </cell>
          <cell r="M67" t="e">
            <v>#N/A</v>
          </cell>
          <cell r="N67" t="e">
            <v>#N/A</v>
          </cell>
          <cell r="O67" t="e">
            <v>#N/A</v>
          </cell>
          <cell r="P67">
            <v>67.81</v>
          </cell>
          <cell r="Q67">
            <v>1.6659309999999998</v>
          </cell>
          <cell r="R67" t="e">
            <v>#N/A</v>
          </cell>
          <cell r="S67" t="str">
            <v>default EndDate</v>
          </cell>
          <cell r="T67">
            <v>40642</v>
          </cell>
          <cell r="AI67" t="str">
            <v>DZD Algerian Dinar</v>
          </cell>
          <cell r="AJ67" t="str">
            <v>DZD</v>
          </cell>
          <cell r="AK67" t="str">
            <v>DZD</v>
          </cell>
          <cell r="AL67" t="str">
            <v>DZD</v>
          </cell>
          <cell r="AM67">
            <v>0</v>
          </cell>
          <cell r="AN67">
            <v>2</v>
          </cell>
        </row>
        <row r="68">
          <cell r="A68">
            <v>39567</v>
          </cell>
          <cell r="B68">
            <v>39567</v>
          </cell>
          <cell r="C68" t="str">
            <v>Past</v>
          </cell>
          <cell r="D68">
            <v>67.790000000000006</v>
          </cell>
          <cell r="E68" t="e">
            <v>#N/A</v>
          </cell>
          <cell r="F68" t="e">
            <v>#N/A</v>
          </cell>
          <cell r="G68" t="e">
            <v>#N/A</v>
          </cell>
          <cell r="H68" t="e">
            <v>#N/A</v>
          </cell>
          <cell r="I68" t="e">
            <v>#N/A</v>
          </cell>
          <cell r="J68" t="e">
            <v>#N/A</v>
          </cell>
          <cell r="K68" t="e">
            <v>#N/A</v>
          </cell>
          <cell r="L68" t="e">
            <v>#N/A</v>
          </cell>
          <cell r="M68" t="e">
            <v>#N/A</v>
          </cell>
          <cell r="N68" t="e">
            <v>#N/A</v>
          </cell>
          <cell r="O68" t="e">
            <v>#N/A</v>
          </cell>
          <cell r="P68">
            <v>67.790000000000006</v>
          </cell>
          <cell r="Q68">
            <v>0.99023600000000001</v>
          </cell>
          <cell r="R68" t="e">
            <v>#N/A</v>
          </cell>
          <cell r="S68" t="str">
            <v>Max sharePrice</v>
          </cell>
          <cell r="T68">
            <v>72.650000000000006</v>
          </cell>
          <cell r="AI68" t="str">
            <v>EGP Egyptian Pound</v>
          </cell>
          <cell r="AJ68" t="str">
            <v>EGP</v>
          </cell>
          <cell r="AK68" t="str">
            <v>EGP</v>
          </cell>
          <cell r="AL68" t="str">
            <v>EGP</v>
          </cell>
          <cell r="AM68">
            <v>0</v>
          </cell>
          <cell r="AN68">
            <v>2</v>
          </cell>
        </row>
        <row r="69">
          <cell r="A69">
            <v>39568</v>
          </cell>
          <cell r="B69">
            <v>39568</v>
          </cell>
          <cell r="C69" t="str">
            <v>Past</v>
          </cell>
          <cell r="D69">
            <v>68.150000000000006</v>
          </cell>
          <cell r="E69" t="e">
            <v>#N/A</v>
          </cell>
          <cell r="F69" t="e">
            <v>#N/A</v>
          </cell>
          <cell r="G69" t="e">
            <v>#N/A</v>
          </cell>
          <cell r="H69" t="e">
            <v>#N/A</v>
          </cell>
          <cell r="I69" t="e">
            <v>#N/A</v>
          </cell>
          <cell r="J69" t="e">
            <v>#N/A</v>
          </cell>
          <cell r="K69" t="e">
            <v>#N/A</v>
          </cell>
          <cell r="L69" t="e">
            <v>#N/A</v>
          </cell>
          <cell r="M69" t="e">
            <v>#N/A</v>
          </cell>
          <cell r="N69" t="e">
            <v>#N/A</v>
          </cell>
          <cell r="O69" t="e">
            <v>#N/A</v>
          </cell>
          <cell r="P69">
            <v>68.150000000000006</v>
          </cell>
          <cell r="Q69">
            <v>1.49946</v>
          </cell>
          <cell r="R69" t="e">
            <v>#N/A</v>
          </cell>
          <cell r="AI69" t="str">
            <v>EUR Euro</v>
          </cell>
          <cell r="AJ69" t="str">
            <v>€</v>
          </cell>
          <cell r="AK69" t="str">
            <v>EUR</v>
          </cell>
          <cell r="AL69" t="str">
            <v>EUR</v>
          </cell>
          <cell r="AM69">
            <v>0</v>
          </cell>
          <cell r="AN69">
            <v>2</v>
          </cell>
        </row>
        <row r="70">
          <cell r="A70">
            <v>39569</v>
          </cell>
          <cell r="B70">
            <v>39569</v>
          </cell>
          <cell r="C70" t="str">
            <v>Past</v>
          </cell>
          <cell r="D70">
            <v>69.39</v>
          </cell>
          <cell r="E70" t="e">
            <v>#N/A</v>
          </cell>
          <cell r="F70" t="e">
            <v>#N/A</v>
          </cell>
          <cell r="G70" t="e">
            <v>#N/A</v>
          </cell>
          <cell r="H70" t="e">
            <v>#N/A</v>
          </cell>
          <cell r="I70" t="e">
            <v>#N/A</v>
          </cell>
          <cell r="J70" t="e">
            <v>#N/A</v>
          </cell>
          <cell r="K70" t="e">
            <v>#N/A</v>
          </cell>
          <cell r="L70" t="e">
            <v>#N/A</v>
          </cell>
          <cell r="M70" t="e">
            <v>#N/A</v>
          </cell>
          <cell r="N70" t="e">
            <v>#N/A</v>
          </cell>
          <cell r="O70" t="e">
            <v>#N/A</v>
          </cell>
          <cell r="P70">
            <v>69.39</v>
          </cell>
          <cell r="Q70">
            <v>1.146895</v>
          </cell>
          <cell r="R70" t="e">
            <v>#N/A</v>
          </cell>
          <cell r="AI70" t="str">
            <v>GBp British Pence</v>
          </cell>
          <cell r="AJ70" t="str">
            <v>p</v>
          </cell>
          <cell r="AK70" t="str">
            <v>GBp</v>
          </cell>
          <cell r="AL70" t="str">
            <v>GBX</v>
          </cell>
          <cell r="AM70">
            <v>1</v>
          </cell>
          <cell r="AN70">
            <v>0</v>
          </cell>
        </row>
        <row r="71">
          <cell r="A71">
            <v>39570</v>
          </cell>
          <cell r="B71">
            <v>39570</v>
          </cell>
          <cell r="C71" t="str">
            <v>Past</v>
          </cell>
          <cell r="D71">
            <v>68.489999999999995</v>
          </cell>
          <cell r="E71" t="e">
            <v>#N/A</v>
          </cell>
          <cell r="F71" t="e">
            <v>#N/A</v>
          </cell>
          <cell r="G71" t="e">
            <v>#N/A</v>
          </cell>
          <cell r="H71" t="e">
            <v>#N/A</v>
          </cell>
          <cell r="I71" t="e">
            <v>#N/A</v>
          </cell>
          <cell r="J71" t="e">
            <v>#N/A</v>
          </cell>
          <cell r="K71" t="e">
            <v>#N/A</v>
          </cell>
          <cell r="L71" t="e">
            <v>#N/A</v>
          </cell>
          <cell r="M71" t="e">
            <v>#N/A</v>
          </cell>
          <cell r="N71" t="e">
            <v>#N/A</v>
          </cell>
          <cell r="O71" t="e">
            <v>#N/A</v>
          </cell>
          <cell r="P71">
            <v>68.489999999999995</v>
          </cell>
          <cell r="Q71">
            <v>1.781042</v>
          </cell>
          <cell r="R71" t="e">
            <v>#N/A</v>
          </cell>
          <cell r="AI71" t="str">
            <v>GBP British Pound</v>
          </cell>
          <cell r="AJ71" t="str">
            <v>₤</v>
          </cell>
          <cell r="AK71" t="str">
            <v>GBP</v>
          </cell>
          <cell r="AL71" t="str">
            <v>GBP</v>
          </cell>
          <cell r="AM71">
            <v>0</v>
          </cell>
          <cell r="AN71">
            <v>2</v>
          </cell>
        </row>
        <row r="72">
          <cell r="A72">
            <v>39573</v>
          </cell>
          <cell r="B72">
            <v>39573</v>
          </cell>
          <cell r="C72" t="str">
            <v>Past</v>
          </cell>
          <cell r="D72">
            <v>68.48</v>
          </cell>
          <cell r="E72" t="e">
            <v>#N/A</v>
          </cell>
          <cell r="F72" t="e">
            <v>#N/A</v>
          </cell>
          <cell r="G72" t="e">
            <v>#N/A</v>
          </cell>
          <cell r="H72" t="e">
            <v>#N/A</v>
          </cell>
          <cell r="I72" t="e">
            <v>#N/A</v>
          </cell>
          <cell r="J72" t="e">
            <v>#N/A</v>
          </cell>
          <cell r="K72" t="e">
            <v>#N/A</v>
          </cell>
          <cell r="L72" t="e">
            <v>#N/A</v>
          </cell>
          <cell r="M72" t="e">
            <v>#N/A</v>
          </cell>
          <cell r="N72" t="e">
            <v>#N/A</v>
          </cell>
          <cell r="O72" t="e">
            <v>#N/A</v>
          </cell>
          <cell r="P72">
            <v>68.48</v>
          </cell>
          <cell r="Q72">
            <v>0.58542099999999997</v>
          </cell>
          <cell r="R72" t="e">
            <v>#N/A</v>
          </cell>
          <cell r="AI72" t="str">
            <v>HKD Hong Kong Dollar</v>
          </cell>
          <cell r="AJ72" t="str">
            <v>HK$</v>
          </cell>
          <cell r="AK72" t="str">
            <v>HKD</v>
          </cell>
          <cell r="AL72" t="str">
            <v>HKD</v>
          </cell>
          <cell r="AM72">
            <v>0</v>
          </cell>
          <cell r="AN72">
            <v>2</v>
          </cell>
        </row>
        <row r="73">
          <cell r="A73">
            <v>39574</v>
          </cell>
          <cell r="B73">
            <v>39574</v>
          </cell>
          <cell r="C73" t="str">
            <v>Past</v>
          </cell>
          <cell r="D73">
            <v>68.209999999999994</v>
          </cell>
          <cell r="E73" t="e">
            <v>#N/A</v>
          </cell>
          <cell r="F73" t="e">
            <v>#N/A</v>
          </cell>
          <cell r="G73" t="e">
            <v>#N/A</v>
          </cell>
          <cell r="H73" t="e">
            <v>#N/A</v>
          </cell>
          <cell r="I73" t="e">
            <v>#N/A</v>
          </cell>
          <cell r="J73" t="e">
            <v>#N/A</v>
          </cell>
          <cell r="K73" t="e">
            <v>#N/A</v>
          </cell>
          <cell r="L73" t="e">
            <v>#N/A</v>
          </cell>
          <cell r="M73" t="e">
            <v>#N/A</v>
          </cell>
          <cell r="N73" t="e">
            <v>#N/A</v>
          </cell>
          <cell r="O73" t="e">
            <v>#N/A</v>
          </cell>
          <cell r="P73">
            <v>68.209999999999994</v>
          </cell>
          <cell r="Q73">
            <v>0.82417799999999997</v>
          </cell>
          <cell r="R73" t="e">
            <v>#N/A</v>
          </cell>
          <cell r="AI73" t="str">
            <v>HUF Hungarian forint</v>
          </cell>
          <cell r="AJ73" t="str">
            <v>Ft</v>
          </cell>
          <cell r="AK73" t="str">
            <v>HUF</v>
          </cell>
          <cell r="AL73" t="str">
            <v>HUF</v>
          </cell>
          <cell r="AM73">
            <v>0</v>
          </cell>
          <cell r="AN73">
            <v>2</v>
          </cell>
        </row>
        <row r="74">
          <cell r="A74">
            <v>39575</v>
          </cell>
          <cell r="B74">
            <v>39575</v>
          </cell>
          <cell r="C74" t="str">
            <v>Past</v>
          </cell>
          <cell r="D74">
            <v>66.7</v>
          </cell>
          <cell r="E74" t="e">
            <v>#N/A</v>
          </cell>
          <cell r="F74" t="e">
            <v>#N/A</v>
          </cell>
          <cell r="G74" t="e">
            <v>#N/A</v>
          </cell>
          <cell r="H74" t="e">
            <v>#N/A</v>
          </cell>
          <cell r="I74" t="e">
            <v>#N/A</v>
          </cell>
          <cell r="J74" t="e">
            <v>#N/A</v>
          </cell>
          <cell r="K74" t="e">
            <v>#N/A</v>
          </cell>
          <cell r="L74" t="e">
            <v>#N/A</v>
          </cell>
          <cell r="M74" t="e">
            <v>#N/A</v>
          </cell>
          <cell r="N74" t="e">
            <v>#N/A</v>
          </cell>
          <cell r="O74" t="e">
            <v>#N/A</v>
          </cell>
          <cell r="P74">
            <v>66.7</v>
          </cell>
          <cell r="Q74">
            <v>0.75180899999999995</v>
          </cell>
          <cell r="R74" t="e">
            <v>#N/A</v>
          </cell>
          <cell r="AI74" t="str">
            <v>IDR Indonesian Rupiah</v>
          </cell>
          <cell r="AJ74" t="str">
            <v>Rp</v>
          </cell>
          <cell r="AK74" t="str">
            <v>IDR</v>
          </cell>
          <cell r="AL74" t="str">
            <v>IDR</v>
          </cell>
          <cell r="AM74">
            <v>0</v>
          </cell>
          <cell r="AN74">
            <v>0</v>
          </cell>
        </row>
        <row r="75">
          <cell r="A75">
            <v>39576</v>
          </cell>
          <cell r="B75">
            <v>39576</v>
          </cell>
          <cell r="C75" t="str">
            <v>Past</v>
          </cell>
          <cell r="D75">
            <v>67.599999999999994</v>
          </cell>
          <cell r="E75" t="e">
            <v>#N/A</v>
          </cell>
          <cell r="F75" t="e">
            <v>#N/A</v>
          </cell>
          <cell r="G75" t="e">
            <v>#N/A</v>
          </cell>
          <cell r="H75" t="e">
            <v>#N/A</v>
          </cell>
          <cell r="I75" t="e">
            <v>#N/A</v>
          </cell>
          <cell r="J75" t="e">
            <v>#N/A</v>
          </cell>
          <cell r="K75" t="e">
            <v>#N/A</v>
          </cell>
          <cell r="L75" t="e">
            <v>#N/A</v>
          </cell>
          <cell r="M75" t="e">
            <v>#N/A</v>
          </cell>
          <cell r="N75" t="e">
            <v>#N/A</v>
          </cell>
          <cell r="O75" t="e">
            <v>#N/A</v>
          </cell>
          <cell r="P75">
            <v>67.599999999999994</v>
          </cell>
          <cell r="Q75">
            <v>0.81272299999999997</v>
          </cell>
          <cell r="R75" t="e">
            <v>#N/A</v>
          </cell>
          <cell r="AI75" t="str">
            <v>ILS Israeli shekel</v>
          </cell>
          <cell r="AJ75" t="str">
            <v>ILS</v>
          </cell>
          <cell r="AK75" t="str">
            <v>ILS</v>
          </cell>
          <cell r="AL75" t="str">
            <v>ILS</v>
          </cell>
          <cell r="AM75">
            <v>0</v>
          </cell>
          <cell r="AN75">
            <v>2</v>
          </cell>
        </row>
        <row r="76">
          <cell r="A76">
            <v>39577</v>
          </cell>
          <cell r="B76">
            <v>39577</v>
          </cell>
          <cell r="C76" t="str">
            <v>Past</v>
          </cell>
          <cell r="D76">
            <v>67.069999999999993</v>
          </cell>
          <cell r="E76" t="e">
            <v>#N/A</v>
          </cell>
          <cell r="F76" t="e">
            <v>#N/A</v>
          </cell>
          <cell r="G76" t="e">
            <v>#N/A</v>
          </cell>
          <cell r="H76" t="e">
            <v>#N/A</v>
          </cell>
          <cell r="I76" t="e">
            <v>#N/A</v>
          </cell>
          <cell r="J76" t="e">
            <v>#N/A</v>
          </cell>
          <cell r="K76" t="e">
            <v>#N/A</v>
          </cell>
          <cell r="L76" t="e">
            <v>#N/A</v>
          </cell>
          <cell r="M76" t="e">
            <v>#N/A</v>
          </cell>
          <cell r="N76" t="e">
            <v>#N/A</v>
          </cell>
          <cell r="O76" t="e">
            <v>#N/A</v>
          </cell>
          <cell r="P76">
            <v>67.069999999999993</v>
          </cell>
          <cell r="Q76">
            <v>0.47185299999999997</v>
          </cell>
          <cell r="R76" t="e">
            <v>#N/A</v>
          </cell>
          <cell r="AI76" t="str">
            <v>INR Indian Rupee</v>
          </cell>
          <cell r="AJ76" t="str">
            <v>Rs.</v>
          </cell>
          <cell r="AK76" t="str">
            <v>INR</v>
          </cell>
          <cell r="AL76" t="str">
            <v>INR</v>
          </cell>
          <cell r="AM76">
            <v>0</v>
          </cell>
          <cell r="AN76">
            <v>2</v>
          </cell>
        </row>
        <row r="77">
          <cell r="A77">
            <v>39580</v>
          </cell>
          <cell r="B77">
            <v>39580</v>
          </cell>
          <cell r="C77" t="str">
            <v>Past</v>
          </cell>
          <cell r="D77">
            <v>67.47</v>
          </cell>
          <cell r="E77" t="e">
            <v>#N/A</v>
          </cell>
          <cell r="F77" t="e">
            <v>#N/A</v>
          </cell>
          <cell r="G77" t="e">
            <v>#N/A</v>
          </cell>
          <cell r="H77" t="e">
            <v>#N/A</v>
          </cell>
          <cell r="I77" t="e">
            <v>#N/A</v>
          </cell>
          <cell r="J77" t="e">
            <v>#N/A</v>
          </cell>
          <cell r="K77" t="e">
            <v>#N/A</v>
          </cell>
          <cell r="L77" t="e">
            <v>#N/A</v>
          </cell>
          <cell r="M77" t="e">
            <v>#N/A</v>
          </cell>
          <cell r="N77" t="e">
            <v>#N/A</v>
          </cell>
          <cell r="O77" t="e">
            <v>#N/A</v>
          </cell>
          <cell r="P77">
            <v>67.47</v>
          </cell>
          <cell r="Q77">
            <v>0.54441200000000001</v>
          </cell>
          <cell r="R77" t="e">
            <v>#N/A</v>
          </cell>
          <cell r="AI77" t="str">
            <v>IQD Iraqi Dinar</v>
          </cell>
          <cell r="AJ77" t="str">
            <v>IQD</v>
          </cell>
          <cell r="AK77" t="str">
            <v>IQD</v>
          </cell>
          <cell r="AL77" t="str">
            <v>IQD</v>
          </cell>
          <cell r="AM77">
            <v>0</v>
          </cell>
          <cell r="AN77">
            <v>2</v>
          </cell>
        </row>
        <row r="78">
          <cell r="A78">
            <v>39581</v>
          </cell>
          <cell r="B78">
            <v>39581</v>
          </cell>
          <cell r="C78" t="str">
            <v>Past</v>
          </cell>
          <cell r="D78">
            <v>67.84</v>
          </cell>
          <cell r="E78" t="e">
            <v>#N/A</v>
          </cell>
          <cell r="F78" t="e">
            <v>#N/A</v>
          </cell>
          <cell r="G78" t="e">
            <v>#N/A</v>
          </cell>
          <cell r="H78" t="e">
            <v>#N/A</v>
          </cell>
          <cell r="I78" t="e">
            <v>#N/A</v>
          </cell>
          <cell r="J78" t="e">
            <v>#N/A</v>
          </cell>
          <cell r="K78" t="e">
            <v>#N/A</v>
          </cell>
          <cell r="L78" t="e">
            <v>#N/A</v>
          </cell>
          <cell r="M78" t="e">
            <v>#N/A</v>
          </cell>
          <cell r="N78" t="e">
            <v>#N/A</v>
          </cell>
          <cell r="O78" t="e">
            <v>#N/A</v>
          </cell>
          <cell r="P78">
            <v>67.84</v>
          </cell>
          <cell r="Q78">
            <v>0.67736600000000002</v>
          </cell>
          <cell r="R78" t="e">
            <v>#N/A</v>
          </cell>
          <cell r="AI78" t="str">
            <v>IRR Iranian Rial</v>
          </cell>
          <cell r="AJ78" t="str">
            <v>IRR</v>
          </cell>
          <cell r="AK78" t="str">
            <v>IRR</v>
          </cell>
          <cell r="AL78" t="str">
            <v>IRR</v>
          </cell>
          <cell r="AM78">
            <v>0</v>
          </cell>
          <cell r="AN78">
            <v>2</v>
          </cell>
        </row>
        <row r="79">
          <cell r="A79">
            <v>39582</v>
          </cell>
          <cell r="B79">
            <v>39582</v>
          </cell>
          <cell r="C79" t="str">
            <v>Past</v>
          </cell>
          <cell r="D79">
            <v>68.13</v>
          </cell>
          <cell r="E79" t="e">
            <v>#N/A</v>
          </cell>
          <cell r="F79" t="e">
            <v>#N/A</v>
          </cell>
          <cell r="G79" t="e">
            <v>#N/A</v>
          </cell>
          <cell r="H79" t="e">
            <v>#N/A</v>
          </cell>
          <cell r="I79" t="e">
            <v>#N/A</v>
          </cell>
          <cell r="J79" t="e">
            <v>#N/A</v>
          </cell>
          <cell r="K79" t="e">
            <v>#N/A</v>
          </cell>
          <cell r="L79" t="e">
            <v>#N/A</v>
          </cell>
          <cell r="M79" t="e">
            <v>#N/A</v>
          </cell>
          <cell r="N79" t="e">
            <v>#N/A</v>
          </cell>
          <cell r="O79" t="e">
            <v>#N/A</v>
          </cell>
          <cell r="P79">
            <v>68.13</v>
          </cell>
          <cell r="Q79">
            <v>0.79796199999999995</v>
          </cell>
          <cell r="R79" t="e">
            <v>#N/A</v>
          </cell>
          <cell r="AI79" t="str">
            <v>ISK Iceland Krona</v>
          </cell>
          <cell r="AJ79" t="str">
            <v>kr</v>
          </cell>
          <cell r="AK79" t="str">
            <v>ISK</v>
          </cell>
          <cell r="AL79" t="str">
            <v>ISK</v>
          </cell>
          <cell r="AM79">
            <v>0</v>
          </cell>
          <cell r="AN79">
            <v>2</v>
          </cell>
        </row>
        <row r="80">
          <cell r="A80">
            <v>39583</v>
          </cell>
          <cell r="B80">
            <v>39583</v>
          </cell>
          <cell r="C80" t="str">
            <v>Past</v>
          </cell>
          <cell r="D80">
            <v>67.55</v>
          </cell>
          <cell r="E80" t="e">
            <v>#N/A</v>
          </cell>
          <cell r="F80" t="e">
            <v>#N/A</v>
          </cell>
          <cell r="G80" t="e">
            <v>#N/A</v>
          </cell>
          <cell r="H80" t="e">
            <v>#N/A</v>
          </cell>
          <cell r="I80" t="e">
            <v>#N/A</v>
          </cell>
          <cell r="J80" t="e">
            <v>#N/A</v>
          </cell>
          <cell r="K80" t="e">
            <v>#N/A</v>
          </cell>
          <cell r="L80" t="e">
            <v>#N/A</v>
          </cell>
          <cell r="M80" t="e">
            <v>#N/A</v>
          </cell>
          <cell r="N80" t="e">
            <v>#N/A</v>
          </cell>
          <cell r="O80" t="e">
            <v>#N/A</v>
          </cell>
          <cell r="P80">
            <v>67.55</v>
          </cell>
          <cell r="Q80">
            <v>0.88713699999999995</v>
          </cell>
          <cell r="R80" t="e">
            <v>#N/A</v>
          </cell>
          <cell r="AI80" t="str">
            <v>JMD Jamaican Dollars</v>
          </cell>
          <cell r="AJ80" t="str">
            <v>JMD</v>
          </cell>
          <cell r="AK80" t="str">
            <v>JMD</v>
          </cell>
          <cell r="AL80" t="str">
            <v>JMD</v>
          </cell>
          <cell r="AM80">
            <v>0</v>
          </cell>
          <cell r="AN80">
            <v>2</v>
          </cell>
        </row>
        <row r="81">
          <cell r="A81">
            <v>39584</v>
          </cell>
          <cell r="B81">
            <v>39584</v>
          </cell>
          <cell r="C81" t="str">
            <v>Past</v>
          </cell>
          <cell r="D81">
            <v>67.19</v>
          </cell>
          <cell r="E81" t="e">
            <v>#N/A</v>
          </cell>
          <cell r="F81" t="e">
            <v>#N/A</v>
          </cell>
          <cell r="G81" t="e">
            <v>#N/A</v>
          </cell>
          <cell r="H81" t="e">
            <v>#N/A</v>
          </cell>
          <cell r="I81" t="e">
            <v>#N/A</v>
          </cell>
          <cell r="J81" t="e">
            <v>#N/A</v>
          </cell>
          <cell r="K81" t="e">
            <v>#N/A</v>
          </cell>
          <cell r="L81" t="e">
            <v>#N/A</v>
          </cell>
          <cell r="M81" t="e">
            <v>#N/A</v>
          </cell>
          <cell r="N81" t="e">
            <v>#N/A</v>
          </cell>
          <cell r="O81" t="e">
            <v>#N/A</v>
          </cell>
          <cell r="P81">
            <v>67.19</v>
          </cell>
          <cell r="Q81">
            <v>0.79061700000000001</v>
          </cell>
          <cell r="R81" t="e">
            <v>#N/A</v>
          </cell>
          <cell r="AI81" t="str">
            <v>JPY Japanese Yen</v>
          </cell>
          <cell r="AJ81" t="str">
            <v>¥</v>
          </cell>
          <cell r="AK81" t="str">
            <v>JPY</v>
          </cell>
          <cell r="AL81" t="str">
            <v>JPY</v>
          </cell>
          <cell r="AM81">
            <v>0</v>
          </cell>
          <cell r="AN81">
            <v>0</v>
          </cell>
        </row>
        <row r="82">
          <cell r="A82">
            <v>39587</v>
          </cell>
          <cell r="B82">
            <v>39587</v>
          </cell>
          <cell r="C82" t="str">
            <v>Past</v>
          </cell>
          <cell r="D82">
            <v>67.31</v>
          </cell>
          <cell r="E82" t="e">
            <v>#N/A</v>
          </cell>
          <cell r="F82" t="e">
            <v>#N/A</v>
          </cell>
          <cell r="G82" t="e">
            <v>#N/A</v>
          </cell>
          <cell r="H82" t="e">
            <v>#N/A</v>
          </cell>
          <cell r="I82" t="e">
            <v>#N/A</v>
          </cell>
          <cell r="J82" t="e">
            <v>#N/A</v>
          </cell>
          <cell r="K82" t="e">
            <v>#N/A</v>
          </cell>
          <cell r="L82" t="e">
            <v>#N/A</v>
          </cell>
          <cell r="M82" t="e">
            <v>#N/A</v>
          </cell>
          <cell r="N82" t="e">
            <v>#N/A</v>
          </cell>
          <cell r="O82" t="e">
            <v>#N/A</v>
          </cell>
          <cell r="P82">
            <v>67.31</v>
          </cell>
          <cell r="Q82">
            <v>0.81963799999999998</v>
          </cell>
          <cell r="R82" t="e">
            <v>#N/A</v>
          </cell>
          <cell r="AI82" t="str">
            <v>KES Kenyan Shilling</v>
          </cell>
          <cell r="AJ82" t="str">
            <v>KES</v>
          </cell>
          <cell r="AK82" t="str">
            <v>KES</v>
          </cell>
          <cell r="AL82" t="str">
            <v>KES</v>
          </cell>
          <cell r="AM82">
            <v>0</v>
          </cell>
          <cell r="AN82">
            <v>0</v>
          </cell>
        </row>
        <row r="83">
          <cell r="A83">
            <v>39588</v>
          </cell>
          <cell r="B83">
            <v>39588</v>
          </cell>
          <cell r="C83" t="str">
            <v>Past</v>
          </cell>
          <cell r="D83">
            <v>67.349999999999994</v>
          </cell>
          <cell r="E83" t="e">
            <v>#N/A</v>
          </cell>
          <cell r="F83" t="e">
            <v>#N/A</v>
          </cell>
          <cell r="G83" t="e">
            <v>#N/A</v>
          </cell>
          <cell r="H83" t="e">
            <v>#N/A</v>
          </cell>
          <cell r="I83" t="e">
            <v>#N/A</v>
          </cell>
          <cell r="J83" t="e">
            <v>#N/A</v>
          </cell>
          <cell r="K83" t="e">
            <v>#N/A</v>
          </cell>
          <cell r="L83" t="e">
            <v>#N/A</v>
          </cell>
          <cell r="M83" t="e">
            <v>#N/A</v>
          </cell>
          <cell r="N83" t="e">
            <v>#N/A</v>
          </cell>
          <cell r="O83" t="e">
            <v>#N/A</v>
          </cell>
          <cell r="P83">
            <v>67.349999999999994</v>
          </cell>
          <cell r="Q83">
            <v>0.70514699999999997</v>
          </cell>
          <cell r="R83" t="e">
            <v>#N/A</v>
          </cell>
          <cell r="AI83" t="str">
            <v>KRW South Korean Won</v>
          </cell>
          <cell r="AJ83" t="str">
            <v>₩</v>
          </cell>
          <cell r="AK83" t="str">
            <v>KRW</v>
          </cell>
          <cell r="AL83" t="str">
            <v>KRW</v>
          </cell>
          <cell r="AM83">
            <v>0</v>
          </cell>
          <cell r="AN83">
            <v>0</v>
          </cell>
        </row>
        <row r="84">
          <cell r="A84">
            <v>39589</v>
          </cell>
          <cell r="B84">
            <v>39589</v>
          </cell>
          <cell r="C84" t="str">
            <v>Past</v>
          </cell>
          <cell r="D84">
            <v>65.86</v>
          </cell>
          <cell r="E84" t="e">
            <v>#N/A</v>
          </cell>
          <cell r="F84" t="e">
            <v>#N/A</v>
          </cell>
          <cell r="G84" t="e">
            <v>#N/A</v>
          </cell>
          <cell r="H84" t="e">
            <v>#N/A</v>
          </cell>
          <cell r="I84" t="e">
            <v>#N/A</v>
          </cell>
          <cell r="J84" t="e">
            <v>#N/A</v>
          </cell>
          <cell r="K84" t="e">
            <v>#N/A</v>
          </cell>
          <cell r="L84" t="e">
            <v>#N/A</v>
          </cell>
          <cell r="M84" t="e">
            <v>#N/A</v>
          </cell>
          <cell r="N84" t="e">
            <v>#N/A</v>
          </cell>
          <cell r="O84" t="e">
            <v>#N/A</v>
          </cell>
          <cell r="P84">
            <v>65.86</v>
          </cell>
          <cell r="Q84">
            <v>1.3927429999999998</v>
          </cell>
          <cell r="R84" t="e">
            <v>#N/A</v>
          </cell>
          <cell r="AI84" t="str">
            <v>KWD Kuwaiti Dinar</v>
          </cell>
          <cell r="AJ84" t="str">
            <v>KWD</v>
          </cell>
          <cell r="AK84" t="str">
            <v>KWD</v>
          </cell>
          <cell r="AL84" t="str">
            <v>KWD</v>
          </cell>
          <cell r="AM84">
            <v>0</v>
          </cell>
          <cell r="AN84">
            <v>2</v>
          </cell>
        </row>
        <row r="85">
          <cell r="A85">
            <v>39590</v>
          </cell>
          <cell r="B85">
            <v>39590</v>
          </cell>
          <cell r="C85" t="str">
            <v>Past</v>
          </cell>
          <cell r="D85">
            <v>64.8</v>
          </cell>
          <cell r="E85" t="e">
            <v>#N/A</v>
          </cell>
          <cell r="F85" t="e">
            <v>#N/A</v>
          </cell>
          <cell r="G85" t="e">
            <v>#N/A</v>
          </cell>
          <cell r="H85" t="e">
            <v>#N/A</v>
          </cell>
          <cell r="I85" t="e">
            <v>#N/A</v>
          </cell>
          <cell r="J85" t="e">
            <v>#N/A</v>
          </cell>
          <cell r="K85" t="e">
            <v>#N/A</v>
          </cell>
          <cell r="L85" t="e">
            <v>#N/A</v>
          </cell>
          <cell r="M85" t="e">
            <v>#N/A</v>
          </cell>
          <cell r="N85" t="e">
            <v>#N/A</v>
          </cell>
          <cell r="O85" t="e">
            <v>#N/A</v>
          </cell>
          <cell r="P85">
            <v>64.8</v>
          </cell>
          <cell r="Q85">
            <v>1.485079</v>
          </cell>
          <cell r="R85" t="e">
            <v>#N/A</v>
          </cell>
          <cell r="AI85" t="str">
            <v>KYD Cayman Dollars</v>
          </cell>
          <cell r="AJ85" t="str">
            <v>KYD</v>
          </cell>
          <cell r="AK85" t="str">
            <v>KYD</v>
          </cell>
          <cell r="AL85" t="str">
            <v>KYD</v>
          </cell>
          <cell r="AM85">
            <v>0</v>
          </cell>
          <cell r="AN85">
            <v>2</v>
          </cell>
        </row>
        <row r="86">
          <cell r="A86">
            <v>39591</v>
          </cell>
          <cell r="B86">
            <v>39591</v>
          </cell>
          <cell r="C86" t="str">
            <v>Past</v>
          </cell>
          <cell r="D86">
            <v>64.010000000000005</v>
          </cell>
          <cell r="E86" t="e">
            <v>#N/A</v>
          </cell>
          <cell r="F86" t="e">
            <v>#N/A</v>
          </cell>
          <cell r="G86" t="e">
            <v>#N/A</v>
          </cell>
          <cell r="H86" t="e">
            <v>#N/A</v>
          </cell>
          <cell r="I86" t="e">
            <v>#N/A</v>
          </cell>
          <cell r="J86" t="e">
            <v>#N/A</v>
          </cell>
          <cell r="K86" t="e">
            <v>#N/A</v>
          </cell>
          <cell r="L86" t="e">
            <v>#N/A</v>
          </cell>
          <cell r="M86" t="e">
            <v>#N/A</v>
          </cell>
          <cell r="N86" t="e">
            <v>#N/A</v>
          </cell>
          <cell r="O86" t="e">
            <v>#N/A</v>
          </cell>
          <cell r="P86">
            <v>64.010000000000005</v>
          </cell>
          <cell r="Q86">
            <v>1.287188</v>
          </cell>
          <cell r="R86" t="e">
            <v>#N/A</v>
          </cell>
          <cell r="AI86" t="str">
            <v>LKR Sri Lankan Rupee</v>
          </cell>
          <cell r="AJ86" t="str">
            <v>LKR</v>
          </cell>
          <cell r="AK86" t="str">
            <v>LKR</v>
          </cell>
          <cell r="AL86" t="str">
            <v>LKR</v>
          </cell>
          <cell r="AM86">
            <v>0</v>
          </cell>
          <cell r="AN86">
            <v>2</v>
          </cell>
        </row>
        <row r="87">
          <cell r="A87">
            <v>39595</v>
          </cell>
          <cell r="B87">
            <v>39595</v>
          </cell>
          <cell r="C87" t="str">
            <v>Past</v>
          </cell>
          <cell r="D87">
            <v>63.85</v>
          </cell>
          <cell r="E87" t="e">
            <v>#N/A</v>
          </cell>
          <cell r="F87" t="e">
            <v>#N/A</v>
          </cell>
          <cell r="G87" t="e">
            <v>#N/A</v>
          </cell>
          <cell r="H87" t="e">
            <v>#N/A</v>
          </cell>
          <cell r="I87" t="e">
            <v>#N/A</v>
          </cell>
          <cell r="J87" t="e">
            <v>#N/A</v>
          </cell>
          <cell r="K87" t="e">
            <v>#N/A</v>
          </cell>
          <cell r="L87" t="e">
            <v>#N/A</v>
          </cell>
          <cell r="M87" t="e">
            <v>#N/A</v>
          </cell>
          <cell r="N87" t="e">
            <v>#N/A</v>
          </cell>
          <cell r="O87" t="e">
            <v>#N/A</v>
          </cell>
          <cell r="P87">
            <v>63.85</v>
          </cell>
          <cell r="Q87">
            <v>1.5544229999999999</v>
          </cell>
          <cell r="R87" t="e">
            <v>#N/A</v>
          </cell>
          <cell r="AI87" t="str">
            <v>MAD Moroccan Dirham</v>
          </cell>
          <cell r="AJ87" t="str">
            <v>MAD</v>
          </cell>
          <cell r="AK87" t="str">
            <v>MAD</v>
          </cell>
          <cell r="AL87" t="str">
            <v>MAD</v>
          </cell>
          <cell r="AM87">
            <v>0</v>
          </cell>
          <cell r="AN87">
            <v>2</v>
          </cell>
        </row>
        <row r="88">
          <cell r="A88">
            <v>39596</v>
          </cell>
          <cell r="B88">
            <v>39596</v>
          </cell>
          <cell r="C88" t="str">
            <v>Past</v>
          </cell>
          <cell r="D88">
            <v>63.49</v>
          </cell>
          <cell r="E88" t="e">
            <v>#N/A</v>
          </cell>
          <cell r="F88" t="e">
            <v>#N/A</v>
          </cell>
          <cell r="G88" t="e">
            <v>#N/A</v>
          </cell>
          <cell r="H88" t="e">
            <v>#N/A</v>
          </cell>
          <cell r="I88" t="e">
            <v>#N/A</v>
          </cell>
          <cell r="J88" t="e">
            <v>#N/A</v>
          </cell>
          <cell r="K88" t="e">
            <v>#N/A</v>
          </cell>
          <cell r="L88" t="e">
            <v>#N/A</v>
          </cell>
          <cell r="M88" t="e">
            <v>#N/A</v>
          </cell>
          <cell r="N88" t="e">
            <v>#N/A</v>
          </cell>
          <cell r="O88" t="e">
            <v>#N/A</v>
          </cell>
          <cell r="P88">
            <v>63.49</v>
          </cell>
          <cell r="Q88">
            <v>1.9485509999999999</v>
          </cell>
          <cell r="R88" t="e">
            <v>#N/A</v>
          </cell>
          <cell r="AI88" t="str">
            <v>MXN Mexican Pesos (new)</v>
          </cell>
          <cell r="AJ88" t="str">
            <v>M$</v>
          </cell>
          <cell r="AK88" t="str">
            <v>MXN</v>
          </cell>
          <cell r="AL88" t="str">
            <v>MXN</v>
          </cell>
          <cell r="AM88">
            <v>0</v>
          </cell>
          <cell r="AN88">
            <v>2</v>
          </cell>
        </row>
        <row r="89">
          <cell r="A89">
            <v>39597</v>
          </cell>
          <cell r="B89">
            <v>39597</v>
          </cell>
          <cell r="C89" t="str">
            <v>Past</v>
          </cell>
          <cell r="D89">
            <v>62.2</v>
          </cell>
          <cell r="E89" t="e">
            <v>#N/A</v>
          </cell>
          <cell r="F89" t="e">
            <v>#N/A</v>
          </cell>
          <cell r="G89" t="e">
            <v>#N/A</v>
          </cell>
          <cell r="H89" t="e">
            <v>#N/A</v>
          </cell>
          <cell r="I89" t="e">
            <v>#N/A</v>
          </cell>
          <cell r="J89" t="e">
            <v>#N/A</v>
          </cell>
          <cell r="K89" t="e">
            <v>#N/A</v>
          </cell>
          <cell r="L89" t="e">
            <v>#N/A</v>
          </cell>
          <cell r="M89" t="e">
            <v>#N/A</v>
          </cell>
          <cell r="N89" t="e">
            <v>#N/A</v>
          </cell>
          <cell r="O89" t="e">
            <v>#N/A</v>
          </cell>
          <cell r="P89">
            <v>62.2</v>
          </cell>
          <cell r="Q89">
            <v>2.1770359999999997</v>
          </cell>
          <cell r="R89" t="e">
            <v>#N/A</v>
          </cell>
          <cell r="AI89" t="str">
            <v>MYR Malaysian Ringgit</v>
          </cell>
          <cell r="AJ89" t="str">
            <v>RM</v>
          </cell>
          <cell r="AK89" t="str">
            <v>MYR</v>
          </cell>
          <cell r="AL89" t="str">
            <v>MYR</v>
          </cell>
          <cell r="AM89">
            <v>0</v>
          </cell>
          <cell r="AN89">
            <v>2</v>
          </cell>
        </row>
        <row r="90">
          <cell r="A90">
            <v>39598</v>
          </cell>
          <cell r="B90">
            <v>39598</v>
          </cell>
          <cell r="C90" t="str">
            <v>Past</v>
          </cell>
          <cell r="D90">
            <v>64.81</v>
          </cell>
          <cell r="E90" t="e">
            <v>#N/A</v>
          </cell>
          <cell r="F90" t="e">
            <v>#N/A</v>
          </cell>
          <cell r="G90" t="e">
            <v>#N/A</v>
          </cell>
          <cell r="H90" t="e">
            <v>#N/A</v>
          </cell>
          <cell r="I90" t="e">
            <v>#N/A</v>
          </cell>
          <cell r="J90" t="e">
            <v>#N/A</v>
          </cell>
          <cell r="K90" t="e">
            <v>#N/A</v>
          </cell>
          <cell r="L90" t="e">
            <v>#N/A</v>
          </cell>
          <cell r="M90" t="e">
            <v>#N/A</v>
          </cell>
          <cell r="N90" t="e">
            <v>#N/A</v>
          </cell>
          <cell r="O90" t="e">
            <v>#N/A</v>
          </cell>
          <cell r="P90">
            <v>64.81</v>
          </cell>
          <cell r="Q90">
            <v>2.3512029999999999</v>
          </cell>
          <cell r="R90" t="e">
            <v>#N/A</v>
          </cell>
          <cell r="AI90" t="str">
            <v>NOK Norwegian Krone</v>
          </cell>
          <cell r="AJ90" t="str">
            <v>NKr</v>
          </cell>
          <cell r="AK90" t="str">
            <v>NOK</v>
          </cell>
          <cell r="AL90" t="str">
            <v>NOK</v>
          </cell>
          <cell r="AM90">
            <v>0</v>
          </cell>
          <cell r="AN90">
            <v>2</v>
          </cell>
        </row>
        <row r="91">
          <cell r="A91">
            <v>39601</v>
          </cell>
          <cell r="B91">
            <v>39601</v>
          </cell>
          <cell r="C91" t="str">
            <v>Past</v>
          </cell>
          <cell r="D91">
            <v>63.74</v>
          </cell>
          <cell r="E91" t="e">
            <v>#N/A</v>
          </cell>
          <cell r="F91" t="e">
            <v>#N/A</v>
          </cell>
          <cell r="G91" t="e">
            <v>#N/A</v>
          </cell>
          <cell r="H91" t="e">
            <v>#N/A</v>
          </cell>
          <cell r="I91" t="e">
            <v>#N/A</v>
          </cell>
          <cell r="J91" t="e">
            <v>#N/A</v>
          </cell>
          <cell r="K91" t="e">
            <v>#N/A</v>
          </cell>
          <cell r="L91" t="e">
            <v>#N/A</v>
          </cell>
          <cell r="M91" t="e">
            <v>#N/A</v>
          </cell>
          <cell r="N91" t="e">
            <v>#N/A</v>
          </cell>
          <cell r="O91" t="e">
            <v>#N/A</v>
          </cell>
          <cell r="P91">
            <v>63.74</v>
          </cell>
          <cell r="Q91">
            <v>1.1864000000000001</v>
          </cell>
          <cell r="R91" t="e">
            <v>#N/A</v>
          </cell>
          <cell r="AI91" t="str">
            <v>NZD New Zealand Dollars</v>
          </cell>
          <cell r="AJ91" t="str">
            <v>NZ$</v>
          </cell>
          <cell r="AK91" t="str">
            <v>NZD</v>
          </cell>
          <cell r="AL91" t="str">
            <v>NZD</v>
          </cell>
          <cell r="AM91">
            <v>0</v>
          </cell>
          <cell r="AN91">
            <v>2</v>
          </cell>
        </row>
        <row r="92">
          <cell r="A92">
            <v>39602</v>
          </cell>
          <cell r="B92">
            <v>39602</v>
          </cell>
          <cell r="C92" t="str">
            <v>Past</v>
          </cell>
          <cell r="D92">
            <v>59.5</v>
          </cell>
          <cell r="E92" t="e">
            <v>#N/A</v>
          </cell>
          <cell r="F92" t="e">
            <v>#N/A</v>
          </cell>
          <cell r="G92" t="e">
            <v>#N/A</v>
          </cell>
          <cell r="H92" t="e">
            <v>#N/A</v>
          </cell>
          <cell r="I92" t="e">
            <v>#N/A</v>
          </cell>
          <cell r="J92" t="e">
            <v>#N/A</v>
          </cell>
          <cell r="K92" t="e">
            <v>#N/A</v>
          </cell>
          <cell r="L92" t="e">
            <v>#N/A</v>
          </cell>
          <cell r="M92" t="e">
            <v>#N/A</v>
          </cell>
          <cell r="N92" t="e">
            <v>#N/A</v>
          </cell>
          <cell r="O92" t="e">
            <v>#N/A</v>
          </cell>
          <cell r="P92">
            <v>59.5</v>
          </cell>
          <cell r="Q92">
            <v>3.6609089999999997</v>
          </cell>
          <cell r="R92" t="e">
            <v>#N/A</v>
          </cell>
          <cell r="AI92" t="str">
            <v>OMR Rial Omani</v>
          </cell>
          <cell r="AJ92" t="str">
            <v>OMR</v>
          </cell>
          <cell r="AK92" t="str">
            <v>OMR</v>
          </cell>
          <cell r="AL92" t="str">
            <v>OMR</v>
          </cell>
          <cell r="AM92">
            <v>0</v>
          </cell>
          <cell r="AN92">
            <v>2</v>
          </cell>
        </row>
        <row r="93">
          <cell r="A93">
            <v>39603</v>
          </cell>
          <cell r="B93">
            <v>39603</v>
          </cell>
          <cell r="C93" t="str">
            <v>Past</v>
          </cell>
          <cell r="D93">
            <v>57.96</v>
          </cell>
          <cell r="E93" t="e">
            <v>#N/A</v>
          </cell>
          <cell r="F93" t="e">
            <v>#N/A</v>
          </cell>
          <cell r="G93" t="e">
            <v>#N/A</v>
          </cell>
          <cell r="H93" t="e">
            <v>#N/A</v>
          </cell>
          <cell r="I93" t="e">
            <v>#N/A</v>
          </cell>
          <cell r="J93" t="e">
            <v>#N/A</v>
          </cell>
          <cell r="K93" t="e">
            <v>#N/A</v>
          </cell>
          <cell r="L93" t="e">
            <v>#N/A</v>
          </cell>
          <cell r="M93" t="e">
            <v>#N/A</v>
          </cell>
          <cell r="N93" t="e">
            <v>#N/A</v>
          </cell>
          <cell r="O93" t="e">
            <v>#N/A</v>
          </cell>
          <cell r="P93">
            <v>57.96</v>
          </cell>
          <cell r="Q93">
            <v>3.3803179999999999</v>
          </cell>
          <cell r="R93" t="e">
            <v>#N/A</v>
          </cell>
          <cell r="AI93" t="str">
            <v>PAB Panamanian Balboa</v>
          </cell>
          <cell r="AJ93" t="str">
            <v>PAB</v>
          </cell>
          <cell r="AK93" t="str">
            <v>PAB</v>
          </cell>
          <cell r="AL93" t="str">
            <v>PAB</v>
          </cell>
          <cell r="AM93">
            <v>0</v>
          </cell>
          <cell r="AN93">
            <v>2</v>
          </cell>
        </row>
        <row r="94">
          <cell r="A94">
            <v>39604</v>
          </cell>
          <cell r="B94">
            <v>39604</v>
          </cell>
          <cell r="C94" t="str">
            <v>Past</v>
          </cell>
          <cell r="D94">
            <v>57.75</v>
          </cell>
          <cell r="E94" t="e">
            <v>#N/A</v>
          </cell>
          <cell r="F94" t="e">
            <v>#N/A</v>
          </cell>
          <cell r="G94" t="e">
            <v>#N/A</v>
          </cell>
          <cell r="H94" t="e">
            <v>#N/A</v>
          </cell>
          <cell r="I94" t="e">
            <v>#N/A</v>
          </cell>
          <cell r="J94" t="e">
            <v>#N/A</v>
          </cell>
          <cell r="K94" t="e">
            <v>#N/A</v>
          </cell>
          <cell r="L94" t="e">
            <v>#N/A</v>
          </cell>
          <cell r="M94" t="e">
            <v>#N/A</v>
          </cell>
          <cell r="N94" t="e">
            <v>#N/A</v>
          </cell>
          <cell r="O94" t="e">
            <v>#N/A</v>
          </cell>
          <cell r="P94">
            <v>57.75</v>
          </cell>
          <cell r="Q94">
            <v>2.5220849999999997</v>
          </cell>
          <cell r="R94" t="e">
            <v>#N/A</v>
          </cell>
          <cell r="AI94" t="str">
            <v>PEN Peruvian PEN</v>
          </cell>
          <cell r="AJ94" t="str">
            <v>PEN</v>
          </cell>
          <cell r="AK94" t="str">
            <v>PEN</v>
          </cell>
          <cell r="AL94" t="str">
            <v>PEN</v>
          </cell>
          <cell r="AM94">
            <v>0</v>
          </cell>
          <cell r="AN94">
            <v>2</v>
          </cell>
        </row>
        <row r="95">
          <cell r="A95">
            <v>39605</v>
          </cell>
          <cell r="B95">
            <v>39605</v>
          </cell>
          <cell r="C95" t="str">
            <v>Past</v>
          </cell>
          <cell r="D95">
            <v>55.89</v>
          </cell>
          <cell r="E95" t="e">
            <v>#N/A</v>
          </cell>
          <cell r="F95" t="e">
            <v>#N/A</v>
          </cell>
          <cell r="G95" t="e">
            <v>#N/A</v>
          </cell>
          <cell r="H95" t="e">
            <v>#N/A</v>
          </cell>
          <cell r="I95" t="e">
            <v>#N/A</v>
          </cell>
          <cell r="J95" t="e">
            <v>#N/A</v>
          </cell>
          <cell r="K95" t="e">
            <v>#N/A</v>
          </cell>
          <cell r="L95" t="e">
            <v>#N/A</v>
          </cell>
          <cell r="M95" t="e">
            <v>#N/A</v>
          </cell>
          <cell r="N95" t="e">
            <v>#N/A</v>
          </cell>
          <cell r="O95" t="e">
            <v>#N/A</v>
          </cell>
          <cell r="P95">
            <v>55.89</v>
          </cell>
          <cell r="Q95">
            <v>2.8522529999999997</v>
          </cell>
          <cell r="R95" t="e">
            <v>#N/A</v>
          </cell>
          <cell r="AI95" t="str">
            <v>PHP Philippino Peso</v>
          </cell>
          <cell r="AJ95" t="str">
            <v>PP</v>
          </cell>
          <cell r="AK95" t="str">
            <v>PHP</v>
          </cell>
          <cell r="AL95" t="str">
            <v>PHP</v>
          </cell>
          <cell r="AM95">
            <v>0</v>
          </cell>
          <cell r="AN95">
            <v>2</v>
          </cell>
        </row>
        <row r="96">
          <cell r="A96">
            <v>39608</v>
          </cell>
          <cell r="B96">
            <v>39608</v>
          </cell>
          <cell r="C96" t="str">
            <v>Past</v>
          </cell>
          <cell r="D96">
            <v>55.75</v>
          </cell>
          <cell r="E96" t="e">
            <v>#N/A</v>
          </cell>
          <cell r="F96" t="e">
            <v>#N/A</v>
          </cell>
          <cell r="G96" t="e">
            <v>#N/A</v>
          </cell>
          <cell r="H96" t="e">
            <v>#N/A</v>
          </cell>
          <cell r="I96" t="e">
            <v>#N/A</v>
          </cell>
          <cell r="J96" t="e">
            <v>#N/A</v>
          </cell>
          <cell r="K96" t="e">
            <v>#N/A</v>
          </cell>
          <cell r="L96" t="e">
            <v>#N/A</v>
          </cell>
          <cell r="M96" t="e">
            <v>#N/A</v>
          </cell>
          <cell r="N96" t="e">
            <v>#N/A</v>
          </cell>
          <cell r="O96" t="e">
            <v>#N/A</v>
          </cell>
          <cell r="P96">
            <v>55.75</v>
          </cell>
          <cell r="Q96">
            <v>1.777026</v>
          </cell>
          <cell r="R96" t="e">
            <v>#N/A</v>
          </cell>
          <cell r="AI96" t="str">
            <v>PKR Pakistani Rupee</v>
          </cell>
          <cell r="AJ96" t="str">
            <v>Rs.</v>
          </cell>
          <cell r="AK96" t="str">
            <v>PKR</v>
          </cell>
          <cell r="AL96" t="str">
            <v>PKR</v>
          </cell>
          <cell r="AM96">
            <v>0</v>
          </cell>
          <cell r="AN96">
            <v>2</v>
          </cell>
        </row>
        <row r="97">
          <cell r="A97">
            <v>39609</v>
          </cell>
          <cell r="B97">
            <v>39609</v>
          </cell>
          <cell r="C97" t="str">
            <v>Past</v>
          </cell>
          <cell r="D97">
            <v>54.96</v>
          </cell>
          <cell r="E97" t="e">
            <v>#N/A</v>
          </cell>
          <cell r="F97" t="e">
            <v>#N/A</v>
          </cell>
          <cell r="G97" t="e">
            <v>#N/A</v>
          </cell>
          <cell r="H97" t="e">
            <v>#N/A</v>
          </cell>
          <cell r="I97" t="e">
            <v>#N/A</v>
          </cell>
          <cell r="J97" t="e">
            <v>#N/A</v>
          </cell>
          <cell r="K97" t="e">
            <v>#N/A</v>
          </cell>
          <cell r="L97" t="e">
            <v>#N/A</v>
          </cell>
          <cell r="M97" t="e">
            <v>#N/A</v>
          </cell>
          <cell r="N97" t="e">
            <v>#N/A</v>
          </cell>
          <cell r="O97" t="e">
            <v>#N/A</v>
          </cell>
          <cell r="P97">
            <v>54.96</v>
          </cell>
          <cell r="Q97">
            <v>1.8523269999999998</v>
          </cell>
          <cell r="R97" t="e">
            <v>#N/A</v>
          </cell>
          <cell r="AI97" t="str">
            <v>PLN Polish Zloty</v>
          </cell>
          <cell r="AJ97" t="str">
            <v>zł</v>
          </cell>
          <cell r="AK97" t="str">
            <v>PLN</v>
          </cell>
          <cell r="AL97" t="str">
            <v>PLN</v>
          </cell>
          <cell r="AM97">
            <v>0</v>
          </cell>
          <cell r="AN97">
            <v>2</v>
          </cell>
        </row>
        <row r="98">
          <cell r="A98">
            <v>39610</v>
          </cell>
          <cell r="B98">
            <v>39610</v>
          </cell>
          <cell r="C98" t="str">
            <v>Past</v>
          </cell>
          <cell r="D98">
            <v>53.71</v>
          </cell>
          <cell r="E98" t="e">
            <v>#N/A</v>
          </cell>
          <cell r="F98" t="e">
            <v>#N/A</v>
          </cell>
          <cell r="G98" t="e">
            <v>#N/A</v>
          </cell>
          <cell r="H98" t="e">
            <v>#N/A</v>
          </cell>
          <cell r="I98" t="e">
            <v>#N/A</v>
          </cell>
          <cell r="J98" t="e">
            <v>#N/A</v>
          </cell>
          <cell r="K98" t="e">
            <v>#N/A</v>
          </cell>
          <cell r="L98" t="e">
            <v>#N/A</v>
          </cell>
          <cell r="M98" t="e">
            <v>#N/A</v>
          </cell>
          <cell r="N98" t="e">
            <v>#N/A</v>
          </cell>
          <cell r="O98" t="e">
            <v>#N/A</v>
          </cell>
          <cell r="P98">
            <v>53.71</v>
          </cell>
          <cell r="Q98">
            <v>2.134744</v>
          </cell>
          <cell r="R98" t="e">
            <v>#N/A</v>
          </cell>
          <cell r="AI98" t="str">
            <v>QAR Qatari Riyal</v>
          </cell>
          <cell r="AJ98" t="str">
            <v>QAR</v>
          </cell>
          <cell r="AK98" t="str">
            <v>QAR</v>
          </cell>
          <cell r="AL98" t="str">
            <v>QAR</v>
          </cell>
          <cell r="AM98">
            <v>0</v>
          </cell>
          <cell r="AN98">
            <v>2</v>
          </cell>
        </row>
        <row r="99">
          <cell r="A99">
            <v>39611</v>
          </cell>
          <cell r="B99">
            <v>39611</v>
          </cell>
          <cell r="C99" t="str">
            <v>Past</v>
          </cell>
          <cell r="D99">
            <v>53.81</v>
          </cell>
          <cell r="E99" t="e">
            <v>#N/A</v>
          </cell>
          <cell r="F99" t="e">
            <v>#N/A</v>
          </cell>
          <cell r="G99" t="e">
            <v>#N/A</v>
          </cell>
          <cell r="H99" t="e">
            <v>#N/A</v>
          </cell>
          <cell r="I99" t="e">
            <v>#N/A</v>
          </cell>
          <cell r="J99" t="e">
            <v>#N/A</v>
          </cell>
          <cell r="K99" t="e">
            <v>#N/A</v>
          </cell>
          <cell r="L99" t="e">
            <v>#N/A</v>
          </cell>
          <cell r="M99" t="e">
            <v>#N/A</v>
          </cell>
          <cell r="N99" t="e">
            <v>#N/A</v>
          </cell>
          <cell r="O99" t="e">
            <v>#N/A</v>
          </cell>
          <cell r="P99">
            <v>53.81</v>
          </cell>
          <cell r="Q99">
            <v>3.229787</v>
          </cell>
          <cell r="R99" t="e">
            <v>#N/A</v>
          </cell>
          <cell r="AI99" t="str">
            <v>RUB Russian Rouble</v>
          </cell>
          <cell r="AJ99" t="str">
            <v>RUB</v>
          </cell>
          <cell r="AK99" t="str">
            <v>RUB</v>
          </cell>
          <cell r="AL99" t="str">
            <v>RUB</v>
          </cell>
          <cell r="AM99">
            <v>0</v>
          </cell>
          <cell r="AN99">
            <v>2</v>
          </cell>
        </row>
        <row r="100">
          <cell r="A100">
            <v>39612</v>
          </cell>
          <cell r="B100">
            <v>39612</v>
          </cell>
          <cell r="C100" t="str">
            <v>Past</v>
          </cell>
          <cell r="D100">
            <v>54.19</v>
          </cell>
          <cell r="E100" t="e">
            <v>#N/A</v>
          </cell>
          <cell r="F100" t="e">
            <v>#N/A</v>
          </cell>
          <cell r="G100" t="e">
            <v>#N/A</v>
          </cell>
          <cell r="H100" t="e">
            <v>#N/A</v>
          </cell>
          <cell r="I100" t="e">
            <v>#N/A</v>
          </cell>
          <cell r="J100" t="e">
            <v>#N/A</v>
          </cell>
          <cell r="K100" t="e">
            <v>#N/A</v>
          </cell>
          <cell r="L100" t="e">
            <v>#N/A</v>
          </cell>
          <cell r="M100" t="e">
            <v>#N/A</v>
          </cell>
          <cell r="N100" t="e">
            <v>#N/A</v>
          </cell>
          <cell r="O100" t="e">
            <v>#N/A</v>
          </cell>
          <cell r="P100">
            <v>54.19</v>
          </cell>
          <cell r="Q100">
            <v>2.7294489999999998</v>
          </cell>
          <cell r="R100" t="e">
            <v>#N/A</v>
          </cell>
          <cell r="AI100" t="str">
            <v>SAR Saudi Riyal</v>
          </cell>
          <cell r="AJ100" t="str">
            <v>SAR</v>
          </cell>
          <cell r="AK100" t="str">
            <v>SAR</v>
          </cell>
          <cell r="AL100" t="str">
            <v>SAR</v>
          </cell>
          <cell r="AM100">
            <v>0</v>
          </cell>
          <cell r="AN100">
            <v>2</v>
          </cell>
        </row>
        <row r="101">
          <cell r="A101">
            <v>39615</v>
          </cell>
          <cell r="B101">
            <v>39615</v>
          </cell>
          <cell r="C101" t="str">
            <v>Past</v>
          </cell>
          <cell r="D101">
            <v>53.99</v>
          </cell>
          <cell r="E101" t="e">
            <v>#N/A</v>
          </cell>
          <cell r="F101" t="e">
            <v>#N/A</v>
          </cell>
          <cell r="G101" t="e">
            <v>#N/A</v>
          </cell>
          <cell r="H101" t="e">
            <v>#N/A</v>
          </cell>
          <cell r="I101" t="e">
            <v>#N/A</v>
          </cell>
          <cell r="J101" t="e">
            <v>#N/A</v>
          </cell>
          <cell r="K101" t="e">
            <v>#N/A</v>
          </cell>
          <cell r="L101" t="e">
            <v>#N/A</v>
          </cell>
          <cell r="M101" t="e">
            <v>#N/A</v>
          </cell>
          <cell r="N101" t="e">
            <v>#N/A</v>
          </cell>
          <cell r="O101" t="e">
            <v>#N/A</v>
          </cell>
          <cell r="P101">
            <v>53.99</v>
          </cell>
          <cell r="Q101">
            <v>1.8608629999999999</v>
          </cell>
          <cell r="R101" t="e">
            <v>#N/A</v>
          </cell>
          <cell r="AI101" t="str">
            <v>SEK Swedish Krona</v>
          </cell>
          <cell r="AJ101" t="str">
            <v>SKr</v>
          </cell>
          <cell r="AK101" t="str">
            <v>SEK</v>
          </cell>
          <cell r="AL101" t="str">
            <v>SEK</v>
          </cell>
          <cell r="AM101">
            <v>0</v>
          </cell>
          <cell r="AN101">
            <v>2</v>
          </cell>
        </row>
        <row r="102">
          <cell r="A102">
            <v>39616</v>
          </cell>
          <cell r="B102">
            <v>39616</v>
          </cell>
          <cell r="C102" t="str">
            <v>Past</v>
          </cell>
          <cell r="D102">
            <v>52.1</v>
          </cell>
          <cell r="E102" t="e">
            <v>#N/A</v>
          </cell>
          <cell r="F102" t="e">
            <v>#N/A</v>
          </cell>
          <cell r="G102" t="e">
            <v>#N/A</v>
          </cell>
          <cell r="H102" t="e">
            <v>#N/A</v>
          </cell>
          <cell r="I102" t="e">
            <v>#N/A</v>
          </cell>
          <cell r="J102" t="e">
            <v>#N/A</v>
          </cell>
          <cell r="K102" t="e">
            <v>#N/A</v>
          </cell>
          <cell r="L102" t="e">
            <v>#N/A</v>
          </cell>
          <cell r="M102" t="e">
            <v>#N/A</v>
          </cell>
          <cell r="N102" t="e">
            <v>#N/A</v>
          </cell>
          <cell r="O102" t="e">
            <v>#N/A</v>
          </cell>
          <cell r="P102">
            <v>52.1</v>
          </cell>
          <cell r="Q102">
            <v>3.3241559999999999</v>
          </cell>
          <cell r="R102" t="e">
            <v>#N/A</v>
          </cell>
          <cell r="AI102" t="str">
            <v>SGD Singapore Dollar</v>
          </cell>
          <cell r="AJ102" t="str">
            <v>S$</v>
          </cell>
          <cell r="AK102" t="str">
            <v>SGD</v>
          </cell>
          <cell r="AL102" t="str">
            <v>SGD</v>
          </cell>
          <cell r="AM102">
            <v>0</v>
          </cell>
          <cell r="AN102">
            <v>2</v>
          </cell>
        </row>
        <row r="103">
          <cell r="A103">
            <v>39617</v>
          </cell>
          <cell r="B103">
            <v>39617</v>
          </cell>
          <cell r="C103" t="str">
            <v>Past</v>
          </cell>
          <cell r="D103">
            <v>52.78</v>
          </cell>
          <cell r="E103" t="e">
            <v>#N/A</v>
          </cell>
          <cell r="F103" t="e">
            <v>#N/A</v>
          </cell>
          <cell r="G103" t="e">
            <v>#N/A</v>
          </cell>
          <cell r="H103" t="e">
            <v>#N/A</v>
          </cell>
          <cell r="I103" t="e">
            <v>#N/A</v>
          </cell>
          <cell r="J103" t="e">
            <v>#N/A</v>
          </cell>
          <cell r="K103" t="e">
            <v>#N/A</v>
          </cell>
          <cell r="L103" t="e">
            <v>#N/A</v>
          </cell>
          <cell r="M103" t="e">
            <v>#N/A</v>
          </cell>
          <cell r="N103" t="e">
            <v>#N/A</v>
          </cell>
          <cell r="O103" t="e">
            <v>#N/A</v>
          </cell>
          <cell r="P103">
            <v>52.78</v>
          </cell>
          <cell r="Q103">
            <v>2.2811879999999998</v>
          </cell>
          <cell r="R103" t="e">
            <v>#N/A</v>
          </cell>
          <cell r="AI103" t="str">
            <v>THB Thailand Baht</v>
          </cell>
          <cell r="AJ103" t="str">
            <v>Bt</v>
          </cell>
          <cell r="AK103" t="str">
            <v>THB</v>
          </cell>
          <cell r="AL103" t="str">
            <v>THB</v>
          </cell>
          <cell r="AM103">
            <v>0</v>
          </cell>
          <cell r="AN103">
            <v>2</v>
          </cell>
        </row>
        <row r="104">
          <cell r="A104">
            <v>39618</v>
          </cell>
          <cell r="B104">
            <v>39618</v>
          </cell>
          <cell r="C104" t="str">
            <v>Past</v>
          </cell>
          <cell r="D104">
            <v>52.62</v>
          </cell>
          <cell r="E104" t="e">
            <v>#N/A</v>
          </cell>
          <cell r="F104" t="e">
            <v>#N/A</v>
          </cell>
          <cell r="G104" t="e">
            <v>#N/A</v>
          </cell>
          <cell r="H104" t="e">
            <v>#N/A</v>
          </cell>
          <cell r="I104" t="e">
            <v>#N/A</v>
          </cell>
          <cell r="J104" t="e">
            <v>#N/A</v>
          </cell>
          <cell r="K104" t="e">
            <v>#N/A</v>
          </cell>
          <cell r="L104" t="e">
            <v>#N/A</v>
          </cell>
          <cell r="M104" t="e">
            <v>#N/A</v>
          </cell>
          <cell r="N104" t="e">
            <v>#N/A</v>
          </cell>
          <cell r="O104" t="e">
            <v>#N/A</v>
          </cell>
          <cell r="P104">
            <v>52.62</v>
          </cell>
          <cell r="Q104">
            <v>1.6197219999999999</v>
          </cell>
          <cell r="R104" t="e">
            <v>#N/A</v>
          </cell>
          <cell r="AI104" t="str">
            <v>TND Tunisian Dinar</v>
          </cell>
          <cell r="AJ104" t="str">
            <v>TND</v>
          </cell>
          <cell r="AK104" t="str">
            <v>TND</v>
          </cell>
          <cell r="AL104" t="str">
            <v>TND</v>
          </cell>
          <cell r="AM104">
            <v>0</v>
          </cell>
          <cell r="AN104">
            <v>2</v>
          </cell>
        </row>
        <row r="105">
          <cell r="A105">
            <v>39619</v>
          </cell>
          <cell r="B105">
            <v>39619</v>
          </cell>
          <cell r="C105" t="str">
            <v>Past</v>
          </cell>
          <cell r="D105">
            <v>52.15</v>
          </cell>
          <cell r="E105" t="e">
            <v>#N/A</v>
          </cell>
          <cell r="F105" t="e">
            <v>#N/A</v>
          </cell>
          <cell r="G105" t="e">
            <v>#N/A</v>
          </cell>
          <cell r="H105" t="e">
            <v>#N/A</v>
          </cell>
          <cell r="I105" t="e">
            <v>#N/A</v>
          </cell>
          <cell r="J105" t="e">
            <v>#N/A</v>
          </cell>
          <cell r="K105" t="e">
            <v>#N/A</v>
          </cell>
          <cell r="L105" t="e">
            <v>#N/A</v>
          </cell>
          <cell r="M105" t="e">
            <v>#N/A</v>
          </cell>
          <cell r="N105" t="e">
            <v>#N/A</v>
          </cell>
          <cell r="O105" t="e">
            <v>#N/A</v>
          </cell>
          <cell r="P105">
            <v>52.15</v>
          </cell>
          <cell r="Q105">
            <v>2.097534</v>
          </cell>
          <cell r="R105" t="e">
            <v>#N/A</v>
          </cell>
          <cell r="AI105" t="str">
            <v>TRY Turkish Lira</v>
          </cell>
          <cell r="AJ105" t="str">
            <v>TL</v>
          </cell>
          <cell r="AK105" t="str">
            <v>TRY</v>
          </cell>
          <cell r="AL105" t="str">
            <v>TRY</v>
          </cell>
          <cell r="AM105">
            <v>0</v>
          </cell>
          <cell r="AN105">
            <v>2</v>
          </cell>
        </row>
        <row r="106">
          <cell r="A106">
            <v>39622</v>
          </cell>
          <cell r="B106">
            <v>39622</v>
          </cell>
          <cell r="C106" t="str">
            <v>Past</v>
          </cell>
          <cell r="D106">
            <v>51.87</v>
          </cell>
          <cell r="E106" t="e">
            <v>#N/A</v>
          </cell>
          <cell r="F106" t="e">
            <v>#N/A</v>
          </cell>
          <cell r="G106" t="e">
            <v>#N/A</v>
          </cell>
          <cell r="H106" t="e">
            <v>#N/A</v>
          </cell>
          <cell r="I106" t="e">
            <v>#N/A</v>
          </cell>
          <cell r="J106" t="e">
            <v>#N/A</v>
          </cell>
          <cell r="K106" t="e">
            <v>#N/A</v>
          </cell>
          <cell r="L106" t="e">
            <v>#N/A</v>
          </cell>
          <cell r="M106" t="e">
            <v>#N/A</v>
          </cell>
          <cell r="N106" t="e">
            <v>#N/A</v>
          </cell>
          <cell r="O106" t="e">
            <v>#N/A</v>
          </cell>
          <cell r="P106">
            <v>51.87</v>
          </cell>
          <cell r="Q106">
            <v>1.374647</v>
          </cell>
          <cell r="R106" t="e">
            <v>#N/A</v>
          </cell>
          <cell r="AI106" t="str">
            <v>TWD New Taiwan Dollar</v>
          </cell>
          <cell r="AJ106" t="str">
            <v>NT$</v>
          </cell>
          <cell r="AK106" t="str">
            <v>TWD</v>
          </cell>
          <cell r="AL106" t="str">
            <v>TWD</v>
          </cell>
          <cell r="AM106">
            <v>0</v>
          </cell>
          <cell r="AN106">
            <v>2</v>
          </cell>
        </row>
        <row r="107">
          <cell r="A107">
            <v>39623</v>
          </cell>
          <cell r="B107">
            <v>39623</v>
          </cell>
          <cell r="C107" t="str">
            <v>Past</v>
          </cell>
          <cell r="D107">
            <v>51.78</v>
          </cell>
          <cell r="E107" t="e">
            <v>#N/A</v>
          </cell>
          <cell r="F107" t="e">
            <v>#N/A</v>
          </cell>
          <cell r="G107" t="e">
            <v>#N/A</v>
          </cell>
          <cell r="H107" t="e">
            <v>#N/A</v>
          </cell>
          <cell r="I107" t="e">
            <v>#N/A</v>
          </cell>
          <cell r="J107" t="e">
            <v>#N/A</v>
          </cell>
          <cell r="K107" t="e">
            <v>#N/A</v>
          </cell>
          <cell r="L107" t="e">
            <v>#N/A</v>
          </cell>
          <cell r="M107" t="e">
            <v>#N/A</v>
          </cell>
          <cell r="N107" t="e">
            <v>#N/A</v>
          </cell>
          <cell r="O107" t="e">
            <v>#N/A</v>
          </cell>
          <cell r="P107">
            <v>51.78</v>
          </cell>
          <cell r="Q107">
            <v>1.6075429999999999</v>
          </cell>
          <cell r="R107" t="e">
            <v>#N/A</v>
          </cell>
          <cell r="AI107" t="str">
            <v>UAH Ukrainian Hryvnia</v>
          </cell>
          <cell r="AJ107" t="str">
            <v>UAH</v>
          </cell>
          <cell r="AK107" t="str">
            <v>UAH</v>
          </cell>
          <cell r="AL107" t="str">
            <v>UAH</v>
          </cell>
          <cell r="AM107">
            <v>0</v>
          </cell>
          <cell r="AN107">
            <v>2</v>
          </cell>
        </row>
        <row r="108">
          <cell r="A108">
            <v>39624</v>
          </cell>
          <cell r="B108">
            <v>39624</v>
          </cell>
          <cell r="C108" t="str">
            <v>Past</v>
          </cell>
          <cell r="D108">
            <v>50.29</v>
          </cell>
          <cell r="E108" t="e">
            <v>#N/A</v>
          </cell>
          <cell r="F108" t="e">
            <v>#N/A</v>
          </cell>
          <cell r="G108" t="e">
            <v>#N/A</v>
          </cell>
          <cell r="H108" t="e">
            <v>#N/A</v>
          </cell>
          <cell r="I108" t="e">
            <v>#N/A</v>
          </cell>
          <cell r="J108" t="e">
            <v>#N/A</v>
          </cell>
          <cell r="K108" t="e">
            <v>#N/A</v>
          </cell>
          <cell r="L108" t="e">
            <v>#N/A</v>
          </cell>
          <cell r="M108" t="e">
            <v>#N/A</v>
          </cell>
          <cell r="N108" t="e">
            <v>#N/A</v>
          </cell>
          <cell r="O108" t="e">
            <v>#N/A</v>
          </cell>
          <cell r="P108">
            <v>50.29</v>
          </cell>
          <cell r="Q108">
            <v>2.872887</v>
          </cell>
          <cell r="R108" t="e">
            <v>#N/A</v>
          </cell>
          <cell r="AI108" t="str">
            <v>USD American Dollar</v>
          </cell>
          <cell r="AJ108" t="str">
            <v>$</v>
          </cell>
          <cell r="AK108" t="str">
            <v>USD</v>
          </cell>
          <cell r="AL108" t="str">
            <v>USD</v>
          </cell>
          <cell r="AM108">
            <v>0</v>
          </cell>
          <cell r="AN108">
            <v>2</v>
          </cell>
        </row>
        <row r="109">
          <cell r="A109">
            <v>39625</v>
          </cell>
          <cell r="B109">
            <v>39625</v>
          </cell>
          <cell r="C109" t="str">
            <v>Past</v>
          </cell>
          <cell r="D109">
            <v>49.25</v>
          </cell>
          <cell r="E109" t="e">
            <v>#N/A</v>
          </cell>
          <cell r="F109" t="e">
            <v>#N/A</v>
          </cell>
          <cell r="G109" t="e">
            <v>#N/A</v>
          </cell>
          <cell r="H109" t="e">
            <v>#N/A</v>
          </cell>
          <cell r="I109" t="e">
            <v>#N/A</v>
          </cell>
          <cell r="J109" t="e">
            <v>#N/A</v>
          </cell>
          <cell r="K109" t="e">
            <v>#N/A</v>
          </cell>
          <cell r="L109" t="e">
            <v>#N/A</v>
          </cell>
          <cell r="M109" t="e">
            <v>#N/A</v>
          </cell>
          <cell r="N109" t="e">
            <v>#N/A</v>
          </cell>
          <cell r="O109" t="e">
            <v>#N/A</v>
          </cell>
          <cell r="P109">
            <v>49.25</v>
          </cell>
          <cell r="Q109">
            <v>2.0091730000000001</v>
          </cell>
          <cell r="R109" t="e">
            <v>#N/A</v>
          </cell>
          <cell r="AI109" t="str">
            <v>VEB Venezuelan Bolivar</v>
          </cell>
          <cell r="AJ109" t="str">
            <v>VEB</v>
          </cell>
          <cell r="AK109" t="str">
            <v>VEB</v>
          </cell>
          <cell r="AL109" t="str">
            <v>VEB</v>
          </cell>
          <cell r="AM109">
            <v>0</v>
          </cell>
          <cell r="AN109">
            <v>2</v>
          </cell>
        </row>
        <row r="110">
          <cell r="A110">
            <v>39626</v>
          </cell>
          <cell r="B110">
            <v>39626</v>
          </cell>
          <cell r="C110" t="str">
            <v>Past</v>
          </cell>
          <cell r="D110">
            <v>48.33</v>
          </cell>
          <cell r="E110" t="e">
            <v>#N/A</v>
          </cell>
          <cell r="F110" t="e">
            <v>#N/A</v>
          </cell>
          <cell r="G110" t="e">
            <v>#N/A</v>
          </cell>
          <cell r="H110" t="e">
            <v>#N/A</v>
          </cell>
          <cell r="I110" t="e">
            <v>#N/A</v>
          </cell>
          <cell r="J110" t="e">
            <v>#N/A</v>
          </cell>
          <cell r="K110" t="e">
            <v>#N/A</v>
          </cell>
          <cell r="L110" t="e">
            <v>#N/A</v>
          </cell>
          <cell r="M110" t="e">
            <v>#N/A</v>
          </cell>
          <cell r="N110" t="e">
            <v>#N/A</v>
          </cell>
          <cell r="O110" t="e">
            <v>#N/A</v>
          </cell>
          <cell r="P110">
            <v>48.33</v>
          </cell>
          <cell r="Q110">
            <v>2.0914809999999999</v>
          </cell>
          <cell r="R110" t="e">
            <v>#N/A</v>
          </cell>
          <cell r="AI110" t="str">
            <v>ZAc South African Cent</v>
          </cell>
          <cell r="AJ110" t="str">
            <v>ZAc</v>
          </cell>
          <cell r="AK110" t="str">
            <v>ZAc</v>
          </cell>
          <cell r="AL110" t="str">
            <v>ZAc</v>
          </cell>
          <cell r="AM110">
            <v>0</v>
          </cell>
          <cell r="AN110">
            <v>0</v>
          </cell>
        </row>
        <row r="111">
          <cell r="A111">
            <v>39629</v>
          </cell>
          <cell r="B111">
            <v>39629</v>
          </cell>
          <cell r="C111" t="str">
            <v>Past</v>
          </cell>
          <cell r="D111">
            <v>47.46</v>
          </cell>
          <cell r="E111" t="e">
            <v>#N/A</v>
          </cell>
          <cell r="F111" t="e">
            <v>#N/A</v>
          </cell>
          <cell r="G111" t="e">
            <v>#N/A</v>
          </cell>
          <cell r="H111" t="e">
            <v>#N/A</v>
          </cell>
          <cell r="I111" t="e">
            <v>#N/A</v>
          </cell>
          <cell r="J111" t="e">
            <v>#N/A</v>
          </cell>
          <cell r="K111" t="e">
            <v>#N/A</v>
          </cell>
          <cell r="L111" t="e">
            <v>#N/A</v>
          </cell>
          <cell r="M111" t="e">
            <v>#N/A</v>
          </cell>
          <cell r="N111" t="e">
            <v>#N/A</v>
          </cell>
          <cell r="O111" t="e">
            <v>#N/A</v>
          </cell>
          <cell r="P111">
            <v>47.46</v>
          </cell>
          <cell r="Q111">
            <v>2.2978000000000001</v>
          </cell>
          <cell r="R111" t="e">
            <v>#N/A</v>
          </cell>
          <cell r="AI111" t="str">
            <v>ZAR South African rand</v>
          </cell>
          <cell r="AJ111" t="str">
            <v>ZAR</v>
          </cell>
          <cell r="AK111" t="str">
            <v>ZAR</v>
          </cell>
          <cell r="AL111" t="str">
            <v>ZAR</v>
          </cell>
          <cell r="AM111">
            <v>0</v>
          </cell>
          <cell r="AN111">
            <v>2</v>
          </cell>
        </row>
        <row r="112">
          <cell r="A112">
            <v>39630</v>
          </cell>
          <cell r="B112">
            <v>39630</v>
          </cell>
          <cell r="C112" t="str">
            <v>Past</v>
          </cell>
          <cell r="D112">
            <v>47.67</v>
          </cell>
          <cell r="E112" t="e">
            <v>#N/A</v>
          </cell>
          <cell r="F112" t="e">
            <v>#N/A</v>
          </cell>
          <cell r="G112" t="e">
            <v>#N/A</v>
          </cell>
          <cell r="H112" t="e">
            <v>#N/A</v>
          </cell>
          <cell r="I112" t="e">
            <v>#N/A</v>
          </cell>
          <cell r="J112" t="e">
            <v>#N/A</v>
          </cell>
          <cell r="K112" t="e">
            <v>#N/A</v>
          </cell>
          <cell r="L112" t="e">
            <v>#N/A</v>
          </cell>
          <cell r="M112" t="e">
            <v>#N/A</v>
          </cell>
          <cell r="N112" t="e">
            <v>#N/A</v>
          </cell>
          <cell r="O112" t="e">
            <v>#N/A</v>
          </cell>
          <cell r="P112">
            <v>47.67</v>
          </cell>
          <cell r="Q112">
            <v>2.2609269999999997</v>
          </cell>
          <cell r="R112" t="e">
            <v>#N/A</v>
          </cell>
          <cell r="AI112" t="str">
            <v xml:space="preserve">ZMK Zambian Kwacha </v>
          </cell>
          <cell r="AJ112" t="str">
            <v>ZMK</v>
          </cell>
          <cell r="AK112" t="str">
            <v>ZMK</v>
          </cell>
          <cell r="AL112" t="str">
            <v>ZMK</v>
          </cell>
          <cell r="AM112">
            <v>0</v>
          </cell>
          <cell r="AN112">
            <v>2</v>
          </cell>
        </row>
        <row r="113">
          <cell r="A113">
            <v>39631</v>
          </cell>
          <cell r="B113">
            <v>39631</v>
          </cell>
          <cell r="C113" t="str">
            <v>Past</v>
          </cell>
          <cell r="D113">
            <v>46.07</v>
          </cell>
          <cell r="E113" t="e">
            <v>#N/A</v>
          </cell>
          <cell r="F113" t="e">
            <v>#N/A</v>
          </cell>
          <cell r="G113" t="e">
            <v>#N/A</v>
          </cell>
          <cell r="H113" t="e">
            <v>#N/A</v>
          </cell>
          <cell r="I113" t="e">
            <v>#N/A</v>
          </cell>
          <cell r="J113" t="e">
            <v>#N/A</v>
          </cell>
          <cell r="K113" t="e">
            <v>#N/A</v>
          </cell>
          <cell r="L113" t="e">
            <v>#N/A</v>
          </cell>
          <cell r="M113" t="e">
            <v>#N/A</v>
          </cell>
          <cell r="N113" t="e">
            <v>#N/A</v>
          </cell>
          <cell r="O113" t="e">
            <v>#N/A</v>
          </cell>
          <cell r="P113">
            <v>46.07</v>
          </cell>
          <cell r="Q113">
            <v>1.8350629999999999</v>
          </cell>
          <cell r="R113" t="e">
            <v>#N/A</v>
          </cell>
        </row>
        <row r="114">
          <cell r="A114">
            <v>39632</v>
          </cell>
          <cell r="B114">
            <v>39632</v>
          </cell>
          <cell r="C114" t="str">
            <v>Past</v>
          </cell>
          <cell r="D114">
            <v>46.26</v>
          </cell>
          <cell r="E114" t="e">
            <v>#N/A</v>
          </cell>
          <cell r="F114" t="e">
            <v>#N/A</v>
          </cell>
          <cell r="G114" t="e">
            <v>#N/A</v>
          </cell>
          <cell r="H114" t="e">
            <v>#N/A</v>
          </cell>
          <cell r="I114" t="e">
            <v>#N/A</v>
          </cell>
          <cell r="J114" t="e">
            <v>#N/A</v>
          </cell>
          <cell r="K114" t="e">
            <v>#N/A</v>
          </cell>
          <cell r="L114" t="e">
            <v>#N/A</v>
          </cell>
          <cell r="M114" t="e">
            <v>#N/A</v>
          </cell>
          <cell r="N114" t="e">
            <v>#N/A</v>
          </cell>
          <cell r="O114" t="e">
            <v>#N/A</v>
          </cell>
          <cell r="P114">
            <v>46.26</v>
          </cell>
          <cell r="Q114">
            <v>1.0363419999999999</v>
          </cell>
          <cell r="R114" t="e">
            <v>#N/A</v>
          </cell>
        </row>
        <row r="115">
          <cell r="A115">
            <v>39636</v>
          </cell>
          <cell r="B115">
            <v>39636</v>
          </cell>
          <cell r="C115" t="str">
            <v>Past</v>
          </cell>
          <cell r="D115">
            <v>46.17</v>
          </cell>
          <cell r="E115" t="e">
            <v>#N/A</v>
          </cell>
          <cell r="F115" t="e">
            <v>#N/A</v>
          </cell>
          <cell r="G115" t="e">
            <v>#N/A</v>
          </cell>
          <cell r="H115" t="e">
            <v>#N/A</v>
          </cell>
          <cell r="I115" t="e">
            <v>#N/A</v>
          </cell>
          <cell r="J115" t="e">
            <v>#N/A</v>
          </cell>
          <cell r="K115" t="e">
            <v>#N/A</v>
          </cell>
          <cell r="L115" t="e">
            <v>#N/A</v>
          </cell>
          <cell r="M115" t="e">
            <v>#N/A</v>
          </cell>
          <cell r="N115" t="e">
            <v>#N/A</v>
          </cell>
          <cell r="O115" t="e">
            <v>#N/A</v>
          </cell>
          <cell r="P115">
            <v>46.17</v>
          </cell>
          <cell r="Q115">
            <v>1.9667629999999998</v>
          </cell>
          <cell r="R115" t="e">
            <v>#N/A</v>
          </cell>
        </row>
        <row r="116">
          <cell r="A116">
            <v>39637</v>
          </cell>
          <cell r="B116">
            <v>39637</v>
          </cell>
          <cell r="C116" t="str">
            <v>Past</v>
          </cell>
          <cell r="D116">
            <v>48</v>
          </cell>
          <cell r="E116" t="e">
            <v>#N/A</v>
          </cell>
          <cell r="F116" t="e">
            <v>#N/A</v>
          </cell>
          <cell r="G116" t="e">
            <v>#N/A</v>
          </cell>
          <cell r="H116" t="e">
            <v>#N/A</v>
          </cell>
          <cell r="I116" t="e">
            <v>#N/A</v>
          </cell>
          <cell r="J116" t="e">
            <v>#N/A</v>
          </cell>
          <cell r="K116" t="e">
            <v>#N/A</v>
          </cell>
          <cell r="L116" t="e">
            <v>#N/A</v>
          </cell>
          <cell r="M116" t="e">
            <v>#N/A</v>
          </cell>
          <cell r="N116" t="e">
            <v>#N/A</v>
          </cell>
          <cell r="O116" t="e">
            <v>#N/A</v>
          </cell>
          <cell r="P116">
            <v>48</v>
          </cell>
          <cell r="Q116">
            <v>2.1820360000000001</v>
          </cell>
          <cell r="R116" t="e">
            <v>#N/A</v>
          </cell>
        </row>
        <row r="117">
          <cell r="A117">
            <v>39638</v>
          </cell>
          <cell r="B117">
            <v>39638</v>
          </cell>
          <cell r="C117" t="str">
            <v>Past</v>
          </cell>
          <cell r="D117">
            <v>46.04</v>
          </cell>
          <cell r="E117" t="e">
            <v>#N/A</v>
          </cell>
          <cell r="F117" t="e">
            <v>#N/A</v>
          </cell>
          <cell r="G117" t="e">
            <v>#N/A</v>
          </cell>
          <cell r="H117" t="e">
            <v>#N/A</v>
          </cell>
          <cell r="I117" t="e">
            <v>#N/A</v>
          </cell>
          <cell r="J117" t="e">
            <v>#N/A</v>
          </cell>
          <cell r="K117" t="e">
            <v>#N/A</v>
          </cell>
          <cell r="L117" t="e">
            <v>#N/A</v>
          </cell>
          <cell r="M117" t="e">
            <v>#N/A</v>
          </cell>
          <cell r="N117" t="e">
            <v>#N/A</v>
          </cell>
          <cell r="O117" t="e">
            <v>#N/A</v>
          </cell>
          <cell r="P117">
            <v>46.04</v>
          </cell>
          <cell r="Q117">
            <v>2.0910159999999998</v>
          </cell>
          <cell r="R117" t="e">
            <v>#N/A</v>
          </cell>
        </row>
        <row r="118">
          <cell r="A118">
            <v>39639</v>
          </cell>
          <cell r="B118">
            <v>39639</v>
          </cell>
          <cell r="C118" t="str">
            <v>Past</v>
          </cell>
          <cell r="D118">
            <v>46.24</v>
          </cell>
          <cell r="E118" t="e">
            <v>#N/A</v>
          </cell>
          <cell r="F118" t="e">
            <v>#N/A</v>
          </cell>
          <cell r="G118" t="e">
            <v>#N/A</v>
          </cell>
          <cell r="H118" t="e">
            <v>#N/A</v>
          </cell>
          <cell r="I118" t="e">
            <v>#N/A</v>
          </cell>
          <cell r="J118" t="e">
            <v>#N/A</v>
          </cell>
          <cell r="K118" t="e">
            <v>#N/A</v>
          </cell>
          <cell r="L118" t="e">
            <v>#N/A</v>
          </cell>
          <cell r="M118" t="e">
            <v>#N/A</v>
          </cell>
          <cell r="N118" t="e">
            <v>#N/A</v>
          </cell>
          <cell r="O118" t="e">
            <v>#N/A</v>
          </cell>
          <cell r="P118">
            <v>46.24</v>
          </cell>
          <cell r="Q118">
            <v>1.1955900000000002</v>
          </cell>
          <cell r="R118" t="e">
            <v>#N/A</v>
          </cell>
        </row>
        <row r="119">
          <cell r="A119">
            <v>39640</v>
          </cell>
          <cell r="B119">
            <v>39640</v>
          </cell>
          <cell r="C119" t="str">
            <v>Past</v>
          </cell>
          <cell r="D119">
            <v>43.48</v>
          </cell>
          <cell r="E119" t="e">
            <v>#N/A</v>
          </cell>
          <cell r="F119" t="e">
            <v>#N/A</v>
          </cell>
          <cell r="G119" t="e">
            <v>#N/A</v>
          </cell>
          <cell r="H119" t="e">
            <v>#N/A</v>
          </cell>
          <cell r="I119" t="e">
            <v>#N/A</v>
          </cell>
          <cell r="J119" t="e">
            <v>#N/A</v>
          </cell>
          <cell r="K119" t="e">
            <v>#N/A</v>
          </cell>
          <cell r="L119" t="e">
            <v>#N/A</v>
          </cell>
          <cell r="M119" t="e">
            <v>#N/A</v>
          </cell>
          <cell r="N119" t="e">
            <v>#N/A</v>
          </cell>
          <cell r="O119" t="e">
            <v>#N/A</v>
          </cell>
          <cell r="P119">
            <v>43.48</v>
          </cell>
          <cell r="Q119">
            <v>2.7890630000000001</v>
          </cell>
          <cell r="R119" t="e">
            <v>#N/A</v>
          </cell>
        </row>
        <row r="120">
          <cell r="A120">
            <v>39643</v>
          </cell>
          <cell r="B120">
            <v>39643</v>
          </cell>
          <cell r="C120" t="str">
            <v>Past</v>
          </cell>
          <cell r="D120">
            <v>43.59</v>
          </cell>
          <cell r="E120" t="e">
            <v>#N/A</v>
          </cell>
          <cell r="F120" t="e">
            <v>#N/A</v>
          </cell>
          <cell r="G120" t="e">
            <v>#N/A</v>
          </cell>
          <cell r="H120" t="e">
            <v>#N/A</v>
          </cell>
          <cell r="I120" t="e">
            <v>#N/A</v>
          </cell>
          <cell r="J120" t="e">
            <v>#N/A</v>
          </cell>
          <cell r="K120" t="e">
            <v>#N/A</v>
          </cell>
          <cell r="L120" t="e">
            <v>#N/A</v>
          </cell>
          <cell r="M120" t="e">
            <v>#N/A</v>
          </cell>
          <cell r="N120" t="e">
            <v>#N/A</v>
          </cell>
          <cell r="O120" t="e">
            <v>#N/A</v>
          </cell>
          <cell r="P120">
            <v>43.59</v>
          </cell>
          <cell r="Q120">
            <v>1.566654</v>
          </cell>
          <cell r="R120" t="e">
            <v>#N/A</v>
          </cell>
        </row>
        <row r="121">
          <cell r="A121">
            <v>39644</v>
          </cell>
          <cell r="B121">
            <v>39644</v>
          </cell>
          <cell r="C121" t="str">
            <v>Past</v>
          </cell>
          <cell r="D121">
            <v>42.14</v>
          </cell>
          <cell r="E121" t="e">
            <v>#N/A</v>
          </cell>
          <cell r="F121" t="e">
            <v>#N/A</v>
          </cell>
          <cell r="G121" t="e">
            <v>#N/A</v>
          </cell>
          <cell r="H121" t="e">
            <v>#N/A</v>
          </cell>
          <cell r="I121" t="e">
            <v>#N/A</v>
          </cell>
          <cell r="J121" t="e">
            <v>#N/A</v>
          </cell>
          <cell r="K121" t="e">
            <v>#N/A</v>
          </cell>
          <cell r="L121" t="e">
            <v>#N/A</v>
          </cell>
          <cell r="M121" t="e">
            <v>#N/A</v>
          </cell>
          <cell r="N121" t="e">
            <v>#N/A</v>
          </cell>
          <cell r="O121" t="e">
            <v>#N/A</v>
          </cell>
          <cell r="P121">
            <v>42.14</v>
          </cell>
          <cell r="Q121">
            <v>3.0899200000000002</v>
          </cell>
          <cell r="R121" t="e">
            <v>#N/A</v>
          </cell>
        </row>
        <row r="122">
          <cell r="A122">
            <v>39645</v>
          </cell>
          <cell r="B122">
            <v>39645</v>
          </cell>
          <cell r="C122" t="str">
            <v>Past</v>
          </cell>
          <cell r="D122">
            <v>43.97</v>
          </cell>
          <cell r="E122" t="e">
            <v>#N/A</v>
          </cell>
          <cell r="F122" t="e">
            <v>#N/A</v>
          </cell>
          <cell r="G122" t="e">
            <v>#N/A</v>
          </cell>
          <cell r="H122" t="e">
            <v>#N/A</v>
          </cell>
          <cell r="I122" t="e">
            <v>#N/A</v>
          </cell>
          <cell r="J122" t="e">
            <v>#N/A</v>
          </cell>
          <cell r="K122" t="e">
            <v>#N/A</v>
          </cell>
          <cell r="L122" t="e">
            <v>#N/A</v>
          </cell>
          <cell r="M122" t="e">
            <v>#N/A</v>
          </cell>
          <cell r="N122" t="e">
            <v>#N/A</v>
          </cell>
          <cell r="O122" t="e">
            <v>#N/A</v>
          </cell>
          <cell r="P122">
            <v>43.97</v>
          </cell>
          <cell r="Q122">
            <v>1.901397</v>
          </cell>
          <cell r="R122" t="e">
            <v>#N/A</v>
          </cell>
        </row>
        <row r="123">
          <cell r="A123">
            <v>39646</v>
          </cell>
          <cell r="B123">
            <v>39646</v>
          </cell>
          <cell r="C123" t="str">
            <v>Past</v>
          </cell>
          <cell r="D123">
            <v>42.74</v>
          </cell>
          <cell r="E123" t="e">
            <v>#N/A</v>
          </cell>
          <cell r="F123" t="e">
            <v>#N/A</v>
          </cell>
          <cell r="G123" t="e">
            <v>#N/A</v>
          </cell>
          <cell r="H123" t="e">
            <v>#N/A</v>
          </cell>
          <cell r="I123" t="e">
            <v>#N/A</v>
          </cell>
          <cell r="J123" t="e">
            <v>#N/A</v>
          </cell>
          <cell r="K123" t="e">
            <v>#N/A</v>
          </cell>
          <cell r="L123" t="e">
            <v>#N/A</v>
          </cell>
          <cell r="M123" t="e">
            <v>#N/A</v>
          </cell>
          <cell r="N123" t="e">
            <v>#N/A</v>
          </cell>
          <cell r="O123" t="e">
            <v>#N/A</v>
          </cell>
          <cell r="P123">
            <v>42.74</v>
          </cell>
          <cell r="Q123">
            <v>3.1988939999999997</v>
          </cell>
          <cell r="R123" t="e">
            <v>#N/A</v>
          </cell>
        </row>
        <row r="124">
          <cell r="A124">
            <v>39647</v>
          </cell>
          <cell r="B124">
            <v>39647</v>
          </cell>
          <cell r="C124" t="str">
            <v>Past</v>
          </cell>
          <cell r="D124">
            <v>42.62</v>
          </cell>
          <cell r="E124" t="e">
            <v>#N/A</v>
          </cell>
          <cell r="F124" t="e">
            <v>#N/A</v>
          </cell>
          <cell r="G124" t="e">
            <v>#N/A</v>
          </cell>
          <cell r="H124" t="e">
            <v>#N/A</v>
          </cell>
          <cell r="I124" t="e">
            <v>#N/A</v>
          </cell>
          <cell r="J124" t="e">
            <v>#N/A</v>
          </cell>
          <cell r="K124" t="e">
            <v>#N/A</v>
          </cell>
          <cell r="L124" t="e">
            <v>#N/A</v>
          </cell>
          <cell r="M124" t="e">
            <v>#N/A</v>
          </cell>
          <cell r="N124" t="e">
            <v>#N/A</v>
          </cell>
          <cell r="O124" t="e">
            <v>#N/A</v>
          </cell>
          <cell r="P124">
            <v>42.62</v>
          </cell>
          <cell r="Q124">
            <v>2.8046880000000001</v>
          </cell>
          <cell r="R124" t="e">
            <v>#N/A</v>
          </cell>
        </row>
        <row r="125">
          <cell r="A125">
            <v>39650</v>
          </cell>
          <cell r="B125">
            <v>39650</v>
          </cell>
          <cell r="C125" t="str">
            <v>Past</v>
          </cell>
          <cell r="D125">
            <v>42.67</v>
          </cell>
          <cell r="E125" t="e">
            <v>#N/A</v>
          </cell>
          <cell r="F125" t="e">
            <v>#N/A</v>
          </cell>
          <cell r="G125" t="e">
            <v>#N/A</v>
          </cell>
          <cell r="H125" t="e">
            <v>#N/A</v>
          </cell>
          <cell r="I125" t="e">
            <v>#N/A</v>
          </cell>
          <cell r="J125" t="e">
            <v>#N/A</v>
          </cell>
          <cell r="K125" t="e">
            <v>#N/A</v>
          </cell>
          <cell r="L125" t="e">
            <v>#N/A</v>
          </cell>
          <cell r="M125" t="e">
            <v>#N/A</v>
          </cell>
          <cell r="N125" t="e">
            <v>#N/A</v>
          </cell>
          <cell r="O125" t="e">
            <v>#N/A</v>
          </cell>
          <cell r="P125">
            <v>42.67</v>
          </cell>
          <cell r="Q125">
            <v>3.6007889999999998</v>
          </cell>
          <cell r="R125" t="e">
            <v>#N/A</v>
          </cell>
        </row>
        <row r="126">
          <cell r="A126">
            <v>39651</v>
          </cell>
          <cell r="B126">
            <v>39651</v>
          </cell>
          <cell r="C126" t="str">
            <v>Past</v>
          </cell>
          <cell r="D126">
            <v>44.11</v>
          </cell>
          <cell r="E126" t="e">
            <v>#N/A</v>
          </cell>
          <cell r="F126" t="e">
            <v>#N/A</v>
          </cell>
          <cell r="G126" t="e">
            <v>#N/A</v>
          </cell>
          <cell r="H126" t="e">
            <v>#N/A</v>
          </cell>
          <cell r="I126" t="e">
            <v>#N/A</v>
          </cell>
          <cell r="J126" t="e">
            <v>#N/A</v>
          </cell>
          <cell r="K126" t="e">
            <v>#N/A</v>
          </cell>
          <cell r="L126" t="e">
            <v>#N/A</v>
          </cell>
          <cell r="M126" t="e">
            <v>#N/A</v>
          </cell>
          <cell r="N126" t="e">
            <v>#N/A</v>
          </cell>
          <cell r="O126" t="e">
            <v>#N/A</v>
          </cell>
          <cell r="P126">
            <v>44.11</v>
          </cell>
          <cell r="Q126">
            <v>2.4683519999999999</v>
          </cell>
          <cell r="R126" t="e">
            <v>#N/A</v>
          </cell>
        </row>
        <row r="127">
          <cell r="A127">
            <v>39652</v>
          </cell>
          <cell r="B127">
            <v>39652</v>
          </cell>
          <cell r="C127" t="str">
            <v>Past</v>
          </cell>
          <cell r="D127">
            <v>46.35</v>
          </cell>
          <cell r="E127" t="e">
            <v>#N/A</v>
          </cell>
          <cell r="F127" t="e">
            <v>#N/A</v>
          </cell>
          <cell r="G127" t="e">
            <v>#N/A</v>
          </cell>
          <cell r="H127" t="e">
            <v>#N/A</v>
          </cell>
          <cell r="I127" t="e">
            <v>#N/A</v>
          </cell>
          <cell r="J127" t="e">
            <v>#N/A</v>
          </cell>
          <cell r="K127" t="e">
            <v>#N/A</v>
          </cell>
          <cell r="L127" t="e">
            <v>#N/A</v>
          </cell>
          <cell r="M127" t="e">
            <v>#N/A</v>
          </cell>
          <cell r="N127" t="e">
            <v>#N/A</v>
          </cell>
          <cell r="O127" t="e">
            <v>#N/A</v>
          </cell>
          <cell r="P127">
            <v>46.35</v>
          </cell>
          <cell r="Q127">
            <v>3.661559</v>
          </cell>
          <cell r="R127" t="e">
            <v>#N/A</v>
          </cell>
        </row>
        <row r="128">
          <cell r="A128">
            <v>39653</v>
          </cell>
          <cell r="B128">
            <v>39653</v>
          </cell>
          <cell r="C128" t="str">
            <v>Past</v>
          </cell>
          <cell r="D128">
            <v>47.68</v>
          </cell>
          <cell r="E128" t="e">
            <v>#N/A</v>
          </cell>
          <cell r="F128" t="e">
            <v>#N/A</v>
          </cell>
          <cell r="G128" t="e">
            <v>#N/A</v>
          </cell>
          <cell r="H128" t="e">
            <v>#N/A</v>
          </cell>
          <cell r="I128" t="e">
            <v>#N/A</v>
          </cell>
          <cell r="J128" t="e">
            <v>#N/A</v>
          </cell>
          <cell r="K128" t="e">
            <v>#N/A</v>
          </cell>
          <cell r="L128" t="e">
            <v>#N/A</v>
          </cell>
          <cell r="M128" t="e">
            <v>#N/A</v>
          </cell>
          <cell r="N128" t="e">
            <v>#N/A</v>
          </cell>
          <cell r="O128" t="e">
            <v>#N/A</v>
          </cell>
          <cell r="P128">
            <v>47.68</v>
          </cell>
          <cell r="Q128">
            <v>6.552772</v>
          </cell>
          <cell r="R128" t="e">
            <v>#N/A</v>
          </cell>
        </row>
        <row r="129">
          <cell r="A129">
            <v>39654</v>
          </cell>
          <cell r="B129">
            <v>39654</v>
          </cell>
          <cell r="C129" t="str">
            <v>Past</v>
          </cell>
          <cell r="D129">
            <v>49.22</v>
          </cell>
          <cell r="E129" t="e">
            <v>#N/A</v>
          </cell>
          <cell r="F129" t="e">
            <v>#N/A</v>
          </cell>
          <cell r="G129" t="e">
            <v>#N/A</v>
          </cell>
          <cell r="H129" t="e">
            <v>#N/A</v>
          </cell>
          <cell r="I129" t="e">
            <v>#N/A</v>
          </cell>
          <cell r="J129" t="e">
            <v>#N/A</v>
          </cell>
          <cell r="K129" t="e">
            <v>#N/A</v>
          </cell>
          <cell r="L129" t="e">
            <v>#N/A</v>
          </cell>
          <cell r="M129" t="e">
            <v>#N/A</v>
          </cell>
          <cell r="N129" t="e">
            <v>#N/A</v>
          </cell>
          <cell r="O129" t="e">
            <v>#N/A</v>
          </cell>
          <cell r="P129">
            <v>49.22</v>
          </cell>
          <cell r="Q129">
            <v>2.7003309999999998</v>
          </cell>
          <cell r="R129" t="e">
            <v>#N/A</v>
          </cell>
        </row>
        <row r="130">
          <cell r="A130">
            <v>39657</v>
          </cell>
          <cell r="B130">
            <v>39657</v>
          </cell>
          <cell r="C130" t="str">
            <v>Past</v>
          </cell>
          <cell r="D130">
            <v>47.02</v>
          </cell>
          <cell r="E130" t="e">
            <v>#N/A</v>
          </cell>
          <cell r="F130" t="e">
            <v>#N/A</v>
          </cell>
          <cell r="G130" t="e">
            <v>#N/A</v>
          </cell>
          <cell r="H130" t="e">
            <v>#N/A</v>
          </cell>
          <cell r="I130" t="e">
            <v>#N/A</v>
          </cell>
          <cell r="J130" t="e">
            <v>#N/A</v>
          </cell>
          <cell r="K130" t="e">
            <v>#N/A</v>
          </cell>
          <cell r="L130" t="e">
            <v>#N/A</v>
          </cell>
          <cell r="M130" t="e">
            <v>#N/A</v>
          </cell>
          <cell r="N130" t="e">
            <v>#N/A</v>
          </cell>
          <cell r="O130" t="e">
            <v>#N/A</v>
          </cell>
          <cell r="P130">
            <v>47.02</v>
          </cell>
          <cell r="Q130">
            <v>3.4010289999999999</v>
          </cell>
          <cell r="R130" t="e">
            <v>#N/A</v>
          </cell>
        </row>
        <row r="131">
          <cell r="A131">
            <v>39658</v>
          </cell>
          <cell r="B131">
            <v>39658</v>
          </cell>
          <cell r="C131" t="str">
            <v>Past</v>
          </cell>
          <cell r="D131">
            <v>50.76</v>
          </cell>
          <cell r="E131" t="e">
            <v>#N/A</v>
          </cell>
          <cell r="F131" t="e">
            <v>#N/A</v>
          </cell>
          <cell r="G131" t="e">
            <v>#N/A</v>
          </cell>
          <cell r="H131" t="e">
            <v>#N/A</v>
          </cell>
          <cell r="I131" t="e">
            <v>#N/A</v>
          </cell>
          <cell r="J131" t="e">
            <v>#N/A</v>
          </cell>
          <cell r="K131" t="e">
            <v>#N/A</v>
          </cell>
          <cell r="L131" t="e">
            <v>#N/A</v>
          </cell>
          <cell r="M131" t="e">
            <v>#N/A</v>
          </cell>
          <cell r="N131" t="e">
            <v>#N/A</v>
          </cell>
          <cell r="O131" t="e">
            <v>#N/A</v>
          </cell>
          <cell r="P131">
            <v>50.76</v>
          </cell>
          <cell r="Q131">
            <v>2.8442800000000004</v>
          </cell>
          <cell r="R131" t="e">
            <v>#N/A</v>
          </cell>
        </row>
        <row r="132">
          <cell r="A132">
            <v>39659</v>
          </cell>
          <cell r="B132">
            <v>39659</v>
          </cell>
          <cell r="C132" t="str">
            <v>Past</v>
          </cell>
          <cell r="D132">
            <v>50.77</v>
          </cell>
          <cell r="E132" t="e">
            <v>#N/A</v>
          </cell>
          <cell r="F132" t="e">
            <v>#N/A</v>
          </cell>
          <cell r="G132" t="e">
            <v>#N/A</v>
          </cell>
          <cell r="H132" t="e">
            <v>#N/A</v>
          </cell>
          <cell r="I132" t="e">
            <v>#N/A</v>
          </cell>
          <cell r="J132" t="e">
            <v>#N/A</v>
          </cell>
          <cell r="K132" t="e">
            <v>#N/A</v>
          </cell>
          <cell r="L132" t="e">
            <v>#N/A</v>
          </cell>
          <cell r="M132" t="e">
            <v>#N/A</v>
          </cell>
          <cell r="N132" t="e">
            <v>#N/A</v>
          </cell>
          <cell r="O132" t="e">
            <v>#N/A</v>
          </cell>
          <cell r="P132">
            <v>50.77</v>
          </cell>
          <cell r="Q132">
            <v>2.630627</v>
          </cell>
          <cell r="R132" t="e">
            <v>#N/A</v>
          </cell>
        </row>
        <row r="133">
          <cell r="A133">
            <v>39660</v>
          </cell>
          <cell r="B133">
            <v>39660</v>
          </cell>
          <cell r="C133" t="str">
            <v>Past</v>
          </cell>
          <cell r="D133">
            <v>49.14</v>
          </cell>
          <cell r="E133" t="e">
            <v>#N/A</v>
          </cell>
          <cell r="F133" t="e">
            <v>#N/A</v>
          </cell>
          <cell r="G133" t="e">
            <v>#N/A</v>
          </cell>
          <cell r="H133" t="e">
            <v>#N/A</v>
          </cell>
          <cell r="I133" t="e">
            <v>#N/A</v>
          </cell>
          <cell r="J133" t="e">
            <v>#N/A</v>
          </cell>
          <cell r="K133" t="e">
            <v>#N/A</v>
          </cell>
          <cell r="L133" t="e">
            <v>#N/A</v>
          </cell>
          <cell r="M133" t="e">
            <v>#N/A</v>
          </cell>
          <cell r="N133" t="e">
            <v>#N/A</v>
          </cell>
          <cell r="O133" t="e">
            <v>#N/A</v>
          </cell>
          <cell r="P133">
            <v>49.14</v>
          </cell>
          <cell r="Q133">
            <v>2.5825519999999997</v>
          </cell>
          <cell r="R133" t="e">
            <v>#N/A</v>
          </cell>
        </row>
        <row r="134">
          <cell r="A134">
            <v>39661</v>
          </cell>
          <cell r="B134">
            <v>39661</v>
          </cell>
          <cell r="C134" t="str">
            <v>Past</v>
          </cell>
          <cell r="D134">
            <v>49.17</v>
          </cell>
          <cell r="E134" t="e">
            <v>#N/A</v>
          </cell>
          <cell r="F134" t="e">
            <v>#N/A</v>
          </cell>
          <cell r="G134" t="e">
            <v>#N/A</v>
          </cell>
          <cell r="H134" t="e">
            <v>#N/A</v>
          </cell>
          <cell r="I134" t="e">
            <v>#N/A</v>
          </cell>
          <cell r="J134" t="e">
            <v>#N/A</v>
          </cell>
          <cell r="K134" t="e">
            <v>#N/A</v>
          </cell>
          <cell r="L134" t="e">
            <v>#N/A</v>
          </cell>
          <cell r="M134" t="e">
            <v>#N/A</v>
          </cell>
          <cell r="N134" t="e">
            <v>#N/A</v>
          </cell>
          <cell r="O134" t="e">
            <v>#N/A</v>
          </cell>
          <cell r="P134">
            <v>49.17</v>
          </cell>
          <cell r="Q134">
            <v>1.8063469999999999</v>
          </cell>
          <cell r="R134" t="e">
            <v>#N/A</v>
          </cell>
        </row>
        <row r="135">
          <cell r="A135">
            <v>39664</v>
          </cell>
          <cell r="B135">
            <v>39664</v>
          </cell>
          <cell r="C135" t="str">
            <v>Past</v>
          </cell>
          <cell r="D135">
            <v>49.72</v>
          </cell>
          <cell r="E135" t="e">
            <v>#N/A</v>
          </cell>
          <cell r="F135" t="e">
            <v>#N/A</v>
          </cell>
          <cell r="G135" t="e">
            <v>#N/A</v>
          </cell>
          <cell r="H135" t="e">
            <v>#N/A</v>
          </cell>
          <cell r="I135" t="e">
            <v>#N/A</v>
          </cell>
          <cell r="J135" t="e">
            <v>#N/A</v>
          </cell>
          <cell r="K135" t="e">
            <v>#N/A</v>
          </cell>
          <cell r="L135" t="e">
            <v>#N/A</v>
          </cell>
          <cell r="M135" t="e">
            <v>#N/A</v>
          </cell>
          <cell r="N135" t="e">
            <v>#N/A</v>
          </cell>
          <cell r="O135" t="e">
            <v>#N/A</v>
          </cell>
          <cell r="P135">
            <v>49.72</v>
          </cell>
          <cell r="Q135">
            <v>1.5504749999999998</v>
          </cell>
          <cell r="R135" t="e">
            <v>#N/A</v>
          </cell>
        </row>
        <row r="136">
          <cell r="A136">
            <v>39665</v>
          </cell>
          <cell r="B136">
            <v>39665</v>
          </cell>
          <cell r="C136" t="str">
            <v>Past</v>
          </cell>
          <cell r="D136">
            <v>51.31</v>
          </cell>
          <cell r="E136" t="e">
            <v>#N/A</v>
          </cell>
          <cell r="F136" t="e">
            <v>#N/A</v>
          </cell>
          <cell r="G136" t="e">
            <v>#N/A</v>
          </cell>
          <cell r="H136" t="e">
            <v>#N/A</v>
          </cell>
          <cell r="I136" t="e">
            <v>#N/A</v>
          </cell>
          <cell r="J136" t="e">
            <v>#N/A</v>
          </cell>
          <cell r="K136" t="e">
            <v>#N/A</v>
          </cell>
          <cell r="L136" t="e">
            <v>#N/A</v>
          </cell>
          <cell r="M136" t="e">
            <v>#N/A</v>
          </cell>
          <cell r="N136" t="e">
            <v>#N/A</v>
          </cell>
          <cell r="O136" t="e">
            <v>#N/A</v>
          </cell>
          <cell r="P136">
            <v>51.31</v>
          </cell>
          <cell r="Q136">
            <v>2.6487529999999997</v>
          </cell>
          <cell r="R136" t="e">
            <v>#N/A</v>
          </cell>
        </row>
        <row r="137">
          <cell r="A137">
            <v>39666</v>
          </cell>
          <cell r="B137">
            <v>39666</v>
          </cell>
          <cell r="C137" t="str">
            <v>Past</v>
          </cell>
          <cell r="D137">
            <v>51.7</v>
          </cell>
          <cell r="E137" t="e">
            <v>#N/A</v>
          </cell>
          <cell r="F137" t="e">
            <v>#N/A</v>
          </cell>
          <cell r="G137" t="e">
            <v>#N/A</v>
          </cell>
          <cell r="H137" t="e">
            <v>#N/A</v>
          </cell>
          <cell r="I137" t="e">
            <v>#N/A</v>
          </cell>
          <cell r="J137" t="e">
            <v>#N/A</v>
          </cell>
          <cell r="K137" t="e">
            <v>#N/A</v>
          </cell>
          <cell r="L137" t="e">
            <v>#N/A</v>
          </cell>
          <cell r="M137" t="e">
            <v>#N/A</v>
          </cell>
          <cell r="N137" t="e">
            <v>#N/A</v>
          </cell>
          <cell r="O137" t="e">
            <v>#N/A</v>
          </cell>
          <cell r="P137">
            <v>51.7</v>
          </cell>
          <cell r="Q137">
            <v>2.6074000000000002</v>
          </cell>
          <cell r="R137" t="e">
            <v>#N/A</v>
          </cell>
        </row>
        <row r="138">
          <cell r="A138">
            <v>39667</v>
          </cell>
          <cell r="B138">
            <v>39667</v>
          </cell>
          <cell r="C138" t="str">
            <v>Past</v>
          </cell>
          <cell r="D138">
            <v>49.94</v>
          </cell>
          <cell r="E138" t="e">
            <v>#N/A</v>
          </cell>
          <cell r="F138" t="e">
            <v>#N/A</v>
          </cell>
          <cell r="G138" t="e">
            <v>#N/A</v>
          </cell>
          <cell r="H138" t="e">
            <v>#N/A</v>
          </cell>
          <cell r="I138" t="e">
            <v>#N/A</v>
          </cell>
          <cell r="J138" t="e">
            <v>#N/A</v>
          </cell>
          <cell r="K138" t="e">
            <v>#N/A</v>
          </cell>
          <cell r="L138" t="e">
            <v>#N/A</v>
          </cell>
          <cell r="M138" t="e">
            <v>#N/A</v>
          </cell>
          <cell r="N138" t="e">
            <v>#N/A</v>
          </cell>
          <cell r="O138" t="e">
            <v>#N/A</v>
          </cell>
          <cell r="P138">
            <v>49.94</v>
          </cell>
          <cell r="Q138">
            <v>2.3710649999999998</v>
          </cell>
          <cell r="R138" t="e">
            <v>#N/A</v>
          </cell>
        </row>
        <row r="139">
          <cell r="A139">
            <v>39668</v>
          </cell>
          <cell r="B139">
            <v>39668</v>
          </cell>
          <cell r="C139" t="str">
            <v>Past</v>
          </cell>
          <cell r="D139">
            <v>53.94</v>
          </cell>
          <cell r="E139" t="e">
            <v>#N/A</v>
          </cell>
          <cell r="F139" t="e">
            <v>#N/A</v>
          </cell>
          <cell r="G139" t="e">
            <v>#N/A</v>
          </cell>
          <cell r="H139" t="e">
            <v>#N/A</v>
          </cell>
          <cell r="I139" t="e">
            <v>#N/A</v>
          </cell>
          <cell r="J139" t="e">
            <v>#N/A</v>
          </cell>
          <cell r="K139" t="e">
            <v>#N/A</v>
          </cell>
          <cell r="L139" t="e">
            <v>#N/A</v>
          </cell>
          <cell r="M139" t="e">
            <v>#N/A</v>
          </cell>
          <cell r="N139" t="e">
            <v>#N/A</v>
          </cell>
          <cell r="O139" t="e">
            <v>#N/A</v>
          </cell>
          <cell r="P139">
            <v>53.94</v>
          </cell>
          <cell r="Q139">
            <v>2.273733</v>
          </cell>
          <cell r="R139" t="e">
            <v>#N/A</v>
          </cell>
        </row>
        <row r="140">
          <cell r="A140">
            <v>39671</v>
          </cell>
          <cell r="B140">
            <v>39671</v>
          </cell>
          <cell r="C140" t="str">
            <v>Past</v>
          </cell>
          <cell r="D140">
            <v>53.11</v>
          </cell>
          <cell r="E140" t="e">
            <v>#N/A</v>
          </cell>
          <cell r="F140" t="e">
            <v>#N/A</v>
          </cell>
          <cell r="G140" t="e">
            <v>#N/A</v>
          </cell>
          <cell r="H140" t="e">
            <v>#N/A</v>
          </cell>
          <cell r="I140" t="e">
            <v>#N/A</v>
          </cell>
          <cell r="J140" t="e">
            <v>#N/A</v>
          </cell>
          <cell r="K140" t="e">
            <v>#N/A</v>
          </cell>
          <cell r="L140" t="e">
            <v>#N/A</v>
          </cell>
          <cell r="M140" t="e">
            <v>#N/A</v>
          </cell>
          <cell r="N140" t="e">
            <v>#N/A</v>
          </cell>
          <cell r="O140" t="e">
            <v>#N/A</v>
          </cell>
          <cell r="P140">
            <v>53.11</v>
          </cell>
          <cell r="Q140">
            <v>1.9462969999999999</v>
          </cell>
          <cell r="R140" t="e">
            <v>#N/A</v>
          </cell>
        </row>
        <row r="141">
          <cell r="A141">
            <v>39672</v>
          </cell>
          <cell r="B141">
            <v>39672</v>
          </cell>
          <cell r="C141" t="str">
            <v>Past</v>
          </cell>
          <cell r="D141">
            <v>53.18</v>
          </cell>
          <cell r="E141" t="e">
            <v>#N/A</v>
          </cell>
          <cell r="F141" t="e">
            <v>#N/A</v>
          </cell>
          <cell r="G141" t="e">
            <v>#N/A</v>
          </cell>
          <cell r="H141" t="e">
            <v>#N/A</v>
          </cell>
          <cell r="I141" t="e">
            <v>#N/A</v>
          </cell>
          <cell r="J141" t="e">
            <v>#N/A</v>
          </cell>
          <cell r="K141" t="e">
            <v>#N/A</v>
          </cell>
          <cell r="L141" t="e">
            <v>#N/A</v>
          </cell>
          <cell r="M141" t="e">
            <v>#N/A</v>
          </cell>
          <cell r="N141" t="e">
            <v>#N/A</v>
          </cell>
          <cell r="O141" t="e">
            <v>#N/A</v>
          </cell>
          <cell r="P141">
            <v>53.18</v>
          </cell>
          <cell r="Q141">
            <v>2.39161</v>
          </cell>
          <cell r="R141" t="e">
            <v>#N/A</v>
          </cell>
        </row>
        <row r="142">
          <cell r="A142">
            <v>39673</v>
          </cell>
          <cell r="B142">
            <v>39673</v>
          </cell>
          <cell r="C142" t="str">
            <v>Past</v>
          </cell>
          <cell r="D142">
            <v>52.38</v>
          </cell>
          <cell r="E142" t="e">
            <v>#N/A</v>
          </cell>
          <cell r="F142" t="e">
            <v>#N/A</v>
          </cell>
          <cell r="G142" t="e">
            <v>#N/A</v>
          </cell>
          <cell r="H142" t="e">
            <v>#N/A</v>
          </cell>
          <cell r="I142" t="e">
            <v>#N/A</v>
          </cell>
          <cell r="J142" t="e">
            <v>#N/A</v>
          </cell>
          <cell r="K142" t="e">
            <v>#N/A</v>
          </cell>
          <cell r="L142" t="e">
            <v>#N/A</v>
          </cell>
          <cell r="M142" t="e">
            <v>#N/A</v>
          </cell>
          <cell r="N142" t="e">
            <v>#N/A</v>
          </cell>
          <cell r="O142" t="e">
            <v>#N/A</v>
          </cell>
          <cell r="P142">
            <v>52.38</v>
          </cell>
          <cell r="Q142">
            <v>1.833836</v>
          </cell>
          <cell r="R142" t="e">
            <v>#N/A</v>
          </cell>
        </row>
        <row r="143">
          <cell r="A143">
            <v>39674</v>
          </cell>
          <cell r="B143">
            <v>39674</v>
          </cell>
          <cell r="C143" t="str">
            <v>Past</v>
          </cell>
          <cell r="D143">
            <v>53.04</v>
          </cell>
          <cell r="E143" t="e">
            <v>#N/A</v>
          </cell>
          <cell r="F143" t="e">
            <v>#N/A</v>
          </cell>
          <cell r="G143" t="e">
            <v>#N/A</v>
          </cell>
          <cell r="H143" t="e">
            <v>#N/A</v>
          </cell>
          <cell r="I143" t="e">
            <v>#N/A</v>
          </cell>
          <cell r="J143" t="e">
            <v>#N/A</v>
          </cell>
          <cell r="K143" t="e">
            <v>#N/A</v>
          </cell>
          <cell r="L143" t="e">
            <v>#N/A</v>
          </cell>
          <cell r="M143" t="e">
            <v>#N/A</v>
          </cell>
          <cell r="N143" t="e">
            <v>#N/A</v>
          </cell>
          <cell r="O143" t="e">
            <v>#N/A</v>
          </cell>
          <cell r="P143">
            <v>53.04</v>
          </cell>
          <cell r="Q143">
            <v>1.9626459999999999</v>
          </cell>
          <cell r="R143" t="e">
            <v>#N/A</v>
          </cell>
        </row>
        <row r="144">
          <cell r="A144">
            <v>39675</v>
          </cell>
          <cell r="B144">
            <v>39675</v>
          </cell>
          <cell r="C144" t="str">
            <v>Past</v>
          </cell>
          <cell r="D144">
            <v>53.33</v>
          </cell>
          <cell r="E144" t="e">
            <v>#N/A</v>
          </cell>
          <cell r="F144" t="e">
            <v>#N/A</v>
          </cell>
          <cell r="G144" t="e">
            <v>#N/A</v>
          </cell>
          <cell r="H144" t="e">
            <v>#N/A</v>
          </cell>
          <cell r="I144" t="e">
            <v>#N/A</v>
          </cell>
          <cell r="J144" t="e">
            <v>#N/A</v>
          </cell>
          <cell r="K144" t="e">
            <v>#N/A</v>
          </cell>
          <cell r="L144" t="e">
            <v>#N/A</v>
          </cell>
          <cell r="M144" t="e">
            <v>#N/A</v>
          </cell>
          <cell r="N144" t="e">
            <v>#N/A</v>
          </cell>
          <cell r="O144" t="e">
            <v>#N/A</v>
          </cell>
          <cell r="P144">
            <v>53.33</v>
          </cell>
          <cell r="Q144">
            <v>1.0385119999999999</v>
          </cell>
          <cell r="R144" t="e">
            <v>#N/A</v>
          </cell>
        </row>
        <row r="145">
          <cell r="A145">
            <v>39678</v>
          </cell>
          <cell r="B145">
            <v>39678</v>
          </cell>
          <cell r="C145" t="str">
            <v>Past</v>
          </cell>
          <cell r="D145">
            <v>53.22</v>
          </cell>
          <cell r="E145" t="e">
            <v>#N/A</v>
          </cell>
          <cell r="F145" t="e">
            <v>#N/A</v>
          </cell>
          <cell r="G145" t="e">
            <v>#N/A</v>
          </cell>
          <cell r="H145" t="e">
            <v>#N/A</v>
          </cell>
          <cell r="I145" t="e">
            <v>#N/A</v>
          </cell>
          <cell r="J145" t="e">
            <v>#N/A</v>
          </cell>
          <cell r="K145" t="e">
            <v>#N/A</v>
          </cell>
          <cell r="L145" t="e">
            <v>#N/A</v>
          </cell>
          <cell r="M145" t="e">
            <v>#N/A</v>
          </cell>
          <cell r="N145" t="e">
            <v>#N/A</v>
          </cell>
          <cell r="O145" t="e">
            <v>#N/A</v>
          </cell>
          <cell r="P145">
            <v>53.22</v>
          </cell>
          <cell r="Q145">
            <v>1.4589829999999999</v>
          </cell>
          <cell r="R145" t="e">
            <v>#N/A</v>
          </cell>
        </row>
        <row r="146">
          <cell r="A146">
            <v>39679</v>
          </cell>
          <cell r="B146">
            <v>39679</v>
          </cell>
          <cell r="C146" t="str">
            <v>Past</v>
          </cell>
          <cell r="D146">
            <v>52.26</v>
          </cell>
          <cell r="E146" t="e">
            <v>#N/A</v>
          </cell>
          <cell r="F146" t="e">
            <v>#N/A</v>
          </cell>
          <cell r="G146" t="e">
            <v>#N/A</v>
          </cell>
          <cell r="H146" t="e">
            <v>#N/A</v>
          </cell>
          <cell r="I146" t="e">
            <v>#N/A</v>
          </cell>
          <cell r="J146" t="e">
            <v>#N/A</v>
          </cell>
          <cell r="K146" t="e">
            <v>#N/A</v>
          </cell>
          <cell r="L146" t="e">
            <v>#N/A</v>
          </cell>
          <cell r="M146" t="e">
            <v>#N/A</v>
          </cell>
          <cell r="N146" t="e">
            <v>#N/A</v>
          </cell>
          <cell r="O146" t="e">
            <v>#N/A</v>
          </cell>
          <cell r="P146">
            <v>52.26</v>
          </cell>
          <cell r="Q146">
            <v>1.398128</v>
          </cell>
          <cell r="R146" t="e">
            <v>#N/A</v>
          </cell>
        </row>
        <row r="147">
          <cell r="A147">
            <v>39680</v>
          </cell>
          <cell r="B147">
            <v>39680</v>
          </cell>
          <cell r="C147" t="str">
            <v>Past</v>
          </cell>
          <cell r="D147">
            <v>51.58</v>
          </cell>
          <cell r="E147" t="e">
            <v>#N/A</v>
          </cell>
          <cell r="F147" t="e">
            <v>#N/A</v>
          </cell>
          <cell r="G147" t="e">
            <v>#N/A</v>
          </cell>
          <cell r="H147" t="e">
            <v>#N/A</v>
          </cell>
          <cell r="I147" t="e">
            <v>#N/A</v>
          </cell>
          <cell r="J147" t="e">
            <v>#N/A</v>
          </cell>
          <cell r="K147" t="e">
            <v>#N/A</v>
          </cell>
          <cell r="L147" t="e">
            <v>#N/A</v>
          </cell>
          <cell r="M147" t="e">
            <v>#N/A</v>
          </cell>
          <cell r="N147" t="e">
            <v>#N/A</v>
          </cell>
          <cell r="O147" t="e">
            <v>#N/A</v>
          </cell>
          <cell r="P147">
            <v>51.58</v>
          </cell>
          <cell r="Q147">
            <v>1.3759889999999999</v>
          </cell>
          <cell r="R147" t="e">
            <v>#N/A</v>
          </cell>
        </row>
        <row r="148">
          <cell r="A148">
            <v>39681</v>
          </cell>
          <cell r="B148">
            <v>39681</v>
          </cell>
          <cell r="C148" t="str">
            <v>Past</v>
          </cell>
          <cell r="D148">
            <v>50.82</v>
          </cell>
          <cell r="E148" t="e">
            <v>#N/A</v>
          </cell>
          <cell r="F148" t="e">
            <v>#N/A</v>
          </cell>
          <cell r="G148" t="e">
            <v>#N/A</v>
          </cell>
          <cell r="H148" t="e">
            <v>#N/A</v>
          </cell>
          <cell r="I148" t="e">
            <v>#N/A</v>
          </cell>
          <cell r="J148" t="e">
            <v>#N/A</v>
          </cell>
          <cell r="K148" t="e">
            <v>#N/A</v>
          </cell>
          <cell r="L148" t="e">
            <v>#N/A</v>
          </cell>
          <cell r="M148" t="e">
            <v>#N/A</v>
          </cell>
          <cell r="N148" t="e">
            <v>#N/A</v>
          </cell>
          <cell r="O148" t="e">
            <v>#N/A</v>
          </cell>
          <cell r="P148">
            <v>50.82</v>
          </cell>
          <cell r="Q148">
            <v>1.258874</v>
          </cell>
          <cell r="R148" t="e">
            <v>#N/A</v>
          </cell>
        </row>
        <row r="149">
          <cell r="A149">
            <v>39682</v>
          </cell>
          <cell r="B149">
            <v>39682</v>
          </cell>
          <cell r="C149" t="str">
            <v>Past</v>
          </cell>
          <cell r="D149">
            <v>51.64</v>
          </cell>
          <cell r="E149" t="e">
            <v>#N/A</v>
          </cell>
          <cell r="F149" t="e">
            <v>#N/A</v>
          </cell>
          <cell r="G149" t="e">
            <v>#N/A</v>
          </cell>
          <cell r="H149" t="e">
            <v>#N/A</v>
          </cell>
          <cell r="I149" t="e">
            <v>#N/A</v>
          </cell>
          <cell r="J149" t="e">
            <v>#N/A</v>
          </cell>
          <cell r="K149" t="e">
            <v>#N/A</v>
          </cell>
          <cell r="L149" t="e">
            <v>#N/A</v>
          </cell>
          <cell r="M149" t="e">
            <v>#N/A</v>
          </cell>
          <cell r="N149" t="e">
            <v>#N/A</v>
          </cell>
          <cell r="O149" t="e">
            <v>#N/A</v>
          </cell>
          <cell r="P149">
            <v>51.64</v>
          </cell>
          <cell r="Q149">
            <v>1.1504839999999998</v>
          </cell>
          <cell r="R149" t="e">
            <v>#N/A</v>
          </cell>
        </row>
        <row r="150">
          <cell r="A150">
            <v>39685</v>
          </cell>
          <cell r="B150">
            <v>39685</v>
          </cell>
          <cell r="C150" t="str">
            <v>Past</v>
          </cell>
          <cell r="D150">
            <v>50.42</v>
          </cell>
          <cell r="E150" t="e">
            <v>#N/A</v>
          </cell>
          <cell r="F150" t="e">
            <v>#N/A</v>
          </cell>
          <cell r="G150" t="e">
            <v>#N/A</v>
          </cell>
          <cell r="H150" t="e">
            <v>#N/A</v>
          </cell>
          <cell r="I150" t="e">
            <v>#N/A</v>
          </cell>
          <cell r="J150" t="e">
            <v>#N/A</v>
          </cell>
          <cell r="K150" t="e">
            <v>#N/A</v>
          </cell>
          <cell r="L150" t="e">
            <v>#N/A</v>
          </cell>
          <cell r="M150" t="e">
            <v>#N/A</v>
          </cell>
          <cell r="N150" t="e">
            <v>#N/A</v>
          </cell>
          <cell r="O150" t="e">
            <v>#N/A</v>
          </cell>
          <cell r="P150">
            <v>50.42</v>
          </cell>
          <cell r="Q150">
            <v>0.9549979999999999</v>
          </cell>
          <cell r="R150" t="e">
            <v>#N/A</v>
          </cell>
        </row>
        <row r="151">
          <cell r="A151">
            <v>39686</v>
          </cell>
          <cell r="B151">
            <v>39686</v>
          </cell>
          <cell r="C151" t="str">
            <v>Past</v>
          </cell>
          <cell r="D151">
            <v>50.33</v>
          </cell>
          <cell r="E151" t="e">
            <v>#N/A</v>
          </cell>
          <cell r="F151" t="e">
            <v>#N/A</v>
          </cell>
          <cell r="G151" t="e">
            <v>#N/A</v>
          </cell>
          <cell r="H151" t="e">
            <v>#N/A</v>
          </cell>
          <cell r="I151" t="e">
            <v>#N/A</v>
          </cell>
          <cell r="J151" t="e">
            <v>#N/A</v>
          </cell>
          <cell r="K151" t="e">
            <v>#N/A</v>
          </cell>
          <cell r="L151" t="e">
            <v>#N/A</v>
          </cell>
          <cell r="M151" t="e">
            <v>#N/A</v>
          </cell>
          <cell r="N151" t="e">
            <v>#N/A</v>
          </cell>
          <cell r="O151" t="e">
            <v>#N/A</v>
          </cell>
          <cell r="P151">
            <v>50.33</v>
          </cell>
          <cell r="Q151">
            <v>0.71795100000000001</v>
          </cell>
          <cell r="R151" t="e">
            <v>#N/A</v>
          </cell>
        </row>
        <row r="152">
          <cell r="A152">
            <v>39687</v>
          </cell>
          <cell r="B152">
            <v>39687</v>
          </cell>
          <cell r="C152" t="str">
            <v>Past</v>
          </cell>
          <cell r="D152">
            <v>50.4</v>
          </cell>
          <cell r="E152" t="e">
            <v>#N/A</v>
          </cell>
          <cell r="F152" t="e">
            <v>#N/A</v>
          </cell>
          <cell r="G152" t="e">
            <v>#N/A</v>
          </cell>
          <cell r="H152" t="e">
            <v>#N/A</v>
          </cell>
          <cell r="I152" t="e">
            <v>#N/A</v>
          </cell>
          <cell r="J152" t="e">
            <v>#N/A</v>
          </cell>
          <cell r="K152" t="e">
            <v>#N/A</v>
          </cell>
          <cell r="L152" t="e">
            <v>#N/A</v>
          </cell>
          <cell r="M152" t="e">
            <v>#N/A</v>
          </cell>
          <cell r="N152" t="e">
            <v>#N/A</v>
          </cell>
          <cell r="O152" t="e">
            <v>#N/A</v>
          </cell>
          <cell r="P152">
            <v>50.4</v>
          </cell>
          <cell r="Q152">
            <v>0.690639</v>
          </cell>
          <cell r="R152" t="e">
            <v>#N/A</v>
          </cell>
        </row>
        <row r="153">
          <cell r="A153">
            <v>39688</v>
          </cell>
          <cell r="B153">
            <v>39688</v>
          </cell>
          <cell r="C153" t="str">
            <v>Past</v>
          </cell>
          <cell r="D153">
            <v>51.86</v>
          </cell>
          <cell r="E153" t="e">
            <v>#N/A</v>
          </cell>
          <cell r="F153" t="e">
            <v>#N/A</v>
          </cell>
          <cell r="G153" t="e">
            <v>#N/A</v>
          </cell>
          <cell r="H153" t="e">
            <v>#N/A</v>
          </cell>
          <cell r="I153" t="e">
            <v>#N/A</v>
          </cell>
          <cell r="J153" t="e">
            <v>#N/A</v>
          </cell>
          <cell r="K153" t="e">
            <v>#N/A</v>
          </cell>
          <cell r="L153" t="e">
            <v>#N/A</v>
          </cell>
          <cell r="M153" t="e">
            <v>#N/A</v>
          </cell>
          <cell r="N153" t="e">
            <v>#N/A</v>
          </cell>
          <cell r="O153" t="e">
            <v>#N/A</v>
          </cell>
          <cell r="P153">
            <v>51.86</v>
          </cell>
          <cell r="Q153">
            <v>0.83037499999999997</v>
          </cell>
          <cell r="R153" t="e">
            <v>#N/A</v>
          </cell>
        </row>
        <row r="154">
          <cell r="A154">
            <v>39689</v>
          </cell>
          <cell r="B154">
            <v>39689</v>
          </cell>
          <cell r="C154" t="str">
            <v>Past</v>
          </cell>
          <cell r="D154">
            <v>51.25</v>
          </cell>
          <cell r="E154" t="e">
            <v>#N/A</v>
          </cell>
          <cell r="F154" t="e">
            <v>#N/A</v>
          </cell>
          <cell r="G154" t="e">
            <v>#N/A</v>
          </cell>
          <cell r="H154" t="e">
            <v>#N/A</v>
          </cell>
          <cell r="I154" t="e">
            <v>#N/A</v>
          </cell>
          <cell r="J154" t="e">
            <v>#N/A</v>
          </cell>
          <cell r="K154" t="e">
            <v>#N/A</v>
          </cell>
          <cell r="L154" t="e">
            <v>#N/A</v>
          </cell>
          <cell r="M154" t="e">
            <v>#N/A</v>
          </cell>
          <cell r="N154" t="e">
            <v>#N/A</v>
          </cell>
          <cell r="O154" t="e">
            <v>#N/A</v>
          </cell>
          <cell r="P154">
            <v>51.25</v>
          </cell>
          <cell r="Q154">
            <v>0.65447599999999995</v>
          </cell>
          <cell r="R154" t="e">
            <v>#N/A</v>
          </cell>
        </row>
        <row r="155">
          <cell r="A155">
            <v>39693</v>
          </cell>
          <cell r="B155">
            <v>39693</v>
          </cell>
          <cell r="C155" t="str">
            <v>Past</v>
          </cell>
          <cell r="D155">
            <v>51.42</v>
          </cell>
          <cell r="E155" t="e">
            <v>#N/A</v>
          </cell>
          <cell r="F155" t="e">
            <v>#N/A</v>
          </cell>
          <cell r="G155" t="e">
            <v>#N/A</v>
          </cell>
          <cell r="H155" t="e">
            <v>#N/A</v>
          </cell>
          <cell r="I155" t="e">
            <v>#N/A</v>
          </cell>
          <cell r="J155" t="e">
            <v>#N/A</v>
          </cell>
          <cell r="K155" t="e">
            <v>#N/A</v>
          </cell>
          <cell r="L155" t="e">
            <v>#N/A</v>
          </cell>
          <cell r="M155" t="e">
            <v>#N/A</v>
          </cell>
          <cell r="N155" t="e">
            <v>#N/A</v>
          </cell>
          <cell r="O155" t="e">
            <v>#N/A</v>
          </cell>
          <cell r="P155">
            <v>51.42</v>
          </cell>
          <cell r="Q155">
            <v>1.7591639999999999</v>
          </cell>
          <cell r="R155" t="e">
            <v>#N/A</v>
          </cell>
        </row>
        <row r="156">
          <cell r="A156">
            <v>39694</v>
          </cell>
          <cell r="B156">
            <v>39694</v>
          </cell>
          <cell r="C156" t="str">
            <v>Past</v>
          </cell>
          <cell r="D156">
            <v>51.89</v>
          </cell>
          <cell r="E156" t="e">
            <v>#N/A</v>
          </cell>
          <cell r="F156" t="e">
            <v>#N/A</v>
          </cell>
          <cell r="G156" t="e">
            <v>#N/A</v>
          </cell>
          <cell r="H156" t="e">
            <v>#N/A</v>
          </cell>
          <cell r="I156" t="e">
            <v>#N/A</v>
          </cell>
          <cell r="J156" t="e">
            <v>#N/A</v>
          </cell>
          <cell r="K156" t="e">
            <v>#N/A</v>
          </cell>
          <cell r="L156" t="e">
            <v>#N/A</v>
          </cell>
          <cell r="M156" t="e">
            <v>#N/A</v>
          </cell>
          <cell r="N156" t="e">
            <v>#N/A</v>
          </cell>
          <cell r="O156" t="e">
            <v>#N/A</v>
          </cell>
          <cell r="P156">
            <v>51.89</v>
          </cell>
          <cell r="Q156">
            <v>1.8927</v>
          </cell>
          <cell r="R156" t="e">
            <v>#N/A</v>
          </cell>
        </row>
        <row r="157">
          <cell r="A157">
            <v>39695</v>
          </cell>
          <cell r="B157">
            <v>39695</v>
          </cell>
          <cell r="C157" t="str">
            <v>Past</v>
          </cell>
          <cell r="D157">
            <v>48.92</v>
          </cell>
          <cell r="E157" t="e">
            <v>#N/A</v>
          </cell>
          <cell r="F157" t="e">
            <v>#N/A</v>
          </cell>
          <cell r="G157" t="e">
            <v>#N/A</v>
          </cell>
          <cell r="H157" t="e">
            <v>#N/A</v>
          </cell>
          <cell r="I157" t="e">
            <v>#N/A</v>
          </cell>
          <cell r="J157" t="e">
            <v>#N/A</v>
          </cell>
          <cell r="K157" t="e">
            <v>#N/A</v>
          </cell>
          <cell r="L157" t="e">
            <v>#N/A</v>
          </cell>
          <cell r="M157" t="e">
            <v>#N/A</v>
          </cell>
          <cell r="N157" t="e">
            <v>#N/A</v>
          </cell>
          <cell r="O157" t="e">
            <v>#N/A</v>
          </cell>
          <cell r="P157">
            <v>48.92</v>
          </cell>
          <cell r="Q157">
            <v>1.6315109999999999</v>
          </cell>
          <cell r="R157" t="e">
            <v>#N/A</v>
          </cell>
        </row>
        <row r="158">
          <cell r="A158">
            <v>39696</v>
          </cell>
          <cell r="B158">
            <v>39696</v>
          </cell>
          <cell r="C158" t="str">
            <v>Past</v>
          </cell>
          <cell r="D158">
            <v>49.48</v>
          </cell>
          <cell r="E158" t="e">
            <v>#N/A</v>
          </cell>
          <cell r="F158" t="e">
            <v>#N/A</v>
          </cell>
          <cell r="G158" t="e">
            <v>#N/A</v>
          </cell>
          <cell r="H158" t="e">
            <v>#N/A</v>
          </cell>
          <cell r="I158" t="e">
            <v>#N/A</v>
          </cell>
          <cell r="J158" t="e">
            <v>#N/A</v>
          </cell>
          <cell r="K158" t="e">
            <v>#N/A</v>
          </cell>
          <cell r="L158" t="e">
            <v>#N/A</v>
          </cell>
          <cell r="M158" t="e">
            <v>#N/A</v>
          </cell>
          <cell r="N158" t="e">
            <v>#N/A</v>
          </cell>
          <cell r="O158" t="e">
            <v>#N/A</v>
          </cell>
          <cell r="P158">
            <v>49.48</v>
          </cell>
          <cell r="Q158">
            <v>1.5611919999999999</v>
          </cell>
          <cell r="R158" t="e">
            <v>#N/A</v>
          </cell>
        </row>
        <row r="159">
          <cell r="A159">
            <v>39699</v>
          </cell>
          <cell r="B159">
            <v>39699</v>
          </cell>
          <cell r="C159" t="str">
            <v>Past</v>
          </cell>
          <cell r="D159">
            <v>50.54</v>
          </cell>
          <cell r="E159" t="e">
            <v>#N/A</v>
          </cell>
          <cell r="F159" t="e">
            <v>#N/A</v>
          </cell>
          <cell r="G159" t="e">
            <v>#N/A</v>
          </cell>
          <cell r="H159" t="e">
            <v>#N/A</v>
          </cell>
          <cell r="I159" t="e">
            <v>#N/A</v>
          </cell>
          <cell r="J159" t="e">
            <v>#N/A</v>
          </cell>
          <cell r="K159" t="e">
            <v>#N/A</v>
          </cell>
          <cell r="L159" t="e">
            <v>#N/A</v>
          </cell>
          <cell r="M159" t="e">
            <v>#N/A</v>
          </cell>
          <cell r="N159" t="e">
            <v>#N/A</v>
          </cell>
          <cell r="O159" t="e">
            <v>#N/A</v>
          </cell>
          <cell r="P159">
            <v>50.54</v>
          </cell>
          <cell r="Q159">
            <v>1.5907629999999999</v>
          </cell>
          <cell r="R159" t="e">
            <v>#N/A</v>
          </cell>
        </row>
        <row r="160">
          <cell r="A160">
            <v>39700</v>
          </cell>
          <cell r="B160">
            <v>39700</v>
          </cell>
          <cell r="C160" t="str">
            <v>Past</v>
          </cell>
          <cell r="D160">
            <v>50.04</v>
          </cell>
          <cell r="E160" t="e">
            <v>#N/A</v>
          </cell>
          <cell r="F160" t="e">
            <v>#N/A</v>
          </cell>
          <cell r="G160" t="e">
            <v>#N/A</v>
          </cell>
          <cell r="H160" t="e">
            <v>#N/A</v>
          </cell>
          <cell r="I160" t="e">
            <v>#N/A</v>
          </cell>
          <cell r="J160" t="e">
            <v>#N/A</v>
          </cell>
          <cell r="K160" t="e">
            <v>#N/A</v>
          </cell>
          <cell r="L160" t="e">
            <v>#N/A</v>
          </cell>
          <cell r="M160" t="e">
            <v>#N/A</v>
          </cell>
          <cell r="N160" t="e">
            <v>#N/A</v>
          </cell>
          <cell r="O160" t="e">
            <v>#N/A</v>
          </cell>
          <cell r="P160">
            <v>50.04</v>
          </cell>
          <cell r="Q160">
            <v>1.533196</v>
          </cell>
          <cell r="R160" t="e">
            <v>#N/A</v>
          </cell>
        </row>
        <row r="161">
          <cell r="A161">
            <v>39701</v>
          </cell>
          <cell r="B161">
            <v>39701</v>
          </cell>
          <cell r="C161" t="str">
            <v>Past</v>
          </cell>
          <cell r="D161">
            <v>50</v>
          </cell>
          <cell r="E161" t="e">
            <v>#N/A</v>
          </cell>
          <cell r="F161" t="e">
            <v>#N/A</v>
          </cell>
          <cell r="G161" t="e">
            <v>#N/A</v>
          </cell>
          <cell r="H161" t="e">
            <v>#N/A</v>
          </cell>
          <cell r="I161" t="e">
            <v>#N/A</v>
          </cell>
          <cell r="J161" t="e">
            <v>#N/A</v>
          </cell>
          <cell r="K161" t="e">
            <v>#N/A</v>
          </cell>
          <cell r="L161" t="e">
            <v>#N/A</v>
          </cell>
          <cell r="M161" t="e">
            <v>#N/A</v>
          </cell>
          <cell r="N161" t="e">
            <v>#N/A</v>
          </cell>
          <cell r="O161" t="e">
            <v>#N/A</v>
          </cell>
          <cell r="P161">
            <v>50</v>
          </cell>
          <cell r="Q161">
            <v>1.310595</v>
          </cell>
          <cell r="R161" t="e">
            <v>#N/A</v>
          </cell>
        </row>
        <row r="162">
          <cell r="A162">
            <v>39702</v>
          </cell>
          <cell r="B162">
            <v>39702</v>
          </cell>
          <cell r="C162" t="str">
            <v>Past</v>
          </cell>
          <cell r="D162">
            <v>51.45</v>
          </cell>
          <cell r="E162" t="e">
            <v>#N/A</v>
          </cell>
          <cell r="F162" t="e">
            <v>#N/A</v>
          </cell>
          <cell r="G162" t="e">
            <v>#N/A</v>
          </cell>
          <cell r="H162" t="e">
            <v>#N/A</v>
          </cell>
          <cell r="I162" t="e">
            <v>#N/A</v>
          </cell>
          <cell r="J162" t="e">
            <v>#N/A</v>
          </cell>
          <cell r="K162" t="e">
            <v>#N/A</v>
          </cell>
          <cell r="L162" t="e">
            <v>#N/A</v>
          </cell>
          <cell r="M162" t="e">
            <v>#N/A</v>
          </cell>
          <cell r="N162" t="e">
            <v>#N/A</v>
          </cell>
          <cell r="O162" t="e">
            <v>#N/A</v>
          </cell>
          <cell r="P162">
            <v>51.45</v>
          </cell>
          <cell r="Q162">
            <v>1.7966900000000001</v>
          </cell>
          <cell r="R162" t="e">
            <v>#N/A</v>
          </cell>
        </row>
        <row r="163">
          <cell r="A163">
            <v>39703</v>
          </cell>
          <cell r="B163">
            <v>39703</v>
          </cell>
          <cell r="C163" t="str">
            <v>Past</v>
          </cell>
          <cell r="D163">
            <v>52.08</v>
          </cell>
          <cell r="E163" t="e">
            <v>#N/A</v>
          </cell>
          <cell r="F163" t="e">
            <v>#N/A</v>
          </cell>
          <cell r="G163" t="e">
            <v>#N/A</v>
          </cell>
          <cell r="H163" t="e">
            <v>#N/A</v>
          </cell>
          <cell r="I163" t="e">
            <v>#N/A</v>
          </cell>
          <cell r="J163" t="e">
            <v>#N/A</v>
          </cell>
          <cell r="K163" t="e">
            <v>#N/A</v>
          </cell>
          <cell r="L163" t="e">
            <v>#N/A</v>
          </cell>
          <cell r="M163" t="e">
            <v>#N/A</v>
          </cell>
          <cell r="N163" t="e">
            <v>#N/A</v>
          </cell>
          <cell r="O163" t="e">
            <v>#N/A</v>
          </cell>
          <cell r="P163">
            <v>52.08</v>
          </cell>
          <cell r="Q163">
            <v>0.92091000000000012</v>
          </cell>
          <cell r="R163" t="e">
            <v>#N/A</v>
          </cell>
        </row>
        <row r="164">
          <cell r="A164">
            <v>39706</v>
          </cell>
          <cell r="B164">
            <v>39706</v>
          </cell>
          <cell r="C164" t="str">
            <v>Past</v>
          </cell>
          <cell r="D164">
            <v>50.12</v>
          </cell>
          <cell r="E164" t="e">
            <v>#N/A</v>
          </cell>
          <cell r="F164" t="e">
            <v>#N/A</v>
          </cell>
          <cell r="G164" t="e">
            <v>#N/A</v>
          </cell>
          <cell r="H164" t="e">
            <v>#N/A</v>
          </cell>
          <cell r="I164" t="e">
            <v>#N/A</v>
          </cell>
          <cell r="J164" t="e">
            <v>#N/A</v>
          </cell>
          <cell r="K164" t="e">
            <v>#N/A</v>
          </cell>
          <cell r="L164" t="e">
            <v>#N/A</v>
          </cell>
          <cell r="M164" t="e">
            <v>#N/A</v>
          </cell>
          <cell r="N164" t="e">
            <v>#N/A</v>
          </cell>
          <cell r="O164" t="e">
            <v>#N/A</v>
          </cell>
          <cell r="P164">
            <v>50.12</v>
          </cell>
          <cell r="Q164">
            <v>1.912766</v>
          </cell>
          <cell r="R164" t="e">
            <v>#N/A</v>
          </cell>
        </row>
        <row r="165">
          <cell r="A165">
            <v>39707</v>
          </cell>
          <cell r="B165">
            <v>39707</v>
          </cell>
          <cell r="C165" t="str">
            <v>Past</v>
          </cell>
          <cell r="D165">
            <v>47.6</v>
          </cell>
          <cell r="E165" t="e">
            <v>#N/A</v>
          </cell>
          <cell r="F165" t="e">
            <v>#N/A</v>
          </cell>
          <cell r="G165" t="e">
            <v>#N/A</v>
          </cell>
          <cell r="H165" t="e">
            <v>#N/A</v>
          </cell>
          <cell r="I165" t="e">
            <v>#N/A</v>
          </cell>
          <cell r="J165" t="e">
            <v>#N/A</v>
          </cell>
          <cell r="K165" t="e">
            <v>#N/A</v>
          </cell>
          <cell r="L165" t="e">
            <v>#N/A</v>
          </cell>
          <cell r="M165" t="e">
            <v>#N/A</v>
          </cell>
          <cell r="N165" t="e">
            <v>#N/A</v>
          </cell>
          <cell r="O165" t="e">
            <v>#N/A</v>
          </cell>
          <cell r="P165">
            <v>47.6</v>
          </cell>
          <cell r="Q165">
            <v>3.2736700000000001</v>
          </cell>
          <cell r="R165" t="e">
            <v>#N/A</v>
          </cell>
        </row>
        <row r="166">
          <cell r="A166">
            <v>39708</v>
          </cell>
          <cell r="B166">
            <v>39708</v>
          </cell>
          <cell r="C166" t="str">
            <v>Past</v>
          </cell>
          <cell r="D166">
            <v>44.27</v>
          </cell>
          <cell r="E166" t="e">
            <v>#N/A</v>
          </cell>
          <cell r="F166" t="e">
            <v>#N/A</v>
          </cell>
          <cell r="G166" t="e">
            <v>#N/A</v>
          </cell>
          <cell r="H166" t="e">
            <v>#N/A</v>
          </cell>
          <cell r="I166" t="e">
            <v>#N/A</v>
          </cell>
          <cell r="J166" t="e">
            <v>#N/A</v>
          </cell>
          <cell r="K166" t="e">
            <v>#N/A</v>
          </cell>
          <cell r="L166" t="e">
            <v>#N/A</v>
          </cell>
          <cell r="M166" t="e">
            <v>#N/A</v>
          </cell>
          <cell r="N166" t="e">
            <v>#N/A</v>
          </cell>
          <cell r="O166" t="e">
            <v>#N/A</v>
          </cell>
          <cell r="P166">
            <v>44.27</v>
          </cell>
          <cell r="Q166">
            <v>1.9026179999999999</v>
          </cell>
          <cell r="R166" t="e">
            <v>#N/A</v>
          </cell>
        </row>
        <row r="167">
          <cell r="A167">
            <v>39709</v>
          </cell>
          <cell r="B167">
            <v>39709</v>
          </cell>
          <cell r="C167" t="str">
            <v>Past</v>
          </cell>
          <cell r="D167">
            <v>46.33</v>
          </cell>
          <cell r="E167" t="e">
            <v>#N/A</v>
          </cell>
          <cell r="F167" t="e">
            <v>#N/A</v>
          </cell>
          <cell r="G167" t="e">
            <v>#N/A</v>
          </cell>
          <cell r="H167" t="e">
            <v>#N/A</v>
          </cell>
          <cell r="I167" t="e">
            <v>#N/A</v>
          </cell>
          <cell r="J167" t="e">
            <v>#N/A</v>
          </cell>
          <cell r="K167" t="e">
            <v>#N/A</v>
          </cell>
          <cell r="L167" t="e">
            <v>#N/A</v>
          </cell>
          <cell r="M167" t="e">
            <v>#N/A</v>
          </cell>
          <cell r="N167" t="e">
            <v>#N/A</v>
          </cell>
          <cell r="O167" t="e">
            <v>#N/A</v>
          </cell>
          <cell r="P167">
            <v>46.33</v>
          </cell>
          <cell r="Q167">
            <v>2.5361449999999999</v>
          </cell>
          <cell r="R167" t="e">
            <v>#N/A</v>
          </cell>
        </row>
        <row r="168">
          <cell r="A168">
            <v>39710</v>
          </cell>
          <cell r="B168">
            <v>39710</v>
          </cell>
          <cell r="C168" t="str">
            <v>Past</v>
          </cell>
          <cell r="D168">
            <v>47.52</v>
          </cell>
          <cell r="E168" t="e">
            <v>#N/A</v>
          </cell>
          <cell r="F168" t="e">
            <v>#N/A</v>
          </cell>
          <cell r="G168" t="e">
            <v>#N/A</v>
          </cell>
          <cell r="H168" t="e">
            <v>#N/A</v>
          </cell>
          <cell r="I168" t="e">
            <v>#N/A</v>
          </cell>
          <cell r="J168" t="e">
            <v>#N/A</v>
          </cell>
          <cell r="K168" t="e">
            <v>#N/A</v>
          </cell>
          <cell r="L168" t="e">
            <v>#N/A</v>
          </cell>
          <cell r="M168" t="e">
            <v>#N/A</v>
          </cell>
          <cell r="N168" t="e">
            <v>#N/A</v>
          </cell>
          <cell r="O168" t="e">
            <v>#N/A</v>
          </cell>
          <cell r="P168">
            <v>47.52</v>
          </cell>
          <cell r="Q168">
            <v>1.758321</v>
          </cell>
          <cell r="R168" t="e">
            <v>#N/A</v>
          </cell>
        </row>
        <row r="169">
          <cell r="A169">
            <v>39713</v>
          </cell>
          <cell r="B169">
            <v>39713</v>
          </cell>
          <cell r="C169" t="str">
            <v>Past</v>
          </cell>
          <cell r="D169">
            <v>45.51</v>
          </cell>
          <cell r="E169" t="e">
            <v>#N/A</v>
          </cell>
          <cell r="F169" t="e">
            <v>#N/A</v>
          </cell>
          <cell r="G169" t="e">
            <v>#N/A</v>
          </cell>
          <cell r="H169" t="e">
            <v>#N/A</v>
          </cell>
          <cell r="I169" t="e">
            <v>#N/A</v>
          </cell>
          <cell r="J169" t="e">
            <v>#N/A</v>
          </cell>
          <cell r="K169" t="e">
            <v>#N/A</v>
          </cell>
          <cell r="L169" t="e">
            <v>#N/A</v>
          </cell>
          <cell r="M169" t="e">
            <v>#N/A</v>
          </cell>
          <cell r="N169" t="e">
            <v>#N/A</v>
          </cell>
          <cell r="O169" t="e">
            <v>#N/A</v>
          </cell>
          <cell r="P169">
            <v>45.51</v>
          </cell>
          <cell r="Q169">
            <v>1.1481600000000001</v>
          </cell>
          <cell r="R169" t="e">
            <v>#N/A</v>
          </cell>
        </row>
        <row r="170">
          <cell r="A170">
            <v>39714</v>
          </cell>
          <cell r="B170">
            <v>39714</v>
          </cell>
          <cell r="C170" t="str">
            <v>Past</v>
          </cell>
          <cell r="D170">
            <v>43.75</v>
          </cell>
          <cell r="E170" t="e">
            <v>#N/A</v>
          </cell>
          <cell r="F170" t="e">
            <v>#N/A</v>
          </cell>
          <cell r="G170" t="e">
            <v>#N/A</v>
          </cell>
          <cell r="H170" t="e">
            <v>#N/A</v>
          </cell>
          <cell r="I170" t="e">
            <v>#N/A</v>
          </cell>
          <cell r="J170" t="e">
            <v>#N/A</v>
          </cell>
          <cell r="K170" t="e">
            <v>#N/A</v>
          </cell>
          <cell r="L170" t="e">
            <v>#N/A</v>
          </cell>
          <cell r="M170" t="e">
            <v>#N/A</v>
          </cell>
          <cell r="N170" t="e">
            <v>#N/A</v>
          </cell>
          <cell r="O170" t="e">
            <v>#N/A</v>
          </cell>
          <cell r="P170">
            <v>43.75</v>
          </cell>
          <cell r="Q170">
            <v>1.4097279999999999</v>
          </cell>
          <cell r="R170" t="e">
            <v>#N/A</v>
          </cell>
        </row>
        <row r="171">
          <cell r="A171">
            <v>39715</v>
          </cell>
          <cell r="B171">
            <v>39715</v>
          </cell>
          <cell r="C171" t="str">
            <v>Past</v>
          </cell>
          <cell r="D171">
            <v>43.41</v>
          </cell>
          <cell r="E171" t="e">
            <v>#N/A</v>
          </cell>
          <cell r="F171" t="e">
            <v>#N/A</v>
          </cell>
          <cell r="G171" t="e">
            <v>#N/A</v>
          </cell>
          <cell r="H171" t="e">
            <v>#N/A</v>
          </cell>
          <cell r="I171" t="e">
            <v>#N/A</v>
          </cell>
          <cell r="J171" t="e">
            <v>#N/A</v>
          </cell>
          <cell r="K171" t="e">
            <v>#N/A</v>
          </cell>
          <cell r="L171" t="e">
            <v>#N/A</v>
          </cell>
          <cell r="M171" t="e">
            <v>#N/A</v>
          </cell>
          <cell r="N171" t="e">
            <v>#N/A</v>
          </cell>
          <cell r="O171" t="e">
            <v>#N/A</v>
          </cell>
          <cell r="P171">
            <v>43.41</v>
          </cell>
          <cell r="Q171">
            <v>1.3012889999999999</v>
          </cell>
          <cell r="R171" t="e">
            <v>#N/A</v>
          </cell>
        </row>
        <row r="172">
          <cell r="A172">
            <v>39716</v>
          </cell>
          <cell r="B172">
            <v>39716</v>
          </cell>
          <cell r="C172" t="str">
            <v>Past</v>
          </cell>
          <cell r="D172">
            <v>44.33</v>
          </cell>
          <cell r="E172" t="e">
            <v>#N/A</v>
          </cell>
          <cell r="F172" t="e">
            <v>#N/A</v>
          </cell>
          <cell r="G172" t="e">
            <v>#N/A</v>
          </cell>
          <cell r="H172" t="e">
            <v>#N/A</v>
          </cell>
          <cell r="I172" t="e">
            <v>#N/A</v>
          </cell>
          <cell r="J172" t="e">
            <v>#N/A</v>
          </cell>
          <cell r="K172" t="e">
            <v>#N/A</v>
          </cell>
          <cell r="L172" t="e">
            <v>#N/A</v>
          </cell>
          <cell r="M172" t="e">
            <v>#N/A</v>
          </cell>
          <cell r="N172" t="e">
            <v>#N/A</v>
          </cell>
          <cell r="O172" t="e">
            <v>#N/A</v>
          </cell>
          <cell r="P172">
            <v>44.33</v>
          </cell>
          <cell r="Q172">
            <v>1.4339189999999999</v>
          </cell>
          <cell r="R172" t="e">
            <v>#N/A</v>
          </cell>
        </row>
        <row r="173">
          <cell r="A173">
            <v>39717</v>
          </cell>
          <cell r="B173">
            <v>39717</v>
          </cell>
          <cell r="C173" t="str">
            <v>Past</v>
          </cell>
          <cell r="D173">
            <v>43.94</v>
          </cell>
          <cell r="E173" t="e">
            <v>#N/A</v>
          </cell>
          <cell r="F173" t="e">
            <v>#N/A</v>
          </cell>
          <cell r="G173" t="e">
            <v>#N/A</v>
          </cell>
          <cell r="H173" t="e">
            <v>#N/A</v>
          </cell>
          <cell r="I173" t="e">
            <v>#N/A</v>
          </cell>
          <cell r="J173" t="e">
            <v>#N/A</v>
          </cell>
          <cell r="K173" t="e">
            <v>#N/A</v>
          </cell>
          <cell r="L173" t="e">
            <v>#N/A</v>
          </cell>
          <cell r="M173" t="e">
            <v>#N/A</v>
          </cell>
          <cell r="N173" t="e">
            <v>#N/A</v>
          </cell>
          <cell r="O173" t="e">
            <v>#N/A</v>
          </cell>
          <cell r="P173">
            <v>43.94</v>
          </cell>
          <cell r="Q173">
            <v>1.2503</v>
          </cell>
          <cell r="R173" t="e">
            <v>#N/A</v>
          </cell>
        </row>
        <row r="174">
          <cell r="A174">
            <v>39720</v>
          </cell>
          <cell r="B174">
            <v>39720</v>
          </cell>
          <cell r="C174" t="str">
            <v>Past</v>
          </cell>
          <cell r="D174">
            <v>39.35</v>
          </cell>
          <cell r="E174" t="e">
            <v>#N/A</v>
          </cell>
          <cell r="F174" t="e">
            <v>#N/A</v>
          </cell>
          <cell r="G174" t="e">
            <v>#N/A</v>
          </cell>
          <cell r="H174" t="e">
            <v>#N/A</v>
          </cell>
          <cell r="I174" t="e">
            <v>#N/A</v>
          </cell>
          <cell r="J174" t="e">
            <v>#N/A</v>
          </cell>
          <cell r="K174" t="e">
            <v>#N/A</v>
          </cell>
          <cell r="L174" t="e">
            <v>#N/A</v>
          </cell>
          <cell r="M174" t="e">
            <v>#N/A</v>
          </cell>
          <cell r="N174" t="e">
            <v>#N/A</v>
          </cell>
          <cell r="O174" t="e">
            <v>#N/A</v>
          </cell>
          <cell r="P174">
            <v>39.35</v>
          </cell>
          <cell r="Q174">
            <v>2.166563</v>
          </cell>
          <cell r="R174" t="e">
            <v>#N/A</v>
          </cell>
        </row>
        <row r="175">
          <cell r="A175">
            <v>39721</v>
          </cell>
          <cell r="B175">
            <v>39721</v>
          </cell>
          <cell r="C175" t="str">
            <v>Past</v>
          </cell>
          <cell r="D175">
            <v>41.6</v>
          </cell>
          <cell r="E175" t="e">
            <v>#N/A</v>
          </cell>
          <cell r="F175" t="e">
            <v>#N/A</v>
          </cell>
          <cell r="G175" t="e">
            <v>#N/A</v>
          </cell>
          <cell r="H175" t="e">
            <v>#N/A</v>
          </cell>
          <cell r="I175" t="e">
            <v>#N/A</v>
          </cell>
          <cell r="J175" t="e">
            <v>#N/A</v>
          </cell>
          <cell r="K175" t="e">
            <v>#N/A</v>
          </cell>
          <cell r="L175" t="e">
            <v>#N/A</v>
          </cell>
          <cell r="M175" t="e">
            <v>#N/A</v>
          </cell>
          <cell r="N175" t="e">
            <v>#N/A</v>
          </cell>
          <cell r="O175" t="e">
            <v>#N/A</v>
          </cell>
          <cell r="P175">
            <v>41.6</v>
          </cell>
          <cell r="Q175">
            <v>1.641805</v>
          </cell>
          <cell r="R175" t="e">
            <v>#N/A</v>
          </cell>
        </row>
        <row r="176">
          <cell r="A176">
            <v>39722</v>
          </cell>
          <cell r="B176">
            <v>39722</v>
          </cell>
          <cell r="C176" t="str">
            <v>Past</v>
          </cell>
          <cell r="D176">
            <v>40.119999999999997</v>
          </cell>
          <cell r="E176" t="e">
            <v>#N/A</v>
          </cell>
          <cell r="F176" t="e">
            <v>#N/A</v>
          </cell>
          <cell r="G176" t="e">
            <v>#N/A</v>
          </cell>
          <cell r="H176" t="e">
            <v>#N/A</v>
          </cell>
          <cell r="I176" t="e">
            <v>#N/A</v>
          </cell>
          <cell r="J176" t="e">
            <v>#N/A</v>
          </cell>
          <cell r="K176" t="e">
            <v>#N/A</v>
          </cell>
          <cell r="L176" t="e">
            <v>#N/A</v>
          </cell>
          <cell r="M176" t="e">
            <v>#N/A</v>
          </cell>
          <cell r="N176" t="e">
            <v>#N/A</v>
          </cell>
          <cell r="O176" t="e">
            <v>#N/A</v>
          </cell>
          <cell r="P176">
            <v>40.119999999999997</v>
          </cell>
          <cell r="Q176">
            <v>3.9727239999999999</v>
          </cell>
          <cell r="R176" t="e">
            <v>#N/A</v>
          </cell>
        </row>
        <row r="177">
          <cell r="A177">
            <v>39723</v>
          </cell>
          <cell r="B177">
            <v>39723</v>
          </cell>
          <cell r="C177" t="str">
            <v>Past</v>
          </cell>
          <cell r="D177">
            <v>37.130000000000003</v>
          </cell>
          <cell r="E177" t="e">
            <v>#N/A</v>
          </cell>
          <cell r="F177" t="e">
            <v>#N/A</v>
          </cell>
          <cell r="G177" t="e">
            <v>#N/A</v>
          </cell>
          <cell r="H177" t="e">
            <v>#N/A</v>
          </cell>
          <cell r="I177" t="e">
            <v>#N/A</v>
          </cell>
          <cell r="J177" t="e">
            <v>#N/A</v>
          </cell>
          <cell r="K177" t="e">
            <v>#N/A</v>
          </cell>
          <cell r="L177" t="e">
            <v>#N/A</v>
          </cell>
          <cell r="M177" t="e">
            <v>#N/A</v>
          </cell>
          <cell r="N177" t="e">
            <v>#N/A</v>
          </cell>
          <cell r="O177" t="e">
            <v>#N/A</v>
          </cell>
          <cell r="P177">
            <v>37.130000000000003</v>
          </cell>
          <cell r="Q177">
            <v>1.875475</v>
          </cell>
          <cell r="R177" t="e">
            <v>#N/A</v>
          </cell>
        </row>
        <row r="178">
          <cell r="A178">
            <v>39724</v>
          </cell>
          <cell r="B178">
            <v>39724</v>
          </cell>
          <cell r="C178" t="str">
            <v>Past</v>
          </cell>
          <cell r="D178">
            <v>37.090000000000003</v>
          </cell>
          <cell r="E178" t="e">
            <v>#N/A</v>
          </cell>
          <cell r="F178" t="e">
            <v>#N/A</v>
          </cell>
          <cell r="G178" t="e">
            <v>#N/A</v>
          </cell>
          <cell r="H178" t="e">
            <v>#N/A</v>
          </cell>
          <cell r="I178" t="e">
            <v>#N/A</v>
          </cell>
          <cell r="J178" t="e">
            <v>#N/A</v>
          </cell>
          <cell r="K178" t="e">
            <v>#N/A</v>
          </cell>
          <cell r="L178" t="e">
            <v>#N/A</v>
          </cell>
          <cell r="M178" t="e">
            <v>#N/A</v>
          </cell>
          <cell r="N178" t="e">
            <v>#N/A</v>
          </cell>
          <cell r="O178" t="e">
            <v>#N/A</v>
          </cell>
          <cell r="P178">
            <v>37.090000000000003</v>
          </cell>
          <cell r="Q178">
            <v>1.938688</v>
          </cell>
          <cell r="R178" t="e">
            <v>#N/A</v>
          </cell>
        </row>
        <row r="179">
          <cell r="A179">
            <v>39727</v>
          </cell>
          <cell r="B179">
            <v>39727</v>
          </cell>
          <cell r="C179" t="str">
            <v>Past</v>
          </cell>
          <cell r="D179">
            <v>33.86</v>
          </cell>
          <cell r="E179" t="e">
            <v>#N/A</v>
          </cell>
          <cell r="F179" t="e">
            <v>#N/A</v>
          </cell>
          <cell r="G179" t="e">
            <v>#N/A</v>
          </cell>
          <cell r="H179" t="e">
            <v>#N/A</v>
          </cell>
          <cell r="I179" t="e">
            <v>#N/A</v>
          </cell>
          <cell r="J179" t="e">
            <v>#N/A</v>
          </cell>
          <cell r="K179" t="e">
            <v>#N/A</v>
          </cell>
          <cell r="L179" t="e">
            <v>#N/A</v>
          </cell>
          <cell r="M179" t="e">
            <v>#N/A</v>
          </cell>
          <cell r="N179" t="e">
            <v>#N/A</v>
          </cell>
          <cell r="O179" t="e">
            <v>#N/A</v>
          </cell>
          <cell r="P179">
            <v>33.86</v>
          </cell>
          <cell r="Q179">
            <v>2.655106</v>
          </cell>
          <cell r="R179" t="e">
            <v>#N/A</v>
          </cell>
        </row>
        <row r="180">
          <cell r="A180">
            <v>39728</v>
          </cell>
          <cell r="B180">
            <v>39728</v>
          </cell>
          <cell r="C180" t="str">
            <v>Past</v>
          </cell>
          <cell r="D180">
            <v>34.22</v>
          </cell>
          <cell r="E180" t="e">
            <v>#N/A</v>
          </cell>
          <cell r="F180" t="e">
            <v>#N/A</v>
          </cell>
          <cell r="G180" t="e">
            <v>#N/A</v>
          </cell>
          <cell r="H180" t="e">
            <v>#N/A</v>
          </cell>
          <cell r="I180" t="e">
            <v>#N/A</v>
          </cell>
          <cell r="J180" t="e">
            <v>#N/A</v>
          </cell>
          <cell r="K180" t="e">
            <v>#N/A</v>
          </cell>
          <cell r="L180" t="e">
            <v>#N/A</v>
          </cell>
          <cell r="M180" t="e">
            <v>#N/A</v>
          </cell>
          <cell r="N180" t="e">
            <v>#N/A</v>
          </cell>
          <cell r="O180" t="e">
            <v>#N/A</v>
          </cell>
          <cell r="P180">
            <v>34.22</v>
          </cell>
          <cell r="Q180">
            <v>3.9290909999999997</v>
          </cell>
          <cell r="R180" t="e">
            <v>#N/A</v>
          </cell>
        </row>
        <row r="181">
          <cell r="A181">
            <v>39729</v>
          </cell>
          <cell r="B181">
            <v>39729</v>
          </cell>
          <cell r="C181" t="str">
            <v>Past</v>
          </cell>
          <cell r="D181">
            <v>33.74</v>
          </cell>
          <cell r="E181" t="e">
            <v>#N/A</v>
          </cell>
          <cell r="F181" t="e">
            <v>#N/A</v>
          </cell>
          <cell r="G181" t="e">
            <v>#N/A</v>
          </cell>
          <cell r="H181" t="e">
            <v>#N/A</v>
          </cell>
          <cell r="I181" t="e">
            <v>#N/A</v>
          </cell>
          <cell r="J181" t="e">
            <v>#N/A</v>
          </cell>
          <cell r="K181" t="e">
            <v>#N/A</v>
          </cell>
          <cell r="L181" t="e">
            <v>#N/A</v>
          </cell>
          <cell r="M181" t="e">
            <v>#N/A</v>
          </cell>
          <cell r="N181" t="e">
            <v>#N/A</v>
          </cell>
          <cell r="O181" t="e">
            <v>#N/A</v>
          </cell>
          <cell r="P181">
            <v>33.74</v>
          </cell>
          <cell r="Q181">
            <v>2.1836900000000004</v>
          </cell>
          <cell r="R181" t="e">
            <v>#N/A</v>
          </cell>
        </row>
        <row r="182">
          <cell r="A182">
            <v>39730</v>
          </cell>
          <cell r="B182">
            <v>39730</v>
          </cell>
          <cell r="C182" t="str">
            <v>Past</v>
          </cell>
          <cell r="D182">
            <v>31.82</v>
          </cell>
          <cell r="E182" t="e">
            <v>#N/A</v>
          </cell>
          <cell r="F182" t="e">
            <v>#N/A</v>
          </cell>
          <cell r="G182" t="e">
            <v>#N/A</v>
          </cell>
          <cell r="H182" t="e">
            <v>#N/A</v>
          </cell>
          <cell r="I182" t="e">
            <v>#N/A</v>
          </cell>
          <cell r="J182" t="e">
            <v>#N/A</v>
          </cell>
          <cell r="K182" t="e">
            <v>#N/A</v>
          </cell>
          <cell r="L182" t="e">
            <v>#N/A</v>
          </cell>
          <cell r="M182" t="e">
            <v>#N/A</v>
          </cell>
          <cell r="N182" t="e">
            <v>#N/A</v>
          </cell>
          <cell r="O182" t="e">
            <v>#N/A</v>
          </cell>
          <cell r="P182">
            <v>31.82</v>
          </cell>
          <cell r="Q182">
            <v>1.6622000000000001</v>
          </cell>
          <cell r="R182" t="e">
            <v>#N/A</v>
          </cell>
        </row>
        <row r="183">
          <cell r="A183">
            <v>39731</v>
          </cell>
          <cell r="B183">
            <v>39731</v>
          </cell>
          <cell r="C183" t="str">
            <v>Past</v>
          </cell>
          <cell r="D183">
            <v>31.94</v>
          </cell>
          <cell r="E183" t="e">
            <v>#N/A</v>
          </cell>
          <cell r="F183" t="e">
            <v>#N/A</v>
          </cell>
          <cell r="G183" t="e">
            <v>#N/A</v>
          </cell>
          <cell r="H183" t="e">
            <v>#N/A</v>
          </cell>
          <cell r="I183" t="e">
            <v>#N/A</v>
          </cell>
          <cell r="J183" t="e">
            <v>#N/A</v>
          </cell>
          <cell r="K183" t="e">
            <v>#N/A</v>
          </cell>
          <cell r="L183" t="e">
            <v>#N/A</v>
          </cell>
          <cell r="M183" t="e">
            <v>#N/A</v>
          </cell>
          <cell r="N183" t="e">
            <v>#N/A</v>
          </cell>
          <cell r="O183" t="e">
            <v>#N/A</v>
          </cell>
          <cell r="P183">
            <v>31.94</v>
          </cell>
          <cell r="Q183">
            <v>2.6307749999999999</v>
          </cell>
          <cell r="R183" t="e">
            <v>#N/A</v>
          </cell>
        </row>
        <row r="184">
          <cell r="A184">
            <v>39734</v>
          </cell>
          <cell r="B184">
            <v>39734</v>
          </cell>
          <cell r="C184" t="str">
            <v>Past</v>
          </cell>
          <cell r="D184">
            <v>35.119999999999997</v>
          </cell>
          <cell r="E184" t="e">
            <v>#N/A</v>
          </cell>
          <cell r="F184" t="e">
            <v>#N/A</v>
          </cell>
          <cell r="G184" t="e">
            <v>#N/A</v>
          </cell>
          <cell r="H184" t="e">
            <v>#N/A</v>
          </cell>
          <cell r="I184" t="e">
            <v>#N/A</v>
          </cell>
          <cell r="J184" t="e">
            <v>#N/A</v>
          </cell>
          <cell r="K184" t="e">
            <v>#N/A</v>
          </cell>
          <cell r="L184" t="e">
            <v>#N/A</v>
          </cell>
          <cell r="M184" t="e">
            <v>#N/A</v>
          </cell>
          <cell r="N184" t="e">
            <v>#N/A</v>
          </cell>
          <cell r="O184" t="e">
            <v>#N/A</v>
          </cell>
          <cell r="P184">
            <v>35.119999999999997</v>
          </cell>
          <cell r="Q184">
            <v>2.0106859999999998</v>
          </cell>
          <cell r="R184" t="e">
            <v>#N/A</v>
          </cell>
        </row>
        <row r="185">
          <cell r="A185">
            <v>39735</v>
          </cell>
          <cell r="B185">
            <v>39735</v>
          </cell>
          <cell r="C185" t="str">
            <v>Past</v>
          </cell>
          <cell r="D185">
            <v>34.46</v>
          </cell>
          <cell r="E185" t="e">
            <v>#N/A</v>
          </cell>
          <cell r="F185" t="e">
            <v>#N/A</v>
          </cell>
          <cell r="G185" t="e">
            <v>#N/A</v>
          </cell>
          <cell r="H185" t="e">
            <v>#N/A</v>
          </cell>
          <cell r="I185" t="e">
            <v>#N/A</v>
          </cell>
          <cell r="J185" t="e">
            <v>#N/A</v>
          </cell>
          <cell r="K185" t="e">
            <v>#N/A</v>
          </cell>
          <cell r="L185" t="e">
            <v>#N/A</v>
          </cell>
          <cell r="M185" t="e">
            <v>#N/A</v>
          </cell>
          <cell r="N185" t="e">
            <v>#N/A</v>
          </cell>
          <cell r="O185" t="e">
            <v>#N/A</v>
          </cell>
          <cell r="P185">
            <v>34.46</v>
          </cell>
          <cell r="Q185">
            <v>1.8610609999999999</v>
          </cell>
          <cell r="R185" t="e">
            <v>#N/A</v>
          </cell>
        </row>
        <row r="186">
          <cell r="A186">
            <v>39736</v>
          </cell>
          <cell r="B186">
            <v>39736</v>
          </cell>
          <cell r="C186" t="str">
            <v>Past</v>
          </cell>
          <cell r="D186">
            <v>30</v>
          </cell>
          <cell r="E186" t="e">
            <v>#N/A</v>
          </cell>
          <cell r="F186" t="e">
            <v>#N/A</v>
          </cell>
          <cell r="G186" t="e">
            <v>#N/A</v>
          </cell>
          <cell r="H186" t="e">
            <v>#N/A</v>
          </cell>
          <cell r="I186" t="e">
            <v>#N/A</v>
          </cell>
          <cell r="J186" t="e">
            <v>#N/A</v>
          </cell>
          <cell r="K186" t="e">
            <v>#N/A</v>
          </cell>
          <cell r="L186" t="e">
            <v>#N/A</v>
          </cell>
          <cell r="M186" t="e">
            <v>#N/A</v>
          </cell>
          <cell r="N186" t="e">
            <v>#N/A</v>
          </cell>
          <cell r="O186" t="e">
            <v>#N/A</v>
          </cell>
          <cell r="P186">
            <v>30</v>
          </cell>
          <cell r="Q186">
            <v>2.449557</v>
          </cell>
          <cell r="R186" t="e">
            <v>#N/A</v>
          </cell>
        </row>
        <row r="187">
          <cell r="A187">
            <v>39737</v>
          </cell>
          <cell r="B187">
            <v>39737</v>
          </cell>
          <cell r="C187" t="str">
            <v>Past</v>
          </cell>
          <cell r="D187">
            <v>33.19</v>
          </cell>
          <cell r="E187" t="e">
            <v>#N/A</v>
          </cell>
          <cell r="F187" t="e">
            <v>#N/A</v>
          </cell>
          <cell r="G187" t="e">
            <v>#N/A</v>
          </cell>
          <cell r="H187" t="e">
            <v>#N/A</v>
          </cell>
          <cell r="I187" t="e">
            <v>#N/A</v>
          </cell>
          <cell r="J187" t="e">
            <v>#N/A</v>
          </cell>
          <cell r="K187" t="e">
            <v>#N/A</v>
          </cell>
          <cell r="L187" t="e">
            <v>#N/A</v>
          </cell>
          <cell r="M187" t="e">
            <v>#N/A</v>
          </cell>
          <cell r="N187" t="e">
            <v>#N/A</v>
          </cell>
          <cell r="O187" t="e">
            <v>#N/A</v>
          </cell>
          <cell r="P187">
            <v>33.19</v>
          </cell>
          <cell r="Q187">
            <v>3.2420949999999999</v>
          </cell>
          <cell r="R187" t="e">
            <v>#N/A</v>
          </cell>
        </row>
        <row r="188">
          <cell r="A188">
            <v>39738</v>
          </cell>
          <cell r="B188">
            <v>39738</v>
          </cell>
          <cell r="C188" t="str">
            <v>Past</v>
          </cell>
          <cell r="D188">
            <v>31.97</v>
          </cell>
          <cell r="E188" t="e">
            <v>#N/A</v>
          </cell>
          <cell r="F188" t="e">
            <v>#N/A</v>
          </cell>
          <cell r="G188" t="e">
            <v>#N/A</v>
          </cell>
          <cell r="H188" t="e">
            <v>#N/A</v>
          </cell>
          <cell r="I188" t="e">
            <v>#N/A</v>
          </cell>
          <cell r="J188" t="e">
            <v>#N/A</v>
          </cell>
          <cell r="K188" t="e">
            <v>#N/A</v>
          </cell>
          <cell r="L188" t="e">
            <v>#N/A</v>
          </cell>
          <cell r="M188" t="e">
            <v>#N/A</v>
          </cell>
          <cell r="N188" t="e">
            <v>#N/A</v>
          </cell>
          <cell r="O188" t="e">
            <v>#N/A</v>
          </cell>
          <cell r="P188">
            <v>31.97</v>
          </cell>
          <cell r="Q188">
            <v>1.7620800000000001</v>
          </cell>
          <cell r="R188" t="e">
            <v>#N/A</v>
          </cell>
        </row>
        <row r="189">
          <cell r="A189">
            <v>39741</v>
          </cell>
          <cell r="B189">
            <v>39741</v>
          </cell>
          <cell r="C189" t="str">
            <v>Past</v>
          </cell>
          <cell r="D189">
            <v>34.85</v>
          </cell>
          <cell r="E189" t="e">
            <v>#N/A</v>
          </cell>
          <cell r="F189" t="e">
            <v>#N/A</v>
          </cell>
          <cell r="G189" t="e">
            <v>#N/A</v>
          </cell>
          <cell r="H189" t="e">
            <v>#N/A</v>
          </cell>
          <cell r="I189" t="e">
            <v>#N/A</v>
          </cell>
          <cell r="J189" t="e">
            <v>#N/A</v>
          </cell>
          <cell r="K189" t="e">
            <v>#N/A</v>
          </cell>
          <cell r="L189" t="e">
            <v>#N/A</v>
          </cell>
          <cell r="M189" t="e">
            <v>#N/A</v>
          </cell>
          <cell r="N189" t="e">
            <v>#N/A</v>
          </cell>
          <cell r="O189" t="e">
            <v>#N/A</v>
          </cell>
          <cell r="P189">
            <v>34.85</v>
          </cell>
          <cell r="Q189">
            <v>1.801806</v>
          </cell>
          <cell r="R189" t="e">
            <v>#N/A</v>
          </cell>
        </row>
        <row r="190">
          <cell r="A190">
            <v>39742</v>
          </cell>
          <cell r="B190">
            <v>39742</v>
          </cell>
          <cell r="C190" t="str">
            <v>Past</v>
          </cell>
          <cell r="D190">
            <v>33.18</v>
          </cell>
          <cell r="E190" t="e">
            <v>#N/A</v>
          </cell>
          <cell r="F190" t="e">
            <v>#N/A</v>
          </cell>
          <cell r="G190" t="e">
            <v>#N/A</v>
          </cell>
          <cell r="H190" t="e">
            <v>#N/A</v>
          </cell>
          <cell r="I190" t="e">
            <v>#N/A</v>
          </cell>
          <cell r="J190" t="e">
            <v>#N/A</v>
          </cell>
          <cell r="K190" t="e">
            <v>#N/A</v>
          </cell>
          <cell r="L190" t="e">
            <v>#N/A</v>
          </cell>
          <cell r="M190" t="e">
            <v>#N/A</v>
          </cell>
          <cell r="N190" t="e">
            <v>#N/A</v>
          </cell>
          <cell r="O190" t="e">
            <v>#N/A</v>
          </cell>
          <cell r="P190">
            <v>33.18</v>
          </cell>
          <cell r="Q190">
            <v>1.4458519999999999</v>
          </cell>
          <cell r="R190" t="e">
            <v>#N/A</v>
          </cell>
        </row>
        <row r="191">
          <cell r="A191">
            <v>39743</v>
          </cell>
          <cell r="B191">
            <v>39743</v>
          </cell>
          <cell r="C191" t="str">
            <v>Past</v>
          </cell>
          <cell r="D191">
            <v>32.03</v>
          </cell>
          <cell r="E191" t="e">
            <v>#N/A</v>
          </cell>
          <cell r="F191" t="e">
            <v>#N/A</v>
          </cell>
          <cell r="G191" t="e">
            <v>#N/A</v>
          </cell>
          <cell r="H191" t="e">
            <v>#N/A</v>
          </cell>
          <cell r="I191" t="e">
            <v>#N/A</v>
          </cell>
          <cell r="J191" t="e">
            <v>#N/A</v>
          </cell>
          <cell r="K191" t="e">
            <v>#N/A</v>
          </cell>
          <cell r="L191" t="e">
            <v>#N/A</v>
          </cell>
          <cell r="M191" t="e">
            <v>#N/A</v>
          </cell>
          <cell r="N191" t="e">
            <v>#N/A</v>
          </cell>
          <cell r="O191" t="e">
            <v>#N/A</v>
          </cell>
          <cell r="P191">
            <v>32.03</v>
          </cell>
          <cell r="Q191">
            <v>2.0923339999999997</v>
          </cell>
          <cell r="R191" t="e">
            <v>#N/A</v>
          </cell>
        </row>
        <row r="192">
          <cell r="A192">
            <v>39744</v>
          </cell>
          <cell r="B192">
            <v>39744</v>
          </cell>
          <cell r="C192" t="str">
            <v>Past</v>
          </cell>
          <cell r="D192">
            <v>34.799999999999997</v>
          </cell>
          <cell r="E192" t="e">
            <v>#N/A</v>
          </cell>
          <cell r="F192" t="e">
            <v>#N/A</v>
          </cell>
          <cell r="G192" t="e">
            <v>#N/A</v>
          </cell>
          <cell r="H192" t="e">
            <v>#N/A</v>
          </cell>
          <cell r="I192" t="e">
            <v>#N/A</v>
          </cell>
          <cell r="J192" t="e">
            <v>#N/A</v>
          </cell>
          <cell r="K192" t="e">
            <v>#N/A</v>
          </cell>
          <cell r="L192" t="e">
            <v>#N/A</v>
          </cell>
          <cell r="M192" t="e">
            <v>#N/A</v>
          </cell>
          <cell r="N192" t="e">
            <v>#N/A</v>
          </cell>
          <cell r="O192" t="e">
            <v>#N/A</v>
          </cell>
          <cell r="P192">
            <v>34.799999999999997</v>
          </cell>
          <cell r="Q192">
            <v>2.8823000000000003</v>
          </cell>
          <cell r="R192" t="e">
            <v>#N/A</v>
          </cell>
        </row>
        <row r="193">
          <cell r="A193">
            <v>39745</v>
          </cell>
          <cell r="B193">
            <v>39745</v>
          </cell>
          <cell r="C193" t="str">
            <v>Past</v>
          </cell>
          <cell r="D193">
            <v>33.03</v>
          </cell>
          <cell r="E193" t="e">
            <v>#N/A</v>
          </cell>
          <cell r="F193" t="e">
            <v>#N/A</v>
          </cell>
          <cell r="G193" t="e">
            <v>#N/A</v>
          </cell>
          <cell r="H193" t="e">
            <v>#N/A</v>
          </cell>
          <cell r="I193" t="e">
            <v>#N/A</v>
          </cell>
          <cell r="J193" t="e">
            <v>#N/A</v>
          </cell>
          <cell r="K193" t="e">
            <v>#N/A</v>
          </cell>
          <cell r="L193" t="e">
            <v>#N/A</v>
          </cell>
          <cell r="M193" t="e">
            <v>#N/A</v>
          </cell>
          <cell r="N193" t="e">
            <v>#N/A</v>
          </cell>
          <cell r="O193" t="e">
            <v>#N/A</v>
          </cell>
          <cell r="P193">
            <v>33.03</v>
          </cell>
          <cell r="Q193">
            <v>2.5827789999999999</v>
          </cell>
          <cell r="R193" t="e">
            <v>#N/A</v>
          </cell>
        </row>
        <row r="194">
          <cell r="A194">
            <v>39748</v>
          </cell>
          <cell r="B194">
            <v>39748</v>
          </cell>
          <cell r="C194" t="str">
            <v>Past</v>
          </cell>
          <cell r="D194">
            <v>30.9</v>
          </cell>
          <cell r="E194" t="e">
            <v>#N/A</v>
          </cell>
          <cell r="F194" t="e">
            <v>#N/A</v>
          </cell>
          <cell r="G194" t="e">
            <v>#N/A</v>
          </cell>
          <cell r="H194" t="e">
            <v>#N/A</v>
          </cell>
          <cell r="I194" t="e">
            <v>#N/A</v>
          </cell>
          <cell r="J194" t="e">
            <v>#N/A</v>
          </cell>
          <cell r="K194" t="e">
            <v>#N/A</v>
          </cell>
          <cell r="L194" t="e">
            <v>#N/A</v>
          </cell>
          <cell r="M194" t="e">
            <v>#N/A</v>
          </cell>
          <cell r="N194" t="e">
            <v>#N/A</v>
          </cell>
          <cell r="O194" t="e">
            <v>#N/A</v>
          </cell>
          <cell r="P194">
            <v>30.9</v>
          </cell>
          <cell r="Q194">
            <v>2.1401429999999997</v>
          </cell>
          <cell r="R194" t="e">
            <v>#N/A</v>
          </cell>
        </row>
        <row r="195">
          <cell r="A195">
            <v>39749</v>
          </cell>
          <cell r="B195">
            <v>39749</v>
          </cell>
          <cell r="C195" t="str">
            <v>Past</v>
          </cell>
          <cell r="D195">
            <v>35.770000000000003</v>
          </cell>
          <cell r="E195" t="e">
            <v>#N/A</v>
          </cell>
          <cell r="F195" t="e">
            <v>#N/A</v>
          </cell>
          <cell r="G195" t="e">
            <v>#N/A</v>
          </cell>
          <cell r="H195" t="e">
            <v>#N/A</v>
          </cell>
          <cell r="I195" t="e">
            <v>#N/A</v>
          </cell>
          <cell r="J195" t="e">
            <v>#N/A</v>
          </cell>
          <cell r="K195" t="e">
            <v>#N/A</v>
          </cell>
          <cell r="L195" t="e">
            <v>#N/A</v>
          </cell>
          <cell r="M195" t="e">
            <v>#N/A</v>
          </cell>
          <cell r="N195" t="e">
            <v>#N/A</v>
          </cell>
          <cell r="O195" t="e">
            <v>#N/A</v>
          </cell>
          <cell r="P195">
            <v>35.770000000000003</v>
          </cell>
          <cell r="Q195">
            <v>2.4503879999999998</v>
          </cell>
          <cell r="R195" t="e">
            <v>#N/A</v>
          </cell>
        </row>
        <row r="196">
          <cell r="A196">
            <v>39750</v>
          </cell>
          <cell r="B196">
            <v>39750</v>
          </cell>
          <cell r="C196" t="str">
            <v>Past</v>
          </cell>
          <cell r="D196">
            <v>35.869999999999997</v>
          </cell>
          <cell r="E196" t="e">
            <v>#N/A</v>
          </cell>
          <cell r="F196" t="e">
            <v>#N/A</v>
          </cell>
          <cell r="G196" t="e">
            <v>#N/A</v>
          </cell>
          <cell r="H196" t="e">
            <v>#N/A</v>
          </cell>
          <cell r="I196" t="e">
            <v>#N/A</v>
          </cell>
          <cell r="J196" t="e">
            <v>#N/A</v>
          </cell>
          <cell r="K196" t="e">
            <v>#N/A</v>
          </cell>
          <cell r="L196" t="e">
            <v>#N/A</v>
          </cell>
          <cell r="M196" t="e">
            <v>#N/A</v>
          </cell>
          <cell r="N196" t="e">
            <v>#N/A</v>
          </cell>
          <cell r="O196" t="e">
            <v>#N/A</v>
          </cell>
          <cell r="P196">
            <v>35.869999999999997</v>
          </cell>
          <cell r="Q196">
            <v>1.902604</v>
          </cell>
          <cell r="R196" t="e">
            <v>#N/A</v>
          </cell>
        </row>
        <row r="197">
          <cell r="A197">
            <v>39751</v>
          </cell>
          <cell r="B197">
            <v>39751</v>
          </cell>
          <cell r="C197" t="str">
            <v>Past</v>
          </cell>
          <cell r="D197">
            <v>36.950000000000003</v>
          </cell>
          <cell r="E197" t="e">
            <v>#N/A</v>
          </cell>
          <cell r="F197" t="e">
            <v>#N/A</v>
          </cell>
          <cell r="G197" t="e">
            <v>#N/A</v>
          </cell>
          <cell r="H197" t="e">
            <v>#N/A</v>
          </cell>
          <cell r="I197" t="e">
            <v>#N/A</v>
          </cell>
          <cell r="J197" t="e">
            <v>#N/A</v>
          </cell>
          <cell r="K197" t="e">
            <v>#N/A</v>
          </cell>
          <cell r="L197" t="e">
            <v>#N/A</v>
          </cell>
          <cell r="M197" t="e">
            <v>#N/A</v>
          </cell>
          <cell r="N197" t="e">
            <v>#N/A</v>
          </cell>
          <cell r="O197" t="e">
            <v>#N/A</v>
          </cell>
          <cell r="P197">
            <v>36.950000000000003</v>
          </cell>
          <cell r="Q197">
            <v>1.9679800000000001</v>
          </cell>
          <cell r="R197" t="e">
            <v>#N/A</v>
          </cell>
        </row>
        <row r="198">
          <cell r="A198">
            <v>39752</v>
          </cell>
          <cell r="B198">
            <v>39752</v>
          </cell>
          <cell r="C198" t="str">
            <v>Past</v>
          </cell>
          <cell r="D198">
            <v>36.56</v>
          </cell>
          <cell r="E198" t="e">
            <v>#N/A</v>
          </cell>
          <cell r="F198" t="e">
            <v>#N/A</v>
          </cell>
          <cell r="G198" t="e">
            <v>#N/A</v>
          </cell>
          <cell r="H198" t="e">
            <v>#N/A</v>
          </cell>
          <cell r="I198" t="e">
            <v>#N/A</v>
          </cell>
          <cell r="J198" t="e">
            <v>#N/A</v>
          </cell>
          <cell r="K198" t="e">
            <v>#N/A</v>
          </cell>
          <cell r="L198" t="e">
            <v>#N/A</v>
          </cell>
          <cell r="M198" t="e">
            <v>#N/A</v>
          </cell>
          <cell r="N198" t="e">
            <v>#N/A</v>
          </cell>
          <cell r="O198" t="e">
            <v>#N/A</v>
          </cell>
          <cell r="P198">
            <v>36.56</v>
          </cell>
          <cell r="Q198">
            <v>2.4284089999999998</v>
          </cell>
          <cell r="R198" t="e">
            <v>#N/A</v>
          </cell>
        </row>
        <row r="199">
          <cell r="A199">
            <v>39755</v>
          </cell>
          <cell r="B199">
            <v>39755</v>
          </cell>
          <cell r="C199" t="str">
            <v>Past</v>
          </cell>
          <cell r="D199">
            <v>38.049999999999997</v>
          </cell>
          <cell r="E199" t="e">
            <v>#N/A</v>
          </cell>
          <cell r="F199" t="e">
            <v>#N/A</v>
          </cell>
          <cell r="G199" t="e">
            <v>#N/A</v>
          </cell>
          <cell r="H199" t="e">
            <v>#N/A</v>
          </cell>
          <cell r="I199" t="e">
            <v>#N/A</v>
          </cell>
          <cell r="J199" t="e">
            <v>#N/A</v>
          </cell>
          <cell r="K199" t="e">
            <v>#N/A</v>
          </cell>
          <cell r="L199" t="e">
            <v>#N/A</v>
          </cell>
          <cell r="M199" t="e">
            <v>#N/A</v>
          </cell>
          <cell r="N199" t="e">
            <v>#N/A</v>
          </cell>
          <cell r="O199" t="e">
            <v>#N/A</v>
          </cell>
          <cell r="P199">
            <v>38.049999999999997</v>
          </cell>
          <cell r="Q199">
            <v>1.9575200000000001</v>
          </cell>
          <cell r="R199" t="e">
            <v>#N/A</v>
          </cell>
        </row>
        <row r="200">
          <cell r="A200">
            <v>39756</v>
          </cell>
          <cell r="B200">
            <v>39756</v>
          </cell>
          <cell r="C200" t="str">
            <v>Past</v>
          </cell>
          <cell r="D200">
            <v>39.85</v>
          </cell>
          <cell r="E200" t="e">
            <v>#N/A</v>
          </cell>
          <cell r="F200" t="e">
            <v>#N/A</v>
          </cell>
          <cell r="G200" t="e">
            <v>#N/A</v>
          </cell>
          <cell r="H200" t="e">
            <v>#N/A</v>
          </cell>
          <cell r="I200" t="e">
            <v>#N/A</v>
          </cell>
          <cell r="J200" t="e">
            <v>#N/A</v>
          </cell>
          <cell r="K200" t="e">
            <v>#N/A</v>
          </cell>
          <cell r="L200" t="e">
            <v>#N/A</v>
          </cell>
          <cell r="M200" t="e">
            <v>#N/A</v>
          </cell>
          <cell r="N200" t="e">
            <v>#N/A</v>
          </cell>
          <cell r="O200" t="e">
            <v>#N/A</v>
          </cell>
          <cell r="P200">
            <v>39.85</v>
          </cell>
          <cell r="Q200">
            <v>2.2860500000000004</v>
          </cell>
          <cell r="R200" t="e">
            <v>#N/A</v>
          </cell>
        </row>
        <row r="201">
          <cell r="A201">
            <v>39757</v>
          </cell>
          <cell r="B201">
            <v>39757</v>
          </cell>
          <cell r="C201" t="str">
            <v>Past</v>
          </cell>
          <cell r="D201">
            <v>36.93</v>
          </cell>
          <cell r="E201" t="e">
            <v>#N/A</v>
          </cell>
          <cell r="F201" t="e">
            <v>#N/A</v>
          </cell>
          <cell r="G201" t="e">
            <v>#N/A</v>
          </cell>
          <cell r="H201" t="e">
            <v>#N/A</v>
          </cell>
          <cell r="I201" t="e">
            <v>#N/A</v>
          </cell>
          <cell r="J201" t="e">
            <v>#N/A</v>
          </cell>
          <cell r="K201" t="e">
            <v>#N/A</v>
          </cell>
          <cell r="L201" t="e">
            <v>#N/A</v>
          </cell>
          <cell r="M201" t="e">
            <v>#N/A</v>
          </cell>
          <cell r="N201" t="e">
            <v>#N/A</v>
          </cell>
          <cell r="O201" t="e">
            <v>#N/A</v>
          </cell>
          <cell r="P201">
            <v>36.93</v>
          </cell>
          <cell r="Q201">
            <v>1.948888</v>
          </cell>
          <cell r="R201" t="e">
            <v>#N/A</v>
          </cell>
        </row>
        <row r="202">
          <cell r="A202">
            <v>39758</v>
          </cell>
          <cell r="B202">
            <v>39758</v>
          </cell>
          <cell r="C202" t="str">
            <v>Past</v>
          </cell>
          <cell r="D202">
            <v>34.29</v>
          </cell>
          <cell r="E202" t="e">
            <v>#N/A</v>
          </cell>
          <cell r="F202" t="e">
            <v>#N/A</v>
          </cell>
          <cell r="G202" t="e">
            <v>#N/A</v>
          </cell>
          <cell r="H202" t="e">
            <v>#N/A</v>
          </cell>
          <cell r="I202" t="e">
            <v>#N/A</v>
          </cell>
          <cell r="J202" t="e">
            <v>#N/A</v>
          </cell>
          <cell r="K202" t="e">
            <v>#N/A</v>
          </cell>
          <cell r="L202" t="e">
            <v>#N/A</v>
          </cell>
          <cell r="M202" t="e">
            <v>#N/A</v>
          </cell>
          <cell r="N202" t="e">
            <v>#N/A</v>
          </cell>
          <cell r="O202" t="e">
            <v>#N/A</v>
          </cell>
          <cell r="P202">
            <v>34.29</v>
          </cell>
          <cell r="Q202">
            <v>1.5476669999999999</v>
          </cell>
          <cell r="R202" t="e">
            <v>#N/A</v>
          </cell>
        </row>
        <row r="203">
          <cell r="A203">
            <v>39759</v>
          </cell>
          <cell r="B203">
            <v>39759</v>
          </cell>
          <cell r="C203" t="str">
            <v>Past</v>
          </cell>
          <cell r="D203">
            <v>35.19</v>
          </cell>
          <cell r="E203" t="e">
            <v>#N/A</v>
          </cell>
          <cell r="F203" t="e">
            <v>#N/A</v>
          </cell>
          <cell r="G203" t="e">
            <v>#N/A</v>
          </cell>
          <cell r="H203" t="e">
            <v>#N/A</v>
          </cell>
          <cell r="I203" t="e">
            <v>#N/A</v>
          </cell>
          <cell r="J203" t="e">
            <v>#N/A</v>
          </cell>
          <cell r="K203" t="e">
            <v>#N/A</v>
          </cell>
          <cell r="L203" t="e">
            <v>#N/A</v>
          </cell>
          <cell r="M203" t="e">
            <v>#N/A</v>
          </cell>
          <cell r="N203" t="e">
            <v>#N/A</v>
          </cell>
          <cell r="O203" t="e">
            <v>#N/A</v>
          </cell>
          <cell r="P203">
            <v>35.19</v>
          </cell>
          <cell r="Q203">
            <v>0.99650699999999992</v>
          </cell>
          <cell r="R203" t="e">
            <v>#N/A</v>
          </cell>
        </row>
        <row r="204">
          <cell r="A204">
            <v>39762</v>
          </cell>
          <cell r="B204">
            <v>39762</v>
          </cell>
          <cell r="C204" t="str">
            <v>Past</v>
          </cell>
          <cell r="D204">
            <v>34.5</v>
          </cell>
          <cell r="E204" t="e">
            <v>#N/A</v>
          </cell>
          <cell r="F204" t="e">
            <v>#N/A</v>
          </cell>
          <cell r="G204" t="e">
            <v>#N/A</v>
          </cell>
          <cell r="H204" t="e">
            <v>#N/A</v>
          </cell>
          <cell r="I204" t="e">
            <v>#N/A</v>
          </cell>
          <cell r="J204" t="e">
            <v>#N/A</v>
          </cell>
          <cell r="K204" t="e">
            <v>#N/A</v>
          </cell>
          <cell r="L204" t="e">
            <v>#N/A</v>
          </cell>
          <cell r="M204" t="e">
            <v>#N/A</v>
          </cell>
          <cell r="N204" t="e">
            <v>#N/A</v>
          </cell>
          <cell r="O204" t="e">
            <v>#N/A</v>
          </cell>
          <cell r="P204">
            <v>34.5</v>
          </cell>
          <cell r="Q204">
            <v>1.0579369999999999</v>
          </cell>
          <cell r="R204" t="e">
            <v>#N/A</v>
          </cell>
        </row>
        <row r="205">
          <cell r="A205">
            <v>39763</v>
          </cell>
          <cell r="B205">
            <v>39763</v>
          </cell>
          <cell r="C205" t="str">
            <v>Past</v>
          </cell>
          <cell r="D205">
            <v>33.369999999999997</v>
          </cell>
          <cell r="E205" t="e">
            <v>#N/A</v>
          </cell>
          <cell r="F205" t="e">
            <v>#N/A</v>
          </cell>
          <cell r="G205" t="e">
            <v>#N/A</v>
          </cell>
          <cell r="H205" t="e">
            <v>#N/A</v>
          </cell>
          <cell r="I205" t="e">
            <v>#N/A</v>
          </cell>
          <cell r="J205" t="e">
            <v>#N/A</v>
          </cell>
          <cell r="K205" t="e">
            <v>#N/A</v>
          </cell>
          <cell r="L205" t="e">
            <v>#N/A</v>
          </cell>
          <cell r="M205" t="e">
            <v>#N/A</v>
          </cell>
          <cell r="N205" t="e">
            <v>#N/A</v>
          </cell>
          <cell r="O205" t="e">
            <v>#N/A</v>
          </cell>
          <cell r="P205">
            <v>33.369999999999997</v>
          </cell>
          <cell r="Q205">
            <v>1.1043000000000001</v>
          </cell>
          <cell r="R205" t="e">
            <v>#N/A</v>
          </cell>
        </row>
        <row r="206">
          <cell r="A206">
            <v>39764</v>
          </cell>
          <cell r="B206">
            <v>39764</v>
          </cell>
          <cell r="C206" t="str">
            <v>Past</v>
          </cell>
          <cell r="D206">
            <v>32.29</v>
          </cell>
          <cell r="E206" t="e">
            <v>#N/A</v>
          </cell>
          <cell r="F206" t="e">
            <v>#N/A</v>
          </cell>
          <cell r="G206" t="e">
            <v>#N/A</v>
          </cell>
          <cell r="H206" t="e">
            <v>#N/A</v>
          </cell>
          <cell r="I206" t="e">
            <v>#N/A</v>
          </cell>
          <cell r="J206" t="e">
            <v>#N/A</v>
          </cell>
          <cell r="K206" t="e">
            <v>#N/A</v>
          </cell>
          <cell r="L206" t="e">
            <v>#N/A</v>
          </cell>
          <cell r="M206" t="e">
            <v>#N/A</v>
          </cell>
          <cell r="N206" t="e">
            <v>#N/A</v>
          </cell>
          <cell r="O206" t="e">
            <v>#N/A</v>
          </cell>
          <cell r="P206">
            <v>32.29</v>
          </cell>
          <cell r="Q206">
            <v>1.080794</v>
          </cell>
          <cell r="R206" t="e">
            <v>#N/A</v>
          </cell>
        </row>
        <row r="207">
          <cell r="A207">
            <v>39765</v>
          </cell>
          <cell r="B207">
            <v>39765</v>
          </cell>
          <cell r="C207" t="str">
            <v>Past</v>
          </cell>
          <cell r="D207">
            <v>33.49</v>
          </cell>
          <cell r="E207" t="e">
            <v>#N/A</v>
          </cell>
          <cell r="F207" t="e">
            <v>#N/A</v>
          </cell>
          <cell r="G207" t="e">
            <v>#N/A</v>
          </cell>
          <cell r="H207" t="e">
            <v>#N/A</v>
          </cell>
          <cell r="I207" t="e">
            <v>#N/A</v>
          </cell>
          <cell r="J207" t="e">
            <v>#N/A</v>
          </cell>
          <cell r="K207" t="e">
            <v>#N/A</v>
          </cell>
          <cell r="L207" t="e">
            <v>#N/A</v>
          </cell>
          <cell r="M207" t="e">
            <v>#N/A</v>
          </cell>
          <cell r="N207" t="e">
            <v>#N/A</v>
          </cell>
          <cell r="O207" t="e">
            <v>#N/A</v>
          </cell>
          <cell r="P207">
            <v>33.49</v>
          </cell>
          <cell r="Q207">
            <v>2.1120950000000001</v>
          </cell>
          <cell r="R207" t="e">
            <v>#N/A</v>
          </cell>
        </row>
        <row r="208">
          <cell r="A208">
            <v>39766</v>
          </cell>
          <cell r="B208">
            <v>39766</v>
          </cell>
          <cell r="C208" t="str">
            <v>Past</v>
          </cell>
          <cell r="D208">
            <v>32.08</v>
          </cell>
          <cell r="E208" t="e">
            <v>#N/A</v>
          </cell>
          <cell r="F208" t="e">
            <v>#N/A</v>
          </cell>
          <cell r="G208" t="e">
            <v>#N/A</v>
          </cell>
          <cell r="H208" t="e">
            <v>#N/A</v>
          </cell>
          <cell r="I208" t="e">
            <v>#N/A</v>
          </cell>
          <cell r="J208" t="e">
            <v>#N/A</v>
          </cell>
          <cell r="K208" t="e">
            <v>#N/A</v>
          </cell>
          <cell r="L208" t="e">
            <v>#N/A</v>
          </cell>
          <cell r="M208" t="e">
            <v>#N/A</v>
          </cell>
          <cell r="N208" t="e">
            <v>#N/A</v>
          </cell>
          <cell r="O208" t="e">
            <v>#N/A</v>
          </cell>
          <cell r="P208">
            <v>32.08</v>
          </cell>
          <cell r="Q208">
            <v>1.119764</v>
          </cell>
          <cell r="R208" t="e">
            <v>#N/A</v>
          </cell>
        </row>
        <row r="209">
          <cell r="A209">
            <v>39769</v>
          </cell>
          <cell r="B209">
            <v>39769</v>
          </cell>
          <cell r="C209" t="str">
            <v>Past</v>
          </cell>
          <cell r="D209">
            <v>30.83</v>
          </cell>
          <cell r="E209" t="e">
            <v>#N/A</v>
          </cell>
          <cell r="F209" t="e">
            <v>#N/A</v>
          </cell>
          <cell r="G209" t="e">
            <v>#N/A</v>
          </cell>
          <cell r="H209" t="e">
            <v>#N/A</v>
          </cell>
          <cell r="I209" t="e">
            <v>#N/A</v>
          </cell>
          <cell r="J209" t="e">
            <v>#N/A</v>
          </cell>
          <cell r="K209" t="e">
            <v>#N/A</v>
          </cell>
          <cell r="L209" t="e">
            <v>#N/A</v>
          </cell>
          <cell r="M209" t="e">
            <v>#N/A</v>
          </cell>
          <cell r="N209" t="e">
            <v>#N/A</v>
          </cell>
          <cell r="O209" t="e">
            <v>#N/A</v>
          </cell>
          <cell r="P209">
            <v>30.83</v>
          </cell>
          <cell r="Q209">
            <v>0.99315199999999992</v>
          </cell>
          <cell r="R209" t="e">
            <v>#N/A</v>
          </cell>
        </row>
        <row r="210">
          <cell r="A210">
            <v>39770</v>
          </cell>
          <cell r="B210">
            <v>39770</v>
          </cell>
          <cell r="C210" t="str">
            <v>Past</v>
          </cell>
          <cell r="D210">
            <v>30.09</v>
          </cell>
          <cell r="E210" t="e">
            <v>#N/A</v>
          </cell>
          <cell r="F210" t="e">
            <v>#N/A</v>
          </cell>
          <cell r="G210" t="e">
            <v>#N/A</v>
          </cell>
          <cell r="H210" t="e">
            <v>#N/A</v>
          </cell>
          <cell r="I210" t="e">
            <v>#N/A</v>
          </cell>
          <cell r="J210" t="e">
            <v>#N/A</v>
          </cell>
          <cell r="K210" t="e">
            <v>#N/A</v>
          </cell>
          <cell r="L210" t="e">
            <v>#N/A</v>
          </cell>
          <cell r="M210" t="e">
            <v>#N/A</v>
          </cell>
          <cell r="N210" t="e">
            <v>#N/A</v>
          </cell>
          <cell r="O210" t="e">
            <v>#N/A</v>
          </cell>
          <cell r="P210">
            <v>30.09</v>
          </cell>
          <cell r="Q210">
            <v>2.2322000000000002</v>
          </cell>
          <cell r="R210" t="e">
            <v>#N/A</v>
          </cell>
        </row>
        <row r="211">
          <cell r="A211">
            <v>39771</v>
          </cell>
          <cell r="B211">
            <v>39771</v>
          </cell>
          <cell r="C211" t="str">
            <v>Past</v>
          </cell>
          <cell r="D211">
            <v>27.84</v>
          </cell>
          <cell r="E211" t="e">
            <v>#N/A</v>
          </cell>
          <cell r="F211" t="e">
            <v>#N/A</v>
          </cell>
          <cell r="G211" t="e">
            <v>#N/A</v>
          </cell>
          <cell r="H211" t="e">
            <v>#N/A</v>
          </cell>
          <cell r="I211" t="e">
            <v>#N/A</v>
          </cell>
          <cell r="J211" t="e">
            <v>#N/A</v>
          </cell>
          <cell r="K211" t="e">
            <v>#N/A</v>
          </cell>
          <cell r="L211" t="e">
            <v>#N/A</v>
          </cell>
          <cell r="M211" t="e">
            <v>#N/A</v>
          </cell>
          <cell r="N211" t="e">
            <v>#N/A</v>
          </cell>
          <cell r="O211" t="e">
            <v>#N/A</v>
          </cell>
          <cell r="P211">
            <v>27.84</v>
          </cell>
          <cell r="Q211">
            <v>1.8709669999999998</v>
          </cell>
          <cell r="R211" t="e">
            <v>#N/A</v>
          </cell>
        </row>
        <row r="212">
          <cell r="A212">
            <v>39772</v>
          </cell>
          <cell r="B212">
            <v>39772</v>
          </cell>
          <cell r="C212" t="str">
            <v>Past</v>
          </cell>
          <cell r="D212">
            <v>26.51</v>
          </cell>
          <cell r="E212" t="e">
            <v>#N/A</v>
          </cell>
          <cell r="F212" t="e">
            <v>#N/A</v>
          </cell>
          <cell r="G212" t="e">
            <v>#N/A</v>
          </cell>
          <cell r="H212" t="e">
            <v>#N/A</v>
          </cell>
          <cell r="I212" t="e">
            <v>#N/A</v>
          </cell>
          <cell r="J212" t="e">
            <v>#N/A</v>
          </cell>
          <cell r="K212" t="e">
            <v>#N/A</v>
          </cell>
          <cell r="L212" t="e">
            <v>#N/A</v>
          </cell>
          <cell r="M212" t="e">
            <v>#N/A</v>
          </cell>
          <cell r="N212" t="e">
            <v>#N/A</v>
          </cell>
          <cell r="O212" t="e">
            <v>#N/A</v>
          </cell>
          <cell r="P212">
            <v>26.51</v>
          </cell>
          <cell r="Q212">
            <v>1.778789</v>
          </cell>
          <cell r="R212" t="e">
            <v>#N/A</v>
          </cell>
        </row>
        <row r="213">
          <cell r="A213">
            <v>39773</v>
          </cell>
          <cell r="B213">
            <v>39773</v>
          </cell>
          <cell r="C213" t="str">
            <v>Past</v>
          </cell>
          <cell r="D213">
            <v>28.13</v>
          </cell>
          <cell r="E213" t="e">
            <v>#N/A</v>
          </cell>
          <cell r="F213" t="e">
            <v>#N/A</v>
          </cell>
          <cell r="G213" t="e">
            <v>#N/A</v>
          </cell>
          <cell r="H213" t="e">
            <v>#N/A</v>
          </cell>
          <cell r="I213" t="e">
            <v>#N/A</v>
          </cell>
          <cell r="J213" t="e">
            <v>#N/A</v>
          </cell>
          <cell r="K213" t="e">
            <v>#N/A</v>
          </cell>
          <cell r="L213" t="e">
            <v>#N/A</v>
          </cell>
          <cell r="M213" t="e">
            <v>#N/A</v>
          </cell>
          <cell r="N213" t="e">
            <v>#N/A</v>
          </cell>
          <cell r="O213" t="e">
            <v>#N/A</v>
          </cell>
          <cell r="P213">
            <v>28.13</v>
          </cell>
          <cell r="Q213">
            <v>1.9406029999999999</v>
          </cell>
          <cell r="R213" t="e">
            <v>#N/A</v>
          </cell>
        </row>
        <row r="214">
          <cell r="A214">
            <v>39776</v>
          </cell>
          <cell r="B214">
            <v>39776</v>
          </cell>
          <cell r="C214" t="str">
            <v>Past</v>
          </cell>
          <cell r="D214">
            <v>30.08</v>
          </cell>
          <cell r="E214" t="e">
            <v>#N/A</v>
          </cell>
          <cell r="F214" t="e">
            <v>#N/A</v>
          </cell>
          <cell r="G214" t="e">
            <v>#N/A</v>
          </cell>
          <cell r="H214" t="e">
            <v>#N/A</v>
          </cell>
          <cell r="I214" t="e">
            <v>#N/A</v>
          </cell>
          <cell r="J214" t="e">
            <v>#N/A</v>
          </cell>
          <cell r="K214" t="e">
            <v>#N/A</v>
          </cell>
          <cell r="L214" t="e">
            <v>#N/A</v>
          </cell>
          <cell r="M214" t="e">
            <v>#N/A</v>
          </cell>
          <cell r="N214" t="e">
            <v>#N/A</v>
          </cell>
          <cell r="O214" t="e">
            <v>#N/A</v>
          </cell>
          <cell r="P214">
            <v>30.08</v>
          </cell>
          <cell r="Q214">
            <v>2.3064939999999998</v>
          </cell>
          <cell r="R214" t="e">
            <v>#N/A</v>
          </cell>
        </row>
        <row r="215">
          <cell r="A215">
            <v>39777</v>
          </cell>
          <cell r="B215">
            <v>39777</v>
          </cell>
          <cell r="C215" t="str">
            <v>Past</v>
          </cell>
          <cell r="D215">
            <v>30.7</v>
          </cell>
          <cell r="E215" t="e">
            <v>#N/A</v>
          </cell>
          <cell r="F215" t="e">
            <v>#N/A</v>
          </cell>
          <cell r="G215" t="e">
            <v>#N/A</v>
          </cell>
          <cell r="H215" t="e">
            <v>#N/A</v>
          </cell>
          <cell r="I215" t="e">
            <v>#N/A</v>
          </cell>
          <cell r="J215" t="e">
            <v>#N/A</v>
          </cell>
          <cell r="K215" t="e">
            <v>#N/A</v>
          </cell>
          <cell r="L215" t="e">
            <v>#N/A</v>
          </cell>
          <cell r="M215" t="e">
            <v>#N/A</v>
          </cell>
          <cell r="N215" t="e">
            <v>#N/A</v>
          </cell>
          <cell r="O215" t="e">
            <v>#N/A</v>
          </cell>
          <cell r="P215">
            <v>30.7</v>
          </cell>
          <cell r="Q215">
            <v>1.7402949999999999</v>
          </cell>
          <cell r="R215" t="e">
            <v>#N/A</v>
          </cell>
        </row>
        <row r="216">
          <cell r="A216">
            <v>39778</v>
          </cell>
          <cell r="B216">
            <v>39778</v>
          </cell>
          <cell r="C216" t="str">
            <v>Past</v>
          </cell>
          <cell r="D216">
            <v>32.479999999999997</v>
          </cell>
          <cell r="E216" t="e">
            <v>#N/A</v>
          </cell>
          <cell r="F216" t="e">
            <v>#N/A</v>
          </cell>
          <cell r="G216" t="e">
            <v>#N/A</v>
          </cell>
          <cell r="H216" t="e">
            <v>#N/A</v>
          </cell>
          <cell r="I216" t="e">
            <v>#N/A</v>
          </cell>
          <cell r="J216" t="e">
            <v>#N/A</v>
          </cell>
          <cell r="K216" t="e">
            <v>#N/A</v>
          </cell>
          <cell r="L216" t="e">
            <v>#N/A</v>
          </cell>
          <cell r="M216" t="e">
            <v>#N/A</v>
          </cell>
          <cell r="N216" t="e">
            <v>#N/A</v>
          </cell>
          <cell r="O216" t="e">
            <v>#N/A</v>
          </cell>
          <cell r="P216">
            <v>32.479999999999997</v>
          </cell>
          <cell r="Q216">
            <v>1.9790189999999999</v>
          </cell>
          <cell r="R216" t="e">
            <v>#N/A</v>
          </cell>
        </row>
        <row r="217">
          <cell r="A217">
            <v>39780</v>
          </cell>
          <cell r="B217">
            <v>39780</v>
          </cell>
          <cell r="C217" t="str">
            <v>Past</v>
          </cell>
          <cell r="D217">
            <v>33.65</v>
          </cell>
          <cell r="E217" t="e">
            <v>#N/A</v>
          </cell>
          <cell r="F217" t="e">
            <v>#N/A</v>
          </cell>
          <cell r="G217" t="e">
            <v>#N/A</v>
          </cell>
          <cell r="H217" t="e">
            <v>#N/A</v>
          </cell>
          <cell r="I217" t="e">
            <v>#N/A</v>
          </cell>
          <cell r="J217" t="e">
            <v>#N/A</v>
          </cell>
          <cell r="K217" t="e">
            <v>#N/A</v>
          </cell>
          <cell r="L217" t="e">
            <v>#N/A</v>
          </cell>
          <cell r="M217" t="e">
            <v>#N/A</v>
          </cell>
          <cell r="N217" t="e">
            <v>#N/A</v>
          </cell>
          <cell r="O217" t="e">
            <v>#N/A</v>
          </cell>
          <cell r="P217">
            <v>33.65</v>
          </cell>
          <cell r="Q217">
            <v>0.53634000000000004</v>
          </cell>
          <cell r="R217" t="e">
            <v>#N/A</v>
          </cell>
        </row>
        <row r="218">
          <cell r="A218">
            <v>39783</v>
          </cell>
          <cell r="B218">
            <v>39783</v>
          </cell>
          <cell r="C218" t="str">
            <v>Past</v>
          </cell>
          <cell r="D218">
            <v>30.95</v>
          </cell>
          <cell r="E218" t="e">
            <v>#N/A</v>
          </cell>
          <cell r="F218" t="e">
            <v>#N/A</v>
          </cell>
          <cell r="G218" t="e">
            <v>#N/A</v>
          </cell>
          <cell r="H218" t="e">
            <v>#N/A</v>
          </cell>
          <cell r="I218" t="e">
            <v>#N/A</v>
          </cell>
          <cell r="J218" t="e">
            <v>#N/A</v>
          </cell>
          <cell r="K218" t="e">
            <v>#N/A</v>
          </cell>
          <cell r="L218" t="e">
            <v>#N/A</v>
          </cell>
          <cell r="M218" t="e">
            <v>#N/A</v>
          </cell>
          <cell r="N218" t="e">
            <v>#N/A</v>
          </cell>
          <cell r="O218" t="e">
            <v>#N/A</v>
          </cell>
          <cell r="P218">
            <v>30.95</v>
          </cell>
          <cell r="Q218">
            <v>2.0541419999999997</v>
          </cell>
          <cell r="R218" t="e">
            <v>#N/A</v>
          </cell>
        </row>
        <row r="219">
          <cell r="A219">
            <v>39784</v>
          </cell>
          <cell r="B219">
            <v>39784</v>
          </cell>
          <cell r="C219" t="str">
            <v>Past</v>
          </cell>
          <cell r="D219">
            <v>32.15</v>
          </cell>
          <cell r="E219" t="e">
            <v>#N/A</v>
          </cell>
          <cell r="F219" t="e">
            <v>#N/A</v>
          </cell>
          <cell r="G219" t="e">
            <v>#N/A</v>
          </cell>
          <cell r="H219" t="e">
            <v>#N/A</v>
          </cell>
          <cell r="I219" t="e">
            <v>#N/A</v>
          </cell>
          <cell r="J219" t="e">
            <v>#N/A</v>
          </cell>
          <cell r="K219" t="e">
            <v>#N/A</v>
          </cell>
          <cell r="L219" t="e">
            <v>#N/A</v>
          </cell>
          <cell r="M219" t="e">
            <v>#N/A</v>
          </cell>
          <cell r="N219" t="e">
            <v>#N/A</v>
          </cell>
          <cell r="O219" t="e">
            <v>#N/A</v>
          </cell>
          <cell r="P219">
            <v>32.15</v>
          </cell>
          <cell r="Q219">
            <v>2.6506189999999998</v>
          </cell>
          <cell r="R219" t="e">
            <v>#N/A</v>
          </cell>
        </row>
        <row r="220">
          <cell r="A220">
            <v>39785</v>
          </cell>
          <cell r="B220">
            <v>39785</v>
          </cell>
          <cell r="C220" t="str">
            <v>Past</v>
          </cell>
          <cell r="D220">
            <v>32.64</v>
          </cell>
          <cell r="E220" t="e">
            <v>#N/A</v>
          </cell>
          <cell r="F220" t="e">
            <v>#N/A</v>
          </cell>
          <cell r="G220" t="e">
            <v>#N/A</v>
          </cell>
          <cell r="H220" t="e">
            <v>#N/A</v>
          </cell>
          <cell r="I220" t="e">
            <v>#N/A</v>
          </cell>
          <cell r="J220" t="e">
            <v>#N/A</v>
          </cell>
          <cell r="K220" t="e">
            <v>#N/A</v>
          </cell>
          <cell r="L220" t="e">
            <v>#N/A</v>
          </cell>
          <cell r="M220" t="e">
            <v>#N/A</v>
          </cell>
          <cell r="N220" t="e">
            <v>#N/A</v>
          </cell>
          <cell r="O220" t="e">
            <v>#N/A</v>
          </cell>
          <cell r="P220">
            <v>32.64</v>
          </cell>
          <cell r="Q220">
            <v>1.7129100000000002</v>
          </cell>
          <cell r="R220" t="e">
            <v>#N/A</v>
          </cell>
        </row>
        <row r="221">
          <cell r="A221">
            <v>39786</v>
          </cell>
          <cell r="B221">
            <v>39786</v>
          </cell>
          <cell r="C221" t="str">
            <v>Past</v>
          </cell>
          <cell r="D221">
            <v>31.93</v>
          </cell>
          <cell r="E221" t="e">
            <v>#N/A</v>
          </cell>
          <cell r="F221" t="e">
            <v>#N/A</v>
          </cell>
          <cell r="G221" t="e">
            <v>#N/A</v>
          </cell>
          <cell r="H221" t="e">
            <v>#N/A</v>
          </cell>
          <cell r="I221" t="e">
            <v>#N/A</v>
          </cell>
          <cell r="J221" t="e">
            <v>#N/A</v>
          </cell>
          <cell r="K221" t="e">
            <v>#N/A</v>
          </cell>
          <cell r="L221" t="e">
            <v>#N/A</v>
          </cell>
          <cell r="M221" t="e">
            <v>#N/A</v>
          </cell>
          <cell r="N221" t="e">
            <v>#N/A</v>
          </cell>
          <cell r="O221" t="e">
            <v>#N/A</v>
          </cell>
          <cell r="P221">
            <v>31.93</v>
          </cell>
          <cell r="Q221">
            <v>1.701263</v>
          </cell>
          <cell r="R221" t="e">
            <v>#N/A</v>
          </cell>
        </row>
        <row r="222">
          <cell r="A222">
            <v>39787</v>
          </cell>
          <cell r="B222">
            <v>39787</v>
          </cell>
          <cell r="C222" t="str">
            <v>Past</v>
          </cell>
          <cell r="D222">
            <v>33.46</v>
          </cell>
          <cell r="E222" t="e">
            <v>#N/A</v>
          </cell>
          <cell r="F222" t="e">
            <v>#N/A</v>
          </cell>
          <cell r="G222" t="e">
            <v>#N/A</v>
          </cell>
          <cell r="H222" t="e">
            <v>#N/A</v>
          </cell>
          <cell r="I222" t="e">
            <v>#N/A</v>
          </cell>
          <cell r="J222" t="e">
            <v>#N/A</v>
          </cell>
          <cell r="K222" t="e">
            <v>#N/A</v>
          </cell>
          <cell r="L222" t="e">
            <v>#N/A</v>
          </cell>
          <cell r="M222" t="e">
            <v>#N/A</v>
          </cell>
          <cell r="N222" t="e">
            <v>#N/A</v>
          </cell>
          <cell r="O222" t="e">
            <v>#N/A</v>
          </cell>
          <cell r="P222">
            <v>33.46</v>
          </cell>
          <cell r="Q222">
            <v>1.635526</v>
          </cell>
          <cell r="R222" t="e">
            <v>#N/A</v>
          </cell>
        </row>
        <row r="223">
          <cell r="A223">
            <v>39790</v>
          </cell>
          <cell r="B223">
            <v>39790</v>
          </cell>
          <cell r="C223" t="str">
            <v>Past</v>
          </cell>
          <cell r="D223">
            <v>34.89</v>
          </cell>
          <cell r="E223" t="e">
            <v>#N/A</v>
          </cell>
          <cell r="F223" t="e">
            <v>#N/A</v>
          </cell>
          <cell r="G223" t="e">
            <v>#N/A</v>
          </cell>
          <cell r="H223" t="e">
            <v>#N/A</v>
          </cell>
          <cell r="I223" t="e">
            <v>#N/A</v>
          </cell>
          <cell r="J223" t="e">
            <v>#N/A</v>
          </cell>
          <cell r="K223" t="e">
            <v>#N/A</v>
          </cell>
          <cell r="L223" t="e">
            <v>#N/A</v>
          </cell>
          <cell r="M223" t="e">
            <v>#N/A</v>
          </cell>
          <cell r="N223" t="e">
            <v>#N/A</v>
          </cell>
          <cell r="O223" t="e">
            <v>#N/A</v>
          </cell>
          <cell r="P223">
            <v>34.89</v>
          </cell>
          <cell r="Q223">
            <v>1.4074800000000001</v>
          </cell>
          <cell r="R223" t="e">
            <v>#N/A</v>
          </cell>
        </row>
        <row r="224">
          <cell r="A224">
            <v>39791</v>
          </cell>
          <cell r="B224">
            <v>39791</v>
          </cell>
          <cell r="C224" t="str">
            <v>Past</v>
          </cell>
          <cell r="D224">
            <v>34.94</v>
          </cell>
          <cell r="E224" t="e">
            <v>#N/A</v>
          </cell>
          <cell r="F224" t="e">
            <v>#N/A</v>
          </cell>
          <cell r="G224" t="e">
            <v>#N/A</v>
          </cell>
          <cell r="H224" t="e">
            <v>#N/A</v>
          </cell>
          <cell r="I224" t="e">
            <v>#N/A</v>
          </cell>
          <cell r="J224" t="e">
            <v>#N/A</v>
          </cell>
          <cell r="K224" t="e">
            <v>#N/A</v>
          </cell>
          <cell r="L224" t="e">
            <v>#N/A</v>
          </cell>
          <cell r="M224" t="e">
            <v>#N/A</v>
          </cell>
          <cell r="N224" t="e">
            <v>#N/A</v>
          </cell>
          <cell r="O224" t="e">
            <v>#N/A</v>
          </cell>
          <cell r="P224">
            <v>34.94</v>
          </cell>
          <cell r="Q224">
            <v>1.3286259999999999</v>
          </cell>
          <cell r="R224" t="e">
            <v>#N/A</v>
          </cell>
        </row>
        <row r="225">
          <cell r="A225">
            <v>39792</v>
          </cell>
          <cell r="B225">
            <v>39792</v>
          </cell>
          <cell r="C225" t="str">
            <v>Past</v>
          </cell>
          <cell r="D225">
            <v>36.01</v>
          </cell>
          <cell r="E225" t="e">
            <v>#N/A</v>
          </cell>
          <cell r="F225" t="e">
            <v>#N/A</v>
          </cell>
          <cell r="G225" t="e">
            <v>#N/A</v>
          </cell>
          <cell r="H225" t="e">
            <v>#N/A</v>
          </cell>
          <cell r="I225" t="e">
            <v>#N/A</v>
          </cell>
          <cell r="J225" t="e">
            <v>#N/A</v>
          </cell>
          <cell r="K225" t="e">
            <v>#N/A</v>
          </cell>
          <cell r="L225" t="e">
            <v>#N/A</v>
          </cell>
          <cell r="M225" t="e">
            <v>#N/A</v>
          </cell>
          <cell r="N225" t="e">
            <v>#N/A</v>
          </cell>
          <cell r="O225" t="e">
            <v>#N/A</v>
          </cell>
          <cell r="P225">
            <v>36.01</v>
          </cell>
          <cell r="Q225">
            <v>1.6476649999999999</v>
          </cell>
          <cell r="R225" t="e">
            <v>#N/A</v>
          </cell>
        </row>
        <row r="226">
          <cell r="A226">
            <v>39793</v>
          </cell>
          <cell r="B226">
            <v>39793</v>
          </cell>
          <cell r="C226" t="str">
            <v>Past</v>
          </cell>
          <cell r="D226">
            <v>34.19</v>
          </cell>
          <cell r="E226" t="e">
            <v>#N/A</v>
          </cell>
          <cell r="F226" t="e">
            <v>#N/A</v>
          </cell>
          <cell r="G226" t="e">
            <v>#N/A</v>
          </cell>
          <cell r="H226" t="e">
            <v>#N/A</v>
          </cell>
          <cell r="I226" t="e">
            <v>#N/A</v>
          </cell>
          <cell r="J226" t="e">
            <v>#N/A</v>
          </cell>
          <cell r="K226" t="e">
            <v>#N/A</v>
          </cell>
          <cell r="L226" t="e">
            <v>#N/A</v>
          </cell>
          <cell r="M226" t="e">
            <v>#N/A</v>
          </cell>
          <cell r="N226" t="e">
            <v>#N/A</v>
          </cell>
          <cell r="O226" t="e">
            <v>#N/A</v>
          </cell>
          <cell r="P226">
            <v>34.19</v>
          </cell>
          <cell r="Q226">
            <v>1.4961359999999999</v>
          </cell>
          <cell r="R226" t="e">
            <v>#N/A</v>
          </cell>
        </row>
        <row r="227">
          <cell r="A227">
            <v>39794</v>
          </cell>
          <cell r="B227">
            <v>39794</v>
          </cell>
          <cell r="C227" t="str">
            <v>Past</v>
          </cell>
          <cell r="D227">
            <v>34.659999999999997</v>
          </cell>
          <cell r="E227" t="e">
            <v>#N/A</v>
          </cell>
          <cell r="F227" t="e">
            <v>#N/A</v>
          </cell>
          <cell r="G227" t="e">
            <v>#N/A</v>
          </cell>
          <cell r="H227" t="e">
            <v>#N/A</v>
          </cell>
          <cell r="I227" t="e">
            <v>#N/A</v>
          </cell>
          <cell r="J227" t="e">
            <v>#N/A</v>
          </cell>
          <cell r="K227" t="e">
            <v>#N/A</v>
          </cell>
          <cell r="L227" t="e">
            <v>#N/A</v>
          </cell>
          <cell r="M227" t="e">
            <v>#N/A</v>
          </cell>
          <cell r="N227" t="e">
            <v>#N/A</v>
          </cell>
          <cell r="O227" t="e">
            <v>#N/A</v>
          </cell>
          <cell r="P227">
            <v>34.659999999999997</v>
          </cell>
          <cell r="Q227">
            <v>1.953635</v>
          </cell>
          <cell r="R227" t="e">
            <v>#N/A</v>
          </cell>
        </row>
        <row r="228">
          <cell r="A228">
            <v>39797</v>
          </cell>
          <cell r="B228">
            <v>39797</v>
          </cell>
          <cell r="C228" t="str">
            <v>Past</v>
          </cell>
          <cell r="D228">
            <v>33.76</v>
          </cell>
          <cell r="E228" t="e">
            <v>#N/A</v>
          </cell>
          <cell r="F228" t="e">
            <v>#N/A</v>
          </cell>
          <cell r="G228" t="e">
            <v>#N/A</v>
          </cell>
          <cell r="H228" t="e">
            <v>#N/A</v>
          </cell>
          <cell r="I228" t="e">
            <v>#N/A</v>
          </cell>
          <cell r="J228" t="e">
            <v>#N/A</v>
          </cell>
          <cell r="K228" t="e">
            <v>#N/A</v>
          </cell>
          <cell r="L228" t="e">
            <v>#N/A</v>
          </cell>
          <cell r="M228" t="e">
            <v>#N/A</v>
          </cell>
          <cell r="N228" t="e">
            <v>#N/A</v>
          </cell>
          <cell r="O228" t="e">
            <v>#N/A</v>
          </cell>
          <cell r="P228">
            <v>33.76</v>
          </cell>
          <cell r="Q228">
            <v>1.5951849999999999</v>
          </cell>
          <cell r="R228" t="e">
            <v>#N/A</v>
          </cell>
        </row>
        <row r="229">
          <cell r="A229">
            <v>39798</v>
          </cell>
          <cell r="B229">
            <v>39798</v>
          </cell>
          <cell r="C229" t="str">
            <v>Past</v>
          </cell>
          <cell r="D229">
            <v>36.07</v>
          </cell>
          <cell r="E229" t="e">
            <v>#N/A</v>
          </cell>
          <cell r="F229" t="e">
            <v>#N/A</v>
          </cell>
          <cell r="G229" t="e">
            <v>#N/A</v>
          </cell>
          <cell r="H229" t="e">
            <v>#N/A</v>
          </cell>
          <cell r="I229" t="e">
            <v>#N/A</v>
          </cell>
          <cell r="J229" t="e">
            <v>#N/A</v>
          </cell>
          <cell r="K229" t="e">
            <v>#N/A</v>
          </cell>
          <cell r="L229" t="e">
            <v>#N/A</v>
          </cell>
          <cell r="M229" t="e">
            <v>#N/A</v>
          </cell>
          <cell r="N229" t="e">
            <v>#N/A</v>
          </cell>
          <cell r="O229" t="e">
            <v>#N/A</v>
          </cell>
          <cell r="P229">
            <v>36.07</v>
          </cell>
          <cell r="Q229">
            <v>1.6047300000000002</v>
          </cell>
          <cell r="R229" t="e">
            <v>#N/A</v>
          </cell>
        </row>
        <row r="230">
          <cell r="A230">
            <v>39799</v>
          </cell>
          <cell r="B230">
            <v>39799</v>
          </cell>
          <cell r="C230" t="str">
            <v>Past</v>
          </cell>
          <cell r="D230">
            <v>35.94</v>
          </cell>
          <cell r="E230" t="e">
            <v>#N/A</v>
          </cell>
          <cell r="F230" t="e">
            <v>#N/A</v>
          </cell>
          <cell r="G230" t="e">
            <v>#N/A</v>
          </cell>
          <cell r="H230" t="e">
            <v>#N/A</v>
          </cell>
          <cell r="I230" t="e">
            <v>#N/A</v>
          </cell>
          <cell r="J230" t="e">
            <v>#N/A</v>
          </cell>
          <cell r="K230" t="e">
            <v>#N/A</v>
          </cell>
          <cell r="L230" t="e">
            <v>#N/A</v>
          </cell>
          <cell r="M230" t="e">
            <v>#N/A</v>
          </cell>
          <cell r="N230" t="e">
            <v>#N/A</v>
          </cell>
          <cell r="O230" t="e">
            <v>#N/A</v>
          </cell>
          <cell r="P230">
            <v>35.94</v>
          </cell>
          <cell r="Q230">
            <v>1.1765649999999999</v>
          </cell>
          <cell r="R230" t="e">
            <v>#N/A</v>
          </cell>
        </row>
        <row r="231">
          <cell r="A231">
            <v>39800</v>
          </cell>
          <cell r="B231">
            <v>39800</v>
          </cell>
          <cell r="C231" t="str">
            <v>Past</v>
          </cell>
          <cell r="D231">
            <v>34.909999999999997</v>
          </cell>
          <cell r="E231" t="e">
            <v>#N/A</v>
          </cell>
          <cell r="F231" t="e">
            <v>#N/A</v>
          </cell>
          <cell r="G231" t="e">
            <v>#N/A</v>
          </cell>
          <cell r="H231" t="e">
            <v>#N/A</v>
          </cell>
          <cell r="I231" t="e">
            <v>#N/A</v>
          </cell>
          <cell r="J231" t="e">
            <v>#N/A</v>
          </cell>
          <cell r="K231" t="e">
            <v>#N/A</v>
          </cell>
          <cell r="L231" t="e">
            <v>#N/A</v>
          </cell>
          <cell r="M231" t="e">
            <v>#N/A</v>
          </cell>
          <cell r="N231" t="e">
            <v>#N/A</v>
          </cell>
          <cell r="O231" t="e">
            <v>#N/A</v>
          </cell>
          <cell r="P231">
            <v>34.909999999999997</v>
          </cell>
          <cell r="Q231">
            <v>1.289091</v>
          </cell>
          <cell r="R231" t="e">
            <v>#N/A</v>
          </cell>
        </row>
        <row r="232">
          <cell r="A232">
            <v>39801</v>
          </cell>
          <cell r="B232">
            <v>39801</v>
          </cell>
          <cell r="C232" t="str">
            <v>Past</v>
          </cell>
          <cell r="D232">
            <v>35.619999999999997</v>
          </cell>
          <cell r="E232" t="e">
            <v>#N/A</v>
          </cell>
          <cell r="F232" t="e">
            <v>#N/A</v>
          </cell>
          <cell r="G232" t="e">
            <v>#N/A</v>
          </cell>
          <cell r="H232" t="e">
            <v>#N/A</v>
          </cell>
          <cell r="I232" t="e">
            <v>#N/A</v>
          </cell>
          <cell r="J232" t="e">
            <v>#N/A</v>
          </cell>
          <cell r="K232" t="e">
            <v>#N/A</v>
          </cell>
          <cell r="L232" t="e">
            <v>#N/A</v>
          </cell>
          <cell r="M232" t="e">
            <v>#N/A</v>
          </cell>
          <cell r="N232" t="e">
            <v>#N/A</v>
          </cell>
          <cell r="O232" t="e">
            <v>#N/A</v>
          </cell>
          <cell r="P232">
            <v>35.619999999999997</v>
          </cell>
          <cell r="Q232">
            <v>1.787728</v>
          </cell>
          <cell r="R232" t="e">
            <v>#N/A</v>
          </cell>
        </row>
        <row r="233">
          <cell r="A233">
            <v>39804</v>
          </cell>
          <cell r="B233">
            <v>39804</v>
          </cell>
          <cell r="C233" t="str">
            <v>Past</v>
          </cell>
          <cell r="D233">
            <v>34.770000000000003</v>
          </cell>
          <cell r="E233" t="e">
            <v>#N/A</v>
          </cell>
          <cell r="F233" t="e">
            <v>#N/A</v>
          </cell>
          <cell r="G233" t="e">
            <v>#N/A</v>
          </cell>
          <cell r="H233" t="e">
            <v>#N/A</v>
          </cell>
          <cell r="I233" t="e">
            <v>#N/A</v>
          </cell>
          <cell r="J233" t="e">
            <v>#N/A</v>
          </cell>
          <cell r="K233" t="e">
            <v>#N/A</v>
          </cell>
          <cell r="L233" t="e">
            <v>#N/A</v>
          </cell>
          <cell r="M233" t="e">
            <v>#N/A</v>
          </cell>
          <cell r="N233" t="e">
            <v>#N/A</v>
          </cell>
          <cell r="O233" t="e">
            <v>#N/A</v>
          </cell>
          <cell r="P233">
            <v>34.770000000000003</v>
          </cell>
          <cell r="Q233">
            <v>2.0204279999999999</v>
          </cell>
          <cell r="R233" t="e">
            <v>#N/A</v>
          </cell>
        </row>
        <row r="234">
          <cell r="A234">
            <v>39805</v>
          </cell>
          <cell r="B234">
            <v>39805</v>
          </cell>
          <cell r="C234" t="str">
            <v>Past</v>
          </cell>
          <cell r="D234">
            <v>34.29</v>
          </cell>
          <cell r="E234" t="e">
            <v>#N/A</v>
          </cell>
          <cell r="F234" t="e">
            <v>#N/A</v>
          </cell>
          <cell r="G234" t="e">
            <v>#N/A</v>
          </cell>
          <cell r="H234" t="e">
            <v>#N/A</v>
          </cell>
          <cell r="I234" t="e">
            <v>#N/A</v>
          </cell>
          <cell r="J234" t="e">
            <v>#N/A</v>
          </cell>
          <cell r="K234" t="e">
            <v>#N/A</v>
          </cell>
          <cell r="L234" t="e">
            <v>#N/A</v>
          </cell>
          <cell r="M234" t="e">
            <v>#N/A</v>
          </cell>
          <cell r="N234" t="e">
            <v>#N/A</v>
          </cell>
          <cell r="O234" t="e">
            <v>#N/A</v>
          </cell>
          <cell r="P234">
            <v>34.29</v>
          </cell>
          <cell r="Q234">
            <v>0.82676099999999997</v>
          </cell>
          <cell r="R234" t="e">
            <v>#N/A</v>
          </cell>
        </row>
        <row r="235">
          <cell r="A235">
            <v>39806</v>
          </cell>
          <cell r="B235">
            <v>39806</v>
          </cell>
          <cell r="C235" t="str">
            <v>Past</v>
          </cell>
          <cell r="D235">
            <v>34.51</v>
          </cell>
          <cell r="E235" t="e">
            <v>#N/A</v>
          </cell>
          <cell r="F235" t="e">
            <v>#N/A</v>
          </cell>
          <cell r="G235" t="e">
            <v>#N/A</v>
          </cell>
          <cell r="H235" t="e">
            <v>#N/A</v>
          </cell>
          <cell r="I235" t="e">
            <v>#N/A</v>
          </cell>
          <cell r="J235" t="e">
            <v>#N/A</v>
          </cell>
          <cell r="K235" t="e">
            <v>#N/A</v>
          </cell>
          <cell r="L235" t="e">
            <v>#N/A</v>
          </cell>
          <cell r="M235" t="e">
            <v>#N/A</v>
          </cell>
          <cell r="N235" t="e">
            <v>#N/A</v>
          </cell>
          <cell r="O235" t="e">
            <v>#N/A</v>
          </cell>
          <cell r="P235">
            <v>34.51</v>
          </cell>
          <cell r="Q235">
            <v>0.21379199999999998</v>
          </cell>
          <cell r="R235" t="e">
            <v>#N/A</v>
          </cell>
        </row>
        <row r="236">
          <cell r="A236">
            <v>39808</v>
          </cell>
          <cell r="B236">
            <v>39808</v>
          </cell>
          <cell r="C236" t="str">
            <v>Past</v>
          </cell>
          <cell r="D236">
            <v>34.89</v>
          </cell>
          <cell r="E236" t="e">
            <v>#N/A</v>
          </cell>
          <cell r="F236" t="e">
            <v>#N/A</v>
          </cell>
          <cell r="G236" t="e">
            <v>#N/A</v>
          </cell>
          <cell r="H236" t="e">
            <v>#N/A</v>
          </cell>
          <cell r="I236" t="e">
            <v>#N/A</v>
          </cell>
          <cell r="J236" t="e">
            <v>#N/A</v>
          </cell>
          <cell r="K236" t="e">
            <v>#N/A</v>
          </cell>
          <cell r="L236" t="e">
            <v>#N/A</v>
          </cell>
          <cell r="M236" t="e">
            <v>#N/A</v>
          </cell>
          <cell r="N236" t="e">
            <v>#N/A</v>
          </cell>
          <cell r="O236" t="e">
            <v>#N/A</v>
          </cell>
          <cell r="P236">
            <v>34.89</v>
          </cell>
          <cell r="Q236">
            <v>0.24699099999999999</v>
          </cell>
          <cell r="R236" t="e">
            <v>#N/A</v>
          </cell>
        </row>
        <row r="237">
          <cell r="A237">
            <v>39811</v>
          </cell>
          <cell r="B237">
            <v>39811</v>
          </cell>
          <cell r="C237" t="str">
            <v>Past</v>
          </cell>
          <cell r="D237">
            <v>34.450000000000003</v>
          </cell>
          <cell r="E237" t="e">
            <v>#N/A</v>
          </cell>
          <cell r="F237" t="e">
            <v>#N/A</v>
          </cell>
          <cell r="G237" t="e">
            <v>#N/A</v>
          </cell>
          <cell r="H237" t="e">
            <v>#N/A</v>
          </cell>
          <cell r="I237" t="e">
            <v>#N/A</v>
          </cell>
          <cell r="J237" t="e">
            <v>#N/A</v>
          </cell>
          <cell r="K237" t="e">
            <v>#N/A</v>
          </cell>
          <cell r="L237" t="e">
            <v>#N/A</v>
          </cell>
          <cell r="M237" t="e">
            <v>#N/A</v>
          </cell>
          <cell r="N237" t="e">
            <v>#N/A</v>
          </cell>
          <cell r="O237" t="e">
            <v>#N/A</v>
          </cell>
          <cell r="P237">
            <v>34.450000000000003</v>
          </cell>
          <cell r="Q237">
            <v>0.96916799999999992</v>
          </cell>
          <cell r="R237" t="e">
            <v>#N/A</v>
          </cell>
        </row>
        <row r="238">
          <cell r="A238">
            <v>39812</v>
          </cell>
          <cell r="B238">
            <v>39812</v>
          </cell>
          <cell r="C238" t="str">
            <v>Past</v>
          </cell>
          <cell r="D238">
            <v>36.57</v>
          </cell>
          <cell r="E238" t="e">
            <v>#N/A</v>
          </cell>
          <cell r="F238" t="e">
            <v>#N/A</v>
          </cell>
          <cell r="G238" t="e">
            <v>#N/A</v>
          </cell>
          <cell r="H238" t="e">
            <v>#N/A</v>
          </cell>
          <cell r="I238" t="e">
            <v>#N/A</v>
          </cell>
          <cell r="J238" t="e">
            <v>#N/A</v>
          </cell>
          <cell r="K238" t="e">
            <v>#N/A</v>
          </cell>
          <cell r="L238" t="e">
            <v>#N/A</v>
          </cell>
          <cell r="M238" t="e">
            <v>#N/A</v>
          </cell>
          <cell r="N238" t="e">
            <v>#N/A</v>
          </cell>
          <cell r="O238" t="e">
            <v>#N/A</v>
          </cell>
          <cell r="P238">
            <v>36.57</v>
          </cell>
          <cell r="Q238">
            <v>1.173062</v>
          </cell>
          <cell r="R238" t="e">
            <v>#N/A</v>
          </cell>
        </row>
        <row r="239">
          <cell r="A239">
            <v>39813</v>
          </cell>
          <cell r="B239">
            <v>39813</v>
          </cell>
          <cell r="C239" t="str">
            <v>Past</v>
          </cell>
          <cell r="D239">
            <v>37.020000000000003</v>
          </cell>
          <cell r="E239" t="e">
            <v>#N/A</v>
          </cell>
          <cell r="F239" t="e">
            <v>#N/A</v>
          </cell>
          <cell r="G239" t="e">
            <v>#N/A</v>
          </cell>
          <cell r="H239" t="e">
            <v>#N/A</v>
          </cell>
          <cell r="I239" t="e">
            <v>#N/A</v>
          </cell>
          <cell r="J239" t="e">
            <v>#N/A</v>
          </cell>
          <cell r="K239" t="e">
            <v>#N/A</v>
          </cell>
          <cell r="L239" t="e">
            <v>#N/A</v>
          </cell>
          <cell r="M239" t="e">
            <v>#N/A</v>
          </cell>
          <cell r="N239" t="e">
            <v>#N/A</v>
          </cell>
          <cell r="O239" t="e">
            <v>#N/A</v>
          </cell>
          <cell r="P239">
            <v>37.020000000000003</v>
          </cell>
          <cell r="Q239">
            <v>0.87828299999999992</v>
          </cell>
          <cell r="R239" t="e">
            <v>#N/A</v>
          </cell>
        </row>
        <row r="240">
          <cell r="A240">
            <v>39815</v>
          </cell>
          <cell r="B240">
            <v>39815</v>
          </cell>
          <cell r="C240" t="str">
            <v>Past</v>
          </cell>
          <cell r="D240">
            <v>39.71</v>
          </cell>
          <cell r="E240" t="e">
            <v>#N/A</v>
          </cell>
          <cell r="F240" t="e">
            <v>#N/A</v>
          </cell>
          <cell r="G240" t="e">
            <v>#N/A</v>
          </cell>
          <cell r="H240" t="e">
            <v>#N/A</v>
          </cell>
          <cell r="I240" t="e">
            <v>#N/A</v>
          </cell>
          <cell r="J240" t="e">
            <v>#N/A</v>
          </cell>
          <cell r="K240" t="e">
            <v>#N/A</v>
          </cell>
          <cell r="L240" t="e">
            <v>#N/A</v>
          </cell>
          <cell r="M240" t="e">
            <v>#N/A</v>
          </cell>
          <cell r="N240" t="e">
            <v>#N/A</v>
          </cell>
          <cell r="O240" t="e">
            <v>#N/A</v>
          </cell>
          <cell r="P240">
            <v>39.71</v>
          </cell>
          <cell r="Q240">
            <v>1.024672</v>
          </cell>
          <cell r="R240" t="e">
            <v>#N/A</v>
          </cell>
        </row>
        <row r="241">
          <cell r="A241">
            <v>39818</v>
          </cell>
          <cell r="B241">
            <v>39818</v>
          </cell>
          <cell r="C241" t="str">
            <v>Past</v>
          </cell>
          <cell r="D241">
            <v>39.57</v>
          </cell>
          <cell r="E241" t="e">
            <v>#N/A</v>
          </cell>
          <cell r="F241" t="e">
            <v>#N/A</v>
          </cell>
          <cell r="G241" t="e">
            <v>#N/A</v>
          </cell>
          <cell r="H241" t="e">
            <v>#N/A</v>
          </cell>
          <cell r="I241" t="e">
            <v>#N/A</v>
          </cell>
          <cell r="J241" t="e">
            <v>#N/A</v>
          </cell>
          <cell r="K241" t="e">
            <v>#N/A</v>
          </cell>
          <cell r="L241" t="e">
            <v>#N/A</v>
          </cell>
          <cell r="M241" t="e">
            <v>#N/A</v>
          </cell>
          <cell r="N241" t="e">
            <v>#N/A</v>
          </cell>
          <cell r="O241" t="e">
            <v>#N/A</v>
          </cell>
          <cell r="P241">
            <v>39.57</v>
          </cell>
          <cell r="Q241">
            <v>2.0272999999999999</v>
          </cell>
          <cell r="R241" t="e">
            <v>#N/A</v>
          </cell>
        </row>
        <row r="242">
          <cell r="A242">
            <v>39819</v>
          </cell>
          <cell r="B242">
            <v>39819</v>
          </cell>
          <cell r="C242" t="str">
            <v>Past</v>
          </cell>
          <cell r="D242">
            <v>41.04</v>
          </cell>
          <cell r="E242" t="e">
            <v>#N/A</v>
          </cell>
          <cell r="F242" t="e">
            <v>#N/A</v>
          </cell>
          <cell r="G242" t="e">
            <v>#N/A</v>
          </cell>
          <cell r="H242" t="e">
            <v>#N/A</v>
          </cell>
          <cell r="I242" t="e">
            <v>#N/A</v>
          </cell>
          <cell r="J242" t="e">
            <v>#N/A</v>
          </cell>
          <cell r="K242" t="e">
            <v>#N/A</v>
          </cell>
          <cell r="L242" t="e">
            <v>#N/A</v>
          </cell>
          <cell r="M242" t="e">
            <v>#N/A</v>
          </cell>
          <cell r="N242" t="e">
            <v>#N/A</v>
          </cell>
          <cell r="O242" t="e">
            <v>#N/A</v>
          </cell>
          <cell r="P242">
            <v>41.04</v>
          </cell>
          <cell r="Q242">
            <v>2.0981350000000001</v>
          </cell>
          <cell r="R242" t="e">
            <v>#N/A</v>
          </cell>
        </row>
        <row r="243">
          <cell r="A243">
            <v>39820</v>
          </cell>
          <cell r="B243">
            <v>39820</v>
          </cell>
          <cell r="C243" t="str">
            <v>Past</v>
          </cell>
          <cell r="D243">
            <v>40.49</v>
          </cell>
          <cell r="E243" t="e">
            <v>#N/A</v>
          </cell>
          <cell r="F243" t="e">
            <v>#N/A</v>
          </cell>
          <cell r="G243" t="e">
            <v>#N/A</v>
          </cell>
          <cell r="H243" t="e">
            <v>#N/A</v>
          </cell>
          <cell r="I243" t="e">
            <v>#N/A</v>
          </cell>
          <cell r="J243" t="e">
            <v>#N/A</v>
          </cell>
          <cell r="K243" t="e">
            <v>#N/A</v>
          </cell>
          <cell r="L243" t="e">
            <v>#N/A</v>
          </cell>
          <cell r="M243" t="e">
            <v>#N/A</v>
          </cell>
          <cell r="N243" t="e">
            <v>#N/A</v>
          </cell>
          <cell r="O243" t="e">
            <v>#N/A</v>
          </cell>
          <cell r="P243">
            <v>40.49</v>
          </cell>
          <cell r="Q243">
            <v>1.7781259999999999</v>
          </cell>
          <cell r="R243" t="e">
            <v>#N/A</v>
          </cell>
        </row>
        <row r="244">
          <cell r="A244">
            <v>39821</v>
          </cell>
          <cell r="B244">
            <v>39821</v>
          </cell>
          <cell r="C244" t="str">
            <v>Past</v>
          </cell>
          <cell r="D244">
            <v>40.64</v>
          </cell>
          <cell r="E244" t="e">
            <v>#N/A</v>
          </cell>
          <cell r="F244" t="e">
            <v>#N/A</v>
          </cell>
          <cell r="G244" t="e">
            <v>#N/A</v>
          </cell>
          <cell r="H244" t="e">
            <v>#N/A</v>
          </cell>
          <cell r="I244" t="e">
            <v>#N/A</v>
          </cell>
          <cell r="J244" t="e">
            <v>#N/A</v>
          </cell>
          <cell r="K244" t="e">
            <v>#N/A</v>
          </cell>
          <cell r="L244" t="e">
            <v>#N/A</v>
          </cell>
          <cell r="M244" t="e">
            <v>#N/A</v>
          </cell>
          <cell r="N244" t="e">
            <v>#N/A</v>
          </cell>
          <cell r="O244" t="e">
            <v>#N/A</v>
          </cell>
          <cell r="P244">
            <v>40.64</v>
          </cell>
          <cell r="Q244">
            <v>2.2172609999999997</v>
          </cell>
          <cell r="R244" t="e">
            <v>#N/A</v>
          </cell>
        </row>
        <row r="245">
          <cell r="A245">
            <v>39822</v>
          </cell>
          <cell r="B245">
            <v>39822</v>
          </cell>
          <cell r="C245" t="str">
            <v>Past</v>
          </cell>
          <cell r="D245">
            <v>40.19</v>
          </cell>
          <cell r="E245" t="e">
            <v>#N/A</v>
          </cell>
          <cell r="F245" t="e">
            <v>#N/A</v>
          </cell>
          <cell r="G245" t="e">
            <v>#N/A</v>
          </cell>
          <cell r="H245" t="e">
            <v>#N/A</v>
          </cell>
          <cell r="I245" t="e">
            <v>#N/A</v>
          </cell>
          <cell r="J245" t="e">
            <v>#N/A</v>
          </cell>
          <cell r="K245" t="e">
            <v>#N/A</v>
          </cell>
          <cell r="L245" t="e">
            <v>#N/A</v>
          </cell>
          <cell r="M245" t="e">
            <v>#N/A</v>
          </cell>
          <cell r="N245" t="e">
            <v>#N/A</v>
          </cell>
          <cell r="O245" t="e">
            <v>#N/A</v>
          </cell>
          <cell r="P245">
            <v>40.19</v>
          </cell>
          <cell r="Q245">
            <v>1.591866</v>
          </cell>
          <cell r="R245" t="e">
            <v>#N/A</v>
          </cell>
        </row>
        <row r="246">
          <cell r="A246">
            <v>39825</v>
          </cell>
          <cell r="B246">
            <v>39825</v>
          </cell>
          <cell r="C246" t="str">
            <v>Past</v>
          </cell>
          <cell r="D246">
            <v>39.340000000000003</v>
          </cell>
          <cell r="E246" t="e">
            <v>#N/A</v>
          </cell>
          <cell r="F246" t="e">
            <v>#N/A</v>
          </cell>
          <cell r="G246" t="e">
            <v>#N/A</v>
          </cell>
          <cell r="H246" t="e">
            <v>#N/A</v>
          </cell>
          <cell r="I246" t="e">
            <v>#N/A</v>
          </cell>
          <cell r="J246" t="e">
            <v>#N/A</v>
          </cell>
          <cell r="K246" t="e">
            <v>#N/A</v>
          </cell>
          <cell r="L246" t="e">
            <v>#N/A</v>
          </cell>
          <cell r="M246" t="e">
            <v>#N/A</v>
          </cell>
          <cell r="N246" t="e">
            <v>#N/A</v>
          </cell>
          <cell r="O246" t="e">
            <v>#N/A</v>
          </cell>
          <cell r="P246">
            <v>39.340000000000003</v>
          </cell>
          <cell r="Q246">
            <v>1.8798619999999999</v>
          </cell>
          <cell r="R246" t="e">
            <v>#N/A</v>
          </cell>
        </row>
        <row r="247">
          <cell r="A247">
            <v>39826</v>
          </cell>
          <cell r="B247">
            <v>39826</v>
          </cell>
          <cell r="C247" t="str">
            <v>Past</v>
          </cell>
          <cell r="D247">
            <v>39.1</v>
          </cell>
          <cell r="E247" t="e">
            <v>#N/A</v>
          </cell>
          <cell r="F247" t="e">
            <v>#N/A</v>
          </cell>
          <cell r="G247" t="e">
            <v>#N/A</v>
          </cell>
          <cell r="H247" t="e">
            <v>#N/A</v>
          </cell>
          <cell r="I247" t="e">
            <v>#N/A</v>
          </cell>
          <cell r="J247" t="e">
            <v>#N/A</v>
          </cell>
          <cell r="K247" t="e">
            <v>#N/A</v>
          </cell>
          <cell r="L247" t="e">
            <v>#N/A</v>
          </cell>
          <cell r="M247" t="e">
            <v>#N/A</v>
          </cell>
          <cell r="N247" t="e">
            <v>#N/A</v>
          </cell>
          <cell r="O247" t="e">
            <v>#N/A</v>
          </cell>
          <cell r="P247">
            <v>39.1</v>
          </cell>
          <cell r="Q247">
            <v>1.7599039999999999</v>
          </cell>
          <cell r="R247" t="e">
            <v>#N/A</v>
          </cell>
        </row>
        <row r="248">
          <cell r="A248">
            <v>39827</v>
          </cell>
          <cell r="B248">
            <v>39827</v>
          </cell>
          <cell r="C248" t="str">
            <v>Past</v>
          </cell>
          <cell r="D248">
            <v>37.53</v>
          </cell>
          <cell r="E248" t="e">
            <v>#N/A</v>
          </cell>
          <cell r="F248" t="e">
            <v>#N/A</v>
          </cell>
          <cell r="G248" t="e">
            <v>#N/A</v>
          </cell>
          <cell r="H248" t="e">
            <v>#N/A</v>
          </cell>
          <cell r="I248" t="e">
            <v>#N/A</v>
          </cell>
          <cell r="J248" t="e">
            <v>#N/A</v>
          </cell>
          <cell r="K248" t="e">
            <v>#N/A</v>
          </cell>
          <cell r="L248" t="e">
            <v>#N/A</v>
          </cell>
          <cell r="M248" t="e">
            <v>#N/A</v>
          </cell>
          <cell r="N248" t="e">
            <v>#N/A</v>
          </cell>
          <cell r="O248" t="e">
            <v>#N/A</v>
          </cell>
          <cell r="P248">
            <v>37.53</v>
          </cell>
          <cell r="Q248">
            <v>1.788014</v>
          </cell>
          <cell r="R248" t="e">
            <v>#N/A</v>
          </cell>
        </row>
        <row r="249">
          <cell r="A249">
            <v>39828</v>
          </cell>
          <cell r="B249">
            <v>39828</v>
          </cell>
          <cell r="C249" t="str">
            <v>Past</v>
          </cell>
          <cell r="D249">
            <v>37.840000000000003</v>
          </cell>
          <cell r="E249" t="e">
            <v>#N/A</v>
          </cell>
          <cell r="F249" t="e">
            <v>#N/A</v>
          </cell>
          <cell r="G249" t="e">
            <v>#N/A</v>
          </cell>
          <cell r="H249" t="e">
            <v>#N/A</v>
          </cell>
          <cell r="I249" t="e">
            <v>#N/A</v>
          </cell>
          <cell r="J249" t="e">
            <v>#N/A</v>
          </cell>
          <cell r="K249" t="e">
            <v>#N/A</v>
          </cell>
          <cell r="L249" t="e">
            <v>#N/A</v>
          </cell>
          <cell r="M249" t="e">
            <v>#N/A</v>
          </cell>
          <cell r="N249" t="e">
            <v>#N/A</v>
          </cell>
          <cell r="O249" t="e">
            <v>#N/A</v>
          </cell>
          <cell r="P249">
            <v>37.840000000000003</v>
          </cell>
          <cell r="Q249">
            <v>1.4187349999999999</v>
          </cell>
          <cell r="R249" t="e">
            <v>#N/A</v>
          </cell>
        </row>
        <row r="250">
          <cell r="A250">
            <v>39829</v>
          </cell>
          <cell r="B250">
            <v>39829</v>
          </cell>
          <cell r="C250" t="str">
            <v>Past</v>
          </cell>
          <cell r="D250">
            <v>38.24</v>
          </cell>
          <cell r="E250" t="e">
            <v>#N/A</v>
          </cell>
          <cell r="F250" t="e">
            <v>#N/A</v>
          </cell>
          <cell r="G250" t="e">
            <v>#N/A</v>
          </cell>
          <cell r="H250" t="e">
            <v>#N/A</v>
          </cell>
          <cell r="I250" t="e">
            <v>#N/A</v>
          </cell>
          <cell r="J250" t="e">
            <v>#N/A</v>
          </cell>
          <cell r="K250" t="e">
            <v>#N/A</v>
          </cell>
          <cell r="L250" t="e">
            <v>#N/A</v>
          </cell>
          <cell r="M250" t="e">
            <v>#N/A</v>
          </cell>
          <cell r="N250" t="e">
            <v>#N/A</v>
          </cell>
          <cell r="O250" t="e">
            <v>#N/A</v>
          </cell>
          <cell r="P250">
            <v>38.24</v>
          </cell>
          <cell r="Q250">
            <v>1.6830259999999999</v>
          </cell>
          <cell r="R250" t="e">
            <v>#N/A</v>
          </cell>
        </row>
        <row r="251">
          <cell r="A251">
            <v>39833</v>
          </cell>
          <cell r="B251">
            <v>39833</v>
          </cell>
          <cell r="C251" t="str">
            <v>Past</v>
          </cell>
          <cell r="D251">
            <v>37.11</v>
          </cell>
          <cell r="E251" t="e">
            <v>#N/A</v>
          </cell>
          <cell r="F251" t="e">
            <v>#N/A</v>
          </cell>
          <cell r="G251" t="e">
            <v>#N/A</v>
          </cell>
          <cell r="H251" t="e">
            <v>#N/A</v>
          </cell>
          <cell r="I251" t="e">
            <v>#N/A</v>
          </cell>
          <cell r="J251" t="e">
            <v>#N/A</v>
          </cell>
          <cell r="K251" t="e">
            <v>#N/A</v>
          </cell>
          <cell r="L251" t="e">
            <v>#N/A</v>
          </cell>
          <cell r="M251" t="e">
            <v>#N/A</v>
          </cell>
          <cell r="N251" t="e">
            <v>#N/A</v>
          </cell>
          <cell r="O251" t="e">
            <v>#N/A</v>
          </cell>
          <cell r="P251">
            <v>37.11</v>
          </cell>
          <cell r="Q251">
            <v>1.3293409999999999</v>
          </cell>
          <cell r="R251" t="e">
            <v>#N/A</v>
          </cell>
        </row>
        <row r="252">
          <cell r="A252">
            <v>39834</v>
          </cell>
          <cell r="B252">
            <v>39834</v>
          </cell>
          <cell r="C252" t="str">
            <v>Past</v>
          </cell>
          <cell r="D252">
            <v>38.5</v>
          </cell>
          <cell r="E252" t="e">
            <v>#N/A</v>
          </cell>
          <cell r="F252" t="e">
            <v>#N/A</v>
          </cell>
          <cell r="G252" t="e">
            <v>#N/A</v>
          </cell>
          <cell r="H252" t="e">
            <v>#N/A</v>
          </cell>
          <cell r="I252" t="e">
            <v>#N/A</v>
          </cell>
          <cell r="J252" t="e">
            <v>#N/A</v>
          </cell>
          <cell r="K252" t="e">
            <v>#N/A</v>
          </cell>
          <cell r="L252" t="e">
            <v>#N/A</v>
          </cell>
          <cell r="M252" t="e">
            <v>#N/A</v>
          </cell>
          <cell r="N252" t="e">
            <v>#N/A</v>
          </cell>
          <cell r="O252" t="e">
            <v>#N/A</v>
          </cell>
          <cell r="P252">
            <v>38.5</v>
          </cell>
          <cell r="Q252">
            <v>1.0930759999999999</v>
          </cell>
          <cell r="R252" t="e">
            <v>#N/A</v>
          </cell>
        </row>
        <row r="253">
          <cell r="A253">
            <v>39835</v>
          </cell>
          <cell r="B253">
            <v>39835</v>
          </cell>
          <cell r="C253" t="str">
            <v>Past</v>
          </cell>
          <cell r="D253">
            <v>37.56</v>
          </cell>
          <cell r="E253" t="e">
            <v>#N/A</v>
          </cell>
          <cell r="F253" t="e">
            <v>#N/A</v>
          </cell>
          <cell r="G253" t="e">
            <v>#N/A</v>
          </cell>
          <cell r="H253" t="e">
            <v>#N/A</v>
          </cell>
          <cell r="I253" t="e">
            <v>#N/A</v>
          </cell>
          <cell r="J253" t="e">
            <v>#N/A</v>
          </cell>
          <cell r="K253" t="e">
            <v>#N/A</v>
          </cell>
          <cell r="L253" t="e">
            <v>#N/A</v>
          </cell>
          <cell r="M253" t="e">
            <v>#N/A</v>
          </cell>
          <cell r="N253" t="e">
            <v>#N/A</v>
          </cell>
          <cell r="O253" t="e">
            <v>#N/A</v>
          </cell>
          <cell r="P253">
            <v>37.56</v>
          </cell>
          <cell r="Q253">
            <v>1.6319939999999999</v>
          </cell>
          <cell r="R253" t="e">
            <v>#N/A</v>
          </cell>
        </row>
        <row r="254">
          <cell r="A254">
            <v>39836</v>
          </cell>
          <cell r="B254">
            <v>39836</v>
          </cell>
          <cell r="C254" t="str">
            <v>Past</v>
          </cell>
          <cell r="D254">
            <v>37.380000000000003</v>
          </cell>
          <cell r="E254" t="e">
            <v>#N/A</v>
          </cell>
          <cell r="F254" t="e">
            <v>#N/A</v>
          </cell>
          <cell r="G254" t="e">
            <v>#N/A</v>
          </cell>
          <cell r="H254" t="e">
            <v>#N/A</v>
          </cell>
          <cell r="I254" t="e">
            <v>#N/A</v>
          </cell>
          <cell r="J254" t="e">
            <v>#N/A</v>
          </cell>
          <cell r="K254" t="e">
            <v>#N/A</v>
          </cell>
          <cell r="L254" t="e">
            <v>#N/A</v>
          </cell>
          <cell r="M254" t="e">
            <v>#N/A</v>
          </cell>
          <cell r="N254" t="e">
            <v>#N/A</v>
          </cell>
          <cell r="O254" t="e">
            <v>#N/A</v>
          </cell>
          <cell r="P254">
            <v>37.380000000000003</v>
          </cell>
          <cell r="Q254">
            <v>1.1121829999999999</v>
          </cell>
          <cell r="R254" t="e">
            <v>#N/A</v>
          </cell>
        </row>
        <row r="255">
          <cell r="A255">
            <v>39839</v>
          </cell>
          <cell r="B255">
            <v>39839</v>
          </cell>
          <cell r="C255" t="str">
            <v>Past</v>
          </cell>
          <cell r="D255">
            <v>38.32</v>
          </cell>
          <cell r="E255" t="e">
            <v>#N/A</v>
          </cell>
          <cell r="F255" t="e">
            <v>#N/A</v>
          </cell>
          <cell r="G255" t="e">
            <v>#N/A</v>
          </cell>
          <cell r="H255" t="e">
            <v>#N/A</v>
          </cell>
          <cell r="I255" t="e">
            <v>#N/A</v>
          </cell>
          <cell r="J255" t="e">
            <v>#N/A</v>
          </cell>
          <cell r="K255" t="e">
            <v>#N/A</v>
          </cell>
          <cell r="L255" t="e">
            <v>#N/A</v>
          </cell>
          <cell r="M255" t="e">
            <v>#N/A</v>
          </cell>
          <cell r="N255" t="e">
            <v>#N/A</v>
          </cell>
          <cell r="O255" t="e">
            <v>#N/A</v>
          </cell>
          <cell r="P255">
            <v>38.32</v>
          </cell>
          <cell r="Q255">
            <v>1.0589</v>
          </cell>
          <cell r="R255" t="e">
            <v>#N/A</v>
          </cell>
        </row>
        <row r="256">
          <cell r="A256">
            <v>39840</v>
          </cell>
          <cell r="B256">
            <v>39840</v>
          </cell>
          <cell r="C256" t="str">
            <v>Past</v>
          </cell>
          <cell r="D256">
            <v>38.69</v>
          </cell>
          <cell r="E256" t="e">
            <v>#N/A</v>
          </cell>
          <cell r="F256" t="e">
            <v>#N/A</v>
          </cell>
          <cell r="G256" t="e">
            <v>#N/A</v>
          </cell>
          <cell r="H256" t="e">
            <v>#N/A</v>
          </cell>
          <cell r="I256" t="e">
            <v>#N/A</v>
          </cell>
          <cell r="J256" t="e">
            <v>#N/A</v>
          </cell>
          <cell r="K256" t="e">
            <v>#N/A</v>
          </cell>
          <cell r="L256" t="e">
            <v>#N/A</v>
          </cell>
          <cell r="M256" t="e">
            <v>#N/A</v>
          </cell>
          <cell r="N256" t="e">
            <v>#N/A</v>
          </cell>
          <cell r="O256" t="e">
            <v>#N/A</v>
          </cell>
          <cell r="P256">
            <v>38.69</v>
          </cell>
          <cell r="Q256">
            <v>1.2926839999999999</v>
          </cell>
          <cell r="R256" t="e">
            <v>#N/A</v>
          </cell>
        </row>
        <row r="257">
          <cell r="A257">
            <v>39841</v>
          </cell>
          <cell r="B257">
            <v>39841</v>
          </cell>
          <cell r="C257" t="str">
            <v>Past</v>
          </cell>
          <cell r="D257">
            <v>39.96</v>
          </cell>
          <cell r="E257" t="e">
            <v>#N/A</v>
          </cell>
          <cell r="F257" t="e">
            <v>#N/A</v>
          </cell>
          <cell r="G257" t="e">
            <v>#N/A</v>
          </cell>
          <cell r="H257" t="e">
            <v>#N/A</v>
          </cell>
          <cell r="I257" t="e">
            <v>#N/A</v>
          </cell>
          <cell r="J257" t="e">
            <v>#N/A</v>
          </cell>
          <cell r="K257" t="e">
            <v>#N/A</v>
          </cell>
          <cell r="L257" t="e">
            <v>#N/A</v>
          </cell>
          <cell r="M257" t="e">
            <v>#N/A</v>
          </cell>
          <cell r="N257" t="e">
            <v>#N/A</v>
          </cell>
          <cell r="O257" t="e">
            <v>#N/A</v>
          </cell>
          <cell r="P257">
            <v>39.96</v>
          </cell>
          <cell r="Q257">
            <v>0.994946</v>
          </cell>
          <cell r="R257" t="e">
            <v>#N/A</v>
          </cell>
        </row>
        <row r="258">
          <cell r="A258">
            <v>39842</v>
          </cell>
          <cell r="B258">
            <v>39842</v>
          </cell>
          <cell r="C258" t="str">
            <v>Past</v>
          </cell>
          <cell r="D258">
            <v>38.54</v>
          </cell>
          <cell r="E258" t="e">
            <v>#N/A</v>
          </cell>
          <cell r="F258" t="e">
            <v>#N/A</v>
          </cell>
          <cell r="G258" t="e">
            <v>#N/A</v>
          </cell>
          <cell r="H258" t="e">
            <v>#N/A</v>
          </cell>
          <cell r="I258" t="e">
            <v>#N/A</v>
          </cell>
          <cell r="J258" t="e">
            <v>#N/A</v>
          </cell>
          <cell r="K258" t="e">
            <v>#N/A</v>
          </cell>
          <cell r="L258" t="e">
            <v>#N/A</v>
          </cell>
          <cell r="M258" t="e">
            <v>#N/A</v>
          </cell>
          <cell r="N258" t="e">
            <v>#N/A</v>
          </cell>
          <cell r="O258" t="e">
            <v>#N/A</v>
          </cell>
          <cell r="P258">
            <v>38.54</v>
          </cell>
          <cell r="Q258">
            <v>1.19818</v>
          </cell>
          <cell r="R258" t="e">
            <v>#N/A</v>
          </cell>
        </row>
        <row r="259">
          <cell r="A259">
            <v>39843</v>
          </cell>
          <cell r="B259">
            <v>39843</v>
          </cell>
          <cell r="C259" t="str">
            <v>Past</v>
          </cell>
          <cell r="D259">
            <v>38.659999999999997</v>
          </cell>
          <cell r="E259" t="e">
            <v>#N/A</v>
          </cell>
          <cell r="F259" t="e">
            <v>#N/A</v>
          </cell>
          <cell r="G259" t="e">
            <v>#N/A</v>
          </cell>
          <cell r="H259" t="e">
            <v>#N/A</v>
          </cell>
          <cell r="I259" t="e">
            <v>#N/A</v>
          </cell>
          <cell r="J259" t="e">
            <v>#N/A</v>
          </cell>
          <cell r="K259" t="e">
            <v>#N/A</v>
          </cell>
          <cell r="L259" t="e">
            <v>#N/A</v>
          </cell>
          <cell r="M259" t="e">
            <v>#N/A</v>
          </cell>
          <cell r="N259" t="e">
            <v>#N/A</v>
          </cell>
          <cell r="O259" t="e">
            <v>#N/A</v>
          </cell>
          <cell r="P259">
            <v>38.659999999999997</v>
          </cell>
          <cell r="Q259">
            <v>1.345718</v>
          </cell>
          <cell r="R259" t="e">
            <v>#N/A</v>
          </cell>
        </row>
        <row r="260">
          <cell r="A260">
            <v>39846</v>
          </cell>
          <cell r="B260">
            <v>39846</v>
          </cell>
          <cell r="C260" t="str">
            <v>Past</v>
          </cell>
          <cell r="D260">
            <v>37.35</v>
          </cell>
          <cell r="E260" t="e">
            <v>#N/A</v>
          </cell>
          <cell r="F260" t="e">
            <v>#N/A</v>
          </cell>
          <cell r="G260" t="e">
            <v>#N/A</v>
          </cell>
          <cell r="H260" t="e">
            <v>#N/A</v>
          </cell>
          <cell r="I260" t="e">
            <v>#N/A</v>
          </cell>
          <cell r="J260" t="e">
            <v>#N/A</v>
          </cell>
          <cell r="K260" t="e">
            <v>#N/A</v>
          </cell>
          <cell r="L260" t="e">
            <v>#N/A</v>
          </cell>
          <cell r="M260" t="e">
            <v>#N/A</v>
          </cell>
          <cell r="N260" t="e">
            <v>#N/A</v>
          </cell>
          <cell r="O260" t="e">
            <v>#N/A</v>
          </cell>
          <cell r="P260">
            <v>37.35</v>
          </cell>
          <cell r="Q260">
            <v>1.339421</v>
          </cell>
          <cell r="R260" t="e">
            <v>#N/A</v>
          </cell>
        </row>
        <row r="261">
          <cell r="A261">
            <v>39847</v>
          </cell>
          <cell r="B261">
            <v>39847</v>
          </cell>
          <cell r="C261" t="str">
            <v>Past</v>
          </cell>
          <cell r="D261">
            <v>38.97</v>
          </cell>
          <cell r="E261" t="e">
            <v>#N/A</v>
          </cell>
          <cell r="F261" t="e">
            <v>#N/A</v>
          </cell>
          <cell r="G261" t="e">
            <v>#N/A</v>
          </cell>
          <cell r="H261" t="e">
            <v>#N/A</v>
          </cell>
          <cell r="I261" t="e">
            <v>#N/A</v>
          </cell>
          <cell r="J261" t="e">
            <v>#N/A</v>
          </cell>
          <cell r="K261" t="e">
            <v>#N/A</v>
          </cell>
          <cell r="L261" t="e">
            <v>#N/A</v>
          </cell>
          <cell r="M261" t="e">
            <v>#N/A</v>
          </cell>
          <cell r="N261" t="e">
            <v>#N/A</v>
          </cell>
          <cell r="O261" t="e">
            <v>#N/A</v>
          </cell>
          <cell r="P261">
            <v>38.97</v>
          </cell>
          <cell r="Q261">
            <v>2.8583749999999997</v>
          </cell>
          <cell r="R261" t="e">
            <v>#N/A</v>
          </cell>
        </row>
        <row r="262">
          <cell r="A262">
            <v>39848</v>
          </cell>
          <cell r="B262">
            <v>39848</v>
          </cell>
          <cell r="C262" t="str">
            <v>Past</v>
          </cell>
          <cell r="D262">
            <v>39.159999999999997</v>
          </cell>
          <cell r="E262" t="e">
            <v>#N/A</v>
          </cell>
          <cell r="F262" t="e">
            <v>#N/A</v>
          </cell>
          <cell r="G262" t="e">
            <v>#N/A</v>
          </cell>
          <cell r="H262" t="e">
            <v>#N/A</v>
          </cell>
          <cell r="I262" t="e">
            <v>#N/A</v>
          </cell>
          <cell r="J262" t="e">
            <v>#N/A</v>
          </cell>
          <cell r="K262" t="e">
            <v>#N/A</v>
          </cell>
          <cell r="L262" t="e">
            <v>#N/A</v>
          </cell>
          <cell r="M262" t="e">
            <v>#N/A</v>
          </cell>
          <cell r="N262" t="e">
            <v>#N/A</v>
          </cell>
          <cell r="O262" t="e">
            <v>#N/A</v>
          </cell>
          <cell r="P262">
            <v>39.159999999999997</v>
          </cell>
          <cell r="Q262">
            <v>2.649432</v>
          </cell>
          <cell r="R262" t="e">
            <v>#N/A</v>
          </cell>
        </row>
        <row r="263">
          <cell r="A263">
            <v>39849</v>
          </cell>
          <cell r="B263">
            <v>39849</v>
          </cell>
          <cell r="C263" t="str">
            <v>Past</v>
          </cell>
          <cell r="D263">
            <v>40.130000000000003</v>
          </cell>
          <cell r="E263" t="e">
            <v>#N/A</v>
          </cell>
          <cell r="F263" t="e">
            <v>#N/A</v>
          </cell>
          <cell r="G263" t="e">
            <v>#N/A</v>
          </cell>
          <cell r="H263" t="e">
            <v>#N/A</v>
          </cell>
          <cell r="I263" t="e">
            <v>#N/A</v>
          </cell>
          <cell r="J263" t="e">
            <v>#N/A</v>
          </cell>
          <cell r="K263" t="e">
            <v>#N/A</v>
          </cell>
          <cell r="L263" t="e">
            <v>#N/A</v>
          </cell>
          <cell r="M263" t="e">
            <v>#N/A</v>
          </cell>
          <cell r="N263" t="e">
            <v>#N/A</v>
          </cell>
          <cell r="O263" t="e">
            <v>#N/A</v>
          </cell>
          <cell r="P263">
            <v>40.130000000000003</v>
          </cell>
          <cell r="Q263">
            <v>1.74099</v>
          </cell>
          <cell r="R263" t="e">
            <v>#N/A</v>
          </cell>
        </row>
        <row r="264">
          <cell r="A264">
            <v>39850</v>
          </cell>
          <cell r="B264">
            <v>39850</v>
          </cell>
          <cell r="C264" t="str">
            <v>Past</v>
          </cell>
          <cell r="D264">
            <v>40.57</v>
          </cell>
          <cell r="E264" t="e">
            <v>#N/A</v>
          </cell>
          <cell r="F264" t="e">
            <v>#N/A</v>
          </cell>
          <cell r="G264" t="e">
            <v>#N/A</v>
          </cell>
          <cell r="H264" t="e">
            <v>#N/A</v>
          </cell>
          <cell r="I264" t="e">
            <v>#N/A</v>
          </cell>
          <cell r="J264" t="e">
            <v>#N/A</v>
          </cell>
          <cell r="K264" t="e">
            <v>#N/A</v>
          </cell>
          <cell r="L264" t="e">
            <v>#N/A</v>
          </cell>
          <cell r="M264" t="e">
            <v>#N/A</v>
          </cell>
          <cell r="N264" t="e">
            <v>#N/A</v>
          </cell>
          <cell r="O264" t="e">
            <v>#N/A</v>
          </cell>
          <cell r="P264">
            <v>40.57</v>
          </cell>
          <cell r="Q264">
            <v>1.286818</v>
          </cell>
          <cell r="R264" t="e">
            <v>#N/A</v>
          </cell>
        </row>
        <row r="265">
          <cell r="A265">
            <v>39853</v>
          </cell>
          <cell r="B265">
            <v>39853</v>
          </cell>
          <cell r="C265" t="str">
            <v>Past</v>
          </cell>
          <cell r="D265">
            <v>41</v>
          </cell>
          <cell r="E265" t="e">
            <v>#N/A</v>
          </cell>
          <cell r="F265" t="e">
            <v>#N/A</v>
          </cell>
          <cell r="G265" t="e">
            <v>#N/A</v>
          </cell>
          <cell r="H265" t="e">
            <v>#N/A</v>
          </cell>
          <cell r="I265" t="e">
            <v>#N/A</v>
          </cell>
          <cell r="J265" t="e">
            <v>#N/A</v>
          </cell>
          <cell r="K265" t="e">
            <v>#N/A</v>
          </cell>
          <cell r="L265" t="e">
            <v>#N/A</v>
          </cell>
          <cell r="M265" t="e">
            <v>#N/A</v>
          </cell>
          <cell r="N265" t="e">
            <v>#N/A</v>
          </cell>
          <cell r="O265" t="e">
            <v>#N/A</v>
          </cell>
          <cell r="P265">
            <v>41</v>
          </cell>
          <cell r="Q265">
            <v>1.7004189999999999</v>
          </cell>
          <cell r="R265" t="e">
            <v>#N/A</v>
          </cell>
        </row>
        <row r="266">
          <cell r="A266">
            <v>39854</v>
          </cell>
          <cell r="B266">
            <v>39854</v>
          </cell>
          <cell r="C266" t="str">
            <v>Past</v>
          </cell>
          <cell r="D266">
            <v>39.83</v>
          </cell>
          <cell r="E266" t="e">
            <v>#N/A</v>
          </cell>
          <cell r="F266" t="e">
            <v>#N/A</v>
          </cell>
          <cell r="G266" t="e">
            <v>#N/A</v>
          </cell>
          <cell r="H266" t="e">
            <v>#N/A</v>
          </cell>
          <cell r="I266" t="e">
            <v>#N/A</v>
          </cell>
          <cell r="J266" t="e">
            <v>#N/A</v>
          </cell>
          <cell r="K266" t="e">
            <v>#N/A</v>
          </cell>
          <cell r="L266" t="e">
            <v>#N/A</v>
          </cell>
          <cell r="M266" t="e">
            <v>#N/A</v>
          </cell>
          <cell r="N266" t="e">
            <v>#N/A</v>
          </cell>
          <cell r="O266" t="e">
            <v>#N/A</v>
          </cell>
          <cell r="P266">
            <v>39.83</v>
          </cell>
          <cell r="Q266">
            <v>2.9105500000000002</v>
          </cell>
          <cell r="R266" t="e">
            <v>#N/A</v>
          </cell>
        </row>
        <row r="267">
          <cell r="A267">
            <v>39855</v>
          </cell>
          <cell r="B267">
            <v>39855</v>
          </cell>
          <cell r="C267" t="str">
            <v>Past</v>
          </cell>
          <cell r="D267">
            <v>39.43</v>
          </cell>
          <cell r="E267" t="e">
            <v>#N/A</v>
          </cell>
          <cell r="F267" t="e">
            <v>#N/A</v>
          </cell>
          <cell r="G267" t="e">
            <v>#N/A</v>
          </cell>
          <cell r="H267" t="e">
            <v>#N/A</v>
          </cell>
          <cell r="I267" t="e">
            <v>#N/A</v>
          </cell>
          <cell r="J267" t="e">
            <v>#N/A</v>
          </cell>
          <cell r="K267" t="e">
            <v>#N/A</v>
          </cell>
          <cell r="L267" t="e">
            <v>#N/A</v>
          </cell>
          <cell r="M267" t="e">
            <v>#N/A</v>
          </cell>
          <cell r="N267" t="e">
            <v>#N/A</v>
          </cell>
          <cell r="O267" t="e">
            <v>#N/A</v>
          </cell>
          <cell r="P267">
            <v>39.43</v>
          </cell>
          <cell r="Q267">
            <v>1.5133159999999999</v>
          </cell>
          <cell r="R267" t="e">
            <v>#N/A</v>
          </cell>
        </row>
        <row r="268">
          <cell r="A268">
            <v>39856</v>
          </cell>
          <cell r="B268">
            <v>39856</v>
          </cell>
          <cell r="C268" t="str">
            <v>Past</v>
          </cell>
          <cell r="D268">
            <v>39.33</v>
          </cell>
          <cell r="E268" t="e">
            <v>#N/A</v>
          </cell>
          <cell r="F268" t="e">
            <v>#N/A</v>
          </cell>
          <cell r="G268" t="e">
            <v>#N/A</v>
          </cell>
          <cell r="H268" t="e">
            <v>#N/A</v>
          </cell>
          <cell r="I268" t="e">
            <v>#N/A</v>
          </cell>
          <cell r="J268" t="e">
            <v>#N/A</v>
          </cell>
          <cell r="K268" t="e">
            <v>#N/A</v>
          </cell>
          <cell r="L268" t="e">
            <v>#N/A</v>
          </cell>
          <cell r="M268" t="e">
            <v>#N/A</v>
          </cell>
          <cell r="N268" t="e">
            <v>#N/A</v>
          </cell>
          <cell r="O268" t="e">
            <v>#N/A</v>
          </cell>
          <cell r="P268">
            <v>39.33</v>
          </cell>
          <cell r="Q268">
            <v>2.1183730000000001</v>
          </cell>
          <cell r="R268" t="e">
            <v>#N/A</v>
          </cell>
        </row>
        <row r="269">
          <cell r="A269">
            <v>39857</v>
          </cell>
          <cell r="B269">
            <v>39857</v>
          </cell>
          <cell r="C269" t="str">
            <v>Past</v>
          </cell>
          <cell r="D269">
            <v>39.78</v>
          </cell>
          <cell r="E269" t="e">
            <v>#N/A</v>
          </cell>
          <cell r="F269" t="e">
            <v>#N/A</v>
          </cell>
          <cell r="G269" t="e">
            <v>#N/A</v>
          </cell>
          <cell r="H269" t="e">
            <v>#N/A</v>
          </cell>
          <cell r="I269" t="e">
            <v>#N/A</v>
          </cell>
          <cell r="J269" t="e">
            <v>#N/A</v>
          </cell>
          <cell r="K269" t="e">
            <v>#N/A</v>
          </cell>
          <cell r="L269" t="e">
            <v>#N/A</v>
          </cell>
          <cell r="M269" t="e">
            <v>#N/A</v>
          </cell>
          <cell r="N269" t="e">
            <v>#N/A</v>
          </cell>
          <cell r="O269" t="e">
            <v>#N/A</v>
          </cell>
          <cell r="P269">
            <v>39.78</v>
          </cell>
          <cell r="Q269">
            <v>1.8688859999999998</v>
          </cell>
          <cell r="R269" t="e">
            <v>#N/A</v>
          </cell>
        </row>
        <row r="270">
          <cell r="A270">
            <v>39861</v>
          </cell>
          <cell r="B270">
            <v>39861</v>
          </cell>
          <cell r="C270" t="str">
            <v>Past</v>
          </cell>
          <cell r="D270">
            <v>38.22</v>
          </cell>
          <cell r="E270" t="e">
            <v>#N/A</v>
          </cell>
          <cell r="F270" t="e">
            <v>#N/A</v>
          </cell>
          <cell r="G270" t="e">
            <v>#N/A</v>
          </cell>
          <cell r="H270" t="e">
            <v>#N/A</v>
          </cell>
          <cell r="I270" t="e">
            <v>#N/A</v>
          </cell>
          <cell r="J270" t="e">
            <v>#N/A</v>
          </cell>
          <cell r="K270" t="e">
            <v>#N/A</v>
          </cell>
          <cell r="L270" t="e">
            <v>#N/A</v>
          </cell>
          <cell r="M270" t="e">
            <v>#N/A</v>
          </cell>
          <cell r="N270" t="e">
            <v>#N/A</v>
          </cell>
          <cell r="O270" t="e">
            <v>#N/A</v>
          </cell>
          <cell r="P270">
            <v>38.22</v>
          </cell>
          <cell r="Q270">
            <v>2.107834</v>
          </cell>
          <cell r="R270" t="e">
            <v>#N/A</v>
          </cell>
        </row>
        <row r="271">
          <cell r="A271">
            <v>39862</v>
          </cell>
          <cell r="B271">
            <v>39862</v>
          </cell>
          <cell r="C271" t="str">
            <v>Past</v>
          </cell>
          <cell r="D271">
            <v>38.47</v>
          </cell>
          <cell r="E271" t="e">
            <v>#N/A</v>
          </cell>
          <cell r="F271" t="e">
            <v>#N/A</v>
          </cell>
          <cell r="G271" t="e">
            <v>#N/A</v>
          </cell>
          <cell r="H271" t="e">
            <v>#N/A</v>
          </cell>
          <cell r="I271" t="e">
            <v>#N/A</v>
          </cell>
          <cell r="J271" t="e">
            <v>#N/A</v>
          </cell>
          <cell r="K271" t="e">
            <v>#N/A</v>
          </cell>
          <cell r="L271" t="e">
            <v>#N/A</v>
          </cell>
          <cell r="M271" t="e">
            <v>#N/A</v>
          </cell>
          <cell r="N271" t="e">
            <v>#N/A</v>
          </cell>
          <cell r="O271" t="e">
            <v>#N/A</v>
          </cell>
          <cell r="P271">
            <v>38.47</v>
          </cell>
          <cell r="Q271">
            <v>2.282864</v>
          </cell>
          <cell r="R271" t="e">
            <v>#N/A</v>
          </cell>
        </row>
        <row r="272">
          <cell r="A272">
            <v>39863</v>
          </cell>
          <cell r="B272">
            <v>39863</v>
          </cell>
          <cell r="C272" t="str">
            <v>Past</v>
          </cell>
          <cell r="D272">
            <v>38.51</v>
          </cell>
          <cell r="E272" t="e">
            <v>#N/A</v>
          </cell>
          <cell r="F272" t="e">
            <v>#N/A</v>
          </cell>
          <cell r="G272" t="e">
            <v>#N/A</v>
          </cell>
          <cell r="H272" t="e">
            <v>#N/A</v>
          </cell>
          <cell r="I272" t="e">
            <v>#N/A</v>
          </cell>
          <cell r="J272" t="e">
            <v>#N/A</v>
          </cell>
          <cell r="K272" t="e">
            <v>#N/A</v>
          </cell>
          <cell r="L272" t="e">
            <v>#N/A</v>
          </cell>
          <cell r="M272" t="e">
            <v>#N/A</v>
          </cell>
          <cell r="N272" t="e">
            <v>#N/A</v>
          </cell>
          <cell r="O272" t="e">
            <v>#N/A</v>
          </cell>
          <cell r="P272">
            <v>38.51</v>
          </cell>
          <cell r="Q272">
            <v>2.044619</v>
          </cell>
          <cell r="R272" t="e">
            <v>#N/A</v>
          </cell>
        </row>
        <row r="273">
          <cell r="A273">
            <v>39864</v>
          </cell>
          <cell r="B273">
            <v>39864</v>
          </cell>
          <cell r="C273" t="str">
            <v>Past</v>
          </cell>
          <cell r="D273">
            <v>36.94</v>
          </cell>
          <cell r="E273" t="e">
            <v>#N/A</v>
          </cell>
          <cell r="F273" t="e">
            <v>#N/A</v>
          </cell>
          <cell r="G273" t="e">
            <v>#N/A</v>
          </cell>
          <cell r="H273" t="e">
            <v>#N/A</v>
          </cell>
          <cell r="I273" t="e">
            <v>#N/A</v>
          </cell>
          <cell r="J273" t="e">
            <v>#N/A</v>
          </cell>
          <cell r="K273" t="e">
            <v>#N/A</v>
          </cell>
          <cell r="L273" t="e">
            <v>#N/A</v>
          </cell>
          <cell r="M273" t="e">
            <v>#N/A</v>
          </cell>
          <cell r="N273" t="e">
            <v>#N/A</v>
          </cell>
          <cell r="O273" t="e">
            <v>#N/A</v>
          </cell>
          <cell r="P273">
            <v>36.94</v>
          </cell>
          <cell r="Q273">
            <v>2.8487</v>
          </cell>
          <cell r="R273" t="e">
            <v>#N/A</v>
          </cell>
        </row>
        <row r="274">
          <cell r="A274">
            <v>39867</v>
          </cell>
          <cell r="B274">
            <v>39867</v>
          </cell>
          <cell r="C274" t="str">
            <v>Past</v>
          </cell>
          <cell r="D274">
            <v>34.6</v>
          </cell>
          <cell r="E274" t="e">
            <v>#N/A</v>
          </cell>
          <cell r="F274" t="e">
            <v>#N/A</v>
          </cell>
          <cell r="G274" t="e">
            <v>#N/A</v>
          </cell>
          <cell r="H274" t="e">
            <v>#N/A</v>
          </cell>
          <cell r="I274" t="e">
            <v>#N/A</v>
          </cell>
          <cell r="J274" t="e">
            <v>#N/A</v>
          </cell>
          <cell r="K274" t="e">
            <v>#N/A</v>
          </cell>
          <cell r="L274" t="e">
            <v>#N/A</v>
          </cell>
          <cell r="M274" t="e">
            <v>#N/A</v>
          </cell>
          <cell r="N274" t="e">
            <v>#N/A</v>
          </cell>
          <cell r="O274" t="e">
            <v>#N/A</v>
          </cell>
          <cell r="P274">
            <v>34.6</v>
          </cell>
          <cell r="Q274">
            <v>2.7961429999999998</v>
          </cell>
          <cell r="R274" t="e">
            <v>#N/A</v>
          </cell>
        </row>
        <row r="275">
          <cell r="A275">
            <v>39868</v>
          </cell>
          <cell r="B275">
            <v>39868</v>
          </cell>
          <cell r="C275" t="str">
            <v>Past</v>
          </cell>
          <cell r="D275">
            <v>35.54</v>
          </cell>
          <cell r="E275" t="e">
            <v>#N/A</v>
          </cell>
          <cell r="F275" t="e">
            <v>#N/A</v>
          </cell>
          <cell r="G275" t="e">
            <v>#N/A</v>
          </cell>
          <cell r="H275" t="e">
            <v>#N/A</v>
          </cell>
          <cell r="I275" t="e">
            <v>#N/A</v>
          </cell>
          <cell r="J275" t="e">
            <v>#N/A</v>
          </cell>
          <cell r="K275" t="e">
            <v>#N/A</v>
          </cell>
          <cell r="L275" t="e">
            <v>#N/A</v>
          </cell>
          <cell r="M275" t="e">
            <v>#N/A</v>
          </cell>
          <cell r="N275" t="e">
            <v>#N/A</v>
          </cell>
          <cell r="O275" t="e">
            <v>#N/A</v>
          </cell>
          <cell r="P275">
            <v>35.54</v>
          </cell>
          <cell r="Q275">
            <v>2.1528119999999999</v>
          </cell>
          <cell r="R275" t="e">
            <v>#N/A</v>
          </cell>
        </row>
        <row r="276">
          <cell r="A276">
            <v>39869</v>
          </cell>
          <cell r="B276">
            <v>39869</v>
          </cell>
          <cell r="C276" t="str">
            <v>Past</v>
          </cell>
          <cell r="D276">
            <v>35.31</v>
          </cell>
          <cell r="E276" t="e">
            <v>#N/A</v>
          </cell>
          <cell r="F276" t="e">
            <v>#N/A</v>
          </cell>
          <cell r="G276" t="e">
            <v>#N/A</v>
          </cell>
          <cell r="H276" t="e">
            <v>#N/A</v>
          </cell>
          <cell r="I276" t="e">
            <v>#N/A</v>
          </cell>
          <cell r="J276" t="e">
            <v>#N/A</v>
          </cell>
          <cell r="K276" t="e">
            <v>#N/A</v>
          </cell>
          <cell r="L276" t="e">
            <v>#N/A</v>
          </cell>
          <cell r="M276" t="e">
            <v>#N/A</v>
          </cell>
          <cell r="N276" t="e">
            <v>#N/A</v>
          </cell>
          <cell r="O276" t="e">
            <v>#N/A</v>
          </cell>
          <cell r="P276">
            <v>35.31</v>
          </cell>
          <cell r="Q276">
            <v>2.876852</v>
          </cell>
          <cell r="R276" t="e">
            <v>#N/A</v>
          </cell>
        </row>
        <row r="277">
          <cell r="A277">
            <v>39870</v>
          </cell>
          <cell r="B277">
            <v>39870</v>
          </cell>
          <cell r="C277" t="str">
            <v>Past</v>
          </cell>
          <cell r="D277">
            <v>33.86</v>
          </cell>
          <cell r="E277" t="e">
            <v>#N/A</v>
          </cell>
          <cell r="F277" t="e">
            <v>#N/A</v>
          </cell>
          <cell r="G277" t="e">
            <v>#N/A</v>
          </cell>
          <cell r="H277" t="e">
            <v>#N/A</v>
          </cell>
          <cell r="I277" t="e">
            <v>#N/A</v>
          </cell>
          <cell r="J277" t="e">
            <v>#N/A</v>
          </cell>
          <cell r="K277" t="e">
            <v>#N/A</v>
          </cell>
          <cell r="L277" t="e">
            <v>#N/A</v>
          </cell>
          <cell r="M277" t="e">
            <v>#N/A</v>
          </cell>
          <cell r="N277" t="e">
            <v>#N/A</v>
          </cell>
          <cell r="O277" t="e">
            <v>#N/A</v>
          </cell>
          <cell r="P277">
            <v>33.86</v>
          </cell>
          <cell r="Q277">
            <v>2.1989160000000001</v>
          </cell>
          <cell r="R277" t="e">
            <v>#N/A</v>
          </cell>
        </row>
        <row r="278">
          <cell r="A278">
            <v>39871</v>
          </cell>
          <cell r="B278">
            <v>39871</v>
          </cell>
          <cell r="C278" t="str">
            <v>Past</v>
          </cell>
          <cell r="D278">
            <v>33.14</v>
          </cell>
          <cell r="E278" t="e">
            <v>#N/A</v>
          </cell>
          <cell r="F278" t="e">
            <v>#N/A</v>
          </cell>
          <cell r="G278" t="e">
            <v>#N/A</v>
          </cell>
          <cell r="H278" t="e">
            <v>#N/A</v>
          </cell>
          <cell r="I278" t="e">
            <v>#N/A</v>
          </cell>
          <cell r="J278" t="e">
            <v>#N/A</v>
          </cell>
          <cell r="K278" t="e">
            <v>#N/A</v>
          </cell>
          <cell r="L278" t="e">
            <v>#N/A</v>
          </cell>
          <cell r="M278" t="e">
            <v>#N/A</v>
          </cell>
          <cell r="N278" t="e">
            <v>#N/A</v>
          </cell>
          <cell r="O278" t="e">
            <v>#N/A</v>
          </cell>
          <cell r="P278">
            <v>33.14</v>
          </cell>
          <cell r="Q278">
            <v>2.3682479999999999</v>
          </cell>
          <cell r="R278" t="e">
            <v>#N/A</v>
          </cell>
        </row>
        <row r="279">
          <cell r="A279">
            <v>39874</v>
          </cell>
          <cell r="B279">
            <v>39874</v>
          </cell>
          <cell r="C279" t="str">
            <v>Past</v>
          </cell>
          <cell r="D279">
            <v>31.83</v>
          </cell>
          <cell r="E279" t="e">
            <v>#N/A</v>
          </cell>
          <cell r="F279" t="e">
            <v>#N/A</v>
          </cell>
          <cell r="G279" t="e">
            <v>#N/A</v>
          </cell>
          <cell r="H279" t="e">
            <v>#N/A</v>
          </cell>
          <cell r="I279" t="e">
            <v>#N/A</v>
          </cell>
          <cell r="J279" t="e">
            <v>#N/A</v>
          </cell>
          <cell r="K279" t="e">
            <v>#N/A</v>
          </cell>
          <cell r="L279" t="e">
            <v>#N/A</v>
          </cell>
          <cell r="M279" t="e">
            <v>#N/A</v>
          </cell>
          <cell r="N279" t="e">
            <v>#N/A</v>
          </cell>
          <cell r="O279" t="e">
            <v>#N/A</v>
          </cell>
          <cell r="P279">
            <v>31.83</v>
          </cell>
          <cell r="Q279">
            <v>3.3095109999999996</v>
          </cell>
          <cell r="R279" t="e">
            <v>#N/A</v>
          </cell>
        </row>
        <row r="280">
          <cell r="A280">
            <v>39875</v>
          </cell>
          <cell r="B280">
            <v>39875</v>
          </cell>
          <cell r="C280" t="str">
            <v>Past</v>
          </cell>
          <cell r="D280">
            <v>31.48</v>
          </cell>
          <cell r="E280" t="e">
            <v>#N/A</v>
          </cell>
          <cell r="F280" t="e">
            <v>#N/A</v>
          </cell>
          <cell r="G280" t="e">
            <v>#N/A</v>
          </cell>
          <cell r="H280" t="e">
            <v>#N/A</v>
          </cell>
          <cell r="I280" t="e">
            <v>#N/A</v>
          </cell>
          <cell r="J280" t="e">
            <v>#N/A</v>
          </cell>
          <cell r="K280" t="e">
            <v>#N/A</v>
          </cell>
          <cell r="L280" t="e">
            <v>#N/A</v>
          </cell>
          <cell r="M280" t="e">
            <v>#N/A</v>
          </cell>
          <cell r="N280" t="e">
            <v>#N/A</v>
          </cell>
          <cell r="O280" t="e">
            <v>#N/A</v>
          </cell>
          <cell r="P280">
            <v>31.48</v>
          </cell>
          <cell r="Q280">
            <v>2.9480139999999997</v>
          </cell>
          <cell r="R280" t="e">
            <v>#N/A</v>
          </cell>
        </row>
        <row r="281">
          <cell r="A281">
            <v>39876</v>
          </cell>
          <cell r="B281">
            <v>39876</v>
          </cell>
          <cell r="C281" t="str">
            <v>Past</v>
          </cell>
          <cell r="D281">
            <v>31.78</v>
          </cell>
          <cell r="E281" t="e">
            <v>#N/A</v>
          </cell>
          <cell r="F281" t="e">
            <v>#N/A</v>
          </cell>
          <cell r="G281" t="e">
            <v>#N/A</v>
          </cell>
          <cell r="H281" t="e">
            <v>#N/A</v>
          </cell>
          <cell r="I281" t="e">
            <v>#N/A</v>
          </cell>
          <cell r="J281" t="e">
            <v>#N/A</v>
          </cell>
          <cell r="K281" t="e">
            <v>#N/A</v>
          </cell>
          <cell r="L281" t="e">
            <v>#N/A</v>
          </cell>
          <cell r="M281" t="e">
            <v>#N/A</v>
          </cell>
          <cell r="N281" t="e">
            <v>#N/A</v>
          </cell>
          <cell r="O281" t="e">
            <v>#N/A</v>
          </cell>
          <cell r="P281">
            <v>31.78</v>
          </cell>
          <cell r="Q281">
            <v>3.0106999999999999</v>
          </cell>
          <cell r="R281" t="e">
            <v>#N/A</v>
          </cell>
        </row>
        <row r="282">
          <cell r="A282">
            <v>39877</v>
          </cell>
          <cell r="B282">
            <v>39877</v>
          </cell>
          <cell r="C282" t="str">
            <v>Past</v>
          </cell>
          <cell r="D282">
            <v>30.64</v>
          </cell>
          <cell r="E282" t="e">
            <v>#N/A</v>
          </cell>
          <cell r="F282" t="e">
            <v>#N/A</v>
          </cell>
          <cell r="G282" t="e">
            <v>#N/A</v>
          </cell>
          <cell r="H282" t="e">
            <v>#N/A</v>
          </cell>
          <cell r="I282" t="e">
            <v>#N/A</v>
          </cell>
          <cell r="J282" t="e">
            <v>#N/A</v>
          </cell>
          <cell r="K282" t="e">
            <v>#N/A</v>
          </cell>
          <cell r="L282" t="e">
            <v>#N/A</v>
          </cell>
          <cell r="M282" t="e">
            <v>#N/A</v>
          </cell>
          <cell r="N282" t="e">
            <v>#N/A</v>
          </cell>
          <cell r="O282" t="e">
            <v>#N/A</v>
          </cell>
          <cell r="P282">
            <v>30.64</v>
          </cell>
          <cell r="Q282">
            <v>2.665905</v>
          </cell>
          <cell r="R282" t="e">
            <v>#N/A</v>
          </cell>
        </row>
        <row r="283">
          <cell r="A283">
            <v>39878</v>
          </cell>
          <cell r="B283">
            <v>39878</v>
          </cell>
          <cell r="C283" t="str">
            <v>Past</v>
          </cell>
          <cell r="D283">
            <v>30.67</v>
          </cell>
          <cell r="E283" t="e">
            <v>#N/A</v>
          </cell>
          <cell r="F283" t="e">
            <v>#N/A</v>
          </cell>
          <cell r="G283" t="e">
            <v>#N/A</v>
          </cell>
          <cell r="H283" t="e">
            <v>#N/A</v>
          </cell>
          <cell r="I283" t="e">
            <v>#N/A</v>
          </cell>
          <cell r="J283" t="e">
            <v>#N/A</v>
          </cell>
          <cell r="K283" t="e">
            <v>#N/A</v>
          </cell>
          <cell r="L283" t="e">
            <v>#N/A</v>
          </cell>
          <cell r="M283" t="e">
            <v>#N/A</v>
          </cell>
          <cell r="N283" t="e">
            <v>#N/A</v>
          </cell>
          <cell r="O283" t="e">
            <v>#N/A</v>
          </cell>
          <cell r="P283">
            <v>30.67</v>
          </cell>
          <cell r="Q283">
            <v>3.1738759999999999</v>
          </cell>
          <cell r="R283" t="e">
            <v>#N/A</v>
          </cell>
        </row>
        <row r="284">
          <cell r="A284">
            <v>39881</v>
          </cell>
          <cell r="B284">
            <v>39881</v>
          </cell>
          <cell r="C284" t="str">
            <v>Past</v>
          </cell>
          <cell r="D284">
            <v>30.01</v>
          </cell>
          <cell r="E284" t="e">
            <v>#N/A</v>
          </cell>
          <cell r="F284" t="e">
            <v>#N/A</v>
          </cell>
          <cell r="G284" t="e">
            <v>#N/A</v>
          </cell>
          <cell r="H284" t="e">
            <v>#N/A</v>
          </cell>
          <cell r="I284" t="e">
            <v>#N/A</v>
          </cell>
          <cell r="J284" t="e">
            <v>#N/A</v>
          </cell>
          <cell r="K284" t="e">
            <v>#N/A</v>
          </cell>
          <cell r="L284" t="e">
            <v>#N/A</v>
          </cell>
          <cell r="M284" t="e">
            <v>#N/A</v>
          </cell>
          <cell r="N284" t="e">
            <v>#N/A</v>
          </cell>
          <cell r="O284" t="e">
            <v>#N/A</v>
          </cell>
          <cell r="P284">
            <v>30.01</v>
          </cell>
          <cell r="Q284">
            <v>2.527291</v>
          </cell>
          <cell r="R284" t="e">
            <v>#N/A</v>
          </cell>
        </row>
        <row r="285">
          <cell r="A285">
            <v>39882</v>
          </cell>
          <cell r="B285">
            <v>39882</v>
          </cell>
          <cell r="C285" t="str">
            <v>Past</v>
          </cell>
          <cell r="D285">
            <v>32.21</v>
          </cell>
          <cell r="E285" t="e">
            <v>#N/A</v>
          </cell>
          <cell r="F285" t="e">
            <v>#N/A</v>
          </cell>
          <cell r="G285" t="e">
            <v>#N/A</v>
          </cell>
          <cell r="H285" t="e">
            <v>#N/A</v>
          </cell>
          <cell r="I285" t="e">
            <v>#N/A</v>
          </cell>
          <cell r="J285" t="e">
            <v>#N/A</v>
          </cell>
          <cell r="K285" t="e">
            <v>#N/A</v>
          </cell>
          <cell r="L285" t="e">
            <v>#N/A</v>
          </cell>
          <cell r="M285" t="e">
            <v>#N/A</v>
          </cell>
          <cell r="N285" t="e">
            <v>#N/A</v>
          </cell>
          <cell r="O285" t="e">
            <v>#N/A</v>
          </cell>
          <cell r="P285">
            <v>32.21</v>
          </cell>
          <cell r="Q285">
            <v>3.1363539999999999</v>
          </cell>
          <cell r="R285" t="e">
            <v>#N/A</v>
          </cell>
        </row>
        <row r="286">
          <cell r="A286">
            <v>39883</v>
          </cell>
          <cell r="B286">
            <v>39883</v>
          </cell>
          <cell r="C286" t="str">
            <v>Past</v>
          </cell>
          <cell r="D286">
            <v>33.22</v>
          </cell>
          <cell r="E286" t="e">
            <v>#N/A</v>
          </cell>
          <cell r="F286" t="e">
            <v>#N/A</v>
          </cell>
          <cell r="G286" t="e">
            <v>#N/A</v>
          </cell>
          <cell r="H286" t="e">
            <v>#N/A</v>
          </cell>
          <cell r="I286" t="e">
            <v>#N/A</v>
          </cell>
          <cell r="J286" t="e">
            <v>#N/A</v>
          </cell>
          <cell r="K286" t="e">
            <v>#N/A</v>
          </cell>
          <cell r="L286" t="e">
            <v>#N/A</v>
          </cell>
          <cell r="M286" t="e">
            <v>#N/A</v>
          </cell>
          <cell r="N286" t="e">
            <v>#N/A</v>
          </cell>
          <cell r="O286" t="e">
            <v>#N/A</v>
          </cell>
          <cell r="P286">
            <v>33.22</v>
          </cell>
          <cell r="Q286">
            <v>3.3672779999999998</v>
          </cell>
          <cell r="R286" t="e">
            <v>#N/A</v>
          </cell>
        </row>
        <row r="287">
          <cell r="A287">
            <v>39884</v>
          </cell>
          <cell r="B287">
            <v>39884</v>
          </cell>
          <cell r="C287" t="str">
            <v>Past</v>
          </cell>
          <cell r="D287">
            <v>34.15</v>
          </cell>
          <cell r="E287" t="e">
            <v>#N/A</v>
          </cell>
          <cell r="F287" t="e">
            <v>#N/A</v>
          </cell>
          <cell r="G287" t="e">
            <v>#N/A</v>
          </cell>
          <cell r="H287" t="e">
            <v>#N/A</v>
          </cell>
          <cell r="I287" t="e">
            <v>#N/A</v>
          </cell>
          <cell r="J287" t="e">
            <v>#N/A</v>
          </cell>
          <cell r="K287" t="e">
            <v>#N/A</v>
          </cell>
          <cell r="L287" t="e">
            <v>#N/A</v>
          </cell>
          <cell r="M287" t="e">
            <v>#N/A</v>
          </cell>
          <cell r="N287" t="e">
            <v>#N/A</v>
          </cell>
          <cell r="O287" t="e">
            <v>#N/A</v>
          </cell>
          <cell r="P287">
            <v>34.15</v>
          </cell>
          <cell r="Q287">
            <v>1.9433309999999999</v>
          </cell>
          <cell r="R287" t="e">
            <v>#N/A</v>
          </cell>
        </row>
        <row r="288">
          <cell r="A288">
            <v>39885</v>
          </cell>
          <cell r="B288">
            <v>39885</v>
          </cell>
          <cell r="C288" t="str">
            <v>Past</v>
          </cell>
          <cell r="D288">
            <v>34.5</v>
          </cell>
          <cell r="E288" t="e">
            <v>#N/A</v>
          </cell>
          <cell r="F288" t="e">
            <v>#N/A</v>
          </cell>
          <cell r="G288" t="e">
            <v>#N/A</v>
          </cell>
          <cell r="H288" t="e">
            <v>#N/A</v>
          </cell>
          <cell r="I288" t="e">
            <v>#N/A</v>
          </cell>
          <cell r="J288" t="e">
            <v>#N/A</v>
          </cell>
          <cell r="K288" t="e">
            <v>#N/A</v>
          </cell>
          <cell r="L288" t="e">
            <v>#N/A</v>
          </cell>
          <cell r="M288" t="e">
            <v>#N/A</v>
          </cell>
          <cell r="N288" t="e">
            <v>#N/A</v>
          </cell>
          <cell r="O288" t="e">
            <v>#N/A</v>
          </cell>
          <cell r="P288">
            <v>34.5</v>
          </cell>
          <cell r="Q288">
            <v>2.0690219999999999</v>
          </cell>
          <cell r="R288" t="e">
            <v>#N/A</v>
          </cell>
        </row>
        <row r="289">
          <cell r="A289">
            <v>39888</v>
          </cell>
          <cell r="B289">
            <v>39888</v>
          </cell>
          <cell r="C289" t="str">
            <v>Past</v>
          </cell>
          <cell r="D289">
            <v>36.299999999999997</v>
          </cell>
          <cell r="E289" t="e">
            <v>#N/A</v>
          </cell>
          <cell r="F289" t="e">
            <v>#N/A</v>
          </cell>
          <cell r="G289" t="e">
            <v>#N/A</v>
          </cell>
          <cell r="H289" t="e">
            <v>#N/A</v>
          </cell>
          <cell r="I289" t="e">
            <v>#N/A</v>
          </cell>
          <cell r="J289" t="e">
            <v>#N/A</v>
          </cell>
          <cell r="K289" t="e">
            <v>#N/A</v>
          </cell>
          <cell r="L289" t="e">
            <v>#N/A</v>
          </cell>
          <cell r="M289" t="e">
            <v>#N/A</v>
          </cell>
          <cell r="N289" t="e">
            <v>#N/A</v>
          </cell>
          <cell r="O289" t="e">
            <v>#N/A</v>
          </cell>
          <cell r="P289">
            <v>36.299999999999997</v>
          </cell>
          <cell r="Q289">
            <v>2.9918389999999997</v>
          </cell>
          <cell r="R289" t="e">
            <v>#N/A</v>
          </cell>
        </row>
        <row r="290">
          <cell r="A290">
            <v>39889</v>
          </cell>
          <cell r="B290">
            <v>39889</v>
          </cell>
          <cell r="C290" t="str">
            <v>Past</v>
          </cell>
          <cell r="D290">
            <v>37.380000000000003</v>
          </cell>
          <cell r="E290" t="e">
            <v>#N/A</v>
          </cell>
          <cell r="F290" t="e">
            <v>#N/A</v>
          </cell>
          <cell r="G290" t="e">
            <v>#N/A</v>
          </cell>
          <cell r="H290" t="e">
            <v>#N/A</v>
          </cell>
          <cell r="I290" t="e">
            <v>#N/A</v>
          </cell>
          <cell r="J290" t="e">
            <v>#N/A</v>
          </cell>
          <cell r="K290" t="e">
            <v>#N/A</v>
          </cell>
          <cell r="L290" t="e">
            <v>#N/A</v>
          </cell>
          <cell r="M290" t="e">
            <v>#N/A</v>
          </cell>
          <cell r="N290" t="e">
            <v>#N/A</v>
          </cell>
          <cell r="O290" t="e">
            <v>#N/A</v>
          </cell>
          <cell r="P290">
            <v>37.380000000000003</v>
          </cell>
          <cell r="Q290">
            <v>1.9089600000000002</v>
          </cell>
          <cell r="R290" t="e">
            <v>#N/A</v>
          </cell>
        </row>
        <row r="291">
          <cell r="A291">
            <v>39890</v>
          </cell>
          <cell r="B291">
            <v>39890</v>
          </cell>
          <cell r="C291" t="str">
            <v>Past</v>
          </cell>
          <cell r="D291">
            <v>37.29</v>
          </cell>
          <cell r="E291" t="e">
            <v>#N/A</v>
          </cell>
          <cell r="F291" t="e">
            <v>#N/A</v>
          </cell>
          <cell r="G291" t="e">
            <v>#N/A</v>
          </cell>
          <cell r="H291" t="e">
            <v>#N/A</v>
          </cell>
          <cell r="I291" t="e">
            <v>#N/A</v>
          </cell>
          <cell r="J291" t="e">
            <v>#N/A</v>
          </cell>
          <cell r="K291" t="e">
            <v>#N/A</v>
          </cell>
          <cell r="L291" t="e">
            <v>#N/A</v>
          </cell>
          <cell r="M291" t="e">
            <v>#N/A</v>
          </cell>
          <cell r="N291" t="e">
            <v>#N/A</v>
          </cell>
          <cell r="O291" t="e">
            <v>#N/A</v>
          </cell>
          <cell r="P291">
            <v>37.29</v>
          </cell>
          <cell r="Q291">
            <v>2.5050119999999998</v>
          </cell>
          <cell r="R291" t="e">
            <v>#N/A</v>
          </cell>
        </row>
        <row r="292">
          <cell r="A292">
            <v>39891</v>
          </cell>
          <cell r="B292">
            <v>39891</v>
          </cell>
          <cell r="C292" t="str">
            <v>Past</v>
          </cell>
          <cell r="D292">
            <v>38.090000000000003</v>
          </cell>
          <cell r="E292" t="e">
            <v>#N/A</v>
          </cell>
          <cell r="F292" t="e">
            <v>#N/A</v>
          </cell>
          <cell r="G292" t="e">
            <v>#N/A</v>
          </cell>
          <cell r="H292" t="e">
            <v>#N/A</v>
          </cell>
          <cell r="I292" t="e">
            <v>#N/A</v>
          </cell>
          <cell r="J292" t="e">
            <v>#N/A</v>
          </cell>
          <cell r="K292" t="e">
            <v>#N/A</v>
          </cell>
          <cell r="L292" t="e">
            <v>#N/A</v>
          </cell>
          <cell r="M292" t="e">
            <v>#N/A</v>
          </cell>
          <cell r="N292" t="e">
            <v>#N/A</v>
          </cell>
          <cell r="O292" t="e">
            <v>#N/A</v>
          </cell>
          <cell r="P292">
            <v>38.090000000000003</v>
          </cell>
          <cell r="Q292">
            <v>1.8329700000000002</v>
          </cell>
          <cell r="R292" t="e">
            <v>#N/A</v>
          </cell>
        </row>
        <row r="293">
          <cell r="A293">
            <v>39892</v>
          </cell>
          <cell r="B293">
            <v>39892</v>
          </cell>
          <cell r="C293" t="str">
            <v>Past</v>
          </cell>
          <cell r="D293">
            <v>37.340000000000003</v>
          </cell>
          <cell r="E293" t="e">
            <v>#N/A</v>
          </cell>
          <cell r="F293" t="e">
            <v>#N/A</v>
          </cell>
          <cell r="G293" t="e">
            <v>#N/A</v>
          </cell>
          <cell r="H293" t="e">
            <v>#N/A</v>
          </cell>
          <cell r="I293" t="e">
            <v>#N/A</v>
          </cell>
          <cell r="J293" t="e">
            <v>#N/A</v>
          </cell>
          <cell r="K293" t="e">
            <v>#N/A</v>
          </cell>
          <cell r="L293" t="e">
            <v>#N/A</v>
          </cell>
          <cell r="M293" t="e">
            <v>#N/A</v>
          </cell>
          <cell r="N293" t="e">
            <v>#N/A</v>
          </cell>
          <cell r="O293" t="e">
            <v>#N/A</v>
          </cell>
          <cell r="P293">
            <v>37.340000000000003</v>
          </cell>
          <cell r="Q293">
            <v>1.507863</v>
          </cell>
          <cell r="R293" t="e">
            <v>#N/A</v>
          </cell>
        </row>
        <row r="294">
          <cell r="A294">
            <v>39895</v>
          </cell>
          <cell r="B294">
            <v>39895</v>
          </cell>
          <cell r="C294" t="str">
            <v>Past</v>
          </cell>
          <cell r="D294">
            <v>39.81</v>
          </cell>
          <cell r="E294" t="e">
            <v>#N/A</v>
          </cell>
          <cell r="F294" t="e">
            <v>#N/A</v>
          </cell>
          <cell r="G294" t="e">
            <v>#N/A</v>
          </cell>
          <cell r="H294" t="e">
            <v>#N/A</v>
          </cell>
          <cell r="I294" t="e">
            <v>#N/A</v>
          </cell>
          <cell r="J294" t="e">
            <v>#N/A</v>
          </cell>
          <cell r="K294" t="e">
            <v>#N/A</v>
          </cell>
          <cell r="L294" t="e">
            <v>#N/A</v>
          </cell>
          <cell r="M294" t="e">
            <v>#N/A</v>
          </cell>
          <cell r="N294" t="e">
            <v>#N/A</v>
          </cell>
          <cell r="O294" t="e">
            <v>#N/A</v>
          </cell>
          <cell r="P294">
            <v>39.81</v>
          </cell>
          <cell r="Q294">
            <v>1.2505459999999999</v>
          </cell>
          <cell r="R294" t="e">
            <v>#N/A</v>
          </cell>
        </row>
        <row r="295">
          <cell r="A295">
            <v>39896</v>
          </cell>
          <cell r="B295">
            <v>39896</v>
          </cell>
          <cell r="C295" t="str">
            <v>Past</v>
          </cell>
          <cell r="D295">
            <v>38.799999999999997</v>
          </cell>
          <cell r="E295" t="e">
            <v>#N/A</v>
          </cell>
          <cell r="F295" t="e">
            <v>#N/A</v>
          </cell>
          <cell r="G295" t="e">
            <v>#N/A</v>
          </cell>
          <cell r="H295" t="e">
            <v>#N/A</v>
          </cell>
          <cell r="I295" t="e">
            <v>#N/A</v>
          </cell>
          <cell r="J295" t="e">
            <v>#N/A</v>
          </cell>
          <cell r="K295" t="e">
            <v>#N/A</v>
          </cell>
          <cell r="L295" t="e">
            <v>#N/A</v>
          </cell>
          <cell r="M295" t="e">
            <v>#N/A</v>
          </cell>
          <cell r="N295" t="e">
            <v>#N/A</v>
          </cell>
          <cell r="O295" t="e">
            <v>#N/A</v>
          </cell>
          <cell r="P295">
            <v>38.799999999999997</v>
          </cell>
          <cell r="Q295">
            <v>2.1692260000000001</v>
          </cell>
          <cell r="R295" t="e">
            <v>#N/A</v>
          </cell>
        </row>
        <row r="296">
          <cell r="A296">
            <v>39897</v>
          </cell>
          <cell r="B296">
            <v>39897</v>
          </cell>
          <cell r="C296" t="str">
            <v>Past</v>
          </cell>
          <cell r="D296">
            <v>39.200000000000003</v>
          </cell>
          <cell r="E296" t="e">
            <v>#N/A</v>
          </cell>
          <cell r="F296" t="e">
            <v>#N/A</v>
          </cell>
          <cell r="G296" t="e">
            <v>#N/A</v>
          </cell>
          <cell r="H296" t="e">
            <v>#N/A</v>
          </cell>
          <cell r="I296" t="e">
            <v>#N/A</v>
          </cell>
          <cell r="J296" t="e">
            <v>#N/A</v>
          </cell>
          <cell r="K296" t="e">
            <v>#N/A</v>
          </cell>
          <cell r="L296" t="e">
            <v>#N/A</v>
          </cell>
          <cell r="M296" t="e">
            <v>#N/A</v>
          </cell>
          <cell r="N296" t="e">
            <v>#N/A</v>
          </cell>
          <cell r="O296" t="e">
            <v>#N/A</v>
          </cell>
          <cell r="P296">
            <v>39.200000000000003</v>
          </cell>
          <cell r="Q296">
            <v>2.1262159999999999</v>
          </cell>
          <cell r="R296" t="e">
            <v>#N/A</v>
          </cell>
        </row>
        <row r="297">
          <cell r="A297">
            <v>39898</v>
          </cell>
          <cell r="B297">
            <v>39898</v>
          </cell>
          <cell r="C297" t="str">
            <v>Past</v>
          </cell>
          <cell r="D297">
            <v>41.5</v>
          </cell>
          <cell r="E297" t="e">
            <v>#N/A</v>
          </cell>
          <cell r="F297" t="e">
            <v>#N/A</v>
          </cell>
          <cell r="G297" t="e">
            <v>#N/A</v>
          </cell>
          <cell r="H297" t="e">
            <v>#N/A</v>
          </cell>
          <cell r="I297" t="e">
            <v>#N/A</v>
          </cell>
          <cell r="J297" t="e">
            <v>#N/A</v>
          </cell>
          <cell r="K297" t="e">
            <v>#N/A</v>
          </cell>
          <cell r="L297" t="e">
            <v>#N/A</v>
          </cell>
          <cell r="M297" t="e">
            <v>#N/A</v>
          </cell>
          <cell r="N297" t="e">
            <v>#N/A</v>
          </cell>
          <cell r="O297" t="e">
            <v>#N/A</v>
          </cell>
          <cell r="P297">
            <v>41.5</v>
          </cell>
          <cell r="Q297">
            <v>1.8462969999999999</v>
          </cell>
          <cell r="R297" t="e">
            <v>#N/A</v>
          </cell>
        </row>
        <row r="298">
          <cell r="A298">
            <v>39899</v>
          </cell>
          <cell r="B298">
            <v>39899</v>
          </cell>
          <cell r="C298" t="str">
            <v>Past</v>
          </cell>
          <cell r="D298">
            <v>39.659999999999997</v>
          </cell>
          <cell r="E298" t="e">
            <v>#N/A</v>
          </cell>
          <cell r="F298" t="e">
            <v>#N/A</v>
          </cell>
          <cell r="G298" t="e">
            <v>#N/A</v>
          </cell>
          <cell r="H298" t="e">
            <v>#N/A</v>
          </cell>
          <cell r="I298" t="e">
            <v>#N/A</v>
          </cell>
          <cell r="J298" t="e">
            <v>#N/A</v>
          </cell>
          <cell r="K298" t="e">
            <v>#N/A</v>
          </cell>
          <cell r="L298" t="e">
            <v>#N/A</v>
          </cell>
          <cell r="M298" t="e">
            <v>#N/A</v>
          </cell>
          <cell r="N298" t="e">
            <v>#N/A</v>
          </cell>
          <cell r="O298" t="e">
            <v>#N/A</v>
          </cell>
          <cell r="P298">
            <v>39.659999999999997</v>
          </cell>
          <cell r="Q298">
            <v>2.2573189999999999</v>
          </cell>
          <cell r="R298" t="e">
            <v>#N/A</v>
          </cell>
        </row>
        <row r="299">
          <cell r="A299">
            <v>39902</v>
          </cell>
          <cell r="B299">
            <v>39902</v>
          </cell>
          <cell r="C299" t="str">
            <v>Past</v>
          </cell>
          <cell r="D299">
            <v>37.79</v>
          </cell>
          <cell r="E299" t="e">
            <v>#N/A</v>
          </cell>
          <cell r="F299" t="e">
            <v>#N/A</v>
          </cell>
          <cell r="G299" t="e">
            <v>#N/A</v>
          </cell>
          <cell r="H299" t="e">
            <v>#N/A</v>
          </cell>
          <cell r="I299" t="e">
            <v>#N/A</v>
          </cell>
          <cell r="J299" t="e">
            <v>#N/A</v>
          </cell>
          <cell r="K299" t="e">
            <v>#N/A</v>
          </cell>
          <cell r="L299" t="e">
            <v>#N/A</v>
          </cell>
          <cell r="M299" t="e">
            <v>#N/A</v>
          </cell>
          <cell r="N299" t="e">
            <v>#N/A</v>
          </cell>
          <cell r="O299" t="e">
            <v>#N/A</v>
          </cell>
          <cell r="P299">
            <v>37.79</v>
          </cell>
          <cell r="Q299">
            <v>1.8100239999999999</v>
          </cell>
          <cell r="R299" t="e">
            <v>#N/A</v>
          </cell>
        </row>
        <row r="300">
          <cell r="A300">
            <v>39903</v>
          </cell>
          <cell r="B300">
            <v>39903</v>
          </cell>
          <cell r="C300" t="str">
            <v>Past</v>
          </cell>
          <cell r="D300">
            <v>37.89</v>
          </cell>
          <cell r="E300" t="e">
            <v>#N/A</v>
          </cell>
          <cell r="F300" t="e">
            <v>#N/A</v>
          </cell>
          <cell r="G300" t="e">
            <v>#N/A</v>
          </cell>
          <cell r="H300" t="e">
            <v>#N/A</v>
          </cell>
          <cell r="I300" t="e">
            <v>#N/A</v>
          </cell>
          <cell r="J300" t="e">
            <v>#N/A</v>
          </cell>
          <cell r="K300" t="e">
            <v>#N/A</v>
          </cell>
          <cell r="L300" t="e">
            <v>#N/A</v>
          </cell>
          <cell r="M300" t="e">
            <v>#N/A</v>
          </cell>
          <cell r="N300" t="e">
            <v>#N/A</v>
          </cell>
          <cell r="O300" t="e">
            <v>#N/A</v>
          </cell>
          <cell r="P300">
            <v>37.89</v>
          </cell>
          <cell r="Q300">
            <v>1.7207679999999999</v>
          </cell>
          <cell r="R300" t="e">
            <v>#N/A</v>
          </cell>
        </row>
        <row r="301">
          <cell r="A301">
            <v>39904</v>
          </cell>
          <cell r="B301">
            <v>39904</v>
          </cell>
          <cell r="C301" t="str">
            <v>Past</v>
          </cell>
          <cell r="D301">
            <v>38.28</v>
          </cell>
          <cell r="E301" t="e">
            <v>#N/A</v>
          </cell>
          <cell r="F301" t="e">
            <v>#N/A</v>
          </cell>
          <cell r="G301" t="e">
            <v>#N/A</v>
          </cell>
          <cell r="H301" t="e">
            <v>#N/A</v>
          </cell>
          <cell r="I301" t="e">
            <v>#N/A</v>
          </cell>
          <cell r="J301" t="e">
            <v>#N/A</v>
          </cell>
          <cell r="K301" t="e">
            <v>#N/A</v>
          </cell>
          <cell r="L301" t="e">
            <v>#N/A</v>
          </cell>
          <cell r="M301" t="e">
            <v>#N/A</v>
          </cell>
          <cell r="N301" t="e">
            <v>#N/A</v>
          </cell>
          <cell r="O301" t="e">
            <v>#N/A</v>
          </cell>
          <cell r="P301">
            <v>38.28</v>
          </cell>
          <cell r="Q301">
            <v>2.7325239999999997</v>
          </cell>
          <cell r="R301" t="e">
            <v>#N/A</v>
          </cell>
        </row>
        <row r="302">
          <cell r="A302">
            <v>39905</v>
          </cell>
          <cell r="B302">
            <v>39905</v>
          </cell>
          <cell r="C302" t="str">
            <v>Past</v>
          </cell>
          <cell r="D302">
            <v>39.909999999999997</v>
          </cell>
          <cell r="E302" t="e">
            <v>#N/A</v>
          </cell>
          <cell r="F302" t="e">
            <v>#N/A</v>
          </cell>
          <cell r="G302" t="e">
            <v>#N/A</v>
          </cell>
          <cell r="H302" t="e">
            <v>#N/A</v>
          </cell>
          <cell r="I302" t="e">
            <v>#N/A</v>
          </cell>
          <cell r="J302" t="e">
            <v>#N/A</v>
          </cell>
          <cell r="K302" t="e">
            <v>#N/A</v>
          </cell>
          <cell r="L302" t="e">
            <v>#N/A</v>
          </cell>
          <cell r="M302" t="e">
            <v>#N/A</v>
          </cell>
          <cell r="N302" t="e">
            <v>#N/A</v>
          </cell>
          <cell r="O302" t="e">
            <v>#N/A</v>
          </cell>
          <cell r="P302">
            <v>39.909999999999997</v>
          </cell>
          <cell r="Q302">
            <v>2.9262479999999997</v>
          </cell>
          <cell r="R302" t="e">
            <v>#N/A</v>
          </cell>
        </row>
        <row r="303">
          <cell r="A303">
            <v>39906</v>
          </cell>
          <cell r="B303">
            <v>39906</v>
          </cell>
          <cell r="C303" t="str">
            <v>Past</v>
          </cell>
          <cell r="D303">
            <v>39.85</v>
          </cell>
          <cell r="E303" t="e">
            <v>#N/A</v>
          </cell>
          <cell r="F303" t="e">
            <v>#N/A</v>
          </cell>
          <cell r="G303" t="e">
            <v>#N/A</v>
          </cell>
          <cell r="H303" t="e">
            <v>#N/A</v>
          </cell>
          <cell r="I303" t="e">
            <v>#N/A</v>
          </cell>
          <cell r="J303" t="e">
            <v>#N/A</v>
          </cell>
          <cell r="K303" t="e">
            <v>#N/A</v>
          </cell>
          <cell r="L303" t="e">
            <v>#N/A</v>
          </cell>
          <cell r="M303" t="e">
            <v>#N/A</v>
          </cell>
          <cell r="N303" t="e">
            <v>#N/A</v>
          </cell>
          <cell r="O303" t="e">
            <v>#N/A</v>
          </cell>
          <cell r="P303">
            <v>39.85</v>
          </cell>
          <cell r="Q303">
            <v>2.3110759999999999</v>
          </cell>
          <cell r="R303" t="e">
            <v>#N/A</v>
          </cell>
        </row>
        <row r="304">
          <cell r="A304">
            <v>39909</v>
          </cell>
          <cell r="B304">
            <v>39909</v>
          </cell>
          <cell r="C304" t="str">
            <v>Past</v>
          </cell>
          <cell r="D304">
            <v>39.9</v>
          </cell>
          <cell r="E304" t="e">
            <v>#N/A</v>
          </cell>
          <cell r="F304" t="e">
            <v>#N/A</v>
          </cell>
          <cell r="G304" t="e">
            <v>#N/A</v>
          </cell>
          <cell r="H304" t="e">
            <v>#N/A</v>
          </cell>
          <cell r="I304" t="e">
            <v>#N/A</v>
          </cell>
          <cell r="J304" t="e">
            <v>#N/A</v>
          </cell>
          <cell r="K304" t="e">
            <v>#N/A</v>
          </cell>
          <cell r="L304" t="e">
            <v>#N/A</v>
          </cell>
          <cell r="M304" t="e">
            <v>#N/A</v>
          </cell>
          <cell r="N304" t="e">
            <v>#N/A</v>
          </cell>
          <cell r="O304" t="e">
            <v>#N/A</v>
          </cell>
          <cell r="P304">
            <v>39.9</v>
          </cell>
          <cell r="Q304">
            <v>1.627475</v>
          </cell>
          <cell r="R304" t="e">
            <v>#N/A</v>
          </cell>
        </row>
        <row r="305">
          <cell r="A305">
            <v>39910</v>
          </cell>
          <cell r="B305">
            <v>39910</v>
          </cell>
          <cell r="C305" t="str">
            <v>Past</v>
          </cell>
          <cell r="D305">
            <v>38.86</v>
          </cell>
          <cell r="E305" t="e">
            <v>#N/A</v>
          </cell>
          <cell r="F305" t="e">
            <v>#N/A</v>
          </cell>
          <cell r="G305" t="e">
            <v>#N/A</v>
          </cell>
          <cell r="H305" t="e">
            <v>#N/A</v>
          </cell>
          <cell r="I305" t="e">
            <v>#N/A</v>
          </cell>
          <cell r="J305" t="e">
            <v>#N/A</v>
          </cell>
          <cell r="K305" t="e">
            <v>#N/A</v>
          </cell>
          <cell r="L305" t="e">
            <v>#N/A</v>
          </cell>
          <cell r="M305" t="e">
            <v>#N/A</v>
          </cell>
          <cell r="N305" t="e">
            <v>#N/A</v>
          </cell>
          <cell r="O305" t="e">
            <v>#N/A</v>
          </cell>
          <cell r="P305">
            <v>38.86</v>
          </cell>
          <cell r="Q305">
            <v>1.667484</v>
          </cell>
          <cell r="R305" t="e">
            <v>#N/A</v>
          </cell>
        </row>
        <row r="306">
          <cell r="A306">
            <v>39911</v>
          </cell>
          <cell r="B306">
            <v>39911</v>
          </cell>
          <cell r="C306" t="str">
            <v>Past</v>
          </cell>
          <cell r="D306">
            <v>39.22</v>
          </cell>
          <cell r="E306" t="e">
            <v>#N/A</v>
          </cell>
          <cell r="F306" t="e">
            <v>#N/A</v>
          </cell>
          <cell r="G306" t="e">
            <v>#N/A</v>
          </cell>
          <cell r="H306" t="e">
            <v>#N/A</v>
          </cell>
          <cell r="I306" t="e">
            <v>#N/A</v>
          </cell>
          <cell r="J306" t="e">
            <v>#N/A</v>
          </cell>
          <cell r="K306" t="e">
            <v>#N/A</v>
          </cell>
          <cell r="L306" t="e">
            <v>#N/A</v>
          </cell>
          <cell r="M306" t="e">
            <v>#N/A</v>
          </cell>
          <cell r="N306" t="e">
            <v>#N/A</v>
          </cell>
          <cell r="O306" t="e">
            <v>#N/A</v>
          </cell>
          <cell r="P306">
            <v>39.22</v>
          </cell>
          <cell r="Q306">
            <v>1.155975</v>
          </cell>
          <cell r="R306" t="e">
            <v>#N/A</v>
          </cell>
        </row>
        <row r="307">
          <cell r="A307">
            <v>39912</v>
          </cell>
          <cell r="B307">
            <v>39912</v>
          </cell>
          <cell r="C307" t="str">
            <v>Past</v>
          </cell>
          <cell r="D307">
            <v>41.13</v>
          </cell>
          <cell r="E307" t="e">
            <v>#N/A</v>
          </cell>
          <cell r="F307" t="e">
            <v>#N/A</v>
          </cell>
          <cell r="G307" t="e">
            <v>#N/A</v>
          </cell>
          <cell r="H307" t="e">
            <v>#N/A</v>
          </cell>
          <cell r="I307" t="e">
            <v>#N/A</v>
          </cell>
          <cell r="J307" t="e">
            <v>#N/A</v>
          </cell>
          <cell r="K307" t="e">
            <v>#N/A</v>
          </cell>
          <cell r="L307" t="e">
            <v>#N/A</v>
          </cell>
          <cell r="M307" t="e">
            <v>#N/A</v>
          </cell>
          <cell r="N307" t="e">
            <v>#N/A</v>
          </cell>
          <cell r="O307" t="e">
            <v>#N/A</v>
          </cell>
          <cell r="P307">
            <v>41.13</v>
          </cell>
          <cell r="Q307">
            <v>1.8638549999999998</v>
          </cell>
          <cell r="R307" t="e">
            <v>#N/A</v>
          </cell>
        </row>
        <row r="308">
          <cell r="A308">
            <v>39916</v>
          </cell>
          <cell r="B308">
            <v>39916</v>
          </cell>
          <cell r="C308" t="str">
            <v>Past</v>
          </cell>
          <cell r="D308">
            <v>41.6</v>
          </cell>
          <cell r="E308" t="e">
            <v>#N/A</v>
          </cell>
          <cell r="F308" t="e">
            <v>#N/A</v>
          </cell>
          <cell r="G308" t="e">
            <v>#N/A</v>
          </cell>
          <cell r="H308" t="e">
            <v>#N/A</v>
          </cell>
          <cell r="I308" t="e">
            <v>#N/A</v>
          </cell>
          <cell r="J308" t="e">
            <v>#N/A</v>
          </cell>
          <cell r="K308" t="e">
            <v>#N/A</v>
          </cell>
          <cell r="L308" t="e">
            <v>#N/A</v>
          </cell>
          <cell r="M308" t="e">
            <v>#N/A</v>
          </cell>
          <cell r="N308" t="e">
            <v>#N/A</v>
          </cell>
          <cell r="O308" t="e">
            <v>#N/A</v>
          </cell>
          <cell r="P308">
            <v>41.6</v>
          </cell>
          <cell r="Q308">
            <v>1.895227</v>
          </cell>
          <cell r="R308" t="e">
            <v>#N/A</v>
          </cell>
        </row>
        <row r="309">
          <cell r="A309">
            <v>39917</v>
          </cell>
          <cell r="B309">
            <v>39917</v>
          </cell>
          <cell r="C309" t="str">
            <v>Past</v>
          </cell>
          <cell r="D309">
            <v>41.18</v>
          </cell>
          <cell r="E309" t="e">
            <v>#N/A</v>
          </cell>
          <cell r="F309" t="e">
            <v>#N/A</v>
          </cell>
          <cell r="G309" t="e">
            <v>#N/A</v>
          </cell>
          <cell r="H309" t="e">
            <v>#N/A</v>
          </cell>
          <cell r="I309" t="e">
            <v>#N/A</v>
          </cell>
          <cell r="J309" t="e">
            <v>#N/A</v>
          </cell>
          <cell r="K309" t="e">
            <v>#N/A</v>
          </cell>
          <cell r="L309" t="e">
            <v>#N/A</v>
          </cell>
          <cell r="M309" t="e">
            <v>#N/A</v>
          </cell>
          <cell r="N309" t="e">
            <v>#N/A</v>
          </cell>
          <cell r="O309" t="e">
            <v>#N/A</v>
          </cell>
          <cell r="P309">
            <v>41.18</v>
          </cell>
          <cell r="Q309">
            <v>1.6869000000000001</v>
          </cell>
          <cell r="R309" t="e">
            <v>#N/A</v>
          </cell>
        </row>
        <row r="310">
          <cell r="A310">
            <v>39918</v>
          </cell>
          <cell r="B310">
            <v>39918</v>
          </cell>
          <cell r="C310" t="str">
            <v>Past</v>
          </cell>
          <cell r="D310">
            <v>40.74</v>
          </cell>
          <cell r="E310" t="e">
            <v>#N/A</v>
          </cell>
          <cell r="F310" t="e">
            <v>#N/A</v>
          </cell>
          <cell r="G310" t="e">
            <v>#N/A</v>
          </cell>
          <cell r="H310" t="e">
            <v>#N/A</v>
          </cell>
          <cell r="I310" t="e">
            <v>#N/A</v>
          </cell>
          <cell r="J310" t="e">
            <v>#N/A</v>
          </cell>
          <cell r="K310" t="e">
            <v>#N/A</v>
          </cell>
          <cell r="L310" t="e">
            <v>#N/A</v>
          </cell>
          <cell r="M310" t="e">
            <v>#N/A</v>
          </cell>
          <cell r="N310" t="e">
            <v>#N/A</v>
          </cell>
          <cell r="O310" t="e">
            <v>#N/A</v>
          </cell>
          <cell r="P310">
            <v>40.74</v>
          </cell>
          <cell r="Q310">
            <v>1.6690800000000001</v>
          </cell>
          <cell r="R310" t="e">
            <v>#N/A</v>
          </cell>
        </row>
        <row r="311">
          <cell r="A311">
            <v>39919</v>
          </cell>
          <cell r="B311">
            <v>39919</v>
          </cell>
          <cell r="C311" t="str">
            <v>Past</v>
          </cell>
          <cell r="D311">
            <v>42.81</v>
          </cell>
          <cell r="E311" t="e">
            <v>#N/A</v>
          </cell>
          <cell r="F311" t="e">
            <v>#N/A</v>
          </cell>
          <cell r="G311" t="e">
            <v>#N/A</v>
          </cell>
          <cell r="H311" t="e">
            <v>#N/A</v>
          </cell>
          <cell r="I311" t="e">
            <v>#N/A</v>
          </cell>
          <cell r="J311" t="e">
            <v>#N/A</v>
          </cell>
          <cell r="K311" t="e">
            <v>#N/A</v>
          </cell>
          <cell r="L311" t="e">
            <v>#N/A</v>
          </cell>
          <cell r="M311" t="e">
            <v>#N/A</v>
          </cell>
          <cell r="N311" t="e">
            <v>#N/A</v>
          </cell>
          <cell r="O311" t="e">
            <v>#N/A</v>
          </cell>
          <cell r="P311">
            <v>42.81</v>
          </cell>
          <cell r="Q311">
            <v>1.4589129999999999</v>
          </cell>
          <cell r="R311" t="e">
            <v>#N/A</v>
          </cell>
        </row>
        <row r="312">
          <cell r="A312">
            <v>39920</v>
          </cell>
          <cell r="B312">
            <v>39920</v>
          </cell>
          <cell r="C312" t="str">
            <v>Past</v>
          </cell>
          <cell r="D312">
            <v>43.07</v>
          </cell>
          <cell r="E312" t="e">
            <v>#N/A</v>
          </cell>
          <cell r="F312" t="e">
            <v>#N/A</v>
          </cell>
          <cell r="G312" t="e">
            <v>#N/A</v>
          </cell>
          <cell r="H312" t="e">
            <v>#N/A</v>
          </cell>
          <cell r="I312" t="e">
            <v>#N/A</v>
          </cell>
          <cell r="J312" t="e">
            <v>#N/A</v>
          </cell>
          <cell r="K312" t="e">
            <v>#N/A</v>
          </cell>
          <cell r="L312" t="e">
            <v>#N/A</v>
          </cell>
          <cell r="M312" t="e">
            <v>#N/A</v>
          </cell>
          <cell r="N312" t="e">
            <v>#N/A</v>
          </cell>
          <cell r="O312" t="e">
            <v>#N/A</v>
          </cell>
          <cell r="P312">
            <v>43.07</v>
          </cell>
          <cell r="Q312">
            <v>1.1272</v>
          </cell>
          <cell r="R312" t="e">
            <v>#N/A</v>
          </cell>
        </row>
        <row r="313">
          <cell r="A313">
            <v>39923</v>
          </cell>
          <cell r="B313">
            <v>39923</v>
          </cell>
          <cell r="C313" t="str">
            <v>Past</v>
          </cell>
          <cell r="D313">
            <v>41.17</v>
          </cell>
          <cell r="E313" t="e">
            <v>#N/A</v>
          </cell>
          <cell r="F313" t="e">
            <v>#N/A</v>
          </cell>
          <cell r="G313" t="e">
            <v>#N/A</v>
          </cell>
          <cell r="H313" t="e">
            <v>#N/A</v>
          </cell>
          <cell r="I313" t="e">
            <v>#N/A</v>
          </cell>
          <cell r="J313" t="e">
            <v>#N/A</v>
          </cell>
          <cell r="K313" t="e">
            <v>#N/A</v>
          </cell>
          <cell r="L313" t="e">
            <v>#N/A</v>
          </cell>
          <cell r="M313" t="e">
            <v>#N/A</v>
          </cell>
          <cell r="N313" t="e">
            <v>#N/A</v>
          </cell>
          <cell r="O313" t="e">
            <v>#N/A</v>
          </cell>
          <cell r="P313">
            <v>41.17</v>
          </cell>
          <cell r="Q313">
            <v>1.379705</v>
          </cell>
          <cell r="R313" t="e">
            <v>#N/A</v>
          </cell>
        </row>
        <row r="314">
          <cell r="A314">
            <v>39924</v>
          </cell>
          <cell r="B314">
            <v>39924</v>
          </cell>
          <cell r="C314" t="str">
            <v>Past</v>
          </cell>
          <cell r="D314">
            <v>41.17</v>
          </cell>
          <cell r="E314" t="e">
            <v>#N/A</v>
          </cell>
          <cell r="F314" t="e">
            <v>#N/A</v>
          </cell>
          <cell r="G314" t="e">
            <v>#N/A</v>
          </cell>
          <cell r="H314" t="e">
            <v>#N/A</v>
          </cell>
          <cell r="I314" t="e">
            <v>#N/A</v>
          </cell>
          <cell r="J314" t="e">
            <v>#N/A</v>
          </cell>
          <cell r="K314" t="e">
            <v>#N/A</v>
          </cell>
          <cell r="L314" t="e">
            <v>#N/A</v>
          </cell>
          <cell r="M314" t="e">
            <v>#N/A</v>
          </cell>
          <cell r="N314" t="e">
            <v>#N/A</v>
          </cell>
          <cell r="O314" t="e">
            <v>#N/A</v>
          </cell>
          <cell r="P314">
            <v>41.17</v>
          </cell>
          <cell r="Q314">
            <v>1.582948</v>
          </cell>
          <cell r="R314" t="e">
            <v>#N/A</v>
          </cell>
        </row>
        <row r="315">
          <cell r="A315">
            <v>39925</v>
          </cell>
          <cell r="B315">
            <v>39925</v>
          </cell>
          <cell r="C315" t="str">
            <v>Past</v>
          </cell>
          <cell r="D315">
            <v>41.83</v>
          </cell>
          <cell r="E315" t="e">
            <v>#N/A</v>
          </cell>
          <cell r="F315" t="e">
            <v>#N/A</v>
          </cell>
          <cell r="G315" t="e">
            <v>#N/A</v>
          </cell>
          <cell r="H315" t="e">
            <v>#N/A</v>
          </cell>
          <cell r="I315" t="e">
            <v>#N/A</v>
          </cell>
          <cell r="J315" t="e">
            <v>#N/A</v>
          </cell>
          <cell r="K315" t="e">
            <v>#N/A</v>
          </cell>
          <cell r="L315" t="e">
            <v>#N/A</v>
          </cell>
          <cell r="M315" t="e">
            <v>#N/A</v>
          </cell>
          <cell r="N315" t="e">
            <v>#N/A</v>
          </cell>
          <cell r="O315" t="e">
            <v>#N/A</v>
          </cell>
          <cell r="P315">
            <v>41.83</v>
          </cell>
          <cell r="Q315">
            <v>2.3186070000000001</v>
          </cell>
          <cell r="R315" t="e">
            <v>#N/A</v>
          </cell>
        </row>
        <row r="316">
          <cell r="A316">
            <v>39926</v>
          </cell>
          <cell r="B316">
            <v>39926</v>
          </cell>
          <cell r="C316" t="str">
            <v>Past</v>
          </cell>
          <cell r="D316">
            <v>46.02</v>
          </cell>
          <cell r="E316" t="e">
            <v>#N/A</v>
          </cell>
          <cell r="F316" t="e">
            <v>#N/A</v>
          </cell>
          <cell r="G316" t="e">
            <v>#N/A</v>
          </cell>
          <cell r="H316" t="e">
            <v>#N/A</v>
          </cell>
          <cell r="I316" t="e">
            <v>#N/A</v>
          </cell>
          <cell r="J316" t="e">
            <v>#N/A</v>
          </cell>
          <cell r="K316" t="e">
            <v>#N/A</v>
          </cell>
          <cell r="L316" t="e">
            <v>#N/A</v>
          </cell>
          <cell r="M316" t="e">
            <v>#N/A</v>
          </cell>
          <cell r="N316" t="e">
            <v>#N/A</v>
          </cell>
          <cell r="O316" t="e">
            <v>#N/A</v>
          </cell>
          <cell r="P316">
            <v>46.02</v>
          </cell>
          <cell r="Q316">
            <v>4.4681200000000008</v>
          </cell>
          <cell r="R316" t="e">
            <v>#N/A</v>
          </cell>
        </row>
        <row r="317">
          <cell r="A317">
            <v>39927</v>
          </cell>
          <cell r="B317">
            <v>39927</v>
          </cell>
          <cell r="C317" t="str">
            <v>Past</v>
          </cell>
          <cell r="D317">
            <v>45.13</v>
          </cell>
          <cell r="E317" t="e">
            <v>#N/A</v>
          </cell>
          <cell r="F317" t="e">
            <v>#N/A</v>
          </cell>
          <cell r="G317" t="e">
            <v>#N/A</v>
          </cell>
          <cell r="H317" t="e">
            <v>#N/A</v>
          </cell>
          <cell r="I317" t="e">
            <v>#N/A</v>
          </cell>
          <cell r="J317" t="e">
            <v>#N/A</v>
          </cell>
          <cell r="K317" t="e">
            <v>#N/A</v>
          </cell>
          <cell r="L317" t="e">
            <v>#N/A</v>
          </cell>
          <cell r="M317" t="e">
            <v>#N/A</v>
          </cell>
          <cell r="N317" t="e">
            <v>#N/A</v>
          </cell>
          <cell r="O317" t="e">
            <v>#N/A</v>
          </cell>
          <cell r="P317">
            <v>45.13</v>
          </cell>
          <cell r="Q317">
            <v>2.789717</v>
          </cell>
          <cell r="R317" t="e">
            <v>#N/A</v>
          </cell>
        </row>
        <row r="318">
          <cell r="A318">
            <v>39930</v>
          </cell>
          <cell r="B318">
            <v>39930</v>
          </cell>
          <cell r="C318" t="str">
            <v>Past</v>
          </cell>
          <cell r="D318">
            <v>43.85</v>
          </cell>
          <cell r="E318" t="e">
            <v>#N/A</v>
          </cell>
          <cell r="F318" t="e">
            <v>#N/A</v>
          </cell>
          <cell r="G318" t="e">
            <v>#N/A</v>
          </cell>
          <cell r="H318" t="e">
            <v>#N/A</v>
          </cell>
          <cell r="I318" t="e">
            <v>#N/A</v>
          </cell>
          <cell r="J318" t="e">
            <v>#N/A</v>
          </cell>
          <cell r="K318" t="e">
            <v>#N/A</v>
          </cell>
          <cell r="L318" t="e">
            <v>#N/A</v>
          </cell>
          <cell r="M318" t="e">
            <v>#N/A</v>
          </cell>
          <cell r="N318" t="e">
            <v>#N/A</v>
          </cell>
          <cell r="O318" t="e">
            <v>#N/A</v>
          </cell>
          <cell r="P318">
            <v>43.85</v>
          </cell>
          <cell r="Q318">
            <v>2.2388600000000003</v>
          </cell>
          <cell r="R318" t="e">
            <v>#N/A</v>
          </cell>
        </row>
        <row r="319">
          <cell r="A319">
            <v>39931</v>
          </cell>
          <cell r="B319">
            <v>39931</v>
          </cell>
          <cell r="C319" t="str">
            <v>Past</v>
          </cell>
          <cell r="D319">
            <v>42.65</v>
          </cell>
          <cell r="E319" t="e">
            <v>#N/A</v>
          </cell>
          <cell r="F319" t="e">
            <v>#N/A</v>
          </cell>
          <cell r="G319" t="e">
            <v>#N/A</v>
          </cell>
          <cell r="H319" t="e">
            <v>#N/A</v>
          </cell>
          <cell r="I319" t="e">
            <v>#N/A</v>
          </cell>
          <cell r="J319" t="e">
            <v>#N/A</v>
          </cell>
          <cell r="K319" t="e">
            <v>#N/A</v>
          </cell>
          <cell r="L319" t="e">
            <v>#N/A</v>
          </cell>
          <cell r="M319" t="e">
            <v>#N/A</v>
          </cell>
          <cell r="N319" t="e">
            <v>#N/A</v>
          </cell>
          <cell r="O319" t="e">
            <v>#N/A</v>
          </cell>
          <cell r="P319">
            <v>42.65</v>
          </cell>
          <cell r="Q319">
            <v>2.0864210000000001</v>
          </cell>
          <cell r="R319" t="e">
            <v>#N/A</v>
          </cell>
        </row>
        <row r="320">
          <cell r="A320">
            <v>39932</v>
          </cell>
          <cell r="B320">
            <v>39932</v>
          </cell>
          <cell r="C320" t="str">
            <v>Past</v>
          </cell>
          <cell r="D320">
            <v>45.03</v>
          </cell>
          <cell r="E320" t="e">
            <v>#N/A</v>
          </cell>
          <cell r="F320" t="e">
            <v>#N/A</v>
          </cell>
          <cell r="G320" t="e">
            <v>#N/A</v>
          </cell>
          <cell r="H320" t="e">
            <v>#N/A</v>
          </cell>
          <cell r="I320" t="e">
            <v>#N/A</v>
          </cell>
          <cell r="J320" t="e">
            <v>#N/A</v>
          </cell>
          <cell r="K320" t="e">
            <v>#N/A</v>
          </cell>
          <cell r="L320" t="e">
            <v>#N/A</v>
          </cell>
          <cell r="M320" t="e">
            <v>#N/A</v>
          </cell>
          <cell r="N320" t="e">
            <v>#N/A</v>
          </cell>
          <cell r="O320" t="e">
            <v>#N/A</v>
          </cell>
          <cell r="P320">
            <v>45.03</v>
          </cell>
          <cell r="Q320">
            <v>1.7660769999999999</v>
          </cell>
          <cell r="R320" t="e">
            <v>#N/A</v>
          </cell>
        </row>
        <row r="321">
          <cell r="A321">
            <v>39933</v>
          </cell>
          <cell r="B321">
            <v>39933</v>
          </cell>
          <cell r="C321" t="str">
            <v>Past</v>
          </cell>
          <cell r="D321">
            <v>44.28</v>
          </cell>
          <cell r="E321" t="e">
            <v>#N/A</v>
          </cell>
          <cell r="F321" t="e">
            <v>#N/A</v>
          </cell>
          <cell r="G321" t="e">
            <v>#N/A</v>
          </cell>
          <cell r="H321" t="e">
            <v>#N/A</v>
          </cell>
          <cell r="I321" t="e">
            <v>#N/A</v>
          </cell>
          <cell r="J321" t="e">
            <v>#N/A</v>
          </cell>
          <cell r="K321" t="e">
            <v>#N/A</v>
          </cell>
          <cell r="L321" t="e">
            <v>#N/A</v>
          </cell>
          <cell r="M321" t="e">
            <v>#N/A</v>
          </cell>
          <cell r="N321" t="e">
            <v>#N/A</v>
          </cell>
          <cell r="O321" t="e">
            <v>#N/A</v>
          </cell>
          <cell r="P321">
            <v>44.28</v>
          </cell>
          <cell r="Q321">
            <v>1.2825819999999999</v>
          </cell>
          <cell r="R321" t="e">
            <v>#N/A</v>
          </cell>
        </row>
        <row r="322">
          <cell r="A322">
            <v>39934</v>
          </cell>
          <cell r="B322">
            <v>39934</v>
          </cell>
          <cell r="C322" t="str">
            <v>Past</v>
          </cell>
          <cell r="D322">
            <v>45.24</v>
          </cell>
          <cell r="E322" t="e">
            <v>#N/A</v>
          </cell>
          <cell r="F322" t="e">
            <v>#N/A</v>
          </cell>
          <cell r="G322" t="e">
            <v>#N/A</v>
          </cell>
          <cell r="H322" t="e">
            <v>#N/A</v>
          </cell>
          <cell r="I322" t="e">
            <v>#N/A</v>
          </cell>
          <cell r="J322" t="e">
            <v>#N/A</v>
          </cell>
          <cell r="K322" t="e">
            <v>#N/A</v>
          </cell>
          <cell r="L322" t="e">
            <v>#N/A</v>
          </cell>
          <cell r="M322" t="e">
            <v>#N/A</v>
          </cell>
          <cell r="N322" t="e">
            <v>#N/A</v>
          </cell>
          <cell r="O322" t="e">
            <v>#N/A</v>
          </cell>
          <cell r="P322">
            <v>45.24</v>
          </cell>
          <cell r="Q322">
            <v>1.3176289999999999</v>
          </cell>
          <cell r="R322" t="e">
            <v>#N/A</v>
          </cell>
        </row>
        <row r="323">
          <cell r="A323">
            <v>39937</v>
          </cell>
          <cell r="B323">
            <v>39937</v>
          </cell>
          <cell r="C323" t="str">
            <v>Past</v>
          </cell>
          <cell r="D323">
            <v>45.08</v>
          </cell>
          <cell r="E323" t="e">
            <v>#N/A</v>
          </cell>
          <cell r="F323" t="e">
            <v>#N/A</v>
          </cell>
          <cell r="G323" t="e">
            <v>#N/A</v>
          </cell>
          <cell r="H323" t="e">
            <v>#N/A</v>
          </cell>
          <cell r="I323" t="e">
            <v>#N/A</v>
          </cell>
          <cell r="J323" t="e">
            <v>#N/A</v>
          </cell>
          <cell r="K323" t="e">
            <v>#N/A</v>
          </cell>
          <cell r="L323" t="e">
            <v>#N/A</v>
          </cell>
          <cell r="M323" t="e">
            <v>#N/A</v>
          </cell>
          <cell r="N323" t="e">
            <v>#N/A</v>
          </cell>
          <cell r="O323" t="e">
            <v>#N/A</v>
          </cell>
          <cell r="P323">
            <v>45.08</v>
          </cell>
          <cell r="Q323">
            <v>1.5090700000000001</v>
          </cell>
          <cell r="R323" t="e">
            <v>#N/A</v>
          </cell>
        </row>
        <row r="324">
          <cell r="A324">
            <v>39938</v>
          </cell>
          <cell r="B324">
            <v>39938</v>
          </cell>
          <cell r="C324" t="str">
            <v>Past</v>
          </cell>
          <cell r="D324">
            <v>44.87</v>
          </cell>
          <cell r="E324" t="e">
            <v>#N/A</v>
          </cell>
          <cell r="F324" t="e">
            <v>#N/A</v>
          </cell>
          <cell r="G324" t="e">
            <v>#N/A</v>
          </cell>
          <cell r="H324" t="e">
            <v>#N/A</v>
          </cell>
          <cell r="I324" t="e">
            <v>#N/A</v>
          </cell>
          <cell r="J324" t="e">
            <v>#N/A</v>
          </cell>
          <cell r="K324" t="e">
            <v>#N/A</v>
          </cell>
          <cell r="L324" t="e">
            <v>#N/A</v>
          </cell>
          <cell r="M324" t="e">
            <v>#N/A</v>
          </cell>
          <cell r="N324" t="e">
            <v>#N/A</v>
          </cell>
          <cell r="O324" t="e">
            <v>#N/A</v>
          </cell>
          <cell r="P324">
            <v>44.87</v>
          </cell>
          <cell r="Q324">
            <v>1.0640879999999999</v>
          </cell>
          <cell r="R324" t="e">
            <v>#N/A</v>
          </cell>
        </row>
        <row r="325">
          <cell r="A325">
            <v>39939</v>
          </cell>
          <cell r="B325">
            <v>39939</v>
          </cell>
          <cell r="C325" t="str">
            <v>Past</v>
          </cell>
          <cell r="D325">
            <v>45.16</v>
          </cell>
          <cell r="E325" t="e">
            <v>#N/A</v>
          </cell>
          <cell r="F325" t="e">
            <v>#N/A</v>
          </cell>
          <cell r="G325" t="e">
            <v>#N/A</v>
          </cell>
          <cell r="H325" t="e">
            <v>#N/A</v>
          </cell>
          <cell r="I325" t="e">
            <v>#N/A</v>
          </cell>
          <cell r="J325" t="e">
            <v>#N/A</v>
          </cell>
          <cell r="K325" t="e">
            <v>#N/A</v>
          </cell>
          <cell r="L325" t="e">
            <v>#N/A</v>
          </cell>
          <cell r="M325" t="e">
            <v>#N/A</v>
          </cell>
          <cell r="N325" t="e">
            <v>#N/A</v>
          </cell>
          <cell r="O325" t="e">
            <v>#N/A</v>
          </cell>
          <cell r="P325">
            <v>45.16</v>
          </cell>
          <cell r="Q325">
            <v>1.0861339999999999</v>
          </cell>
          <cell r="R325" t="e">
            <v>#N/A</v>
          </cell>
        </row>
        <row r="326">
          <cell r="A326">
            <v>39940</v>
          </cell>
          <cell r="B326">
            <v>39940</v>
          </cell>
          <cell r="C326" t="str">
            <v>Past</v>
          </cell>
          <cell r="D326">
            <v>43.74</v>
          </cell>
          <cell r="E326" t="e">
            <v>#N/A</v>
          </cell>
          <cell r="F326" t="e">
            <v>#N/A</v>
          </cell>
          <cell r="G326" t="e">
            <v>#N/A</v>
          </cell>
          <cell r="H326" t="e">
            <v>#N/A</v>
          </cell>
          <cell r="I326" t="e">
            <v>#N/A</v>
          </cell>
          <cell r="J326" t="e">
            <v>#N/A</v>
          </cell>
          <cell r="K326" t="e">
            <v>#N/A</v>
          </cell>
          <cell r="L326" t="e">
            <v>#N/A</v>
          </cell>
          <cell r="M326" t="e">
            <v>#N/A</v>
          </cell>
          <cell r="N326" t="e">
            <v>#N/A</v>
          </cell>
          <cell r="O326" t="e">
            <v>#N/A</v>
          </cell>
          <cell r="P326">
            <v>43.74</v>
          </cell>
          <cell r="Q326">
            <v>1.135305</v>
          </cell>
          <cell r="R326" t="e">
            <v>#N/A</v>
          </cell>
        </row>
        <row r="327">
          <cell r="A327">
            <v>39941</v>
          </cell>
          <cell r="B327">
            <v>39941</v>
          </cell>
          <cell r="C327" t="str">
            <v>Past</v>
          </cell>
          <cell r="D327">
            <v>45.86</v>
          </cell>
          <cell r="E327" t="e">
            <v>#N/A</v>
          </cell>
          <cell r="F327" t="e">
            <v>#N/A</v>
          </cell>
          <cell r="G327" t="e">
            <v>#N/A</v>
          </cell>
          <cell r="H327" t="e">
            <v>#N/A</v>
          </cell>
          <cell r="I327" t="e">
            <v>#N/A</v>
          </cell>
          <cell r="J327" t="e">
            <v>#N/A</v>
          </cell>
          <cell r="K327" t="e">
            <v>#N/A</v>
          </cell>
          <cell r="L327" t="e">
            <v>#N/A</v>
          </cell>
          <cell r="M327" t="e">
            <v>#N/A</v>
          </cell>
          <cell r="N327" t="e">
            <v>#N/A</v>
          </cell>
          <cell r="O327" t="e">
            <v>#N/A</v>
          </cell>
          <cell r="P327">
            <v>45.86</v>
          </cell>
          <cell r="Q327">
            <v>1.547604</v>
          </cell>
          <cell r="R327" t="e">
            <v>#N/A</v>
          </cell>
        </row>
        <row r="328">
          <cell r="A328">
            <v>39944</v>
          </cell>
          <cell r="B328">
            <v>39944</v>
          </cell>
          <cell r="C328" t="str">
            <v>Past</v>
          </cell>
          <cell r="D328">
            <v>43.96</v>
          </cell>
          <cell r="E328" t="e">
            <v>#N/A</v>
          </cell>
          <cell r="F328" t="e">
            <v>#N/A</v>
          </cell>
          <cell r="G328" t="e">
            <v>#N/A</v>
          </cell>
          <cell r="H328" t="e">
            <v>#N/A</v>
          </cell>
          <cell r="I328" t="e">
            <v>#N/A</v>
          </cell>
          <cell r="J328" t="e">
            <v>#N/A</v>
          </cell>
          <cell r="K328" t="e">
            <v>#N/A</v>
          </cell>
          <cell r="L328" t="e">
            <v>#N/A</v>
          </cell>
          <cell r="M328" t="e">
            <v>#N/A</v>
          </cell>
          <cell r="N328" t="e">
            <v>#N/A</v>
          </cell>
          <cell r="O328" t="e">
            <v>#N/A</v>
          </cell>
          <cell r="P328">
            <v>43.96</v>
          </cell>
          <cell r="Q328">
            <v>1.5615479999999999</v>
          </cell>
          <cell r="R328" t="e">
            <v>#N/A</v>
          </cell>
        </row>
        <row r="329">
          <cell r="A329">
            <v>39945</v>
          </cell>
          <cell r="B329">
            <v>39945</v>
          </cell>
          <cell r="C329" t="str">
            <v>Past</v>
          </cell>
          <cell r="D329">
            <v>43.68</v>
          </cell>
          <cell r="E329" t="e">
            <v>#N/A</v>
          </cell>
          <cell r="F329" t="e">
            <v>#N/A</v>
          </cell>
          <cell r="G329" t="e">
            <v>#N/A</v>
          </cell>
          <cell r="H329" t="e">
            <v>#N/A</v>
          </cell>
          <cell r="I329" t="e">
            <v>#N/A</v>
          </cell>
          <cell r="J329" t="e">
            <v>#N/A</v>
          </cell>
          <cell r="K329" t="e">
            <v>#N/A</v>
          </cell>
          <cell r="L329" t="e">
            <v>#N/A</v>
          </cell>
          <cell r="M329" t="e">
            <v>#N/A</v>
          </cell>
          <cell r="N329" t="e">
            <v>#N/A</v>
          </cell>
          <cell r="O329" t="e">
            <v>#N/A</v>
          </cell>
          <cell r="P329">
            <v>43.68</v>
          </cell>
          <cell r="Q329">
            <v>1.246891</v>
          </cell>
          <cell r="R329" t="e">
            <v>#N/A</v>
          </cell>
        </row>
        <row r="330">
          <cell r="A330">
            <v>39946</v>
          </cell>
          <cell r="B330">
            <v>39946</v>
          </cell>
          <cell r="C330" t="str">
            <v>Past</v>
          </cell>
          <cell r="D330">
            <v>42.77</v>
          </cell>
          <cell r="E330" t="e">
            <v>#N/A</v>
          </cell>
          <cell r="F330" t="e">
            <v>#N/A</v>
          </cell>
          <cell r="G330" t="e">
            <v>#N/A</v>
          </cell>
          <cell r="H330" t="e">
            <v>#N/A</v>
          </cell>
          <cell r="I330" t="e">
            <v>#N/A</v>
          </cell>
          <cell r="J330" t="e">
            <v>#N/A</v>
          </cell>
          <cell r="K330" t="e">
            <v>#N/A</v>
          </cell>
          <cell r="L330" t="e">
            <v>#N/A</v>
          </cell>
          <cell r="M330" t="e">
            <v>#N/A</v>
          </cell>
          <cell r="N330" t="e">
            <v>#N/A</v>
          </cell>
          <cell r="O330" t="e">
            <v>#N/A</v>
          </cell>
          <cell r="P330">
            <v>42.77</v>
          </cell>
          <cell r="Q330">
            <v>1.3639779999999999</v>
          </cell>
          <cell r="R330" t="e">
            <v>#N/A</v>
          </cell>
        </row>
        <row r="331">
          <cell r="A331">
            <v>39947</v>
          </cell>
          <cell r="B331">
            <v>39947</v>
          </cell>
          <cell r="C331" t="str">
            <v>Past</v>
          </cell>
          <cell r="D331">
            <v>43.17</v>
          </cell>
          <cell r="E331" t="e">
            <v>#N/A</v>
          </cell>
          <cell r="F331" t="e">
            <v>#N/A</v>
          </cell>
          <cell r="G331" t="e">
            <v>#N/A</v>
          </cell>
          <cell r="H331" t="e">
            <v>#N/A</v>
          </cell>
          <cell r="I331" t="e">
            <v>#N/A</v>
          </cell>
          <cell r="J331" t="e">
            <v>#N/A</v>
          </cell>
          <cell r="K331" t="e">
            <v>#N/A</v>
          </cell>
          <cell r="L331" t="e">
            <v>#N/A</v>
          </cell>
          <cell r="M331" t="e">
            <v>#N/A</v>
          </cell>
          <cell r="N331" t="e">
            <v>#N/A</v>
          </cell>
          <cell r="O331" t="e">
            <v>#N/A</v>
          </cell>
          <cell r="P331">
            <v>43.17</v>
          </cell>
          <cell r="Q331">
            <v>1.1019669999999999</v>
          </cell>
          <cell r="R331" t="e">
            <v>#N/A</v>
          </cell>
        </row>
        <row r="332">
          <cell r="A332">
            <v>39948</v>
          </cell>
          <cell r="B332">
            <v>39948</v>
          </cell>
          <cell r="C332" t="str">
            <v>Past</v>
          </cell>
          <cell r="D332">
            <v>43.31</v>
          </cell>
          <cell r="E332" t="e">
            <v>#N/A</v>
          </cell>
          <cell r="F332" t="e">
            <v>#N/A</v>
          </cell>
          <cell r="G332" t="e">
            <v>#N/A</v>
          </cell>
          <cell r="H332" t="e">
            <v>#N/A</v>
          </cell>
          <cell r="I332" t="e">
            <v>#N/A</v>
          </cell>
          <cell r="J332" t="e">
            <v>#N/A</v>
          </cell>
          <cell r="K332" t="e">
            <v>#N/A</v>
          </cell>
          <cell r="L332" t="e">
            <v>#N/A</v>
          </cell>
          <cell r="M332" t="e">
            <v>#N/A</v>
          </cell>
          <cell r="N332" t="e">
            <v>#N/A</v>
          </cell>
          <cell r="O332" t="e">
            <v>#N/A</v>
          </cell>
          <cell r="P332">
            <v>43.31</v>
          </cell>
          <cell r="Q332">
            <v>1.1442189999999999</v>
          </cell>
          <cell r="R332" t="e">
            <v>#N/A</v>
          </cell>
        </row>
        <row r="333">
          <cell r="A333">
            <v>39951</v>
          </cell>
          <cell r="B333">
            <v>39951</v>
          </cell>
          <cell r="C333" t="str">
            <v>Past</v>
          </cell>
          <cell r="D333">
            <v>45.86</v>
          </cell>
          <cell r="E333" t="e">
            <v>#N/A</v>
          </cell>
          <cell r="F333" t="e">
            <v>#N/A</v>
          </cell>
          <cell r="G333" t="e">
            <v>#N/A</v>
          </cell>
          <cell r="H333" t="e">
            <v>#N/A</v>
          </cell>
          <cell r="I333" t="e">
            <v>#N/A</v>
          </cell>
          <cell r="J333" t="e">
            <v>#N/A</v>
          </cell>
          <cell r="K333" t="e">
            <v>#N/A</v>
          </cell>
          <cell r="L333" t="e">
            <v>#N/A</v>
          </cell>
          <cell r="M333" t="e">
            <v>#N/A</v>
          </cell>
          <cell r="N333" t="e">
            <v>#N/A</v>
          </cell>
          <cell r="O333" t="e">
            <v>#N/A</v>
          </cell>
          <cell r="P333">
            <v>45.86</v>
          </cell>
          <cell r="Q333">
            <v>1.829048</v>
          </cell>
          <cell r="R333" t="e">
            <v>#N/A</v>
          </cell>
        </row>
        <row r="334">
          <cell r="A334">
            <v>39952</v>
          </cell>
          <cell r="B334">
            <v>39952</v>
          </cell>
          <cell r="C334" t="str">
            <v>Past</v>
          </cell>
          <cell r="D334">
            <v>45.74</v>
          </cell>
          <cell r="E334" t="e">
            <v>#N/A</v>
          </cell>
          <cell r="F334" t="e">
            <v>#N/A</v>
          </cell>
          <cell r="G334" t="e">
            <v>#N/A</v>
          </cell>
          <cell r="H334" t="e">
            <v>#N/A</v>
          </cell>
          <cell r="I334" t="e">
            <v>#N/A</v>
          </cell>
          <cell r="J334" t="e">
            <v>#N/A</v>
          </cell>
          <cell r="K334" t="e">
            <v>#N/A</v>
          </cell>
          <cell r="L334" t="e">
            <v>#N/A</v>
          </cell>
          <cell r="M334" t="e">
            <v>#N/A</v>
          </cell>
          <cell r="N334" t="e">
            <v>#N/A</v>
          </cell>
          <cell r="O334" t="e">
            <v>#N/A</v>
          </cell>
          <cell r="P334">
            <v>45.74</v>
          </cell>
          <cell r="Q334">
            <v>0.974024</v>
          </cell>
          <cell r="R334" t="e">
            <v>#N/A</v>
          </cell>
        </row>
        <row r="335">
          <cell r="A335">
            <v>39953</v>
          </cell>
          <cell r="B335">
            <v>39953</v>
          </cell>
          <cell r="C335" t="str">
            <v>Past</v>
          </cell>
          <cell r="D335">
            <v>46.51</v>
          </cell>
          <cell r="E335" t="e">
            <v>#N/A</v>
          </cell>
          <cell r="F335" t="e">
            <v>#N/A</v>
          </cell>
          <cell r="G335" t="e">
            <v>#N/A</v>
          </cell>
          <cell r="H335" t="e">
            <v>#N/A</v>
          </cell>
          <cell r="I335" t="e">
            <v>#N/A</v>
          </cell>
          <cell r="J335" t="e">
            <v>#N/A</v>
          </cell>
          <cell r="K335" t="e">
            <v>#N/A</v>
          </cell>
          <cell r="L335" t="e">
            <v>#N/A</v>
          </cell>
          <cell r="M335" t="e">
            <v>#N/A</v>
          </cell>
          <cell r="N335" t="e">
            <v>#N/A</v>
          </cell>
          <cell r="O335" t="e">
            <v>#N/A</v>
          </cell>
          <cell r="P335">
            <v>46.51</v>
          </cell>
          <cell r="Q335">
            <v>1.6043209999999999</v>
          </cell>
          <cell r="R335" t="e">
            <v>#N/A</v>
          </cell>
        </row>
        <row r="336">
          <cell r="A336">
            <v>39954</v>
          </cell>
          <cell r="B336">
            <v>39954</v>
          </cell>
          <cell r="C336" t="str">
            <v>Past</v>
          </cell>
          <cell r="D336">
            <v>44.75</v>
          </cell>
          <cell r="E336" t="e">
            <v>#N/A</v>
          </cell>
          <cell r="F336" t="e">
            <v>#N/A</v>
          </cell>
          <cell r="G336" t="e">
            <v>#N/A</v>
          </cell>
          <cell r="H336" t="e">
            <v>#N/A</v>
          </cell>
          <cell r="I336" t="e">
            <v>#N/A</v>
          </cell>
          <cell r="J336" t="e">
            <v>#N/A</v>
          </cell>
          <cell r="K336" t="e">
            <v>#N/A</v>
          </cell>
          <cell r="L336" t="e">
            <v>#N/A</v>
          </cell>
          <cell r="M336" t="e">
            <v>#N/A</v>
          </cell>
          <cell r="N336" t="e">
            <v>#N/A</v>
          </cell>
          <cell r="O336" t="e">
            <v>#N/A</v>
          </cell>
          <cell r="P336">
            <v>44.75</v>
          </cell>
          <cell r="Q336">
            <v>1.0782100000000001</v>
          </cell>
          <cell r="R336" t="e">
            <v>#N/A</v>
          </cell>
        </row>
        <row r="337">
          <cell r="A337">
            <v>39955</v>
          </cell>
          <cell r="B337">
            <v>39955</v>
          </cell>
          <cell r="C337" t="str">
            <v>Past</v>
          </cell>
          <cell r="D337">
            <v>44.73</v>
          </cell>
          <cell r="E337" t="e">
            <v>#N/A</v>
          </cell>
          <cell r="F337" t="e">
            <v>#N/A</v>
          </cell>
          <cell r="G337" t="e">
            <v>#N/A</v>
          </cell>
          <cell r="H337" t="e">
            <v>#N/A</v>
          </cell>
          <cell r="I337" t="e">
            <v>#N/A</v>
          </cell>
          <cell r="J337" t="e">
            <v>#N/A</v>
          </cell>
          <cell r="K337" t="e">
            <v>#N/A</v>
          </cell>
          <cell r="L337" t="e">
            <v>#N/A</v>
          </cell>
          <cell r="M337" t="e">
            <v>#N/A</v>
          </cell>
          <cell r="N337" t="e">
            <v>#N/A</v>
          </cell>
          <cell r="O337" t="e">
            <v>#N/A</v>
          </cell>
          <cell r="P337">
            <v>44.73</v>
          </cell>
          <cell r="Q337">
            <v>0.77779799999999999</v>
          </cell>
          <cell r="R337" t="e">
            <v>#N/A</v>
          </cell>
        </row>
        <row r="338">
          <cell r="A338">
            <v>39959</v>
          </cell>
          <cell r="B338">
            <v>39959</v>
          </cell>
          <cell r="C338" t="str">
            <v>Past</v>
          </cell>
          <cell r="D338">
            <v>46.04</v>
          </cell>
          <cell r="E338" t="e">
            <v>#N/A</v>
          </cell>
          <cell r="F338" t="e">
            <v>#N/A</v>
          </cell>
          <cell r="G338" t="e">
            <v>#N/A</v>
          </cell>
          <cell r="H338" t="e">
            <v>#N/A</v>
          </cell>
          <cell r="I338" t="e">
            <v>#N/A</v>
          </cell>
          <cell r="J338" t="e">
            <v>#N/A</v>
          </cell>
          <cell r="K338" t="e">
            <v>#N/A</v>
          </cell>
          <cell r="L338" t="e">
            <v>#N/A</v>
          </cell>
          <cell r="M338" t="e">
            <v>#N/A</v>
          </cell>
          <cell r="N338" t="e">
            <v>#N/A</v>
          </cell>
          <cell r="O338" t="e">
            <v>#N/A</v>
          </cell>
          <cell r="P338">
            <v>46.04</v>
          </cell>
          <cell r="Q338">
            <v>1.0172509999999999</v>
          </cell>
          <cell r="R338" t="e">
            <v>#N/A</v>
          </cell>
        </row>
        <row r="339">
          <cell r="A339">
            <v>39960</v>
          </cell>
          <cell r="B339">
            <v>39960</v>
          </cell>
          <cell r="C339" t="str">
            <v>Past</v>
          </cell>
          <cell r="D339">
            <v>46.7</v>
          </cell>
          <cell r="E339" t="e">
            <v>#N/A</v>
          </cell>
          <cell r="F339" t="e">
            <v>#N/A</v>
          </cell>
          <cell r="G339" t="e">
            <v>#N/A</v>
          </cell>
          <cell r="H339" t="e">
            <v>#N/A</v>
          </cell>
          <cell r="I339" t="e">
            <v>#N/A</v>
          </cell>
          <cell r="J339" t="e">
            <v>#N/A</v>
          </cell>
          <cell r="K339" t="e">
            <v>#N/A</v>
          </cell>
          <cell r="L339" t="e">
            <v>#N/A</v>
          </cell>
          <cell r="M339" t="e">
            <v>#N/A</v>
          </cell>
          <cell r="N339" t="e">
            <v>#N/A</v>
          </cell>
          <cell r="O339" t="e">
            <v>#N/A</v>
          </cell>
          <cell r="P339">
            <v>46.7</v>
          </cell>
          <cell r="Q339">
            <v>2.0086490000000001</v>
          </cell>
          <cell r="R339" t="e">
            <v>#N/A</v>
          </cell>
        </row>
        <row r="340">
          <cell r="A340">
            <v>39961</v>
          </cell>
          <cell r="B340">
            <v>39961</v>
          </cell>
          <cell r="C340" t="str">
            <v>Past</v>
          </cell>
          <cell r="D340">
            <v>47.88</v>
          </cell>
          <cell r="E340" t="e">
            <v>#N/A</v>
          </cell>
          <cell r="F340" t="e">
            <v>#N/A</v>
          </cell>
          <cell r="G340" t="e">
            <v>#N/A</v>
          </cell>
          <cell r="H340" t="e">
            <v>#N/A</v>
          </cell>
          <cell r="I340" t="e">
            <v>#N/A</v>
          </cell>
          <cell r="J340" t="e">
            <v>#N/A</v>
          </cell>
          <cell r="K340" t="e">
            <v>#N/A</v>
          </cell>
          <cell r="L340" t="e">
            <v>#N/A</v>
          </cell>
          <cell r="M340" t="e">
            <v>#N/A</v>
          </cell>
          <cell r="N340" t="e">
            <v>#N/A</v>
          </cell>
          <cell r="O340" t="e">
            <v>#N/A</v>
          </cell>
          <cell r="P340">
            <v>47.88</v>
          </cell>
          <cell r="Q340">
            <v>1.809018</v>
          </cell>
          <cell r="R340" t="e">
            <v>#N/A</v>
          </cell>
        </row>
        <row r="341">
          <cell r="A341">
            <v>39962</v>
          </cell>
          <cell r="B341">
            <v>39962</v>
          </cell>
          <cell r="C341" t="str">
            <v>Past</v>
          </cell>
          <cell r="D341">
            <v>48.54</v>
          </cell>
          <cell r="E341" t="e">
            <v>#N/A</v>
          </cell>
          <cell r="F341" t="e">
            <v>#N/A</v>
          </cell>
          <cell r="G341" t="e">
            <v>#N/A</v>
          </cell>
          <cell r="H341" t="e">
            <v>#N/A</v>
          </cell>
          <cell r="I341" t="e">
            <v>#N/A</v>
          </cell>
          <cell r="J341" t="e">
            <v>#N/A</v>
          </cell>
          <cell r="K341" t="e">
            <v>#N/A</v>
          </cell>
          <cell r="L341" t="e">
            <v>#N/A</v>
          </cell>
          <cell r="M341" t="e">
            <v>#N/A</v>
          </cell>
          <cell r="N341" t="e">
            <v>#N/A</v>
          </cell>
          <cell r="O341" t="e">
            <v>#N/A</v>
          </cell>
          <cell r="P341">
            <v>48.54</v>
          </cell>
          <cell r="Q341">
            <v>1.736586</v>
          </cell>
          <cell r="R341" t="e">
            <v>#N/A</v>
          </cell>
        </row>
        <row r="342">
          <cell r="A342">
            <v>39965</v>
          </cell>
          <cell r="B342">
            <v>39965</v>
          </cell>
          <cell r="C342" t="str">
            <v>Past</v>
          </cell>
          <cell r="D342">
            <v>51.69</v>
          </cell>
          <cell r="E342" t="e">
            <v>#N/A</v>
          </cell>
          <cell r="F342" t="e">
            <v>#N/A</v>
          </cell>
          <cell r="G342" t="e">
            <v>#N/A</v>
          </cell>
          <cell r="H342" t="e">
            <v>#N/A</v>
          </cell>
          <cell r="I342" t="e">
            <v>#N/A</v>
          </cell>
          <cell r="J342" t="e">
            <v>#N/A</v>
          </cell>
          <cell r="K342" t="e">
            <v>#N/A</v>
          </cell>
          <cell r="L342" t="e">
            <v>#N/A</v>
          </cell>
          <cell r="M342" t="e">
            <v>#N/A</v>
          </cell>
          <cell r="N342" t="e">
            <v>#N/A</v>
          </cell>
          <cell r="O342" t="e">
            <v>#N/A</v>
          </cell>
          <cell r="P342">
            <v>51.69</v>
          </cell>
          <cell r="Q342">
            <v>2.1773289999999998</v>
          </cell>
          <cell r="R342" t="e">
            <v>#N/A</v>
          </cell>
        </row>
        <row r="343">
          <cell r="A343">
            <v>39966</v>
          </cell>
          <cell r="B343">
            <v>39966</v>
          </cell>
          <cell r="C343" t="str">
            <v>Past</v>
          </cell>
          <cell r="D343">
            <v>52.18</v>
          </cell>
          <cell r="E343" t="e">
            <v>#N/A</v>
          </cell>
          <cell r="F343" t="e">
            <v>#N/A</v>
          </cell>
          <cell r="G343" t="e">
            <v>#N/A</v>
          </cell>
          <cell r="H343" t="e">
            <v>#N/A</v>
          </cell>
          <cell r="I343" t="e">
            <v>#N/A</v>
          </cell>
          <cell r="J343" t="e">
            <v>#N/A</v>
          </cell>
          <cell r="K343" t="e">
            <v>#N/A</v>
          </cell>
          <cell r="L343" t="e">
            <v>#N/A</v>
          </cell>
          <cell r="M343" t="e">
            <v>#N/A</v>
          </cell>
          <cell r="N343" t="e">
            <v>#N/A</v>
          </cell>
          <cell r="O343" t="e">
            <v>#N/A</v>
          </cell>
          <cell r="P343">
            <v>52.18</v>
          </cell>
          <cell r="Q343">
            <v>1.382147</v>
          </cell>
          <cell r="R343" t="e">
            <v>#N/A</v>
          </cell>
        </row>
        <row r="344">
          <cell r="A344">
            <v>39967</v>
          </cell>
          <cell r="B344">
            <v>39967</v>
          </cell>
          <cell r="C344" t="str">
            <v>Past</v>
          </cell>
          <cell r="D344">
            <v>52.09</v>
          </cell>
          <cell r="E344" t="e">
            <v>#N/A</v>
          </cell>
          <cell r="F344" t="e">
            <v>#N/A</v>
          </cell>
          <cell r="G344" t="e">
            <v>#N/A</v>
          </cell>
          <cell r="H344" t="e">
            <v>#N/A</v>
          </cell>
          <cell r="I344" t="e">
            <v>#N/A</v>
          </cell>
          <cell r="J344" t="e">
            <v>#N/A</v>
          </cell>
          <cell r="K344" t="e">
            <v>#N/A</v>
          </cell>
          <cell r="L344" t="e">
            <v>#N/A</v>
          </cell>
          <cell r="M344" t="e">
            <v>#N/A</v>
          </cell>
          <cell r="N344" t="e">
            <v>#N/A</v>
          </cell>
          <cell r="O344" t="e">
            <v>#N/A</v>
          </cell>
          <cell r="P344">
            <v>52.09</v>
          </cell>
          <cell r="Q344">
            <v>1.55742</v>
          </cell>
          <cell r="R344" t="e">
            <v>#N/A</v>
          </cell>
        </row>
        <row r="345">
          <cell r="A345">
            <v>39968</v>
          </cell>
          <cell r="B345">
            <v>39968</v>
          </cell>
          <cell r="C345" t="str">
            <v>Past</v>
          </cell>
          <cell r="D345">
            <v>53.32</v>
          </cell>
          <cell r="E345" t="e">
            <v>#N/A</v>
          </cell>
          <cell r="F345" t="e">
            <v>#N/A</v>
          </cell>
          <cell r="G345" t="e">
            <v>#N/A</v>
          </cell>
          <cell r="H345" t="e">
            <v>#N/A</v>
          </cell>
          <cell r="I345" t="e">
            <v>#N/A</v>
          </cell>
          <cell r="J345" t="e">
            <v>#N/A</v>
          </cell>
          <cell r="K345" t="e">
            <v>#N/A</v>
          </cell>
          <cell r="L345" t="e">
            <v>#N/A</v>
          </cell>
          <cell r="M345" t="e">
            <v>#N/A</v>
          </cell>
          <cell r="N345" t="e">
            <v>#N/A</v>
          </cell>
          <cell r="O345" t="e">
            <v>#N/A</v>
          </cell>
          <cell r="P345">
            <v>53.32</v>
          </cell>
          <cell r="Q345">
            <v>1.0994619999999999</v>
          </cell>
          <cell r="R345" t="e">
            <v>#N/A</v>
          </cell>
        </row>
        <row r="346">
          <cell r="A346">
            <v>39969</v>
          </cell>
          <cell r="B346">
            <v>39969</v>
          </cell>
          <cell r="C346" t="str">
            <v>Past</v>
          </cell>
          <cell r="D346">
            <v>54.74</v>
          </cell>
          <cell r="E346" t="e">
            <v>#N/A</v>
          </cell>
          <cell r="F346" t="e">
            <v>#N/A</v>
          </cell>
          <cell r="G346" t="e">
            <v>#N/A</v>
          </cell>
          <cell r="H346" t="e">
            <v>#N/A</v>
          </cell>
          <cell r="I346" t="e">
            <v>#N/A</v>
          </cell>
          <cell r="J346" t="e">
            <v>#N/A</v>
          </cell>
          <cell r="K346" t="e">
            <v>#N/A</v>
          </cell>
          <cell r="L346" t="e">
            <v>#N/A</v>
          </cell>
          <cell r="M346" t="e">
            <v>#N/A</v>
          </cell>
          <cell r="N346" t="e">
            <v>#N/A</v>
          </cell>
          <cell r="O346" t="e">
            <v>#N/A</v>
          </cell>
          <cell r="P346">
            <v>54.74</v>
          </cell>
          <cell r="Q346">
            <v>1.789355</v>
          </cell>
          <cell r="R346" t="e">
            <v>#N/A</v>
          </cell>
        </row>
        <row r="347">
          <cell r="A347">
            <v>39972</v>
          </cell>
          <cell r="B347">
            <v>39972</v>
          </cell>
          <cell r="C347" t="str">
            <v>Past</v>
          </cell>
          <cell r="D347">
            <v>54.04</v>
          </cell>
          <cell r="E347" t="e">
            <v>#N/A</v>
          </cell>
          <cell r="F347" t="e">
            <v>#N/A</v>
          </cell>
          <cell r="G347" t="e">
            <v>#N/A</v>
          </cell>
          <cell r="H347" t="e">
            <v>#N/A</v>
          </cell>
          <cell r="I347" t="e">
            <v>#N/A</v>
          </cell>
          <cell r="J347" t="e">
            <v>#N/A</v>
          </cell>
          <cell r="K347" t="e">
            <v>#N/A</v>
          </cell>
          <cell r="L347" t="e">
            <v>#N/A</v>
          </cell>
          <cell r="M347" t="e">
            <v>#N/A</v>
          </cell>
          <cell r="N347" t="e">
            <v>#N/A</v>
          </cell>
          <cell r="O347" t="e">
            <v>#N/A</v>
          </cell>
          <cell r="P347">
            <v>54.04</v>
          </cell>
          <cell r="Q347">
            <v>1.1108089999999999</v>
          </cell>
          <cell r="R347" t="e">
            <v>#N/A</v>
          </cell>
        </row>
        <row r="348">
          <cell r="A348">
            <v>39973</v>
          </cell>
          <cell r="B348">
            <v>39973</v>
          </cell>
          <cell r="C348" t="str">
            <v>Past</v>
          </cell>
          <cell r="D348">
            <v>53.33</v>
          </cell>
          <cell r="E348" t="e">
            <v>#N/A</v>
          </cell>
          <cell r="F348" t="e">
            <v>#N/A</v>
          </cell>
          <cell r="G348" t="e">
            <v>#N/A</v>
          </cell>
          <cell r="H348" t="e">
            <v>#N/A</v>
          </cell>
          <cell r="I348" t="e">
            <v>#N/A</v>
          </cell>
          <cell r="J348" t="e">
            <v>#N/A</v>
          </cell>
          <cell r="K348" t="e">
            <v>#N/A</v>
          </cell>
          <cell r="L348" t="e">
            <v>#N/A</v>
          </cell>
          <cell r="M348" t="e">
            <v>#N/A</v>
          </cell>
          <cell r="N348" t="e">
            <v>#N/A</v>
          </cell>
          <cell r="O348" t="e">
            <v>#N/A</v>
          </cell>
          <cell r="P348">
            <v>53.33</v>
          </cell>
          <cell r="Q348">
            <v>1.3106900000000001</v>
          </cell>
          <cell r="R348" t="e">
            <v>#N/A</v>
          </cell>
        </row>
        <row r="349">
          <cell r="A349">
            <v>39974</v>
          </cell>
          <cell r="B349">
            <v>39974</v>
          </cell>
          <cell r="C349" t="str">
            <v>Past</v>
          </cell>
          <cell r="D349">
            <v>53.25</v>
          </cell>
          <cell r="E349" t="e">
            <v>#N/A</v>
          </cell>
          <cell r="F349" t="e">
            <v>#N/A</v>
          </cell>
          <cell r="G349" t="e">
            <v>#N/A</v>
          </cell>
          <cell r="H349" t="e">
            <v>#N/A</v>
          </cell>
          <cell r="I349" t="e">
            <v>#N/A</v>
          </cell>
          <cell r="J349" t="e">
            <v>#N/A</v>
          </cell>
          <cell r="K349" t="e">
            <v>#N/A</v>
          </cell>
          <cell r="L349" t="e">
            <v>#N/A</v>
          </cell>
          <cell r="M349" t="e">
            <v>#N/A</v>
          </cell>
          <cell r="N349" t="e">
            <v>#N/A</v>
          </cell>
          <cell r="O349" t="e">
            <v>#N/A</v>
          </cell>
          <cell r="P349">
            <v>53.25</v>
          </cell>
          <cell r="Q349">
            <v>1.201668</v>
          </cell>
          <cell r="R349" t="e">
            <v>#N/A</v>
          </cell>
        </row>
        <row r="350">
          <cell r="A350">
            <v>39975</v>
          </cell>
          <cell r="B350">
            <v>39975</v>
          </cell>
          <cell r="C350" t="str">
            <v>Past</v>
          </cell>
          <cell r="D350">
            <v>51.72</v>
          </cell>
          <cell r="E350" t="e">
            <v>#N/A</v>
          </cell>
          <cell r="F350" t="e">
            <v>#N/A</v>
          </cell>
          <cell r="G350" t="e">
            <v>#N/A</v>
          </cell>
          <cell r="H350" t="e">
            <v>#N/A</v>
          </cell>
          <cell r="I350" t="e">
            <v>#N/A</v>
          </cell>
          <cell r="J350" t="e">
            <v>#N/A</v>
          </cell>
          <cell r="K350" t="e">
            <v>#N/A</v>
          </cell>
          <cell r="L350" t="e">
            <v>#N/A</v>
          </cell>
          <cell r="M350" t="e">
            <v>#N/A</v>
          </cell>
          <cell r="N350" t="e">
            <v>#N/A</v>
          </cell>
          <cell r="O350" t="e">
            <v>#N/A</v>
          </cell>
          <cell r="P350">
            <v>51.72</v>
          </cell>
          <cell r="Q350">
            <v>2.3399700000000001</v>
          </cell>
          <cell r="R350" t="e">
            <v>#N/A</v>
          </cell>
        </row>
        <row r="351">
          <cell r="A351">
            <v>39976</v>
          </cell>
          <cell r="B351">
            <v>39976</v>
          </cell>
          <cell r="C351" t="str">
            <v>Past</v>
          </cell>
          <cell r="D351">
            <v>53.36</v>
          </cell>
          <cell r="E351" t="e">
            <v>#N/A</v>
          </cell>
          <cell r="F351" t="e">
            <v>#N/A</v>
          </cell>
          <cell r="G351" t="e">
            <v>#N/A</v>
          </cell>
          <cell r="H351" t="e">
            <v>#N/A</v>
          </cell>
          <cell r="I351" t="e">
            <v>#N/A</v>
          </cell>
          <cell r="J351" t="e">
            <v>#N/A</v>
          </cell>
          <cell r="K351" t="e">
            <v>#N/A</v>
          </cell>
          <cell r="L351" t="e">
            <v>#N/A</v>
          </cell>
          <cell r="M351" t="e">
            <v>#N/A</v>
          </cell>
          <cell r="N351" t="e">
            <v>#N/A</v>
          </cell>
          <cell r="O351" t="e">
            <v>#N/A</v>
          </cell>
          <cell r="P351">
            <v>53.36</v>
          </cell>
          <cell r="Q351">
            <v>1.4403249999999999</v>
          </cell>
          <cell r="R351" t="e">
            <v>#N/A</v>
          </cell>
        </row>
        <row r="352">
          <cell r="A352">
            <v>39979</v>
          </cell>
          <cell r="B352">
            <v>39979</v>
          </cell>
          <cell r="C352" t="str">
            <v>Past</v>
          </cell>
          <cell r="D352">
            <v>50.94</v>
          </cell>
          <cell r="E352" t="e">
            <v>#N/A</v>
          </cell>
          <cell r="F352" t="e">
            <v>#N/A</v>
          </cell>
          <cell r="G352" t="e">
            <v>#N/A</v>
          </cell>
          <cell r="H352" t="e">
            <v>#N/A</v>
          </cell>
          <cell r="I352" t="e">
            <v>#N/A</v>
          </cell>
          <cell r="J352" t="e">
            <v>#N/A</v>
          </cell>
          <cell r="K352" t="e">
            <v>#N/A</v>
          </cell>
          <cell r="L352" t="e">
            <v>#N/A</v>
          </cell>
          <cell r="M352" t="e">
            <v>#N/A</v>
          </cell>
          <cell r="N352" t="e">
            <v>#N/A</v>
          </cell>
          <cell r="O352" t="e">
            <v>#N/A</v>
          </cell>
          <cell r="P352">
            <v>50.94</v>
          </cell>
          <cell r="Q352">
            <v>1.388917</v>
          </cell>
          <cell r="R352" t="e">
            <v>#N/A</v>
          </cell>
        </row>
        <row r="353">
          <cell r="A353">
            <v>39980</v>
          </cell>
          <cell r="B353">
            <v>39980</v>
          </cell>
          <cell r="C353" t="str">
            <v>Past</v>
          </cell>
          <cell r="D353">
            <v>49.87</v>
          </cell>
          <cell r="E353" t="e">
            <v>#N/A</v>
          </cell>
          <cell r="F353" t="e">
            <v>#N/A</v>
          </cell>
          <cell r="G353" t="e">
            <v>#N/A</v>
          </cell>
          <cell r="H353" t="e">
            <v>#N/A</v>
          </cell>
          <cell r="I353" t="e">
            <v>#N/A</v>
          </cell>
          <cell r="J353" t="e">
            <v>#N/A</v>
          </cell>
          <cell r="K353" t="e">
            <v>#N/A</v>
          </cell>
          <cell r="L353" t="e">
            <v>#N/A</v>
          </cell>
          <cell r="M353" t="e">
            <v>#N/A</v>
          </cell>
          <cell r="N353" t="e">
            <v>#N/A</v>
          </cell>
          <cell r="O353" t="e">
            <v>#N/A</v>
          </cell>
          <cell r="P353">
            <v>49.87</v>
          </cell>
          <cell r="Q353">
            <v>1.504839</v>
          </cell>
          <cell r="R353" t="e">
            <v>#N/A</v>
          </cell>
        </row>
        <row r="354">
          <cell r="A354">
            <v>39981</v>
          </cell>
          <cell r="B354">
            <v>39981</v>
          </cell>
          <cell r="C354" t="str">
            <v>Past</v>
          </cell>
          <cell r="D354">
            <v>50.49</v>
          </cell>
          <cell r="E354" t="e">
            <v>#N/A</v>
          </cell>
          <cell r="F354" t="e">
            <v>#N/A</v>
          </cell>
          <cell r="G354" t="e">
            <v>#N/A</v>
          </cell>
          <cell r="H354" t="e">
            <v>#N/A</v>
          </cell>
          <cell r="I354" t="e">
            <v>#N/A</v>
          </cell>
          <cell r="J354" t="e">
            <v>#N/A</v>
          </cell>
          <cell r="K354" t="e">
            <v>#N/A</v>
          </cell>
          <cell r="L354" t="e">
            <v>#N/A</v>
          </cell>
          <cell r="M354" t="e">
            <v>#N/A</v>
          </cell>
          <cell r="N354" t="e">
            <v>#N/A</v>
          </cell>
          <cell r="O354" t="e">
            <v>#N/A</v>
          </cell>
          <cell r="P354">
            <v>50.49</v>
          </cell>
          <cell r="Q354">
            <v>1.356781</v>
          </cell>
          <cell r="R354" t="e">
            <v>#N/A</v>
          </cell>
        </row>
        <row r="355">
          <cell r="A355">
            <v>39982</v>
          </cell>
          <cell r="B355">
            <v>39982</v>
          </cell>
          <cell r="C355" t="str">
            <v>Past</v>
          </cell>
          <cell r="D355">
            <v>51.14</v>
          </cell>
          <cell r="E355" t="e">
            <v>#N/A</v>
          </cell>
          <cell r="F355" t="e">
            <v>#N/A</v>
          </cell>
          <cell r="G355" t="e">
            <v>#N/A</v>
          </cell>
          <cell r="H355" t="e">
            <v>#N/A</v>
          </cell>
          <cell r="I355" t="e">
            <v>#N/A</v>
          </cell>
          <cell r="J355" t="e">
            <v>#N/A</v>
          </cell>
          <cell r="K355" t="e">
            <v>#N/A</v>
          </cell>
          <cell r="L355" t="e">
            <v>#N/A</v>
          </cell>
          <cell r="M355" t="e">
            <v>#N/A</v>
          </cell>
          <cell r="N355" t="e">
            <v>#N/A</v>
          </cell>
          <cell r="O355" t="e">
            <v>#N/A</v>
          </cell>
          <cell r="P355">
            <v>51.14</v>
          </cell>
          <cell r="Q355">
            <v>1.0622659999999999</v>
          </cell>
          <cell r="R355" t="e">
            <v>#N/A</v>
          </cell>
        </row>
        <row r="356">
          <cell r="A356">
            <v>39983</v>
          </cell>
          <cell r="B356">
            <v>39983</v>
          </cell>
          <cell r="C356" t="str">
            <v>Past</v>
          </cell>
          <cell r="D356">
            <v>51.62</v>
          </cell>
          <cell r="E356" t="e">
            <v>#N/A</v>
          </cell>
          <cell r="F356" t="e">
            <v>#N/A</v>
          </cell>
          <cell r="G356" t="e">
            <v>#N/A</v>
          </cell>
          <cell r="H356" t="e">
            <v>#N/A</v>
          </cell>
          <cell r="I356" t="e">
            <v>#N/A</v>
          </cell>
          <cell r="J356" t="e">
            <v>#N/A</v>
          </cell>
          <cell r="K356" t="e">
            <v>#N/A</v>
          </cell>
          <cell r="L356" t="e">
            <v>#N/A</v>
          </cell>
          <cell r="M356" t="e">
            <v>#N/A</v>
          </cell>
          <cell r="N356" t="e">
            <v>#N/A</v>
          </cell>
          <cell r="O356" t="e">
            <v>#N/A</v>
          </cell>
          <cell r="P356">
            <v>51.62</v>
          </cell>
          <cell r="Q356">
            <v>1.2555319999999999</v>
          </cell>
          <cell r="R356" t="e">
            <v>#N/A</v>
          </cell>
        </row>
        <row r="357">
          <cell r="A357">
            <v>39986</v>
          </cell>
          <cell r="B357">
            <v>39986</v>
          </cell>
          <cell r="C357" t="str">
            <v>Past</v>
          </cell>
          <cell r="D357">
            <v>49.43</v>
          </cell>
          <cell r="E357" t="e">
            <v>#N/A</v>
          </cell>
          <cell r="F357" t="e">
            <v>#N/A</v>
          </cell>
          <cell r="G357" t="e">
            <v>#N/A</v>
          </cell>
          <cell r="H357" t="e">
            <v>#N/A</v>
          </cell>
          <cell r="I357" t="e">
            <v>#N/A</v>
          </cell>
          <cell r="J357" t="e">
            <v>#N/A</v>
          </cell>
          <cell r="K357" t="e">
            <v>#N/A</v>
          </cell>
          <cell r="L357" t="e">
            <v>#N/A</v>
          </cell>
          <cell r="M357" t="e">
            <v>#N/A</v>
          </cell>
          <cell r="N357" t="e">
            <v>#N/A</v>
          </cell>
          <cell r="O357" t="e">
            <v>#N/A</v>
          </cell>
          <cell r="P357">
            <v>49.43</v>
          </cell>
          <cell r="Q357">
            <v>1.0920209999999999</v>
          </cell>
          <cell r="R357" t="e">
            <v>#N/A</v>
          </cell>
        </row>
        <row r="358">
          <cell r="A358">
            <v>39987</v>
          </cell>
          <cell r="B358">
            <v>39987</v>
          </cell>
          <cell r="C358" t="str">
            <v>Past</v>
          </cell>
          <cell r="D358">
            <v>49.07</v>
          </cell>
          <cell r="E358" t="e">
            <v>#N/A</v>
          </cell>
          <cell r="F358" t="e">
            <v>#N/A</v>
          </cell>
          <cell r="G358" t="e">
            <v>#N/A</v>
          </cell>
          <cell r="H358" t="e">
            <v>#N/A</v>
          </cell>
          <cell r="I358" t="e">
            <v>#N/A</v>
          </cell>
          <cell r="J358" t="e">
            <v>#N/A</v>
          </cell>
          <cell r="K358" t="e">
            <v>#N/A</v>
          </cell>
          <cell r="L358" t="e">
            <v>#N/A</v>
          </cell>
          <cell r="M358" t="e">
            <v>#N/A</v>
          </cell>
          <cell r="N358" t="e">
            <v>#N/A</v>
          </cell>
          <cell r="O358" t="e">
            <v>#N/A</v>
          </cell>
          <cell r="P358">
            <v>49.07</v>
          </cell>
          <cell r="Q358">
            <v>1.895859</v>
          </cell>
          <cell r="R358" t="e">
            <v>#N/A</v>
          </cell>
        </row>
        <row r="359">
          <cell r="A359">
            <v>39988</v>
          </cell>
          <cell r="B359">
            <v>39988</v>
          </cell>
          <cell r="C359" t="str">
            <v>Past</v>
          </cell>
          <cell r="D359">
            <v>49.44</v>
          </cell>
          <cell r="E359" t="e">
            <v>#N/A</v>
          </cell>
          <cell r="F359" t="e">
            <v>#N/A</v>
          </cell>
          <cell r="G359" t="e">
            <v>#N/A</v>
          </cell>
          <cell r="H359" t="e">
            <v>#N/A</v>
          </cell>
          <cell r="I359" t="e">
            <v>#N/A</v>
          </cell>
          <cell r="J359" t="e">
            <v>#N/A</v>
          </cell>
          <cell r="K359" t="e">
            <v>#N/A</v>
          </cell>
          <cell r="L359" t="e">
            <v>#N/A</v>
          </cell>
          <cell r="M359" t="e">
            <v>#N/A</v>
          </cell>
          <cell r="N359" t="e">
            <v>#N/A</v>
          </cell>
          <cell r="O359" t="e">
            <v>#N/A</v>
          </cell>
          <cell r="P359">
            <v>49.44</v>
          </cell>
          <cell r="Q359">
            <v>1.887303</v>
          </cell>
          <cell r="R359" t="e">
            <v>#N/A</v>
          </cell>
        </row>
        <row r="360">
          <cell r="A360">
            <v>39989</v>
          </cell>
          <cell r="B360">
            <v>39989</v>
          </cell>
          <cell r="C360" t="str">
            <v>Past</v>
          </cell>
          <cell r="D360">
            <v>50.9</v>
          </cell>
          <cell r="E360" t="e">
            <v>#N/A</v>
          </cell>
          <cell r="F360" t="e">
            <v>#N/A</v>
          </cell>
          <cell r="G360" t="e">
            <v>#N/A</v>
          </cell>
          <cell r="H360" t="e">
            <v>#N/A</v>
          </cell>
          <cell r="I360" t="e">
            <v>#N/A</v>
          </cell>
          <cell r="J360" t="e">
            <v>#N/A</v>
          </cell>
          <cell r="K360" t="e">
            <v>#N/A</v>
          </cell>
          <cell r="L360" t="e">
            <v>#N/A</v>
          </cell>
          <cell r="M360" t="e">
            <v>#N/A</v>
          </cell>
          <cell r="N360" t="e">
            <v>#N/A</v>
          </cell>
          <cell r="O360" t="e">
            <v>#N/A</v>
          </cell>
          <cell r="P360">
            <v>50.9</v>
          </cell>
          <cell r="Q360">
            <v>1.0261</v>
          </cell>
          <cell r="R360" t="e">
            <v>#N/A</v>
          </cell>
        </row>
        <row r="361">
          <cell r="A361">
            <v>39990</v>
          </cell>
          <cell r="B361">
            <v>39990</v>
          </cell>
          <cell r="C361" t="str">
            <v>Past</v>
          </cell>
          <cell r="D361">
            <v>49.96</v>
          </cell>
          <cell r="E361" t="e">
            <v>#N/A</v>
          </cell>
          <cell r="F361" t="e">
            <v>#N/A</v>
          </cell>
          <cell r="G361" t="e">
            <v>#N/A</v>
          </cell>
          <cell r="H361" t="e">
            <v>#N/A</v>
          </cell>
          <cell r="I361" t="e">
            <v>#N/A</v>
          </cell>
          <cell r="J361" t="e">
            <v>#N/A</v>
          </cell>
          <cell r="K361" t="e">
            <v>#N/A</v>
          </cell>
          <cell r="L361" t="e">
            <v>#N/A</v>
          </cell>
          <cell r="M361" t="e">
            <v>#N/A</v>
          </cell>
          <cell r="N361" t="e">
            <v>#N/A</v>
          </cell>
          <cell r="O361" t="e">
            <v>#N/A</v>
          </cell>
          <cell r="P361">
            <v>49.96</v>
          </cell>
          <cell r="Q361">
            <v>1.2752000000000001</v>
          </cell>
          <cell r="R361" t="e">
            <v>#N/A</v>
          </cell>
        </row>
        <row r="362">
          <cell r="A362">
            <v>39993</v>
          </cell>
          <cell r="B362">
            <v>39993</v>
          </cell>
          <cell r="C362" t="str">
            <v>Past</v>
          </cell>
          <cell r="D362">
            <v>50.97</v>
          </cell>
          <cell r="E362" t="e">
            <v>#N/A</v>
          </cell>
          <cell r="F362" t="e">
            <v>#N/A</v>
          </cell>
          <cell r="G362" t="e">
            <v>#N/A</v>
          </cell>
          <cell r="H362" t="e">
            <v>#N/A</v>
          </cell>
          <cell r="I362" t="e">
            <v>#N/A</v>
          </cell>
          <cell r="J362" t="e">
            <v>#N/A</v>
          </cell>
          <cell r="K362" t="e">
            <v>#N/A</v>
          </cell>
          <cell r="L362" t="e">
            <v>#N/A</v>
          </cell>
          <cell r="M362" t="e">
            <v>#N/A</v>
          </cell>
          <cell r="N362" t="e">
            <v>#N/A</v>
          </cell>
          <cell r="O362" t="e">
            <v>#N/A</v>
          </cell>
          <cell r="P362">
            <v>50.97</v>
          </cell>
          <cell r="Q362">
            <v>1.1083000000000001</v>
          </cell>
          <cell r="R362" t="e">
            <v>#N/A</v>
          </cell>
        </row>
        <row r="363">
          <cell r="A363">
            <v>39994</v>
          </cell>
          <cell r="B363">
            <v>39994</v>
          </cell>
          <cell r="C363" t="str">
            <v>Past</v>
          </cell>
          <cell r="D363">
            <v>49.97</v>
          </cell>
          <cell r="E363" t="e">
            <v>#N/A</v>
          </cell>
          <cell r="F363" t="e">
            <v>#N/A</v>
          </cell>
          <cell r="G363" t="e">
            <v>#N/A</v>
          </cell>
          <cell r="H363" t="e">
            <v>#N/A</v>
          </cell>
          <cell r="I363" t="e">
            <v>#N/A</v>
          </cell>
          <cell r="J363" t="e">
            <v>#N/A</v>
          </cell>
          <cell r="K363" t="e">
            <v>#N/A</v>
          </cell>
          <cell r="L363" t="e">
            <v>#N/A</v>
          </cell>
          <cell r="M363" t="e">
            <v>#N/A</v>
          </cell>
          <cell r="N363" t="e">
            <v>#N/A</v>
          </cell>
          <cell r="O363" t="e">
            <v>#N/A</v>
          </cell>
          <cell r="P363">
            <v>49.97</v>
          </cell>
          <cell r="Q363">
            <v>0.85685499999999992</v>
          </cell>
          <cell r="R363" t="e">
            <v>#N/A</v>
          </cell>
        </row>
        <row r="364">
          <cell r="A364">
            <v>39995</v>
          </cell>
          <cell r="B364">
            <v>39995</v>
          </cell>
          <cell r="C364" t="str">
            <v>Past</v>
          </cell>
          <cell r="D364">
            <v>50.84</v>
          </cell>
          <cell r="E364" t="e">
            <v>#N/A</v>
          </cell>
          <cell r="F364" t="e">
            <v>#N/A</v>
          </cell>
          <cell r="G364" t="e">
            <v>#N/A</v>
          </cell>
          <cell r="H364" t="e">
            <v>#N/A</v>
          </cell>
          <cell r="I364" t="e">
            <v>#N/A</v>
          </cell>
          <cell r="J364" t="e">
            <v>#N/A</v>
          </cell>
          <cell r="K364" t="e">
            <v>#N/A</v>
          </cell>
          <cell r="L364" t="e">
            <v>#N/A</v>
          </cell>
          <cell r="M364" t="e">
            <v>#N/A</v>
          </cell>
          <cell r="N364" t="e">
            <v>#N/A</v>
          </cell>
          <cell r="O364" t="e">
            <v>#N/A</v>
          </cell>
          <cell r="P364">
            <v>50.84</v>
          </cell>
          <cell r="Q364">
            <v>0.92218000000000011</v>
          </cell>
          <cell r="R364" t="e">
            <v>#N/A</v>
          </cell>
        </row>
        <row r="365">
          <cell r="A365">
            <v>39996</v>
          </cell>
          <cell r="B365">
            <v>39996</v>
          </cell>
          <cell r="C365" t="str">
            <v>Past</v>
          </cell>
          <cell r="D365">
            <v>48.35</v>
          </cell>
          <cell r="E365" t="e">
            <v>#N/A</v>
          </cell>
          <cell r="F365" t="e">
            <v>#N/A</v>
          </cell>
          <cell r="G365" t="e">
            <v>#N/A</v>
          </cell>
          <cell r="H365" t="e">
            <v>#N/A</v>
          </cell>
          <cell r="I365" t="e">
            <v>#N/A</v>
          </cell>
          <cell r="J365" t="e">
            <v>#N/A</v>
          </cell>
          <cell r="K365" t="e">
            <v>#N/A</v>
          </cell>
          <cell r="L365" t="e">
            <v>#N/A</v>
          </cell>
          <cell r="M365" t="e">
            <v>#N/A</v>
          </cell>
          <cell r="N365" t="e">
            <v>#N/A</v>
          </cell>
          <cell r="O365" t="e">
            <v>#N/A</v>
          </cell>
          <cell r="P365">
            <v>48.35</v>
          </cell>
          <cell r="Q365">
            <v>1.3091519999999999</v>
          </cell>
          <cell r="R365" t="e">
            <v>#N/A</v>
          </cell>
        </row>
        <row r="366">
          <cell r="A366">
            <v>40000</v>
          </cell>
          <cell r="B366">
            <v>40000</v>
          </cell>
          <cell r="C366" t="str">
            <v>Past</v>
          </cell>
          <cell r="D366">
            <v>50.06</v>
          </cell>
          <cell r="E366" t="e">
            <v>#N/A</v>
          </cell>
          <cell r="F366" t="e">
            <v>#N/A</v>
          </cell>
          <cell r="G366" t="e">
            <v>#N/A</v>
          </cell>
          <cell r="H366" t="e">
            <v>#N/A</v>
          </cell>
          <cell r="I366" t="e">
            <v>#N/A</v>
          </cell>
          <cell r="J366" t="e">
            <v>#N/A</v>
          </cell>
          <cell r="K366" t="e">
            <v>#N/A</v>
          </cell>
          <cell r="L366" t="e">
            <v>#N/A</v>
          </cell>
          <cell r="M366" t="e">
            <v>#N/A</v>
          </cell>
          <cell r="N366" t="e">
            <v>#N/A</v>
          </cell>
          <cell r="O366" t="e">
            <v>#N/A</v>
          </cell>
          <cell r="P366">
            <v>50.06</v>
          </cell>
          <cell r="Q366">
            <v>1.2486629999999999</v>
          </cell>
          <cell r="R366" t="e">
            <v>#N/A</v>
          </cell>
        </row>
        <row r="367">
          <cell r="A367">
            <v>40001</v>
          </cell>
          <cell r="B367">
            <v>40001</v>
          </cell>
          <cell r="C367" t="str">
            <v>Past</v>
          </cell>
          <cell r="D367">
            <v>49.73</v>
          </cell>
          <cell r="E367" t="e">
            <v>#N/A</v>
          </cell>
          <cell r="F367" t="e">
            <v>#N/A</v>
          </cell>
          <cell r="G367" t="e">
            <v>#N/A</v>
          </cell>
          <cell r="H367" t="e">
            <v>#N/A</v>
          </cell>
          <cell r="I367" t="e">
            <v>#N/A</v>
          </cell>
          <cell r="J367" t="e">
            <v>#N/A</v>
          </cell>
          <cell r="K367" t="e">
            <v>#N/A</v>
          </cell>
          <cell r="L367" t="e">
            <v>#N/A</v>
          </cell>
          <cell r="M367" t="e">
            <v>#N/A</v>
          </cell>
          <cell r="N367" t="e">
            <v>#N/A</v>
          </cell>
          <cell r="O367" t="e">
            <v>#N/A</v>
          </cell>
          <cell r="P367">
            <v>49.73</v>
          </cell>
          <cell r="Q367">
            <v>1.797226</v>
          </cell>
          <cell r="R367" t="e">
            <v>#N/A</v>
          </cell>
        </row>
        <row r="368">
          <cell r="A368">
            <v>40002</v>
          </cell>
          <cell r="B368">
            <v>40002</v>
          </cell>
          <cell r="C368" t="str">
            <v>Past</v>
          </cell>
          <cell r="D368">
            <v>48.9</v>
          </cell>
          <cell r="E368" t="e">
            <v>#N/A</v>
          </cell>
          <cell r="F368" t="e">
            <v>#N/A</v>
          </cell>
          <cell r="G368" t="e">
            <v>#N/A</v>
          </cell>
          <cell r="H368" t="e">
            <v>#N/A</v>
          </cell>
          <cell r="I368" t="e">
            <v>#N/A</v>
          </cell>
          <cell r="J368" t="e">
            <v>#N/A</v>
          </cell>
          <cell r="K368" t="e">
            <v>#N/A</v>
          </cell>
          <cell r="L368" t="e">
            <v>#N/A</v>
          </cell>
          <cell r="M368" t="e">
            <v>#N/A</v>
          </cell>
          <cell r="N368" t="e">
            <v>#N/A</v>
          </cell>
          <cell r="O368" t="e">
            <v>#N/A</v>
          </cell>
          <cell r="P368">
            <v>48.9</v>
          </cell>
          <cell r="Q368">
            <v>1.8541049999999999</v>
          </cell>
          <cell r="R368" t="e">
            <v>#N/A</v>
          </cell>
        </row>
        <row r="369">
          <cell r="A369">
            <v>40003</v>
          </cell>
          <cell r="B369">
            <v>40003</v>
          </cell>
          <cell r="C369" t="str">
            <v>Past</v>
          </cell>
          <cell r="D369">
            <v>48.66</v>
          </cell>
          <cell r="E369" t="e">
            <v>#N/A</v>
          </cell>
          <cell r="F369" t="e">
            <v>#N/A</v>
          </cell>
          <cell r="G369" t="e">
            <v>#N/A</v>
          </cell>
          <cell r="H369" t="e">
            <v>#N/A</v>
          </cell>
          <cell r="I369" t="e">
            <v>#N/A</v>
          </cell>
          <cell r="J369" t="e">
            <v>#N/A</v>
          </cell>
          <cell r="K369" t="e">
            <v>#N/A</v>
          </cell>
          <cell r="L369" t="e">
            <v>#N/A</v>
          </cell>
          <cell r="M369" t="e">
            <v>#N/A</v>
          </cell>
          <cell r="N369" t="e">
            <v>#N/A</v>
          </cell>
          <cell r="O369" t="e">
            <v>#N/A</v>
          </cell>
          <cell r="P369">
            <v>48.66</v>
          </cell>
          <cell r="Q369">
            <v>1.3080159999999998</v>
          </cell>
          <cell r="R369" t="e">
            <v>#N/A</v>
          </cell>
        </row>
        <row r="370">
          <cell r="A370">
            <v>40004</v>
          </cell>
          <cell r="B370">
            <v>40004</v>
          </cell>
          <cell r="C370" t="str">
            <v>Past</v>
          </cell>
          <cell r="D370">
            <v>49.49</v>
          </cell>
          <cell r="E370" t="e">
            <v>#N/A</v>
          </cell>
          <cell r="F370" t="e">
            <v>#N/A</v>
          </cell>
          <cell r="G370" t="e">
            <v>#N/A</v>
          </cell>
          <cell r="H370" t="e">
            <v>#N/A</v>
          </cell>
          <cell r="I370" t="e">
            <v>#N/A</v>
          </cell>
          <cell r="J370" t="e">
            <v>#N/A</v>
          </cell>
          <cell r="K370" t="e">
            <v>#N/A</v>
          </cell>
          <cell r="L370" t="e">
            <v>#N/A</v>
          </cell>
          <cell r="M370" t="e">
            <v>#N/A</v>
          </cell>
          <cell r="N370" t="e">
            <v>#N/A</v>
          </cell>
          <cell r="O370" t="e">
            <v>#N/A</v>
          </cell>
          <cell r="P370">
            <v>49.49</v>
          </cell>
          <cell r="Q370">
            <v>1.2215049999999998</v>
          </cell>
          <cell r="R370" t="e">
            <v>#N/A</v>
          </cell>
        </row>
        <row r="371">
          <cell r="A371">
            <v>40007</v>
          </cell>
          <cell r="B371">
            <v>40007</v>
          </cell>
          <cell r="C371" t="str">
            <v>Past</v>
          </cell>
          <cell r="D371">
            <v>50.54</v>
          </cell>
          <cell r="E371" t="e">
            <v>#N/A</v>
          </cell>
          <cell r="F371" t="e">
            <v>#N/A</v>
          </cell>
          <cell r="G371" t="e">
            <v>#N/A</v>
          </cell>
          <cell r="H371" t="e">
            <v>#N/A</v>
          </cell>
          <cell r="I371" t="e">
            <v>#N/A</v>
          </cell>
          <cell r="J371" t="e">
            <v>#N/A</v>
          </cell>
          <cell r="K371" t="e">
            <v>#N/A</v>
          </cell>
          <cell r="L371" t="e">
            <v>#N/A</v>
          </cell>
          <cell r="M371" t="e">
            <v>#N/A</v>
          </cell>
          <cell r="N371" t="e">
            <v>#N/A</v>
          </cell>
          <cell r="O371" t="e">
            <v>#N/A</v>
          </cell>
          <cell r="P371">
            <v>50.54</v>
          </cell>
          <cell r="Q371">
            <v>0.812253</v>
          </cell>
          <cell r="R371" t="e">
            <v>#N/A</v>
          </cell>
        </row>
        <row r="372">
          <cell r="A372">
            <v>40008</v>
          </cell>
          <cell r="B372">
            <v>40008</v>
          </cell>
          <cell r="C372" t="str">
            <v>Past</v>
          </cell>
          <cell r="D372">
            <v>51.4</v>
          </cell>
          <cell r="E372" t="e">
            <v>#N/A</v>
          </cell>
          <cell r="F372" t="e">
            <v>#N/A</v>
          </cell>
          <cell r="G372" t="e">
            <v>#N/A</v>
          </cell>
          <cell r="H372" t="e">
            <v>#N/A</v>
          </cell>
          <cell r="I372" t="e">
            <v>#N/A</v>
          </cell>
          <cell r="J372" t="e">
            <v>#N/A</v>
          </cell>
          <cell r="K372" t="e">
            <v>#N/A</v>
          </cell>
          <cell r="L372" t="e">
            <v>#N/A</v>
          </cell>
          <cell r="M372" t="e">
            <v>#N/A</v>
          </cell>
          <cell r="N372" t="e">
            <v>#N/A</v>
          </cell>
          <cell r="O372" t="e">
            <v>#N/A</v>
          </cell>
          <cell r="P372">
            <v>51.4</v>
          </cell>
          <cell r="Q372">
            <v>0.91402000000000005</v>
          </cell>
          <cell r="R372" t="e">
            <v>#N/A</v>
          </cell>
        </row>
        <row r="373">
          <cell r="A373">
            <v>40009</v>
          </cell>
          <cell r="B373">
            <v>40009</v>
          </cell>
          <cell r="C373" t="str">
            <v>Past</v>
          </cell>
          <cell r="D373">
            <v>51.65</v>
          </cell>
          <cell r="E373" t="e">
            <v>#N/A</v>
          </cell>
          <cell r="F373" t="e">
            <v>#N/A</v>
          </cell>
          <cell r="G373" t="e">
            <v>#N/A</v>
          </cell>
          <cell r="H373" t="e">
            <v>#N/A</v>
          </cell>
          <cell r="I373" t="e">
            <v>#N/A</v>
          </cell>
          <cell r="J373" t="e">
            <v>#N/A</v>
          </cell>
          <cell r="K373" t="e">
            <v>#N/A</v>
          </cell>
          <cell r="L373" t="e">
            <v>#N/A</v>
          </cell>
          <cell r="M373" t="e">
            <v>#N/A</v>
          </cell>
          <cell r="N373" t="e">
            <v>#N/A</v>
          </cell>
          <cell r="O373" t="e">
            <v>#N/A</v>
          </cell>
          <cell r="P373">
            <v>51.65</v>
          </cell>
          <cell r="Q373">
            <v>1.6781619999999999</v>
          </cell>
          <cell r="R373" t="e">
            <v>#N/A</v>
          </cell>
        </row>
        <row r="374">
          <cell r="A374">
            <v>40010</v>
          </cell>
          <cell r="B374">
            <v>40010</v>
          </cell>
          <cell r="C374" t="str">
            <v>Past</v>
          </cell>
          <cell r="D374">
            <v>51.85</v>
          </cell>
          <cell r="E374" t="e">
            <v>#N/A</v>
          </cell>
          <cell r="F374" t="e">
            <v>#N/A</v>
          </cell>
          <cell r="G374" t="e">
            <v>#N/A</v>
          </cell>
          <cell r="H374" t="e">
            <v>#N/A</v>
          </cell>
          <cell r="I374" t="e">
            <v>#N/A</v>
          </cell>
          <cell r="J374" t="e">
            <v>#N/A</v>
          </cell>
          <cell r="K374" t="e">
            <v>#N/A</v>
          </cell>
          <cell r="L374" t="e">
            <v>#N/A</v>
          </cell>
          <cell r="M374" t="e">
            <v>#N/A</v>
          </cell>
          <cell r="N374" t="e">
            <v>#N/A</v>
          </cell>
          <cell r="O374" t="e">
            <v>#N/A</v>
          </cell>
          <cell r="P374">
            <v>51.85</v>
          </cell>
          <cell r="Q374">
            <v>0.95793699999999993</v>
          </cell>
          <cell r="R374" t="e">
            <v>#N/A</v>
          </cell>
        </row>
        <row r="375">
          <cell r="A375">
            <v>40011</v>
          </cell>
          <cell r="B375">
            <v>40011</v>
          </cell>
          <cell r="C375" t="str">
            <v>Past</v>
          </cell>
          <cell r="D375">
            <v>51.67</v>
          </cell>
          <cell r="E375" t="e">
            <v>#N/A</v>
          </cell>
          <cell r="F375" t="e">
            <v>#N/A</v>
          </cell>
          <cell r="G375" t="e">
            <v>#N/A</v>
          </cell>
          <cell r="H375" t="e">
            <v>#N/A</v>
          </cell>
          <cell r="I375" t="e">
            <v>#N/A</v>
          </cell>
          <cell r="J375" t="e">
            <v>#N/A</v>
          </cell>
          <cell r="K375" t="e">
            <v>#N/A</v>
          </cell>
          <cell r="L375" t="e">
            <v>#N/A</v>
          </cell>
          <cell r="M375" t="e">
            <v>#N/A</v>
          </cell>
          <cell r="N375" t="e">
            <v>#N/A</v>
          </cell>
          <cell r="O375" t="e">
            <v>#N/A</v>
          </cell>
          <cell r="P375">
            <v>51.67</v>
          </cell>
          <cell r="Q375">
            <v>1.1909110000000001</v>
          </cell>
          <cell r="R375" t="e">
            <v>#N/A</v>
          </cell>
        </row>
        <row r="376">
          <cell r="A376">
            <v>40014</v>
          </cell>
          <cell r="B376">
            <v>40014</v>
          </cell>
          <cell r="C376" t="str">
            <v>Past</v>
          </cell>
          <cell r="D376">
            <v>53.08</v>
          </cell>
          <cell r="E376" t="e">
            <v>#N/A</v>
          </cell>
          <cell r="F376" t="e">
            <v>#N/A</v>
          </cell>
          <cell r="G376" t="e">
            <v>#N/A</v>
          </cell>
          <cell r="H376" t="e">
            <v>#N/A</v>
          </cell>
          <cell r="I376" t="e">
            <v>#N/A</v>
          </cell>
          <cell r="J376" t="e">
            <v>#N/A</v>
          </cell>
          <cell r="K376" t="e">
            <v>#N/A</v>
          </cell>
          <cell r="L376" t="e">
            <v>#N/A</v>
          </cell>
          <cell r="M376" t="e">
            <v>#N/A</v>
          </cell>
          <cell r="N376" t="e">
            <v>#N/A</v>
          </cell>
          <cell r="O376" t="e">
            <v>#N/A</v>
          </cell>
          <cell r="P376">
            <v>53.08</v>
          </cell>
          <cell r="Q376">
            <v>0.73839499999999991</v>
          </cell>
          <cell r="R376" t="e">
            <v>#N/A</v>
          </cell>
        </row>
        <row r="377">
          <cell r="A377">
            <v>40015</v>
          </cell>
          <cell r="B377">
            <v>40015</v>
          </cell>
          <cell r="C377" t="str">
            <v>Past</v>
          </cell>
          <cell r="D377">
            <v>53.55</v>
          </cell>
          <cell r="E377" t="e">
            <v>#N/A</v>
          </cell>
          <cell r="F377" t="e">
            <v>#N/A</v>
          </cell>
          <cell r="G377" t="e">
            <v>#N/A</v>
          </cell>
          <cell r="H377" t="e">
            <v>#N/A</v>
          </cell>
          <cell r="I377" t="e">
            <v>#N/A</v>
          </cell>
          <cell r="J377" t="e">
            <v>#N/A</v>
          </cell>
          <cell r="K377" t="e">
            <v>#N/A</v>
          </cell>
          <cell r="L377" t="e">
            <v>#N/A</v>
          </cell>
          <cell r="M377" t="e">
            <v>#N/A</v>
          </cell>
          <cell r="N377" t="e">
            <v>#N/A</v>
          </cell>
          <cell r="O377" t="e">
            <v>#N/A</v>
          </cell>
          <cell r="P377">
            <v>53.55</v>
          </cell>
          <cell r="Q377">
            <v>1.3500719999999999</v>
          </cell>
          <cell r="R377" t="e">
            <v>#N/A</v>
          </cell>
        </row>
        <row r="378">
          <cell r="A378">
            <v>40016</v>
          </cell>
          <cell r="B378">
            <v>40016</v>
          </cell>
          <cell r="C378" t="str">
            <v>Past</v>
          </cell>
          <cell r="D378">
            <v>53.05</v>
          </cell>
          <cell r="E378" t="e">
            <v>#N/A</v>
          </cell>
          <cell r="F378" t="e">
            <v>#N/A</v>
          </cell>
          <cell r="G378" t="e">
            <v>#N/A</v>
          </cell>
          <cell r="H378" t="e">
            <v>#N/A</v>
          </cell>
          <cell r="I378" t="e">
            <v>#N/A</v>
          </cell>
          <cell r="J378" t="e">
            <v>#N/A</v>
          </cell>
          <cell r="K378" t="e">
            <v>#N/A</v>
          </cell>
          <cell r="L378" t="e">
            <v>#N/A</v>
          </cell>
          <cell r="M378" t="e">
            <v>#N/A</v>
          </cell>
          <cell r="N378" t="e">
            <v>#N/A</v>
          </cell>
          <cell r="O378" t="e">
            <v>#N/A</v>
          </cell>
          <cell r="P378">
            <v>53.05</v>
          </cell>
          <cell r="Q378">
            <v>1.4884579999999998</v>
          </cell>
          <cell r="R378" t="e">
            <v>#N/A</v>
          </cell>
        </row>
        <row r="379">
          <cell r="A379">
            <v>40017</v>
          </cell>
          <cell r="B379">
            <v>40017</v>
          </cell>
          <cell r="C379" t="str">
            <v>Past</v>
          </cell>
          <cell r="D379">
            <v>49.32</v>
          </cell>
          <cell r="E379" t="e">
            <v>#N/A</v>
          </cell>
          <cell r="F379" t="e">
            <v>#N/A</v>
          </cell>
          <cell r="G379" t="e">
            <v>#N/A</v>
          </cell>
          <cell r="H379" t="e">
            <v>#N/A</v>
          </cell>
          <cell r="I379" t="e">
            <v>#N/A</v>
          </cell>
          <cell r="J379" t="e">
            <v>#N/A</v>
          </cell>
          <cell r="K379" t="e">
            <v>#N/A</v>
          </cell>
          <cell r="L379" t="e">
            <v>#N/A</v>
          </cell>
          <cell r="M379" t="e">
            <v>#N/A</v>
          </cell>
          <cell r="N379" t="e">
            <v>#N/A</v>
          </cell>
          <cell r="O379" t="e">
            <v>#N/A</v>
          </cell>
          <cell r="P379">
            <v>49.32</v>
          </cell>
          <cell r="Q379">
            <v>7.2757889999999996</v>
          </cell>
          <cell r="R379" t="e">
            <v>#N/A</v>
          </cell>
        </row>
        <row r="380">
          <cell r="A380">
            <v>40018</v>
          </cell>
          <cell r="B380">
            <v>40018</v>
          </cell>
          <cell r="C380" t="str">
            <v>Past</v>
          </cell>
          <cell r="D380">
            <v>50.78</v>
          </cell>
          <cell r="E380" t="e">
            <v>#N/A</v>
          </cell>
          <cell r="F380" t="e">
            <v>#N/A</v>
          </cell>
          <cell r="G380" t="e">
            <v>#N/A</v>
          </cell>
          <cell r="H380" t="e">
            <v>#N/A</v>
          </cell>
          <cell r="I380" t="e">
            <v>#N/A</v>
          </cell>
          <cell r="J380" t="e">
            <v>#N/A</v>
          </cell>
          <cell r="K380" t="e">
            <v>#N/A</v>
          </cell>
          <cell r="L380" t="e">
            <v>#N/A</v>
          </cell>
          <cell r="M380" t="e">
            <v>#N/A</v>
          </cell>
          <cell r="N380" t="e">
            <v>#N/A</v>
          </cell>
          <cell r="O380" t="e">
            <v>#N/A</v>
          </cell>
          <cell r="P380">
            <v>50.78</v>
          </cell>
          <cell r="Q380">
            <v>3.0516319999999997</v>
          </cell>
          <cell r="R380" t="e">
            <v>#N/A</v>
          </cell>
        </row>
        <row r="381">
          <cell r="A381">
            <v>40021</v>
          </cell>
          <cell r="B381">
            <v>40021</v>
          </cell>
          <cell r="C381" t="str">
            <v>Past</v>
          </cell>
          <cell r="D381">
            <v>50.45</v>
          </cell>
          <cell r="E381" t="e">
            <v>#N/A</v>
          </cell>
          <cell r="F381" t="e">
            <v>#N/A</v>
          </cell>
          <cell r="G381" t="e">
            <v>#N/A</v>
          </cell>
          <cell r="H381" t="e">
            <v>#N/A</v>
          </cell>
          <cell r="I381" t="e">
            <v>#N/A</v>
          </cell>
          <cell r="J381" t="e">
            <v>#N/A</v>
          </cell>
          <cell r="K381" t="e">
            <v>#N/A</v>
          </cell>
          <cell r="L381" t="e">
            <v>#N/A</v>
          </cell>
          <cell r="M381" t="e">
            <v>#N/A</v>
          </cell>
          <cell r="N381" t="e">
            <v>#N/A</v>
          </cell>
          <cell r="O381" t="e">
            <v>#N/A</v>
          </cell>
          <cell r="P381">
            <v>50.45</v>
          </cell>
          <cell r="Q381">
            <v>1.635054</v>
          </cell>
          <cell r="R381" t="e">
            <v>#N/A</v>
          </cell>
        </row>
        <row r="382">
          <cell r="A382">
            <v>40022</v>
          </cell>
          <cell r="B382">
            <v>40022</v>
          </cell>
          <cell r="C382" t="str">
            <v>Past</v>
          </cell>
          <cell r="D382">
            <v>50.15</v>
          </cell>
          <cell r="E382" t="e">
            <v>#N/A</v>
          </cell>
          <cell r="F382" t="e">
            <v>#N/A</v>
          </cell>
          <cell r="G382" t="e">
            <v>#N/A</v>
          </cell>
          <cell r="H382" t="e">
            <v>#N/A</v>
          </cell>
          <cell r="I382" t="e">
            <v>#N/A</v>
          </cell>
          <cell r="J382" t="e">
            <v>#N/A</v>
          </cell>
          <cell r="K382" t="e">
            <v>#N/A</v>
          </cell>
          <cell r="L382" t="e">
            <v>#N/A</v>
          </cell>
          <cell r="M382" t="e">
            <v>#N/A</v>
          </cell>
          <cell r="N382" t="e">
            <v>#N/A</v>
          </cell>
          <cell r="O382" t="e">
            <v>#N/A</v>
          </cell>
          <cell r="P382">
            <v>50.15</v>
          </cell>
          <cell r="Q382">
            <v>1.1248500000000001</v>
          </cell>
          <cell r="R382" t="e">
            <v>#N/A</v>
          </cell>
        </row>
        <row r="383">
          <cell r="A383">
            <v>40023</v>
          </cell>
          <cell r="B383">
            <v>40023</v>
          </cell>
          <cell r="C383" t="str">
            <v>Past</v>
          </cell>
          <cell r="D383">
            <v>50.72</v>
          </cell>
          <cell r="E383" t="e">
            <v>#N/A</v>
          </cell>
          <cell r="F383" t="e">
            <v>#N/A</v>
          </cell>
          <cell r="G383" t="e">
            <v>#N/A</v>
          </cell>
          <cell r="H383" t="e">
            <v>#N/A</v>
          </cell>
          <cell r="I383" t="e">
            <v>#N/A</v>
          </cell>
          <cell r="J383" t="e">
            <v>#N/A</v>
          </cell>
          <cell r="K383" t="e">
            <v>#N/A</v>
          </cell>
          <cell r="L383" t="e">
            <v>#N/A</v>
          </cell>
          <cell r="M383" t="e">
            <v>#N/A</v>
          </cell>
          <cell r="N383" t="e">
            <v>#N/A</v>
          </cell>
          <cell r="O383" t="e">
            <v>#N/A</v>
          </cell>
          <cell r="P383">
            <v>50.72</v>
          </cell>
          <cell r="Q383">
            <v>1.319062</v>
          </cell>
          <cell r="R383" t="e">
            <v>#N/A</v>
          </cell>
        </row>
        <row r="384">
          <cell r="A384">
            <v>40024</v>
          </cell>
          <cell r="B384">
            <v>40024</v>
          </cell>
          <cell r="C384" t="str">
            <v>Past</v>
          </cell>
          <cell r="D384">
            <v>51.9</v>
          </cell>
          <cell r="E384" t="e">
            <v>#N/A</v>
          </cell>
          <cell r="F384" t="e">
            <v>#N/A</v>
          </cell>
          <cell r="G384" t="e">
            <v>#N/A</v>
          </cell>
          <cell r="H384" t="e">
            <v>#N/A</v>
          </cell>
          <cell r="I384" t="e">
            <v>#N/A</v>
          </cell>
          <cell r="J384" t="e">
            <v>#N/A</v>
          </cell>
          <cell r="K384" t="e">
            <v>#N/A</v>
          </cell>
          <cell r="L384" t="e">
            <v>#N/A</v>
          </cell>
          <cell r="M384" t="e">
            <v>#N/A</v>
          </cell>
          <cell r="N384" t="e">
            <v>#N/A</v>
          </cell>
          <cell r="O384" t="e">
            <v>#N/A</v>
          </cell>
          <cell r="P384">
            <v>51.9</v>
          </cell>
          <cell r="Q384">
            <v>1.0374539999999999</v>
          </cell>
          <cell r="R384" t="e">
            <v>#N/A</v>
          </cell>
        </row>
        <row r="385">
          <cell r="A385">
            <v>40025</v>
          </cell>
          <cell r="B385">
            <v>40025</v>
          </cell>
          <cell r="C385" t="str">
            <v>Past</v>
          </cell>
          <cell r="D385">
            <v>51.36</v>
          </cell>
          <cell r="E385" t="e">
            <v>#N/A</v>
          </cell>
          <cell r="F385" t="e">
            <v>#N/A</v>
          </cell>
          <cell r="G385" t="e">
            <v>#N/A</v>
          </cell>
          <cell r="H385" t="e">
            <v>#N/A</v>
          </cell>
          <cell r="I385" t="e">
            <v>#N/A</v>
          </cell>
          <cell r="J385" t="e">
            <v>#N/A</v>
          </cell>
          <cell r="K385" t="e">
            <v>#N/A</v>
          </cell>
          <cell r="L385" t="e">
            <v>#N/A</v>
          </cell>
          <cell r="M385" t="e">
            <v>#N/A</v>
          </cell>
          <cell r="N385" t="e">
            <v>#N/A</v>
          </cell>
          <cell r="O385" t="e">
            <v>#N/A</v>
          </cell>
          <cell r="P385">
            <v>51.36</v>
          </cell>
          <cell r="Q385">
            <v>1.0201629999999999</v>
          </cell>
          <cell r="R385" t="e">
            <v>#N/A</v>
          </cell>
        </row>
        <row r="386">
          <cell r="A386">
            <v>40028</v>
          </cell>
          <cell r="B386">
            <v>40028</v>
          </cell>
          <cell r="C386" t="str">
            <v>Past</v>
          </cell>
          <cell r="D386">
            <v>53.61</v>
          </cell>
          <cell r="E386" t="e">
            <v>#N/A</v>
          </cell>
          <cell r="F386" t="e">
            <v>#N/A</v>
          </cell>
          <cell r="G386" t="e">
            <v>#N/A</v>
          </cell>
          <cell r="H386" t="e">
            <v>#N/A</v>
          </cell>
          <cell r="I386" t="e">
            <v>#N/A</v>
          </cell>
          <cell r="J386" t="e">
            <v>#N/A</v>
          </cell>
          <cell r="K386" t="e">
            <v>#N/A</v>
          </cell>
          <cell r="L386" t="e">
            <v>#N/A</v>
          </cell>
          <cell r="M386" t="e">
            <v>#N/A</v>
          </cell>
          <cell r="N386" t="e">
            <v>#N/A</v>
          </cell>
          <cell r="O386" t="e">
            <v>#N/A</v>
          </cell>
          <cell r="P386">
            <v>53.61</v>
          </cell>
          <cell r="Q386">
            <v>1.692315</v>
          </cell>
          <cell r="R386" t="e">
            <v>#N/A</v>
          </cell>
        </row>
        <row r="387">
          <cell r="A387">
            <v>40029</v>
          </cell>
          <cell r="B387">
            <v>40029</v>
          </cell>
          <cell r="C387" t="str">
            <v>Past</v>
          </cell>
          <cell r="D387">
            <v>53.72</v>
          </cell>
          <cell r="E387" t="e">
            <v>#N/A</v>
          </cell>
          <cell r="F387" t="e">
            <v>#N/A</v>
          </cell>
          <cell r="G387" t="e">
            <v>#N/A</v>
          </cell>
          <cell r="H387" t="e">
            <v>#N/A</v>
          </cell>
          <cell r="I387" t="e">
            <v>#N/A</v>
          </cell>
          <cell r="J387" t="e">
            <v>#N/A</v>
          </cell>
          <cell r="K387" t="e">
            <v>#N/A</v>
          </cell>
          <cell r="L387" t="e">
            <v>#N/A</v>
          </cell>
          <cell r="M387" t="e">
            <v>#N/A</v>
          </cell>
          <cell r="N387" t="e">
            <v>#N/A</v>
          </cell>
          <cell r="O387" t="e">
            <v>#N/A</v>
          </cell>
          <cell r="P387">
            <v>53.72</v>
          </cell>
          <cell r="Q387">
            <v>1.231071</v>
          </cell>
          <cell r="R387" t="e">
            <v>#N/A</v>
          </cell>
        </row>
        <row r="388">
          <cell r="A388">
            <v>40030</v>
          </cell>
          <cell r="B388">
            <v>40030</v>
          </cell>
          <cell r="C388" t="str">
            <v>Past</v>
          </cell>
          <cell r="D388">
            <v>54.02</v>
          </cell>
          <cell r="E388" t="e">
            <v>#N/A</v>
          </cell>
          <cell r="F388" t="e">
            <v>#N/A</v>
          </cell>
          <cell r="G388" t="e">
            <v>#N/A</v>
          </cell>
          <cell r="H388" t="e">
            <v>#N/A</v>
          </cell>
          <cell r="I388" t="e">
            <v>#N/A</v>
          </cell>
          <cell r="J388" t="e">
            <v>#N/A</v>
          </cell>
          <cell r="K388" t="e">
            <v>#N/A</v>
          </cell>
          <cell r="L388" t="e">
            <v>#N/A</v>
          </cell>
          <cell r="M388" t="e">
            <v>#N/A</v>
          </cell>
          <cell r="N388" t="e">
            <v>#N/A</v>
          </cell>
          <cell r="O388" t="e">
            <v>#N/A</v>
          </cell>
          <cell r="P388">
            <v>54.02</v>
          </cell>
          <cell r="Q388">
            <v>1.576238</v>
          </cell>
          <cell r="R388" t="e">
            <v>#N/A</v>
          </cell>
        </row>
        <row r="389">
          <cell r="A389">
            <v>40031</v>
          </cell>
          <cell r="B389">
            <v>40031</v>
          </cell>
          <cell r="C389" t="str">
            <v>Past</v>
          </cell>
          <cell r="D389">
            <v>54.91</v>
          </cell>
          <cell r="E389" t="e">
            <v>#N/A</v>
          </cell>
          <cell r="F389" t="e">
            <v>#N/A</v>
          </cell>
          <cell r="G389" t="e">
            <v>#N/A</v>
          </cell>
          <cell r="H389" t="e">
            <v>#N/A</v>
          </cell>
          <cell r="I389" t="e">
            <v>#N/A</v>
          </cell>
          <cell r="J389" t="e">
            <v>#N/A</v>
          </cell>
          <cell r="K389" t="e">
            <v>#N/A</v>
          </cell>
          <cell r="L389" t="e">
            <v>#N/A</v>
          </cell>
          <cell r="M389" t="e">
            <v>#N/A</v>
          </cell>
          <cell r="N389" t="e">
            <v>#N/A</v>
          </cell>
          <cell r="O389" t="e">
            <v>#N/A</v>
          </cell>
          <cell r="P389">
            <v>54.91</v>
          </cell>
          <cell r="Q389">
            <v>1.1363779999999999</v>
          </cell>
          <cell r="R389" t="e">
            <v>#N/A</v>
          </cell>
        </row>
        <row r="390">
          <cell r="A390">
            <v>40032</v>
          </cell>
          <cell r="B390">
            <v>40032</v>
          </cell>
          <cell r="C390" t="str">
            <v>Past</v>
          </cell>
          <cell r="D390">
            <v>56.57</v>
          </cell>
          <cell r="E390" t="e">
            <v>#N/A</v>
          </cell>
          <cell r="F390" t="e">
            <v>#N/A</v>
          </cell>
          <cell r="G390" t="e">
            <v>#N/A</v>
          </cell>
          <cell r="H390" t="e">
            <v>#N/A</v>
          </cell>
          <cell r="I390" t="e">
            <v>#N/A</v>
          </cell>
          <cell r="J390" t="e">
            <v>#N/A</v>
          </cell>
          <cell r="K390" t="e">
            <v>#N/A</v>
          </cell>
          <cell r="L390" t="e">
            <v>#N/A</v>
          </cell>
          <cell r="M390" t="e">
            <v>#N/A</v>
          </cell>
          <cell r="N390" t="e">
            <v>#N/A</v>
          </cell>
          <cell r="O390" t="e">
            <v>#N/A</v>
          </cell>
          <cell r="P390">
            <v>56.57</v>
          </cell>
          <cell r="Q390">
            <v>1.425829</v>
          </cell>
          <cell r="R390" t="e">
            <v>#N/A</v>
          </cell>
        </row>
        <row r="391">
          <cell r="A391">
            <v>40035</v>
          </cell>
          <cell r="B391">
            <v>40035</v>
          </cell>
          <cell r="C391" t="str">
            <v>Past</v>
          </cell>
          <cell r="D391">
            <v>55.46</v>
          </cell>
          <cell r="E391" t="e">
            <v>#N/A</v>
          </cell>
          <cell r="F391" t="e">
            <v>#N/A</v>
          </cell>
          <cell r="G391" t="e">
            <v>#N/A</v>
          </cell>
          <cell r="H391" t="e">
            <v>#N/A</v>
          </cell>
          <cell r="I391" t="e">
            <v>#N/A</v>
          </cell>
          <cell r="J391" t="e">
            <v>#N/A</v>
          </cell>
          <cell r="K391" t="e">
            <v>#N/A</v>
          </cell>
          <cell r="L391" t="e">
            <v>#N/A</v>
          </cell>
          <cell r="M391" t="e">
            <v>#N/A</v>
          </cell>
          <cell r="N391" t="e">
            <v>#N/A</v>
          </cell>
          <cell r="O391" t="e">
            <v>#N/A</v>
          </cell>
          <cell r="P391">
            <v>55.46</v>
          </cell>
          <cell r="Q391">
            <v>0.908416</v>
          </cell>
          <cell r="R391" t="e">
            <v>#N/A</v>
          </cell>
        </row>
        <row r="392">
          <cell r="A392">
            <v>40036</v>
          </cell>
          <cell r="B392">
            <v>40036</v>
          </cell>
          <cell r="C392" t="str">
            <v>Past</v>
          </cell>
          <cell r="D392">
            <v>54.89</v>
          </cell>
          <cell r="E392" t="e">
            <v>#N/A</v>
          </cell>
          <cell r="F392" t="e">
            <v>#N/A</v>
          </cell>
          <cell r="G392" t="e">
            <v>#N/A</v>
          </cell>
          <cell r="H392" t="e">
            <v>#N/A</v>
          </cell>
          <cell r="I392" t="e">
            <v>#N/A</v>
          </cell>
          <cell r="J392" t="e">
            <v>#N/A</v>
          </cell>
          <cell r="K392" t="e">
            <v>#N/A</v>
          </cell>
          <cell r="L392" t="e">
            <v>#N/A</v>
          </cell>
          <cell r="M392" t="e">
            <v>#N/A</v>
          </cell>
          <cell r="N392" t="e">
            <v>#N/A</v>
          </cell>
          <cell r="O392" t="e">
            <v>#N/A</v>
          </cell>
          <cell r="P392">
            <v>54.89</v>
          </cell>
          <cell r="Q392">
            <v>1.0163329999999999</v>
          </cell>
          <cell r="R392" t="e">
            <v>#N/A</v>
          </cell>
        </row>
        <row r="393">
          <cell r="A393">
            <v>40037</v>
          </cell>
          <cell r="B393">
            <v>40037</v>
          </cell>
          <cell r="C393" t="str">
            <v>Past</v>
          </cell>
          <cell r="D393">
            <v>55.75</v>
          </cell>
          <cell r="E393" t="e">
            <v>#N/A</v>
          </cell>
          <cell r="F393" t="e">
            <v>#N/A</v>
          </cell>
          <cell r="G393" t="e">
            <v>#N/A</v>
          </cell>
          <cell r="H393" t="e">
            <v>#N/A</v>
          </cell>
          <cell r="I393" t="e">
            <v>#N/A</v>
          </cell>
          <cell r="J393" t="e">
            <v>#N/A</v>
          </cell>
          <cell r="K393" t="e">
            <v>#N/A</v>
          </cell>
          <cell r="L393" t="e">
            <v>#N/A</v>
          </cell>
          <cell r="M393" t="e">
            <v>#N/A</v>
          </cell>
          <cell r="N393" t="e">
            <v>#N/A</v>
          </cell>
          <cell r="O393" t="e">
            <v>#N/A</v>
          </cell>
          <cell r="P393">
            <v>55.75</v>
          </cell>
          <cell r="Q393">
            <v>0.94009699999999996</v>
          </cell>
          <cell r="R393" t="e">
            <v>#N/A</v>
          </cell>
        </row>
        <row r="394">
          <cell r="A394">
            <v>40038</v>
          </cell>
          <cell r="B394">
            <v>40038</v>
          </cell>
          <cell r="C394" t="str">
            <v>Past</v>
          </cell>
          <cell r="D394">
            <v>55.41</v>
          </cell>
          <cell r="E394" t="e">
            <v>#N/A</v>
          </cell>
          <cell r="F394" t="e">
            <v>#N/A</v>
          </cell>
          <cell r="G394" t="e">
            <v>#N/A</v>
          </cell>
          <cell r="H394" t="e">
            <v>#N/A</v>
          </cell>
          <cell r="I394" t="e">
            <v>#N/A</v>
          </cell>
          <cell r="J394" t="e">
            <v>#N/A</v>
          </cell>
          <cell r="K394" t="e">
            <v>#N/A</v>
          </cell>
          <cell r="L394" t="e">
            <v>#N/A</v>
          </cell>
          <cell r="M394" t="e">
            <v>#N/A</v>
          </cell>
          <cell r="N394" t="e">
            <v>#N/A</v>
          </cell>
          <cell r="O394" t="e">
            <v>#N/A</v>
          </cell>
          <cell r="P394">
            <v>55.41</v>
          </cell>
          <cell r="Q394">
            <v>1.411985</v>
          </cell>
          <cell r="R394" t="e">
            <v>#N/A</v>
          </cell>
        </row>
        <row r="395">
          <cell r="A395">
            <v>40039</v>
          </cell>
          <cell r="B395">
            <v>40039</v>
          </cell>
          <cell r="C395" t="str">
            <v>Past</v>
          </cell>
          <cell r="D395">
            <v>55.11</v>
          </cell>
          <cell r="E395" t="e">
            <v>#N/A</v>
          </cell>
          <cell r="F395" t="e">
            <v>#N/A</v>
          </cell>
          <cell r="G395" t="e">
            <v>#N/A</v>
          </cell>
          <cell r="H395" t="e">
            <v>#N/A</v>
          </cell>
          <cell r="I395" t="e">
            <v>#N/A</v>
          </cell>
          <cell r="J395" t="e">
            <v>#N/A</v>
          </cell>
          <cell r="K395" t="e">
            <v>#N/A</v>
          </cell>
          <cell r="L395" t="e">
            <v>#N/A</v>
          </cell>
          <cell r="M395" t="e">
            <v>#N/A</v>
          </cell>
          <cell r="N395" t="e">
            <v>#N/A</v>
          </cell>
          <cell r="O395" t="e">
            <v>#N/A</v>
          </cell>
          <cell r="P395">
            <v>55.11</v>
          </cell>
          <cell r="Q395">
            <v>0.87151099999999992</v>
          </cell>
          <cell r="R395" t="e">
            <v>#N/A</v>
          </cell>
        </row>
        <row r="396">
          <cell r="A396">
            <v>40042</v>
          </cell>
          <cell r="B396">
            <v>40042</v>
          </cell>
          <cell r="C396" t="str">
            <v>Past</v>
          </cell>
          <cell r="D396">
            <v>53.75</v>
          </cell>
          <cell r="E396" t="e">
            <v>#N/A</v>
          </cell>
          <cell r="F396" t="e">
            <v>#N/A</v>
          </cell>
          <cell r="G396" t="e">
            <v>#N/A</v>
          </cell>
          <cell r="H396" t="e">
            <v>#N/A</v>
          </cell>
          <cell r="I396" t="e">
            <v>#N/A</v>
          </cell>
          <cell r="J396" t="e">
            <v>#N/A</v>
          </cell>
          <cell r="K396" t="e">
            <v>#N/A</v>
          </cell>
          <cell r="L396" t="e">
            <v>#N/A</v>
          </cell>
          <cell r="M396" t="e">
            <v>#N/A</v>
          </cell>
          <cell r="N396" t="e">
            <v>#N/A</v>
          </cell>
          <cell r="O396" t="e">
            <v>#N/A</v>
          </cell>
          <cell r="P396">
            <v>53.75</v>
          </cell>
          <cell r="Q396">
            <v>0.64625699999999997</v>
          </cell>
          <cell r="R396" t="e">
            <v>#N/A</v>
          </cell>
        </row>
        <row r="397">
          <cell r="A397">
            <v>40043</v>
          </cell>
          <cell r="B397">
            <v>40043</v>
          </cell>
          <cell r="C397" t="str">
            <v>Past</v>
          </cell>
          <cell r="D397">
            <v>54.2</v>
          </cell>
          <cell r="E397" t="e">
            <v>#N/A</v>
          </cell>
          <cell r="F397" t="e">
            <v>#N/A</v>
          </cell>
          <cell r="G397" t="e">
            <v>#N/A</v>
          </cell>
          <cell r="H397" t="e">
            <v>#N/A</v>
          </cell>
          <cell r="I397" t="e">
            <v>#N/A</v>
          </cell>
          <cell r="J397" t="e">
            <v>#N/A</v>
          </cell>
          <cell r="K397" t="e">
            <v>#N/A</v>
          </cell>
          <cell r="L397" t="e">
            <v>#N/A</v>
          </cell>
          <cell r="M397" t="e">
            <v>#N/A</v>
          </cell>
          <cell r="N397" t="e">
            <v>#N/A</v>
          </cell>
          <cell r="O397" t="e">
            <v>#N/A</v>
          </cell>
          <cell r="P397">
            <v>54.2</v>
          </cell>
          <cell r="Q397">
            <v>0.60949000000000009</v>
          </cell>
          <cell r="R397" t="e">
            <v>#N/A</v>
          </cell>
        </row>
        <row r="398">
          <cell r="A398">
            <v>40044</v>
          </cell>
          <cell r="B398">
            <v>40044</v>
          </cell>
          <cell r="C398" t="str">
            <v>Past</v>
          </cell>
          <cell r="D398">
            <v>54.56</v>
          </cell>
          <cell r="E398" t="e">
            <v>#N/A</v>
          </cell>
          <cell r="F398" t="e">
            <v>#N/A</v>
          </cell>
          <cell r="G398" t="e">
            <v>#N/A</v>
          </cell>
          <cell r="H398" t="e">
            <v>#N/A</v>
          </cell>
          <cell r="I398" t="e">
            <v>#N/A</v>
          </cell>
          <cell r="J398" t="e">
            <v>#N/A</v>
          </cell>
          <cell r="K398" t="e">
            <v>#N/A</v>
          </cell>
          <cell r="L398" t="e">
            <v>#N/A</v>
          </cell>
          <cell r="M398" t="e">
            <v>#N/A</v>
          </cell>
          <cell r="N398" t="e">
            <v>#N/A</v>
          </cell>
          <cell r="O398" t="e">
            <v>#N/A</v>
          </cell>
          <cell r="P398">
            <v>54.56</v>
          </cell>
          <cell r="Q398">
            <v>0.47355700000000001</v>
          </cell>
          <cell r="R398" t="e">
            <v>#N/A</v>
          </cell>
        </row>
        <row r="399">
          <cell r="A399">
            <v>40045</v>
          </cell>
          <cell r="B399">
            <v>40045</v>
          </cell>
          <cell r="C399" t="str">
            <v>Past</v>
          </cell>
          <cell r="D399">
            <v>55.49</v>
          </cell>
          <cell r="E399" t="e">
            <v>#N/A</v>
          </cell>
          <cell r="F399" t="e">
            <v>#N/A</v>
          </cell>
          <cell r="G399" t="e">
            <v>#N/A</v>
          </cell>
          <cell r="H399" t="e">
            <v>#N/A</v>
          </cell>
          <cell r="I399" t="e">
            <v>#N/A</v>
          </cell>
          <cell r="J399" t="e">
            <v>#N/A</v>
          </cell>
          <cell r="K399" t="e">
            <v>#N/A</v>
          </cell>
          <cell r="L399" t="e">
            <v>#N/A</v>
          </cell>
          <cell r="M399" t="e">
            <v>#N/A</v>
          </cell>
          <cell r="N399" t="e">
            <v>#N/A</v>
          </cell>
          <cell r="O399" t="e">
            <v>#N/A</v>
          </cell>
          <cell r="P399">
            <v>55.49</v>
          </cell>
          <cell r="Q399">
            <v>0.49772899999999998</v>
          </cell>
          <cell r="R399" t="e">
            <v>#N/A</v>
          </cell>
        </row>
        <row r="400">
          <cell r="A400">
            <v>40046</v>
          </cell>
          <cell r="B400">
            <v>40046</v>
          </cell>
          <cell r="C400" t="str">
            <v>Past</v>
          </cell>
          <cell r="D400">
            <v>57.03</v>
          </cell>
          <cell r="E400" t="e">
            <v>#N/A</v>
          </cell>
          <cell r="F400" t="e">
            <v>#N/A</v>
          </cell>
          <cell r="G400" t="e">
            <v>#N/A</v>
          </cell>
          <cell r="H400" t="e">
            <v>#N/A</v>
          </cell>
          <cell r="I400" t="e">
            <v>#N/A</v>
          </cell>
          <cell r="J400" t="e">
            <v>#N/A</v>
          </cell>
          <cell r="K400" t="e">
            <v>#N/A</v>
          </cell>
          <cell r="L400" t="e">
            <v>#N/A</v>
          </cell>
          <cell r="M400" t="e">
            <v>#N/A</v>
          </cell>
          <cell r="N400" t="e">
            <v>#N/A</v>
          </cell>
          <cell r="O400" t="e">
            <v>#N/A</v>
          </cell>
          <cell r="P400">
            <v>57.03</v>
          </cell>
          <cell r="Q400">
            <v>1.3126689999999999</v>
          </cell>
          <cell r="R400" t="e">
            <v>#N/A</v>
          </cell>
        </row>
        <row r="401">
          <cell r="A401">
            <v>40049</v>
          </cell>
          <cell r="B401">
            <v>40049</v>
          </cell>
          <cell r="C401" t="str">
            <v>Past</v>
          </cell>
          <cell r="D401">
            <v>57.16</v>
          </cell>
          <cell r="E401" t="e">
            <v>#N/A</v>
          </cell>
          <cell r="F401" t="e">
            <v>#N/A</v>
          </cell>
          <cell r="G401" t="e">
            <v>#N/A</v>
          </cell>
          <cell r="H401" t="e">
            <v>#N/A</v>
          </cell>
          <cell r="I401" t="e">
            <v>#N/A</v>
          </cell>
          <cell r="J401" t="e">
            <v>#N/A</v>
          </cell>
          <cell r="K401" t="e">
            <v>#N/A</v>
          </cell>
          <cell r="L401" t="e">
            <v>#N/A</v>
          </cell>
          <cell r="M401" t="e">
            <v>#N/A</v>
          </cell>
          <cell r="N401" t="e">
            <v>#N/A</v>
          </cell>
          <cell r="O401" t="e">
            <v>#N/A</v>
          </cell>
          <cell r="P401">
            <v>57.16</v>
          </cell>
          <cell r="Q401">
            <v>0.77187600000000001</v>
          </cell>
          <cell r="R401" t="e">
            <v>#N/A</v>
          </cell>
        </row>
        <row r="402">
          <cell r="A402">
            <v>40050</v>
          </cell>
          <cell r="B402">
            <v>40050</v>
          </cell>
          <cell r="C402" t="str">
            <v>Past</v>
          </cell>
          <cell r="D402">
            <v>56.86</v>
          </cell>
          <cell r="E402" t="e">
            <v>#N/A</v>
          </cell>
          <cell r="F402" t="e">
            <v>#N/A</v>
          </cell>
          <cell r="G402" t="e">
            <v>#N/A</v>
          </cell>
          <cell r="H402" t="e">
            <v>#N/A</v>
          </cell>
          <cell r="I402" t="e">
            <v>#N/A</v>
          </cell>
          <cell r="J402" t="e">
            <v>#N/A</v>
          </cell>
          <cell r="K402" t="e">
            <v>#N/A</v>
          </cell>
          <cell r="L402" t="e">
            <v>#N/A</v>
          </cell>
          <cell r="M402" t="e">
            <v>#N/A</v>
          </cell>
          <cell r="N402" t="e">
            <v>#N/A</v>
          </cell>
          <cell r="O402" t="e">
            <v>#N/A</v>
          </cell>
          <cell r="P402">
            <v>56.86</v>
          </cell>
          <cell r="Q402">
            <v>1.2499169999999999</v>
          </cell>
          <cell r="R402" t="e">
            <v>#N/A</v>
          </cell>
        </row>
        <row r="403">
          <cell r="A403">
            <v>40051</v>
          </cell>
          <cell r="B403">
            <v>40051</v>
          </cell>
          <cell r="C403" t="str">
            <v>Past</v>
          </cell>
          <cell r="D403">
            <v>55.25</v>
          </cell>
          <cell r="E403" t="e">
            <v>#N/A</v>
          </cell>
          <cell r="F403" t="e">
            <v>#N/A</v>
          </cell>
          <cell r="G403" t="e">
            <v>#N/A</v>
          </cell>
          <cell r="H403" t="e">
            <v>#N/A</v>
          </cell>
          <cell r="I403" t="e">
            <v>#N/A</v>
          </cell>
          <cell r="J403" t="e">
            <v>#N/A</v>
          </cell>
          <cell r="K403" t="e">
            <v>#N/A</v>
          </cell>
          <cell r="L403" t="e">
            <v>#N/A</v>
          </cell>
          <cell r="M403" t="e">
            <v>#N/A</v>
          </cell>
          <cell r="N403" t="e">
            <v>#N/A</v>
          </cell>
          <cell r="O403" t="e">
            <v>#N/A</v>
          </cell>
          <cell r="P403">
            <v>55.25</v>
          </cell>
          <cell r="Q403">
            <v>1.1425609999999999</v>
          </cell>
          <cell r="R403" t="e">
            <v>#N/A</v>
          </cell>
        </row>
        <row r="404">
          <cell r="A404">
            <v>40052</v>
          </cell>
          <cell r="B404">
            <v>40052</v>
          </cell>
          <cell r="C404" t="str">
            <v>Past</v>
          </cell>
          <cell r="D404">
            <v>56.64</v>
          </cell>
          <cell r="E404" t="e">
            <v>#N/A</v>
          </cell>
          <cell r="F404" t="e">
            <v>#N/A</v>
          </cell>
          <cell r="G404" t="e">
            <v>#N/A</v>
          </cell>
          <cell r="H404" t="e">
            <v>#N/A</v>
          </cell>
          <cell r="I404" t="e">
            <v>#N/A</v>
          </cell>
          <cell r="J404" t="e">
            <v>#N/A</v>
          </cell>
          <cell r="K404" t="e">
            <v>#N/A</v>
          </cell>
          <cell r="L404" t="e">
            <v>#N/A</v>
          </cell>
          <cell r="M404" t="e">
            <v>#N/A</v>
          </cell>
          <cell r="N404" t="e">
            <v>#N/A</v>
          </cell>
          <cell r="O404" t="e">
            <v>#N/A</v>
          </cell>
          <cell r="P404">
            <v>56.64</v>
          </cell>
          <cell r="Q404">
            <v>1.9073279999999999</v>
          </cell>
          <cell r="R404" t="e">
            <v>#N/A</v>
          </cell>
        </row>
        <row r="405">
          <cell r="A405">
            <v>40053</v>
          </cell>
          <cell r="B405">
            <v>40053</v>
          </cell>
          <cell r="C405" t="str">
            <v>Past</v>
          </cell>
          <cell r="D405">
            <v>55.79</v>
          </cell>
          <cell r="E405" t="e">
            <v>#N/A</v>
          </cell>
          <cell r="F405" t="e">
            <v>#N/A</v>
          </cell>
          <cell r="G405" t="e">
            <v>#N/A</v>
          </cell>
          <cell r="H405" t="e">
            <v>#N/A</v>
          </cell>
          <cell r="I405" t="e">
            <v>#N/A</v>
          </cell>
          <cell r="J405" t="e">
            <v>#N/A</v>
          </cell>
          <cell r="K405" t="e">
            <v>#N/A</v>
          </cell>
          <cell r="L405" t="e">
            <v>#N/A</v>
          </cell>
          <cell r="M405" t="e">
            <v>#N/A</v>
          </cell>
          <cell r="N405" t="e">
            <v>#N/A</v>
          </cell>
          <cell r="O405" t="e">
            <v>#N/A</v>
          </cell>
          <cell r="P405">
            <v>55.79</v>
          </cell>
          <cell r="Q405">
            <v>0.83835499999999996</v>
          </cell>
          <cell r="R405" t="e">
            <v>#N/A</v>
          </cell>
        </row>
        <row r="406">
          <cell r="A406">
            <v>40056</v>
          </cell>
          <cell r="B406">
            <v>40056</v>
          </cell>
          <cell r="C406" t="str">
            <v>Past</v>
          </cell>
          <cell r="D406">
            <v>55.16</v>
          </cell>
          <cell r="E406" t="e">
            <v>#N/A</v>
          </cell>
          <cell r="F406" t="e">
            <v>#N/A</v>
          </cell>
          <cell r="G406" t="e">
            <v>#N/A</v>
          </cell>
          <cell r="H406" t="e">
            <v>#N/A</v>
          </cell>
          <cell r="I406" t="e">
            <v>#N/A</v>
          </cell>
          <cell r="J406" t="e">
            <v>#N/A</v>
          </cell>
          <cell r="K406" t="e">
            <v>#N/A</v>
          </cell>
          <cell r="L406" t="e">
            <v>#N/A</v>
          </cell>
          <cell r="M406" t="e">
            <v>#N/A</v>
          </cell>
          <cell r="N406" t="e">
            <v>#N/A</v>
          </cell>
          <cell r="O406" t="e">
            <v>#N/A</v>
          </cell>
          <cell r="P406">
            <v>55.16</v>
          </cell>
          <cell r="Q406">
            <v>0.75229000000000001</v>
          </cell>
          <cell r="R406" t="e">
            <v>#N/A</v>
          </cell>
        </row>
        <row r="407">
          <cell r="A407">
            <v>40057</v>
          </cell>
          <cell r="B407">
            <v>40057</v>
          </cell>
          <cell r="C407" t="str">
            <v>Past</v>
          </cell>
          <cell r="D407">
            <v>54.58</v>
          </cell>
          <cell r="E407" t="e">
            <v>#N/A</v>
          </cell>
          <cell r="F407" t="e">
            <v>#N/A</v>
          </cell>
          <cell r="G407" t="e">
            <v>#N/A</v>
          </cell>
          <cell r="H407" t="e">
            <v>#N/A</v>
          </cell>
          <cell r="I407" t="e">
            <v>#N/A</v>
          </cell>
          <cell r="J407" t="e">
            <v>#N/A</v>
          </cell>
          <cell r="K407" t="e">
            <v>#N/A</v>
          </cell>
          <cell r="L407" t="e">
            <v>#N/A</v>
          </cell>
          <cell r="M407" t="e">
            <v>#N/A</v>
          </cell>
          <cell r="N407" t="e">
            <v>#N/A</v>
          </cell>
          <cell r="O407" t="e">
            <v>#N/A</v>
          </cell>
          <cell r="P407">
            <v>54.58</v>
          </cell>
          <cell r="Q407">
            <v>1.374166</v>
          </cell>
          <cell r="R407" t="e">
            <v>#N/A</v>
          </cell>
        </row>
        <row r="408">
          <cell r="A408">
            <v>40058</v>
          </cell>
          <cell r="B408">
            <v>40058</v>
          </cell>
          <cell r="C408" t="str">
            <v>Past</v>
          </cell>
          <cell r="D408">
            <v>54</v>
          </cell>
          <cell r="E408" t="e">
            <v>#N/A</v>
          </cell>
          <cell r="F408" t="e">
            <v>#N/A</v>
          </cell>
          <cell r="G408" t="e">
            <v>#N/A</v>
          </cell>
          <cell r="H408" t="e">
            <v>#N/A</v>
          </cell>
          <cell r="I408" t="e">
            <v>#N/A</v>
          </cell>
          <cell r="J408" t="e">
            <v>#N/A</v>
          </cell>
          <cell r="K408" t="e">
            <v>#N/A</v>
          </cell>
          <cell r="L408" t="e">
            <v>#N/A</v>
          </cell>
          <cell r="M408" t="e">
            <v>#N/A</v>
          </cell>
          <cell r="N408" t="e">
            <v>#N/A</v>
          </cell>
          <cell r="O408" t="e">
            <v>#N/A</v>
          </cell>
          <cell r="P408">
            <v>54</v>
          </cell>
          <cell r="Q408">
            <v>0.90407799999999994</v>
          </cell>
          <cell r="R408" t="e">
            <v>#N/A</v>
          </cell>
        </row>
        <row r="409">
          <cell r="A409">
            <v>40059</v>
          </cell>
          <cell r="B409">
            <v>40059</v>
          </cell>
          <cell r="C409" t="str">
            <v>Past</v>
          </cell>
          <cell r="D409">
            <v>54.78</v>
          </cell>
          <cell r="E409" t="e">
            <v>#N/A</v>
          </cell>
          <cell r="F409" t="e">
            <v>#N/A</v>
          </cell>
          <cell r="G409" t="e">
            <v>#N/A</v>
          </cell>
          <cell r="H409" t="e">
            <v>#N/A</v>
          </cell>
          <cell r="I409" t="e">
            <v>#N/A</v>
          </cell>
          <cell r="J409" t="e">
            <v>#N/A</v>
          </cell>
          <cell r="K409" t="e">
            <v>#N/A</v>
          </cell>
          <cell r="L409" t="e">
            <v>#N/A</v>
          </cell>
          <cell r="M409" t="e">
            <v>#N/A</v>
          </cell>
          <cell r="N409" t="e">
            <v>#N/A</v>
          </cell>
          <cell r="O409" t="e">
            <v>#N/A</v>
          </cell>
          <cell r="P409">
            <v>54.78</v>
          </cell>
          <cell r="Q409">
            <v>0.80378699999999992</v>
          </cell>
          <cell r="R409" t="e">
            <v>#N/A</v>
          </cell>
        </row>
        <row r="410">
          <cell r="A410">
            <v>40060</v>
          </cell>
          <cell r="B410">
            <v>40060</v>
          </cell>
          <cell r="C410" t="str">
            <v>Past</v>
          </cell>
          <cell r="D410">
            <v>55.98</v>
          </cell>
          <cell r="E410" t="e">
            <v>#N/A</v>
          </cell>
          <cell r="F410" t="e">
            <v>#N/A</v>
          </cell>
          <cell r="G410" t="e">
            <v>#N/A</v>
          </cell>
          <cell r="H410" t="e">
            <v>#N/A</v>
          </cell>
          <cell r="I410" t="e">
            <v>#N/A</v>
          </cell>
          <cell r="J410" t="e">
            <v>#N/A</v>
          </cell>
          <cell r="K410" t="e">
            <v>#N/A</v>
          </cell>
          <cell r="L410" t="e">
            <v>#N/A</v>
          </cell>
          <cell r="M410" t="e">
            <v>#N/A</v>
          </cell>
          <cell r="N410" t="e">
            <v>#N/A</v>
          </cell>
          <cell r="O410" t="e">
            <v>#N/A</v>
          </cell>
          <cell r="P410">
            <v>55.98</v>
          </cell>
          <cell r="Q410">
            <v>0.74480400000000002</v>
          </cell>
          <cell r="R410" t="e">
            <v>#N/A</v>
          </cell>
        </row>
        <row r="411">
          <cell r="A411">
            <v>40064</v>
          </cell>
          <cell r="B411">
            <v>40064</v>
          </cell>
          <cell r="C411" t="str">
            <v>Past</v>
          </cell>
          <cell r="D411">
            <v>56.35</v>
          </cell>
          <cell r="E411" t="e">
            <v>#N/A</v>
          </cell>
          <cell r="F411" t="e">
            <v>#N/A</v>
          </cell>
          <cell r="G411" t="e">
            <v>#N/A</v>
          </cell>
          <cell r="H411" t="e">
            <v>#N/A</v>
          </cell>
          <cell r="I411" t="e">
            <v>#N/A</v>
          </cell>
          <cell r="J411" t="e">
            <v>#N/A</v>
          </cell>
          <cell r="K411" t="e">
            <v>#N/A</v>
          </cell>
          <cell r="L411" t="e">
            <v>#N/A</v>
          </cell>
          <cell r="M411" t="e">
            <v>#N/A</v>
          </cell>
          <cell r="N411" t="e">
            <v>#N/A</v>
          </cell>
          <cell r="O411" t="e">
            <v>#N/A</v>
          </cell>
          <cell r="P411">
            <v>56.35</v>
          </cell>
          <cell r="Q411">
            <v>1.2246169999999998</v>
          </cell>
          <cell r="R411" t="e">
            <v>#N/A</v>
          </cell>
        </row>
        <row r="412">
          <cell r="A412">
            <v>40065</v>
          </cell>
          <cell r="B412">
            <v>40065</v>
          </cell>
          <cell r="C412" t="str">
            <v>Past</v>
          </cell>
          <cell r="D412">
            <v>56.53</v>
          </cell>
          <cell r="E412" t="e">
            <v>#N/A</v>
          </cell>
          <cell r="F412" t="e">
            <v>#N/A</v>
          </cell>
          <cell r="G412" t="e">
            <v>#N/A</v>
          </cell>
          <cell r="H412" t="e">
            <v>#N/A</v>
          </cell>
          <cell r="I412" t="e">
            <v>#N/A</v>
          </cell>
          <cell r="J412" t="e">
            <v>#N/A</v>
          </cell>
          <cell r="K412" t="e">
            <v>#N/A</v>
          </cell>
          <cell r="L412" t="e">
            <v>#N/A</v>
          </cell>
          <cell r="M412" t="e">
            <v>#N/A</v>
          </cell>
          <cell r="N412" t="e">
            <v>#N/A</v>
          </cell>
          <cell r="O412" t="e">
            <v>#N/A</v>
          </cell>
          <cell r="P412">
            <v>56.53</v>
          </cell>
          <cell r="Q412">
            <v>0.81135599999999997</v>
          </cell>
          <cell r="R412" t="e">
            <v>#N/A</v>
          </cell>
        </row>
        <row r="413">
          <cell r="A413">
            <v>40066</v>
          </cell>
          <cell r="B413">
            <v>40066</v>
          </cell>
          <cell r="C413" t="str">
            <v>Past</v>
          </cell>
          <cell r="D413">
            <v>56.63</v>
          </cell>
          <cell r="E413" t="e">
            <v>#N/A</v>
          </cell>
          <cell r="F413" t="e">
            <v>#N/A</v>
          </cell>
          <cell r="G413" t="e">
            <v>#N/A</v>
          </cell>
          <cell r="H413" t="e">
            <v>#N/A</v>
          </cell>
          <cell r="I413" t="e">
            <v>#N/A</v>
          </cell>
          <cell r="J413" t="e">
            <v>#N/A</v>
          </cell>
          <cell r="K413" t="e">
            <v>#N/A</v>
          </cell>
          <cell r="L413" t="e">
            <v>#N/A</v>
          </cell>
          <cell r="M413" t="e">
            <v>#N/A</v>
          </cell>
          <cell r="N413" t="e">
            <v>#N/A</v>
          </cell>
          <cell r="O413" t="e">
            <v>#N/A</v>
          </cell>
          <cell r="P413">
            <v>56.63</v>
          </cell>
          <cell r="Q413">
            <v>1.4026529999999999</v>
          </cell>
          <cell r="R413" t="e">
            <v>#N/A</v>
          </cell>
        </row>
        <row r="414">
          <cell r="A414">
            <v>40067</v>
          </cell>
          <cell r="B414">
            <v>40067</v>
          </cell>
          <cell r="C414" t="str">
            <v>Past</v>
          </cell>
          <cell r="D414">
            <v>56.32</v>
          </cell>
          <cell r="E414" t="e">
            <v>#N/A</v>
          </cell>
          <cell r="F414" t="e">
            <v>#N/A</v>
          </cell>
          <cell r="G414" t="e">
            <v>#N/A</v>
          </cell>
          <cell r="H414" t="e">
            <v>#N/A</v>
          </cell>
          <cell r="I414" t="e">
            <v>#N/A</v>
          </cell>
          <cell r="J414" t="e">
            <v>#N/A</v>
          </cell>
          <cell r="K414" t="e">
            <v>#N/A</v>
          </cell>
          <cell r="L414" t="e">
            <v>#N/A</v>
          </cell>
          <cell r="M414" t="e">
            <v>#N/A</v>
          </cell>
          <cell r="N414" t="e">
            <v>#N/A</v>
          </cell>
          <cell r="O414" t="e">
            <v>#N/A</v>
          </cell>
          <cell r="P414">
            <v>56.32</v>
          </cell>
          <cell r="Q414">
            <v>0.69666600000000001</v>
          </cell>
          <cell r="R414" t="e">
            <v>#N/A</v>
          </cell>
        </row>
        <row r="415">
          <cell r="A415">
            <v>40070</v>
          </cell>
          <cell r="B415">
            <v>40070</v>
          </cell>
          <cell r="C415" t="str">
            <v>Past</v>
          </cell>
          <cell r="D415">
            <v>56.48</v>
          </cell>
          <cell r="E415" t="e">
            <v>#N/A</v>
          </cell>
          <cell r="F415" t="e">
            <v>#N/A</v>
          </cell>
          <cell r="G415" t="e">
            <v>#N/A</v>
          </cell>
          <cell r="H415" t="e">
            <v>#N/A</v>
          </cell>
          <cell r="I415" t="e">
            <v>#N/A</v>
          </cell>
          <cell r="J415" t="e">
            <v>#N/A</v>
          </cell>
          <cell r="K415" t="e">
            <v>#N/A</v>
          </cell>
          <cell r="L415" t="e">
            <v>#N/A</v>
          </cell>
          <cell r="M415" t="e">
            <v>#N/A</v>
          </cell>
          <cell r="N415" t="e">
            <v>#N/A</v>
          </cell>
          <cell r="O415" t="e">
            <v>#N/A</v>
          </cell>
          <cell r="P415">
            <v>56.48</v>
          </cell>
          <cell r="Q415">
            <v>0.94285699999999995</v>
          </cell>
          <cell r="R415" t="e">
            <v>#N/A</v>
          </cell>
        </row>
        <row r="416">
          <cell r="A416">
            <v>40071</v>
          </cell>
          <cell r="B416">
            <v>40071</v>
          </cell>
          <cell r="C416" t="str">
            <v>Past</v>
          </cell>
          <cell r="D416">
            <v>55.64</v>
          </cell>
          <cell r="E416" t="e">
            <v>#N/A</v>
          </cell>
          <cell r="F416" t="e">
            <v>#N/A</v>
          </cell>
          <cell r="G416" t="e">
            <v>#N/A</v>
          </cell>
          <cell r="H416" t="e">
            <v>#N/A</v>
          </cell>
          <cell r="I416" t="e">
            <v>#N/A</v>
          </cell>
          <cell r="J416" t="e">
            <v>#N/A</v>
          </cell>
          <cell r="K416" t="e">
            <v>#N/A</v>
          </cell>
          <cell r="L416" t="e">
            <v>#N/A</v>
          </cell>
          <cell r="M416" t="e">
            <v>#N/A</v>
          </cell>
          <cell r="N416" t="e">
            <v>#N/A</v>
          </cell>
          <cell r="O416" t="e">
            <v>#N/A</v>
          </cell>
          <cell r="P416">
            <v>55.64</v>
          </cell>
          <cell r="Q416">
            <v>1.4492600000000002</v>
          </cell>
          <cell r="R416" t="e">
            <v>#N/A</v>
          </cell>
        </row>
        <row r="417">
          <cell r="A417">
            <v>40072</v>
          </cell>
          <cell r="B417">
            <v>40072</v>
          </cell>
          <cell r="C417" t="str">
            <v>Past</v>
          </cell>
          <cell r="D417">
            <v>55.68</v>
          </cell>
          <cell r="E417" t="e">
            <v>#N/A</v>
          </cell>
          <cell r="F417" t="e">
            <v>#N/A</v>
          </cell>
          <cell r="G417" t="e">
            <v>#N/A</v>
          </cell>
          <cell r="H417" t="e">
            <v>#N/A</v>
          </cell>
          <cell r="I417" t="e">
            <v>#N/A</v>
          </cell>
          <cell r="J417" t="e">
            <v>#N/A</v>
          </cell>
          <cell r="K417" t="e">
            <v>#N/A</v>
          </cell>
          <cell r="L417" t="e">
            <v>#N/A</v>
          </cell>
          <cell r="M417" t="e">
            <v>#N/A</v>
          </cell>
          <cell r="N417" t="e">
            <v>#N/A</v>
          </cell>
          <cell r="O417" t="e">
            <v>#N/A</v>
          </cell>
          <cell r="P417">
            <v>55.68</v>
          </cell>
          <cell r="Q417">
            <v>1.5260929999999999</v>
          </cell>
          <cell r="R417" t="e">
            <v>#N/A</v>
          </cell>
        </row>
        <row r="418">
          <cell r="A418">
            <v>40073</v>
          </cell>
          <cell r="B418">
            <v>40073</v>
          </cell>
          <cell r="C418" t="str">
            <v>Past</v>
          </cell>
          <cell r="D418">
            <v>55.49</v>
          </cell>
          <cell r="E418" t="e">
            <v>#N/A</v>
          </cell>
          <cell r="F418" t="e">
            <v>#N/A</v>
          </cell>
          <cell r="G418" t="e">
            <v>#N/A</v>
          </cell>
          <cell r="H418" t="e">
            <v>#N/A</v>
          </cell>
          <cell r="I418" t="e">
            <v>#N/A</v>
          </cell>
          <cell r="J418" t="e">
            <v>#N/A</v>
          </cell>
          <cell r="K418" t="e">
            <v>#N/A</v>
          </cell>
          <cell r="L418" t="e">
            <v>#N/A</v>
          </cell>
          <cell r="M418" t="e">
            <v>#N/A</v>
          </cell>
          <cell r="N418" t="e">
            <v>#N/A</v>
          </cell>
          <cell r="O418" t="e">
            <v>#N/A</v>
          </cell>
          <cell r="P418">
            <v>55.49</v>
          </cell>
          <cell r="Q418">
            <v>2.450593</v>
          </cell>
          <cell r="R418" t="e">
            <v>#N/A</v>
          </cell>
        </row>
        <row r="419">
          <cell r="A419">
            <v>40074</v>
          </cell>
          <cell r="B419">
            <v>40074</v>
          </cell>
          <cell r="C419" t="str">
            <v>Past</v>
          </cell>
          <cell r="D419">
            <v>55.49</v>
          </cell>
          <cell r="E419" t="e">
            <v>#N/A</v>
          </cell>
          <cell r="F419" t="e">
            <v>#N/A</v>
          </cell>
          <cell r="G419" t="e">
            <v>#N/A</v>
          </cell>
          <cell r="H419" t="e">
            <v>#N/A</v>
          </cell>
          <cell r="I419" t="e">
            <v>#N/A</v>
          </cell>
          <cell r="J419" t="e">
            <v>#N/A</v>
          </cell>
          <cell r="K419" t="e">
            <v>#N/A</v>
          </cell>
          <cell r="L419" t="e">
            <v>#N/A</v>
          </cell>
          <cell r="M419" t="e">
            <v>#N/A</v>
          </cell>
          <cell r="N419" t="e">
            <v>#N/A</v>
          </cell>
          <cell r="O419" t="e">
            <v>#N/A</v>
          </cell>
          <cell r="P419">
            <v>55.49</v>
          </cell>
          <cell r="Q419">
            <v>1.640315</v>
          </cell>
          <cell r="R419" t="e">
            <v>#N/A</v>
          </cell>
        </row>
        <row r="420">
          <cell r="A420">
            <v>40077</v>
          </cell>
          <cell r="B420">
            <v>40077</v>
          </cell>
          <cell r="C420" t="str">
            <v>Past</v>
          </cell>
          <cell r="D420">
            <v>54.93</v>
          </cell>
          <cell r="E420" t="e">
            <v>#N/A</v>
          </cell>
          <cell r="F420" t="e">
            <v>#N/A</v>
          </cell>
          <cell r="G420" t="e">
            <v>#N/A</v>
          </cell>
          <cell r="H420" t="e">
            <v>#N/A</v>
          </cell>
          <cell r="I420" t="e">
            <v>#N/A</v>
          </cell>
          <cell r="J420" t="e">
            <v>#N/A</v>
          </cell>
          <cell r="K420" t="e">
            <v>#N/A</v>
          </cell>
          <cell r="L420" t="e">
            <v>#N/A</v>
          </cell>
          <cell r="M420" t="e">
            <v>#N/A</v>
          </cell>
          <cell r="N420" t="e">
            <v>#N/A</v>
          </cell>
          <cell r="O420" t="e">
            <v>#N/A</v>
          </cell>
          <cell r="P420">
            <v>54.93</v>
          </cell>
          <cell r="Q420">
            <v>1.0604829999999998</v>
          </cell>
          <cell r="R420" t="e">
            <v>#N/A</v>
          </cell>
        </row>
        <row r="421">
          <cell r="A421">
            <v>40078</v>
          </cell>
          <cell r="B421">
            <v>40078</v>
          </cell>
          <cell r="C421" t="str">
            <v>Past</v>
          </cell>
          <cell r="D421">
            <v>56.3</v>
          </cell>
          <cell r="E421" t="e">
            <v>#N/A</v>
          </cell>
          <cell r="F421" t="e">
            <v>#N/A</v>
          </cell>
          <cell r="G421" t="e">
            <v>#N/A</v>
          </cell>
          <cell r="H421" t="e">
            <v>#N/A</v>
          </cell>
          <cell r="I421" t="e">
            <v>#N/A</v>
          </cell>
          <cell r="J421" t="e">
            <v>#N/A</v>
          </cell>
          <cell r="K421" t="e">
            <v>#N/A</v>
          </cell>
          <cell r="L421" t="e">
            <v>#N/A</v>
          </cell>
          <cell r="M421" t="e">
            <v>#N/A</v>
          </cell>
          <cell r="N421" t="e">
            <v>#N/A</v>
          </cell>
          <cell r="O421" t="e">
            <v>#N/A</v>
          </cell>
          <cell r="P421">
            <v>56.3</v>
          </cell>
          <cell r="Q421">
            <v>1.6738189999999999</v>
          </cell>
          <cell r="R421" t="e">
            <v>#N/A</v>
          </cell>
        </row>
        <row r="422">
          <cell r="A422">
            <v>40079</v>
          </cell>
          <cell r="B422">
            <v>40079</v>
          </cell>
          <cell r="C422" t="str">
            <v>Past</v>
          </cell>
          <cell r="D422">
            <v>55.49</v>
          </cell>
          <cell r="E422" t="e">
            <v>#N/A</v>
          </cell>
          <cell r="F422" t="e">
            <v>#N/A</v>
          </cell>
          <cell r="G422" t="e">
            <v>#N/A</v>
          </cell>
          <cell r="H422" t="e">
            <v>#N/A</v>
          </cell>
          <cell r="I422" t="e">
            <v>#N/A</v>
          </cell>
          <cell r="J422" t="e">
            <v>#N/A</v>
          </cell>
          <cell r="K422" t="e">
            <v>#N/A</v>
          </cell>
          <cell r="L422" t="e">
            <v>#N/A</v>
          </cell>
          <cell r="M422" t="e">
            <v>#N/A</v>
          </cell>
          <cell r="N422" t="e">
            <v>#N/A</v>
          </cell>
          <cell r="O422" t="e">
            <v>#N/A</v>
          </cell>
          <cell r="P422">
            <v>55.49</v>
          </cell>
          <cell r="Q422">
            <v>1.0488700000000002</v>
          </cell>
          <cell r="R422" t="e">
            <v>#N/A</v>
          </cell>
        </row>
        <row r="423">
          <cell r="A423">
            <v>40080</v>
          </cell>
          <cell r="B423">
            <v>40080</v>
          </cell>
          <cell r="C423" t="str">
            <v>Past</v>
          </cell>
          <cell r="D423">
            <v>54.7</v>
          </cell>
          <cell r="E423" t="e">
            <v>#N/A</v>
          </cell>
          <cell r="F423" t="e">
            <v>#N/A</v>
          </cell>
          <cell r="G423" t="e">
            <v>#N/A</v>
          </cell>
          <cell r="H423" t="e">
            <v>#N/A</v>
          </cell>
          <cell r="I423" t="e">
            <v>#N/A</v>
          </cell>
          <cell r="J423" t="e">
            <v>#N/A</v>
          </cell>
          <cell r="K423" t="e">
            <v>#N/A</v>
          </cell>
          <cell r="L423" t="e">
            <v>#N/A</v>
          </cell>
          <cell r="M423" t="e">
            <v>#N/A</v>
          </cell>
          <cell r="N423" t="e">
            <v>#N/A</v>
          </cell>
          <cell r="O423" t="e">
            <v>#N/A</v>
          </cell>
          <cell r="P423">
            <v>54.7</v>
          </cell>
          <cell r="Q423">
            <v>0.95225499999999996</v>
          </cell>
          <cell r="R423" t="e">
            <v>#N/A</v>
          </cell>
        </row>
        <row r="424">
          <cell r="A424">
            <v>40081</v>
          </cell>
          <cell r="B424">
            <v>40081</v>
          </cell>
          <cell r="C424" t="str">
            <v>Past</v>
          </cell>
          <cell r="D424">
            <v>53.2</v>
          </cell>
          <cell r="E424" t="e">
            <v>#N/A</v>
          </cell>
          <cell r="F424" t="e">
            <v>#N/A</v>
          </cell>
          <cell r="G424" t="e">
            <v>#N/A</v>
          </cell>
          <cell r="H424" t="e">
            <v>#N/A</v>
          </cell>
          <cell r="I424" t="e">
            <v>#N/A</v>
          </cell>
          <cell r="J424" t="e">
            <v>#N/A</v>
          </cell>
          <cell r="K424" t="e">
            <v>#N/A</v>
          </cell>
          <cell r="L424" t="e">
            <v>#N/A</v>
          </cell>
          <cell r="M424" t="e">
            <v>#N/A</v>
          </cell>
          <cell r="N424" t="e">
            <v>#N/A</v>
          </cell>
          <cell r="O424" t="e">
            <v>#N/A</v>
          </cell>
          <cell r="P424">
            <v>53.2</v>
          </cell>
          <cell r="Q424">
            <v>2.5609539999999997</v>
          </cell>
          <cell r="R424" t="e">
            <v>#N/A</v>
          </cell>
        </row>
        <row r="425">
          <cell r="A425">
            <v>40084</v>
          </cell>
          <cell r="B425">
            <v>40084</v>
          </cell>
          <cell r="C425" t="str">
            <v>Past</v>
          </cell>
          <cell r="D425">
            <v>53.6</v>
          </cell>
          <cell r="E425" t="e">
            <v>#N/A</v>
          </cell>
          <cell r="F425" t="e">
            <v>#N/A</v>
          </cell>
          <cell r="G425" t="e">
            <v>#N/A</v>
          </cell>
          <cell r="H425" t="e">
            <v>#N/A</v>
          </cell>
          <cell r="I425" t="e">
            <v>#N/A</v>
          </cell>
          <cell r="J425" t="e">
            <v>#N/A</v>
          </cell>
          <cell r="K425" t="e">
            <v>#N/A</v>
          </cell>
          <cell r="L425" t="e">
            <v>#N/A</v>
          </cell>
          <cell r="M425" t="e">
            <v>#N/A</v>
          </cell>
          <cell r="N425" t="e">
            <v>#N/A</v>
          </cell>
          <cell r="O425" t="e">
            <v>#N/A</v>
          </cell>
          <cell r="P425">
            <v>53.6</v>
          </cell>
          <cell r="Q425">
            <v>1.1024200000000002</v>
          </cell>
          <cell r="R425" t="e">
            <v>#N/A</v>
          </cell>
        </row>
        <row r="426">
          <cell r="A426">
            <v>40085</v>
          </cell>
          <cell r="B426">
            <v>40085</v>
          </cell>
          <cell r="C426" t="str">
            <v>Past</v>
          </cell>
          <cell r="D426">
            <v>53.79</v>
          </cell>
          <cell r="E426" t="e">
            <v>#N/A</v>
          </cell>
          <cell r="F426" t="e">
            <v>#N/A</v>
          </cell>
          <cell r="G426" t="e">
            <v>#N/A</v>
          </cell>
          <cell r="H426" t="e">
            <v>#N/A</v>
          </cell>
          <cell r="I426" t="e">
            <v>#N/A</v>
          </cell>
          <cell r="J426" t="e">
            <v>#N/A</v>
          </cell>
          <cell r="K426" t="e">
            <v>#N/A</v>
          </cell>
          <cell r="L426" t="e">
            <v>#N/A</v>
          </cell>
          <cell r="M426" t="e">
            <v>#N/A</v>
          </cell>
          <cell r="N426" t="e">
            <v>#N/A</v>
          </cell>
          <cell r="O426" t="e">
            <v>#N/A</v>
          </cell>
          <cell r="P426">
            <v>53.79</v>
          </cell>
          <cell r="Q426">
            <v>2.5012149999999997</v>
          </cell>
          <cell r="R426" t="e">
            <v>#N/A</v>
          </cell>
        </row>
        <row r="427">
          <cell r="A427">
            <v>40086</v>
          </cell>
          <cell r="B427">
            <v>40086</v>
          </cell>
          <cell r="C427" t="str">
            <v>Past</v>
          </cell>
          <cell r="D427">
            <v>54.34</v>
          </cell>
          <cell r="E427" t="e">
            <v>#N/A</v>
          </cell>
          <cell r="F427" t="e">
            <v>#N/A</v>
          </cell>
          <cell r="G427" t="e">
            <v>#N/A</v>
          </cell>
          <cell r="H427" t="e">
            <v>#N/A</v>
          </cell>
          <cell r="I427" t="e">
            <v>#N/A</v>
          </cell>
          <cell r="J427" t="e">
            <v>#N/A</v>
          </cell>
          <cell r="K427" t="e">
            <v>#N/A</v>
          </cell>
          <cell r="L427" t="e">
            <v>#N/A</v>
          </cell>
          <cell r="M427" t="e">
            <v>#N/A</v>
          </cell>
          <cell r="N427" t="e">
            <v>#N/A</v>
          </cell>
          <cell r="O427" t="e">
            <v>#N/A</v>
          </cell>
          <cell r="P427">
            <v>54.34</v>
          </cell>
          <cell r="Q427">
            <v>1.7411269999999999</v>
          </cell>
          <cell r="R427" t="e">
            <v>#N/A</v>
          </cell>
        </row>
        <row r="428">
          <cell r="A428">
            <v>40087</v>
          </cell>
          <cell r="B428">
            <v>40087</v>
          </cell>
          <cell r="C428" t="str">
            <v>Past</v>
          </cell>
          <cell r="D428">
            <v>53.23</v>
          </cell>
          <cell r="E428" t="e">
            <v>#N/A</v>
          </cell>
          <cell r="F428" t="e">
            <v>#N/A</v>
          </cell>
          <cell r="G428" t="e">
            <v>#N/A</v>
          </cell>
          <cell r="H428" t="e">
            <v>#N/A</v>
          </cell>
          <cell r="I428" t="e">
            <v>#N/A</v>
          </cell>
          <cell r="J428" t="e">
            <v>#N/A</v>
          </cell>
          <cell r="K428" t="e">
            <v>#N/A</v>
          </cell>
          <cell r="L428" t="e">
            <v>#N/A</v>
          </cell>
          <cell r="M428" t="e">
            <v>#N/A</v>
          </cell>
          <cell r="N428" t="e">
            <v>#N/A</v>
          </cell>
          <cell r="O428" t="e">
            <v>#N/A</v>
          </cell>
          <cell r="P428">
            <v>53.23</v>
          </cell>
          <cell r="Q428">
            <v>1.281145</v>
          </cell>
          <cell r="R428" t="e">
            <v>#N/A</v>
          </cell>
        </row>
        <row r="429">
          <cell r="A429">
            <v>40088</v>
          </cell>
          <cell r="B429">
            <v>40088</v>
          </cell>
          <cell r="C429" t="str">
            <v>Past</v>
          </cell>
          <cell r="D429">
            <v>52.42</v>
          </cell>
          <cell r="E429" t="e">
            <v>#N/A</v>
          </cell>
          <cell r="F429" t="e">
            <v>#N/A</v>
          </cell>
          <cell r="G429" t="e">
            <v>#N/A</v>
          </cell>
          <cell r="H429" t="e">
            <v>#N/A</v>
          </cell>
          <cell r="I429" t="e">
            <v>#N/A</v>
          </cell>
          <cell r="J429" t="e">
            <v>#N/A</v>
          </cell>
          <cell r="K429" t="e">
            <v>#N/A</v>
          </cell>
          <cell r="L429" t="e">
            <v>#N/A</v>
          </cell>
          <cell r="M429" t="e">
            <v>#N/A</v>
          </cell>
          <cell r="N429" t="e">
            <v>#N/A</v>
          </cell>
          <cell r="O429" t="e">
            <v>#N/A</v>
          </cell>
          <cell r="P429">
            <v>52.42</v>
          </cell>
          <cell r="Q429">
            <v>0.88901699999999995</v>
          </cell>
          <cell r="R429" t="e">
            <v>#N/A</v>
          </cell>
        </row>
        <row r="430">
          <cell r="A430">
            <v>40091</v>
          </cell>
          <cell r="B430">
            <v>40091</v>
          </cell>
          <cell r="C430" t="str">
            <v>Past</v>
          </cell>
          <cell r="D430">
            <v>53.6</v>
          </cell>
          <cell r="E430" t="e">
            <v>#N/A</v>
          </cell>
          <cell r="F430" t="e">
            <v>#N/A</v>
          </cell>
          <cell r="G430" t="e">
            <v>#N/A</v>
          </cell>
          <cell r="H430" t="e">
            <v>#N/A</v>
          </cell>
          <cell r="I430" t="e">
            <v>#N/A</v>
          </cell>
          <cell r="J430" t="e">
            <v>#N/A</v>
          </cell>
          <cell r="K430" t="e">
            <v>#N/A</v>
          </cell>
          <cell r="L430" t="e">
            <v>#N/A</v>
          </cell>
          <cell r="M430" t="e">
            <v>#N/A</v>
          </cell>
          <cell r="N430" t="e">
            <v>#N/A</v>
          </cell>
          <cell r="O430" t="e">
            <v>#N/A</v>
          </cell>
          <cell r="P430">
            <v>53.6</v>
          </cell>
          <cell r="Q430">
            <v>0.98442399999999997</v>
          </cell>
          <cell r="R430" t="e">
            <v>#N/A</v>
          </cell>
        </row>
        <row r="431">
          <cell r="A431">
            <v>40092</v>
          </cell>
          <cell r="B431">
            <v>40092</v>
          </cell>
          <cell r="C431" t="str">
            <v>Past</v>
          </cell>
          <cell r="D431">
            <v>53.09</v>
          </cell>
          <cell r="E431" t="e">
            <v>#N/A</v>
          </cell>
          <cell r="F431" t="e">
            <v>#N/A</v>
          </cell>
          <cell r="G431" t="e">
            <v>#N/A</v>
          </cell>
          <cell r="H431" t="e">
            <v>#N/A</v>
          </cell>
          <cell r="I431" t="e">
            <v>#N/A</v>
          </cell>
          <cell r="J431" t="e">
            <v>#N/A</v>
          </cell>
          <cell r="K431" t="e">
            <v>#N/A</v>
          </cell>
          <cell r="L431" t="e">
            <v>#N/A</v>
          </cell>
          <cell r="M431" t="e">
            <v>#N/A</v>
          </cell>
          <cell r="N431" t="e">
            <v>#N/A</v>
          </cell>
          <cell r="O431" t="e">
            <v>#N/A</v>
          </cell>
          <cell r="P431">
            <v>53.09</v>
          </cell>
          <cell r="Q431">
            <v>1.9917809999999998</v>
          </cell>
          <cell r="R431" t="e">
            <v>#N/A</v>
          </cell>
        </row>
        <row r="432">
          <cell r="A432">
            <v>40093</v>
          </cell>
          <cell r="B432">
            <v>40093</v>
          </cell>
          <cell r="C432" t="str">
            <v>Past</v>
          </cell>
          <cell r="D432">
            <v>53.33</v>
          </cell>
          <cell r="E432" t="e">
            <v>#N/A</v>
          </cell>
          <cell r="F432" t="e">
            <v>#N/A</v>
          </cell>
          <cell r="G432" t="e">
            <v>#N/A</v>
          </cell>
          <cell r="H432" t="e">
            <v>#N/A</v>
          </cell>
          <cell r="I432" t="e">
            <v>#N/A</v>
          </cell>
          <cell r="J432" t="e">
            <v>#N/A</v>
          </cell>
          <cell r="K432" t="e">
            <v>#N/A</v>
          </cell>
          <cell r="L432" t="e">
            <v>#N/A</v>
          </cell>
          <cell r="M432" t="e">
            <v>#N/A</v>
          </cell>
          <cell r="N432" t="e">
            <v>#N/A</v>
          </cell>
          <cell r="O432" t="e">
            <v>#N/A</v>
          </cell>
          <cell r="P432">
            <v>53.33</v>
          </cell>
          <cell r="Q432">
            <v>1.6187049999999998</v>
          </cell>
          <cell r="R432" t="e">
            <v>#N/A</v>
          </cell>
        </row>
        <row r="433">
          <cell r="A433">
            <v>40094</v>
          </cell>
          <cell r="B433">
            <v>40094</v>
          </cell>
          <cell r="C433" t="str">
            <v>Past</v>
          </cell>
          <cell r="D433">
            <v>53.31</v>
          </cell>
          <cell r="E433" t="e">
            <v>#N/A</v>
          </cell>
          <cell r="F433" t="e">
            <v>#N/A</v>
          </cell>
          <cell r="G433" t="e">
            <v>#N/A</v>
          </cell>
          <cell r="H433" t="e">
            <v>#N/A</v>
          </cell>
          <cell r="I433" t="e">
            <v>#N/A</v>
          </cell>
          <cell r="J433" t="e">
            <v>#N/A</v>
          </cell>
          <cell r="K433" t="e">
            <v>#N/A</v>
          </cell>
          <cell r="L433" t="e">
            <v>#N/A</v>
          </cell>
          <cell r="M433" t="e">
            <v>#N/A</v>
          </cell>
          <cell r="N433" t="e">
            <v>#N/A</v>
          </cell>
          <cell r="O433" t="e">
            <v>#N/A</v>
          </cell>
          <cell r="P433">
            <v>53.31</v>
          </cell>
          <cell r="Q433">
            <v>2.6665719999999999</v>
          </cell>
          <cell r="R433" t="e">
            <v>#N/A</v>
          </cell>
        </row>
        <row r="434">
          <cell r="A434">
            <v>40095</v>
          </cell>
          <cell r="B434">
            <v>40095</v>
          </cell>
          <cell r="C434" t="str">
            <v>Past</v>
          </cell>
          <cell r="D434">
            <v>55.2</v>
          </cell>
          <cell r="E434" t="e">
            <v>#N/A</v>
          </cell>
          <cell r="F434" t="e">
            <v>#N/A</v>
          </cell>
          <cell r="G434" t="e">
            <v>#N/A</v>
          </cell>
          <cell r="H434" t="e">
            <v>#N/A</v>
          </cell>
          <cell r="I434" t="e">
            <v>#N/A</v>
          </cell>
          <cell r="J434" t="e">
            <v>#N/A</v>
          </cell>
          <cell r="K434" t="e">
            <v>#N/A</v>
          </cell>
          <cell r="L434" t="e">
            <v>#N/A</v>
          </cell>
          <cell r="M434" t="e">
            <v>#N/A</v>
          </cell>
          <cell r="N434" t="e">
            <v>#N/A</v>
          </cell>
          <cell r="O434" t="e">
            <v>#N/A</v>
          </cell>
          <cell r="P434">
            <v>55.2</v>
          </cell>
          <cell r="Q434">
            <v>1.641208</v>
          </cell>
          <cell r="R434" t="e">
            <v>#N/A</v>
          </cell>
        </row>
        <row r="435">
          <cell r="A435">
            <v>40098</v>
          </cell>
          <cell r="B435">
            <v>40098</v>
          </cell>
          <cell r="C435" t="str">
            <v>Past</v>
          </cell>
          <cell r="D435">
            <v>54.83</v>
          </cell>
          <cell r="E435" t="e">
            <v>#N/A</v>
          </cell>
          <cell r="F435" t="e">
            <v>#N/A</v>
          </cell>
          <cell r="G435" t="e">
            <v>#N/A</v>
          </cell>
          <cell r="H435" t="e">
            <v>#N/A</v>
          </cell>
          <cell r="I435" t="e">
            <v>#N/A</v>
          </cell>
          <cell r="J435" t="e">
            <v>#N/A</v>
          </cell>
          <cell r="K435" t="e">
            <v>#N/A</v>
          </cell>
          <cell r="L435" t="e">
            <v>#N/A</v>
          </cell>
          <cell r="M435" t="e">
            <v>#N/A</v>
          </cell>
          <cell r="N435" t="e">
            <v>#N/A</v>
          </cell>
          <cell r="O435" t="e">
            <v>#N/A</v>
          </cell>
          <cell r="P435">
            <v>54.83</v>
          </cell>
          <cell r="Q435">
            <v>0.98768899999999993</v>
          </cell>
          <cell r="R435" t="e">
            <v>#N/A</v>
          </cell>
        </row>
        <row r="436">
          <cell r="A436">
            <v>40099</v>
          </cell>
          <cell r="B436">
            <v>40099</v>
          </cell>
          <cell r="C436" t="str">
            <v>Past</v>
          </cell>
          <cell r="D436">
            <v>55.3</v>
          </cell>
          <cell r="E436" t="e">
            <v>#N/A</v>
          </cell>
          <cell r="F436" t="e">
            <v>#N/A</v>
          </cell>
          <cell r="G436" t="e">
            <v>#N/A</v>
          </cell>
          <cell r="H436" t="e">
            <v>#N/A</v>
          </cell>
          <cell r="I436" t="e">
            <v>#N/A</v>
          </cell>
          <cell r="J436" t="e">
            <v>#N/A</v>
          </cell>
          <cell r="K436" t="e">
            <v>#N/A</v>
          </cell>
          <cell r="L436" t="e">
            <v>#N/A</v>
          </cell>
          <cell r="M436" t="e">
            <v>#N/A</v>
          </cell>
          <cell r="N436" t="e">
            <v>#N/A</v>
          </cell>
          <cell r="O436" t="e">
            <v>#N/A</v>
          </cell>
          <cell r="P436">
            <v>55.3</v>
          </cell>
          <cell r="Q436">
            <v>0.88792599999999999</v>
          </cell>
          <cell r="R436" t="e">
            <v>#N/A</v>
          </cell>
        </row>
        <row r="437">
          <cell r="A437">
            <v>40100</v>
          </cell>
          <cell r="B437">
            <v>40100</v>
          </cell>
          <cell r="C437" t="str">
            <v>Past</v>
          </cell>
          <cell r="D437">
            <v>56.99</v>
          </cell>
          <cell r="E437" t="e">
            <v>#N/A</v>
          </cell>
          <cell r="F437" t="e">
            <v>#N/A</v>
          </cell>
          <cell r="G437" t="e">
            <v>#N/A</v>
          </cell>
          <cell r="H437" t="e">
            <v>#N/A</v>
          </cell>
          <cell r="I437" t="e">
            <v>#N/A</v>
          </cell>
          <cell r="J437" t="e">
            <v>#N/A</v>
          </cell>
          <cell r="K437" t="e">
            <v>#N/A</v>
          </cell>
          <cell r="L437" t="e">
            <v>#N/A</v>
          </cell>
          <cell r="M437" t="e">
            <v>#N/A</v>
          </cell>
          <cell r="N437" t="e">
            <v>#N/A</v>
          </cell>
          <cell r="O437" t="e">
            <v>#N/A</v>
          </cell>
          <cell r="P437">
            <v>56.99</v>
          </cell>
          <cell r="Q437">
            <v>1.4675509999999998</v>
          </cell>
          <cell r="R437" t="e">
            <v>#N/A</v>
          </cell>
        </row>
        <row r="438">
          <cell r="A438">
            <v>40101</v>
          </cell>
          <cell r="B438">
            <v>40101</v>
          </cell>
          <cell r="C438" t="str">
            <v>Past</v>
          </cell>
          <cell r="D438">
            <v>56.47</v>
          </cell>
          <cell r="E438" t="e">
            <v>#N/A</v>
          </cell>
          <cell r="F438" t="e">
            <v>#N/A</v>
          </cell>
          <cell r="G438" t="e">
            <v>#N/A</v>
          </cell>
          <cell r="H438" t="e">
            <v>#N/A</v>
          </cell>
          <cell r="I438" t="e">
            <v>#N/A</v>
          </cell>
          <cell r="J438" t="e">
            <v>#N/A</v>
          </cell>
          <cell r="K438" t="e">
            <v>#N/A</v>
          </cell>
          <cell r="L438" t="e">
            <v>#N/A</v>
          </cell>
          <cell r="M438" t="e">
            <v>#N/A</v>
          </cell>
          <cell r="N438" t="e">
            <v>#N/A</v>
          </cell>
          <cell r="O438" t="e">
            <v>#N/A</v>
          </cell>
          <cell r="P438">
            <v>56.47</v>
          </cell>
          <cell r="Q438">
            <v>1.388747</v>
          </cell>
          <cell r="R438" t="e">
            <v>#N/A</v>
          </cell>
        </row>
        <row r="439">
          <cell r="A439">
            <v>40102</v>
          </cell>
          <cell r="B439">
            <v>40102</v>
          </cell>
          <cell r="C439" t="str">
            <v>Past</v>
          </cell>
          <cell r="D439">
            <v>57.16</v>
          </cell>
          <cell r="E439" t="e">
            <v>#N/A</v>
          </cell>
          <cell r="F439" t="e">
            <v>#N/A</v>
          </cell>
          <cell r="G439" t="e">
            <v>#N/A</v>
          </cell>
          <cell r="H439" t="e">
            <v>#N/A</v>
          </cell>
          <cell r="I439" t="e">
            <v>#N/A</v>
          </cell>
          <cell r="J439" t="e">
            <v>#N/A</v>
          </cell>
          <cell r="K439" t="e">
            <v>#N/A</v>
          </cell>
          <cell r="L439" t="e">
            <v>#N/A</v>
          </cell>
          <cell r="M439" t="e">
            <v>#N/A</v>
          </cell>
          <cell r="N439" t="e">
            <v>#N/A</v>
          </cell>
          <cell r="O439" t="e">
            <v>#N/A</v>
          </cell>
          <cell r="P439">
            <v>57.16</v>
          </cell>
          <cell r="Q439">
            <v>1.3627289999999999</v>
          </cell>
          <cell r="R439" t="e">
            <v>#N/A</v>
          </cell>
        </row>
        <row r="440">
          <cell r="A440">
            <v>40105</v>
          </cell>
          <cell r="B440">
            <v>40105</v>
          </cell>
          <cell r="C440" t="str">
            <v>Past</v>
          </cell>
          <cell r="D440">
            <v>57.86</v>
          </cell>
          <cell r="E440" t="e">
            <v>#N/A</v>
          </cell>
          <cell r="F440" t="e">
            <v>#N/A</v>
          </cell>
          <cell r="G440" t="e">
            <v>#N/A</v>
          </cell>
          <cell r="H440" t="e">
            <v>#N/A</v>
          </cell>
          <cell r="I440" t="e">
            <v>#N/A</v>
          </cell>
          <cell r="J440" t="e">
            <v>#N/A</v>
          </cell>
          <cell r="K440" t="e">
            <v>#N/A</v>
          </cell>
          <cell r="L440" t="e">
            <v>#N/A</v>
          </cell>
          <cell r="M440" t="e">
            <v>#N/A</v>
          </cell>
          <cell r="N440" t="e">
            <v>#N/A</v>
          </cell>
          <cell r="O440" t="e">
            <v>#N/A</v>
          </cell>
          <cell r="P440">
            <v>57.86</v>
          </cell>
          <cell r="Q440">
            <v>1.392347</v>
          </cell>
          <cell r="R440" t="e">
            <v>#N/A</v>
          </cell>
        </row>
        <row r="441">
          <cell r="A441">
            <v>40106</v>
          </cell>
          <cell r="B441">
            <v>40106</v>
          </cell>
          <cell r="C441" t="str">
            <v>Past</v>
          </cell>
          <cell r="D441">
            <v>55.39</v>
          </cell>
          <cell r="E441" t="e">
            <v>#N/A</v>
          </cell>
          <cell r="F441" t="e">
            <v>#N/A</v>
          </cell>
          <cell r="G441" t="e">
            <v>#N/A</v>
          </cell>
          <cell r="H441" t="e">
            <v>#N/A</v>
          </cell>
          <cell r="I441" t="e">
            <v>#N/A</v>
          </cell>
          <cell r="J441" t="e">
            <v>#N/A</v>
          </cell>
          <cell r="K441" t="e">
            <v>#N/A</v>
          </cell>
          <cell r="L441" t="e">
            <v>#N/A</v>
          </cell>
          <cell r="M441" t="e">
            <v>#N/A</v>
          </cell>
          <cell r="N441" t="e">
            <v>#N/A</v>
          </cell>
          <cell r="O441" t="e">
            <v>#N/A</v>
          </cell>
          <cell r="P441">
            <v>55.39</v>
          </cell>
          <cell r="Q441">
            <v>2.1947359999999998</v>
          </cell>
          <cell r="R441" t="e">
            <v>#N/A</v>
          </cell>
        </row>
        <row r="442">
          <cell r="A442">
            <v>40107</v>
          </cell>
          <cell r="B442">
            <v>40107</v>
          </cell>
          <cell r="C442" t="str">
            <v>Past</v>
          </cell>
          <cell r="D442">
            <v>54.65</v>
          </cell>
          <cell r="E442" t="e">
            <v>#N/A</v>
          </cell>
          <cell r="F442" t="e">
            <v>#N/A</v>
          </cell>
          <cell r="G442" t="e">
            <v>#N/A</v>
          </cell>
          <cell r="H442" t="e">
            <v>#N/A</v>
          </cell>
          <cell r="I442" t="e">
            <v>#N/A</v>
          </cell>
          <cell r="J442" t="e">
            <v>#N/A</v>
          </cell>
          <cell r="K442" t="e">
            <v>#N/A</v>
          </cell>
          <cell r="L442" t="e">
            <v>#N/A</v>
          </cell>
          <cell r="M442" t="e">
            <v>#N/A</v>
          </cell>
          <cell r="N442" t="e">
            <v>#N/A</v>
          </cell>
          <cell r="O442" t="e">
            <v>#N/A</v>
          </cell>
          <cell r="P442">
            <v>54.65</v>
          </cell>
          <cell r="Q442">
            <v>2.170067</v>
          </cell>
          <cell r="R442" t="e">
            <v>#N/A</v>
          </cell>
        </row>
        <row r="443">
          <cell r="A443">
            <v>40108</v>
          </cell>
          <cell r="B443">
            <v>40108</v>
          </cell>
          <cell r="C443" t="str">
            <v>Past</v>
          </cell>
          <cell r="D443">
            <v>58.57</v>
          </cell>
          <cell r="E443" t="e">
            <v>#N/A</v>
          </cell>
          <cell r="F443" t="e">
            <v>#N/A</v>
          </cell>
          <cell r="G443" t="e">
            <v>#N/A</v>
          </cell>
          <cell r="H443" t="e">
            <v>#N/A</v>
          </cell>
          <cell r="I443" t="e">
            <v>#N/A</v>
          </cell>
          <cell r="J443" t="e">
            <v>#N/A</v>
          </cell>
          <cell r="K443" t="e">
            <v>#N/A</v>
          </cell>
          <cell r="L443" t="e">
            <v>#N/A</v>
          </cell>
          <cell r="M443" t="e">
            <v>#N/A</v>
          </cell>
          <cell r="N443" t="e">
            <v>#N/A</v>
          </cell>
          <cell r="O443" t="e">
            <v>#N/A</v>
          </cell>
          <cell r="P443">
            <v>58.57</v>
          </cell>
          <cell r="Q443">
            <v>4.8774879999999996</v>
          </cell>
          <cell r="R443" t="e">
            <v>#N/A</v>
          </cell>
        </row>
        <row r="444">
          <cell r="A444">
            <v>40109</v>
          </cell>
          <cell r="B444">
            <v>40109</v>
          </cell>
          <cell r="C444" t="str">
            <v>Past</v>
          </cell>
          <cell r="D444">
            <v>57.44</v>
          </cell>
          <cell r="E444" t="e">
            <v>#N/A</v>
          </cell>
          <cell r="F444" t="e">
            <v>#N/A</v>
          </cell>
          <cell r="G444" t="e">
            <v>#N/A</v>
          </cell>
          <cell r="H444" t="e">
            <v>#N/A</v>
          </cell>
          <cell r="I444" t="e">
            <v>#N/A</v>
          </cell>
          <cell r="J444" t="e">
            <v>#N/A</v>
          </cell>
          <cell r="K444" t="e">
            <v>#N/A</v>
          </cell>
          <cell r="L444" t="e">
            <v>#N/A</v>
          </cell>
          <cell r="M444" t="e">
            <v>#N/A</v>
          </cell>
          <cell r="N444" t="e">
            <v>#N/A</v>
          </cell>
          <cell r="O444" t="e">
            <v>#N/A</v>
          </cell>
          <cell r="P444">
            <v>57.44</v>
          </cell>
          <cell r="Q444">
            <v>2.143316</v>
          </cell>
          <cell r="R444" t="e">
            <v>#N/A</v>
          </cell>
        </row>
        <row r="445">
          <cell r="A445">
            <v>40112</v>
          </cell>
          <cell r="B445">
            <v>40112</v>
          </cell>
          <cell r="C445" t="str">
            <v>Past</v>
          </cell>
          <cell r="D445">
            <v>57.68</v>
          </cell>
          <cell r="E445" t="e">
            <v>#N/A</v>
          </cell>
          <cell r="F445" t="e">
            <v>#N/A</v>
          </cell>
          <cell r="G445" t="e">
            <v>#N/A</v>
          </cell>
          <cell r="H445" t="e">
            <v>#N/A</v>
          </cell>
          <cell r="I445" t="e">
            <v>#N/A</v>
          </cell>
          <cell r="J445" t="e">
            <v>#N/A</v>
          </cell>
          <cell r="K445" t="e">
            <v>#N/A</v>
          </cell>
          <cell r="L445" t="e">
            <v>#N/A</v>
          </cell>
          <cell r="M445" t="e">
            <v>#N/A</v>
          </cell>
          <cell r="N445" t="e">
            <v>#N/A</v>
          </cell>
          <cell r="O445" t="e">
            <v>#N/A</v>
          </cell>
          <cell r="P445">
            <v>57.68</v>
          </cell>
          <cell r="Q445">
            <v>1.604779</v>
          </cell>
          <cell r="R445" t="e">
            <v>#N/A</v>
          </cell>
        </row>
        <row r="446">
          <cell r="A446">
            <v>40113</v>
          </cell>
          <cell r="B446">
            <v>40113</v>
          </cell>
          <cell r="C446" t="str">
            <v>Past</v>
          </cell>
          <cell r="D446">
            <v>55.79</v>
          </cell>
          <cell r="E446" t="e">
            <v>#N/A</v>
          </cell>
          <cell r="F446" t="e">
            <v>#N/A</v>
          </cell>
          <cell r="G446" t="e">
            <v>#N/A</v>
          </cell>
          <cell r="H446" t="e">
            <v>#N/A</v>
          </cell>
          <cell r="I446" t="e">
            <v>#N/A</v>
          </cell>
          <cell r="J446" t="e">
            <v>#N/A</v>
          </cell>
          <cell r="K446" t="e">
            <v>#N/A</v>
          </cell>
          <cell r="L446" t="e">
            <v>#N/A</v>
          </cell>
          <cell r="M446" t="e">
            <v>#N/A</v>
          </cell>
          <cell r="N446" t="e">
            <v>#N/A</v>
          </cell>
          <cell r="O446" t="e">
            <v>#N/A</v>
          </cell>
          <cell r="P446">
            <v>55.79</v>
          </cell>
          <cell r="Q446">
            <v>2.2422200000000001</v>
          </cell>
          <cell r="R446" t="e">
            <v>#N/A</v>
          </cell>
        </row>
        <row r="447">
          <cell r="A447">
            <v>40114</v>
          </cell>
          <cell r="B447">
            <v>40114</v>
          </cell>
          <cell r="C447" t="str">
            <v>Past</v>
          </cell>
          <cell r="D447">
            <v>53.68</v>
          </cell>
          <cell r="E447" t="e">
            <v>#N/A</v>
          </cell>
          <cell r="F447" t="e">
            <v>#N/A</v>
          </cell>
          <cell r="G447" t="e">
            <v>#N/A</v>
          </cell>
          <cell r="H447" t="e">
            <v>#N/A</v>
          </cell>
          <cell r="I447" t="e">
            <v>#N/A</v>
          </cell>
          <cell r="J447" t="e">
            <v>#N/A</v>
          </cell>
          <cell r="K447" t="e">
            <v>#N/A</v>
          </cell>
          <cell r="L447" t="e">
            <v>#N/A</v>
          </cell>
          <cell r="M447" t="e">
            <v>#N/A</v>
          </cell>
          <cell r="N447" t="e">
            <v>#N/A</v>
          </cell>
          <cell r="O447" t="e">
            <v>#N/A</v>
          </cell>
          <cell r="P447">
            <v>53.68</v>
          </cell>
          <cell r="Q447">
            <v>2.167926</v>
          </cell>
          <cell r="R447" t="e">
            <v>#N/A</v>
          </cell>
        </row>
        <row r="448">
          <cell r="A448">
            <v>40115</v>
          </cell>
          <cell r="B448">
            <v>40115</v>
          </cell>
          <cell r="C448" t="str">
            <v>Past</v>
          </cell>
          <cell r="D448">
            <v>55.65</v>
          </cell>
          <cell r="E448" t="e">
            <v>#N/A</v>
          </cell>
          <cell r="F448" t="e">
            <v>#N/A</v>
          </cell>
          <cell r="G448" t="e">
            <v>#N/A</v>
          </cell>
          <cell r="H448" t="e">
            <v>#N/A</v>
          </cell>
          <cell r="I448" t="e">
            <v>#N/A</v>
          </cell>
          <cell r="J448" t="e">
            <v>#N/A</v>
          </cell>
          <cell r="K448" t="e">
            <v>#N/A</v>
          </cell>
          <cell r="L448" t="e">
            <v>#N/A</v>
          </cell>
          <cell r="M448" t="e">
            <v>#N/A</v>
          </cell>
          <cell r="N448" t="e">
            <v>#N/A</v>
          </cell>
          <cell r="O448" t="e">
            <v>#N/A</v>
          </cell>
          <cell r="P448">
            <v>55.65</v>
          </cell>
          <cell r="Q448">
            <v>2.0557000000000003</v>
          </cell>
          <cell r="R448" t="e">
            <v>#N/A</v>
          </cell>
        </row>
        <row r="449">
          <cell r="A449">
            <v>40116</v>
          </cell>
          <cell r="B449">
            <v>40116</v>
          </cell>
          <cell r="C449" t="str">
            <v>Past</v>
          </cell>
          <cell r="D449">
            <v>54.35</v>
          </cell>
          <cell r="E449" t="e">
            <v>#N/A</v>
          </cell>
          <cell r="F449" t="e">
            <v>#N/A</v>
          </cell>
          <cell r="G449" t="e">
            <v>#N/A</v>
          </cell>
          <cell r="H449" t="e">
            <v>#N/A</v>
          </cell>
          <cell r="I449" t="e">
            <v>#N/A</v>
          </cell>
          <cell r="J449" t="e">
            <v>#N/A</v>
          </cell>
          <cell r="K449" t="e">
            <v>#N/A</v>
          </cell>
          <cell r="L449" t="e">
            <v>#N/A</v>
          </cell>
          <cell r="M449" t="e">
            <v>#N/A</v>
          </cell>
          <cell r="N449" t="e">
            <v>#N/A</v>
          </cell>
          <cell r="O449" t="e">
            <v>#N/A</v>
          </cell>
          <cell r="P449">
            <v>54.35</v>
          </cell>
          <cell r="Q449">
            <v>1.940253</v>
          </cell>
          <cell r="R449" t="e">
            <v>#N/A</v>
          </cell>
        </row>
        <row r="450">
          <cell r="A450">
            <v>40119</v>
          </cell>
          <cell r="B450">
            <v>40119</v>
          </cell>
          <cell r="C450" t="str">
            <v>Past</v>
          </cell>
          <cell r="D450">
            <v>55.1</v>
          </cell>
          <cell r="E450" t="e">
            <v>#N/A</v>
          </cell>
          <cell r="F450" t="e">
            <v>#N/A</v>
          </cell>
          <cell r="G450" t="e">
            <v>#N/A</v>
          </cell>
          <cell r="H450" t="e">
            <v>#N/A</v>
          </cell>
          <cell r="I450" t="e">
            <v>#N/A</v>
          </cell>
          <cell r="J450" t="e">
            <v>#N/A</v>
          </cell>
          <cell r="K450" t="e">
            <v>#N/A</v>
          </cell>
          <cell r="L450" t="e">
            <v>#N/A</v>
          </cell>
          <cell r="M450" t="e">
            <v>#N/A</v>
          </cell>
          <cell r="N450" t="e">
            <v>#N/A</v>
          </cell>
          <cell r="O450" t="e">
            <v>#N/A</v>
          </cell>
          <cell r="P450">
            <v>55.1</v>
          </cell>
          <cell r="Q450">
            <v>2.5668919999999997</v>
          </cell>
          <cell r="R450" t="e">
            <v>#N/A</v>
          </cell>
        </row>
        <row r="451">
          <cell r="A451">
            <v>40120</v>
          </cell>
          <cell r="B451">
            <v>40120</v>
          </cell>
          <cell r="C451" t="str">
            <v>Past</v>
          </cell>
          <cell r="D451">
            <v>55.01</v>
          </cell>
          <cell r="E451" t="e">
            <v>#N/A</v>
          </cell>
          <cell r="F451" t="e">
            <v>#N/A</v>
          </cell>
          <cell r="G451" t="e">
            <v>#N/A</v>
          </cell>
          <cell r="H451" t="e">
            <v>#N/A</v>
          </cell>
          <cell r="I451" t="e">
            <v>#N/A</v>
          </cell>
          <cell r="J451" t="e">
            <v>#N/A</v>
          </cell>
          <cell r="K451" t="e">
            <v>#N/A</v>
          </cell>
          <cell r="L451" t="e">
            <v>#N/A</v>
          </cell>
          <cell r="M451" t="e">
            <v>#N/A</v>
          </cell>
          <cell r="N451" t="e">
            <v>#N/A</v>
          </cell>
          <cell r="O451" t="e">
            <v>#N/A</v>
          </cell>
          <cell r="P451">
            <v>55.01</v>
          </cell>
          <cell r="Q451">
            <v>2.3448639999999998</v>
          </cell>
          <cell r="R451" t="e">
            <v>#N/A</v>
          </cell>
        </row>
        <row r="452">
          <cell r="A452">
            <v>40121</v>
          </cell>
          <cell r="B452">
            <v>40121</v>
          </cell>
          <cell r="C452" t="str">
            <v>Past</v>
          </cell>
          <cell r="D452">
            <v>55.47</v>
          </cell>
          <cell r="E452" t="e">
            <v>#N/A</v>
          </cell>
          <cell r="F452" t="e">
            <v>#N/A</v>
          </cell>
          <cell r="G452" t="e">
            <v>#N/A</v>
          </cell>
          <cell r="H452" t="e">
            <v>#N/A</v>
          </cell>
          <cell r="I452" t="e">
            <v>#N/A</v>
          </cell>
          <cell r="J452" t="e">
            <v>#N/A</v>
          </cell>
          <cell r="K452" t="e">
            <v>#N/A</v>
          </cell>
          <cell r="L452" t="e">
            <v>#N/A</v>
          </cell>
          <cell r="M452" t="e">
            <v>#N/A</v>
          </cell>
          <cell r="N452" t="e">
            <v>#N/A</v>
          </cell>
          <cell r="O452" t="e">
            <v>#N/A</v>
          </cell>
          <cell r="P452">
            <v>55.47</v>
          </cell>
          <cell r="Q452">
            <v>1.612541</v>
          </cell>
          <cell r="R452" t="e">
            <v>#N/A</v>
          </cell>
        </row>
        <row r="453">
          <cell r="A453">
            <v>40122</v>
          </cell>
          <cell r="B453">
            <v>40122</v>
          </cell>
          <cell r="C453" t="str">
            <v>Past</v>
          </cell>
          <cell r="D453">
            <v>57.12</v>
          </cell>
          <cell r="E453" t="e">
            <v>#N/A</v>
          </cell>
          <cell r="F453" t="e">
            <v>#N/A</v>
          </cell>
          <cell r="G453" t="e">
            <v>#N/A</v>
          </cell>
          <cell r="H453" t="e">
            <v>#N/A</v>
          </cell>
          <cell r="I453" t="e">
            <v>#N/A</v>
          </cell>
          <cell r="J453" t="e">
            <v>#N/A</v>
          </cell>
          <cell r="K453" t="e">
            <v>#N/A</v>
          </cell>
          <cell r="L453" t="e">
            <v>#N/A</v>
          </cell>
          <cell r="M453" t="e">
            <v>#N/A</v>
          </cell>
          <cell r="N453" t="e">
            <v>#N/A</v>
          </cell>
          <cell r="O453" t="e">
            <v>#N/A</v>
          </cell>
          <cell r="P453">
            <v>57.12</v>
          </cell>
          <cell r="Q453">
            <v>1.070058</v>
          </cell>
          <cell r="R453" t="e">
            <v>#N/A</v>
          </cell>
        </row>
        <row r="454">
          <cell r="A454">
            <v>40123</v>
          </cell>
          <cell r="B454">
            <v>40123</v>
          </cell>
          <cell r="C454" t="str">
            <v>Past</v>
          </cell>
          <cell r="D454">
            <v>57.63</v>
          </cell>
          <cell r="E454" t="e">
            <v>#N/A</v>
          </cell>
          <cell r="F454" t="e">
            <v>#N/A</v>
          </cell>
          <cell r="G454" t="e">
            <v>#N/A</v>
          </cell>
          <cell r="H454" t="e">
            <v>#N/A</v>
          </cell>
          <cell r="I454" t="e">
            <v>#N/A</v>
          </cell>
          <cell r="J454" t="e">
            <v>#N/A</v>
          </cell>
          <cell r="K454" t="e">
            <v>#N/A</v>
          </cell>
          <cell r="L454" t="e">
            <v>#N/A</v>
          </cell>
          <cell r="M454" t="e">
            <v>#N/A</v>
          </cell>
          <cell r="N454" t="e">
            <v>#N/A</v>
          </cell>
          <cell r="O454" t="e">
            <v>#N/A</v>
          </cell>
          <cell r="P454">
            <v>57.63</v>
          </cell>
          <cell r="Q454">
            <v>1.2911109999999999</v>
          </cell>
          <cell r="R454" t="e">
            <v>#N/A</v>
          </cell>
        </row>
        <row r="455">
          <cell r="A455">
            <v>40126</v>
          </cell>
          <cell r="B455">
            <v>40126</v>
          </cell>
          <cell r="C455" t="str">
            <v>Past</v>
          </cell>
          <cell r="D455">
            <v>58.2</v>
          </cell>
          <cell r="E455" t="e">
            <v>#N/A</v>
          </cell>
          <cell r="F455" t="e">
            <v>#N/A</v>
          </cell>
          <cell r="G455" t="e">
            <v>#N/A</v>
          </cell>
          <cell r="H455" t="e">
            <v>#N/A</v>
          </cell>
          <cell r="I455" t="e">
            <v>#N/A</v>
          </cell>
          <cell r="J455" t="e">
            <v>#N/A</v>
          </cell>
          <cell r="K455" t="e">
            <v>#N/A</v>
          </cell>
          <cell r="L455" t="e">
            <v>#N/A</v>
          </cell>
          <cell r="M455" t="e">
            <v>#N/A</v>
          </cell>
          <cell r="N455" t="e">
            <v>#N/A</v>
          </cell>
          <cell r="O455" t="e">
            <v>#N/A</v>
          </cell>
          <cell r="P455">
            <v>58.2</v>
          </cell>
          <cell r="Q455">
            <v>1.379686</v>
          </cell>
          <cell r="R455" t="e">
            <v>#N/A</v>
          </cell>
        </row>
        <row r="456">
          <cell r="A456">
            <v>40127</v>
          </cell>
          <cell r="B456">
            <v>40127</v>
          </cell>
          <cell r="C456" t="str">
            <v>Past</v>
          </cell>
          <cell r="D456">
            <v>57.95</v>
          </cell>
          <cell r="E456" t="e">
            <v>#N/A</v>
          </cell>
          <cell r="F456" t="e">
            <v>#N/A</v>
          </cell>
          <cell r="G456" t="e">
            <v>#N/A</v>
          </cell>
          <cell r="H456" t="e">
            <v>#N/A</v>
          </cell>
          <cell r="I456" t="e">
            <v>#N/A</v>
          </cell>
          <cell r="J456" t="e">
            <v>#N/A</v>
          </cell>
          <cell r="K456" t="e">
            <v>#N/A</v>
          </cell>
          <cell r="L456" t="e">
            <v>#N/A</v>
          </cell>
          <cell r="M456" t="e">
            <v>#N/A</v>
          </cell>
          <cell r="N456" t="e">
            <v>#N/A</v>
          </cell>
          <cell r="O456" t="e">
            <v>#N/A</v>
          </cell>
          <cell r="P456">
            <v>57.95</v>
          </cell>
          <cell r="Q456">
            <v>1.5626929999999999</v>
          </cell>
          <cell r="R456" t="e">
            <v>#N/A</v>
          </cell>
        </row>
        <row r="457">
          <cell r="A457">
            <v>40128</v>
          </cell>
          <cell r="B457">
            <v>40128</v>
          </cell>
          <cell r="C457" t="str">
            <v>Past</v>
          </cell>
          <cell r="D457">
            <v>58.84</v>
          </cell>
          <cell r="E457" t="e">
            <v>#N/A</v>
          </cell>
          <cell r="F457" t="e">
            <v>#N/A</v>
          </cell>
          <cell r="G457" t="e">
            <v>#N/A</v>
          </cell>
          <cell r="H457" t="e">
            <v>#N/A</v>
          </cell>
          <cell r="I457" t="e">
            <v>#N/A</v>
          </cell>
          <cell r="J457" t="e">
            <v>#N/A</v>
          </cell>
          <cell r="K457" t="e">
            <v>#N/A</v>
          </cell>
          <cell r="L457" t="e">
            <v>#N/A</v>
          </cell>
          <cell r="M457" t="e">
            <v>#N/A</v>
          </cell>
          <cell r="N457" t="e">
            <v>#N/A</v>
          </cell>
          <cell r="O457" t="e">
            <v>#N/A</v>
          </cell>
          <cell r="P457">
            <v>58.84</v>
          </cell>
          <cell r="Q457">
            <v>1.163095</v>
          </cell>
          <cell r="R457" t="e">
            <v>#N/A</v>
          </cell>
        </row>
        <row r="458">
          <cell r="A458">
            <v>40129</v>
          </cell>
          <cell r="B458">
            <v>40129</v>
          </cell>
          <cell r="C458" t="str">
            <v>Past</v>
          </cell>
          <cell r="D458">
            <v>58.67</v>
          </cell>
          <cell r="E458" t="e">
            <v>#N/A</v>
          </cell>
          <cell r="F458" t="e">
            <v>#N/A</v>
          </cell>
          <cell r="G458" t="e">
            <v>#N/A</v>
          </cell>
          <cell r="H458" t="e">
            <v>#N/A</v>
          </cell>
          <cell r="I458" t="e">
            <v>#N/A</v>
          </cell>
          <cell r="J458" t="e">
            <v>#N/A</v>
          </cell>
          <cell r="K458" t="e">
            <v>#N/A</v>
          </cell>
          <cell r="L458" t="e">
            <v>#N/A</v>
          </cell>
          <cell r="M458" t="e">
            <v>#N/A</v>
          </cell>
          <cell r="N458" t="e">
            <v>#N/A</v>
          </cell>
          <cell r="O458" t="e">
            <v>#N/A</v>
          </cell>
          <cell r="P458">
            <v>58.67</v>
          </cell>
          <cell r="Q458">
            <v>1.1203000000000001</v>
          </cell>
          <cell r="R458" t="e">
            <v>#N/A</v>
          </cell>
        </row>
        <row r="459">
          <cell r="A459">
            <v>40130</v>
          </cell>
          <cell r="B459">
            <v>40130</v>
          </cell>
          <cell r="C459" t="str">
            <v>Past</v>
          </cell>
          <cell r="D459">
            <v>59.8</v>
          </cell>
          <cell r="E459" t="e">
            <v>#N/A</v>
          </cell>
          <cell r="F459" t="e">
            <v>#N/A</v>
          </cell>
          <cell r="G459" t="e">
            <v>#N/A</v>
          </cell>
          <cell r="H459" t="e">
            <v>#N/A</v>
          </cell>
          <cell r="I459" t="e">
            <v>#N/A</v>
          </cell>
          <cell r="J459" t="e">
            <v>#N/A</v>
          </cell>
          <cell r="K459" t="e">
            <v>#N/A</v>
          </cell>
          <cell r="L459" t="e">
            <v>#N/A</v>
          </cell>
          <cell r="M459" t="e">
            <v>#N/A</v>
          </cell>
          <cell r="N459" t="e">
            <v>#N/A</v>
          </cell>
          <cell r="O459" t="e">
            <v>#N/A</v>
          </cell>
          <cell r="P459">
            <v>59.8</v>
          </cell>
          <cell r="Q459">
            <v>0.76032199999999994</v>
          </cell>
          <cell r="R459" t="e">
            <v>#N/A</v>
          </cell>
        </row>
        <row r="460">
          <cell r="A460">
            <v>40133</v>
          </cell>
          <cell r="B460">
            <v>40133</v>
          </cell>
          <cell r="C460" t="str">
            <v>Past</v>
          </cell>
          <cell r="D460">
            <v>60.41</v>
          </cell>
          <cell r="E460" t="e">
            <v>#N/A</v>
          </cell>
          <cell r="F460" t="e">
            <v>#N/A</v>
          </cell>
          <cell r="G460" t="e">
            <v>#N/A</v>
          </cell>
          <cell r="H460" t="e">
            <v>#N/A</v>
          </cell>
          <cell r="I460" t="e">
            <v>#N/A</v>
          </cell>
          <cell r="J460" t="e">
            <v>#N/A</v>
          </cell>
          <cell r="K460" t="e">
            <v>#N/A</v>
          </cell>
          <cell r="L460" t="e">
            <v>#N/A</v>
          </cell>
          <cell r="M460" t="e">
            <v>#N/A</v>
          </cell>
          <cell r="N460" t="e">
            <v>#N/A</v>
          </cell>
          <cell r="O460" t="e">
            <v>#N/A</v>
          </cell>
          <cell r="P460">
            <v>60.41</v>
          </cell>
          <cell r="Q460">
            <v>1.5094069999999999</v>
          </cell>
          <cell r="R460" t="e">
            <v>#N/A</v>
          </cell>
        </row>
        <row r="461">
          <cell r="A461">
            <v>40134</v>
          </cell>
          <cell r="B461">
            <v>40134</v>
          </cell>
          <cell r="C461" t="str">
            <v>Past</v>
          </cell>
          <cell r="D461">
            <v>61</v>
          </cell>
          <cell r="E461" t="e">
            <v>#N/A</v>
          </cell>
          <cell r="F461" t="e">
            <v>#N/A</v>
          </cell>
          <cell r="G461" t="e">
            <v>#N/A</v>
          </cell>
          <cell r="H461" t="e">
            <v>#N/A</v>
          </cell>
          <cell r="I461" t="e">
            <v>#N/A</v>
          </cell>
          <cell r="J461" t="e">
            <v>#N/A</v>
          </cell>
          <cell r="K461" t="e">
            <v>#N/A</v>
          </cell>
          <cell r="L461" t="e">
            <v>#N/A</v>
          </cell>
          <cell r="M461" t="e">
            <v>#N/A</v>
          </cell>
          <cell r="N461" t="e">
            <v>#N/A</v>
          </cell>
          <cell r="O461" t="e">
            <v>#N/A</v>
          </cell>
          <cell r="P461">
            <v>61</v>
          </cell>
          <cell r="Q461">
            <v>0.81066699999999992</v>
          </cell>
          <cell r="R461" t="e">
            <v>#N/A</v>
          </cell>
        </row>
        <row r="462">
          <cell r="A462">
            <v>40135</v>
          </cell>
          <cell r="B462">
            <v>40135</v>
          </cell>
          <cell r="C462" t="str">
            <v>Past</v>
          </cell>
          <cell r="D462">
            <v>60.69</v>
          </cell>
          <cell r="E462" t="e">
            <v>#N/A</v>
          </cell>
          <cell r="F462" t="e">
            <v>#N/A</v>
          </cell>
          <cell r="G462" t="e">
            <v>#N/A</v>
          </cell>
          <cell r="H462" t="e">
            <v>#N/A</v>
          </cell>
          <cell r="I462" t="e">
            <v>#N/A</v>
          </cell>
          <cell r="J462" t="e">
            <v>#N/A</v>
          </cell>
          <cell r="K462" t="e">
            <v>#N/A</v>
          </cell>
          <cell r="L462" t="e">
            <v>#N/A</v>
          </cell>
          <cell r="M462" t="e">
            <v>#N/A</v>
          </cell>
          <cell r="N462" t="e">
            <v>#N/A</v>
          </cell>
          <cell r="O462" t="e">
            <v>#N/A</v>
          </cell>
          <cell r="P462">
            <v>60.69</v>
          </cell>
          <cell r="Q462">
            <v>0.95841699999999996</v>
          </cell>
          <cell r="R462" t="e">
            <v>#N/A</v>
          </cell>
        </row>
        <row r="463">
          <cell r="A463">
            <v>40136</v>
          </cell>
          <cell r="B463">
            <v>40136</v>
          </cell>
          <cell r="C463" t="str">
            <v>Past</v>
          </cell>
          <cell r="D463">
            <v>60.42</v>
          </cell>
          <cell r="E463" t="e">
            <v>#N/A</v>
          </cell>
          <cell r="F463" t="e">
            <v>#N/A</v>
          </cell>
          <cell r="G463" t="e">
            <v>#N/A</v>
          </cell>
          <cell r="H463" t="e">
            <v>#N/A</v>
          </cell>
          <cell r="I463" t="e">
            <v>#N/A</v>
          </cell>
          <cell r="J463" t="e">
            <v>#N/A</v>
          </cell>
          <cell r="K463" t="e">
            <v>#N/A</v>
          </cell>
          <cell r="L463" t="e">
            <v>#N/A</v>
          </cell>
          <cell r="M463" t="e">
            <v>#N/A</v>
          </cell>
          <cell r="N463" t="e">
            <v>#N/A</v>
          </cell>
          <cell r="O463" t="e">
            <v>#N/A</v>
          </cell>
          <cell r="P463">
            <v>60.42</v>
          </cell>
          <cell r="Q463">
            <v>1.212874</v>
          </cell>
          <cell r="R463" t="e">
            <v>#N/A</v>
          </cell>
        </row>
        <row r="464">
          <cell r="A464">
            <v>40137</v>
          </cell>
          <cell r="B464">
            <v>40137</v>
          </cell>
          <cell r="C464" t="str">
            <v>Past</v>
          </cell>
          <cell r="D464">
            <v>60.85</v>
          </cell>
          <cell r="E464" t="e">
            <v>#N/A</v>
          </cell>
          <cell r="F464" t="e">
            <v>#N/A</v>
          </cell>
          <cell r="G464" t="e">
            <v>#N/A</v>
          </cell>
          <cell r="H464" t="e">
            <v>#N/A</v>
          </cell>
          <cell r="I464" t="e">
            <v>#N/A</v>
          </cell>
          <cell r="J464" t="e">
            <v>#N/A</v>
          </cell>
          <cell r="K464" t="e">
            <v>#N/A</v>
          </cell>
          <cell r="L464" t="e">
            <v>#N/A</v>
          </cell>
          <cell r="M464" t="e">
            <v>#N/A</v>
          </cell>
          <cell r="N464" t="e">
            <v>#N/A</v>
          </cell>
          <cell r="O464" t="e">
            <v>#N/A</v>
          </cell>
          <cell r="P464">
            <v>60.85</v>
          </cell>
          <cell r="Q464">
            <v>0.90807099999999996</v>
          </cell>
          <cell r="R464" t="e">
            <v>#N/A</v>
          </cell>
        </row>
        <row r="465">
          <cell r="A465">
            <v>40140</v>
          </cell>
          <cell r="B465">
            <v>40140</v>
          </cell>
          <cell r="C465" t="str">
            <v>Past</v>
          </cell>
          <cell r="D465">
            <v>61.5</v>
          </cell>
          <cell r="E465" t="e">
            <v>#N/A</v>
          </cell>
          <cell r="F465" t="e">
            <v>#N/A</v>
          </cell>
          <cell r="G465" t="e">
            <v>#N/A</v>
          </cell>
          <cell r="H465" t="e">
            <v>#N/A</v>
          </cell>
          <cell r="I465" t="e">
            <v>#N/A</v>
          </cell>
          <cell r="J465" t="e">
            <v>#N/A</v>
          </cell>
          <cell r="K465" t="e">
            <v>#N/A</v>
          </cell>
          <cell r="L465" t="e">
            <v>#N/A</v>
          </cell>
          <cell r="M465" t="e">
            <v>#N/A</v>
          </cell>
          <cell r="N465" t="e">
            <v>#N/A</v>
          </cell>
          <cell r="O465" t="e">
            <v>#N/A</v>
          </cell>
          <cell r="P465">
            <v>61.5</v>
          </cell>
          <cell r="Q465">
            <v>1.2440439999999999</v>
          </cell>
          <cell r="R465" t="e">
            <v>#N/A</v>
          </cell>
        </row>
        <row r="466">
          <cell r="A466">
            <v>40141</v>
          </cell>
          <cell r="B466">
            <v>40141</v>
          </cell>
          <cell r="C466" t="str">
            <v>Past</v>
          </cell>
          <cell r="D466">
            <v>61.26</v>
          </cell>
          <cell r="E466" t="e">
            <v>#N/A</v>
          </cell>
          <cell r="F466" t="e">
            <v>#N/A</v>
          </cell>
          <cell r="G466" t="e">
            <v>#N/A</v>
          </cell>
          <cell r="H466" t="e">
            <v>#N/A</v>
          </cell>
          <cell r="I466" t="e">
            <v>#N/A</v>
          </cell>
          <cell r="J466" t="e">
            <v>#N/A</v>
          </cell>
          <cell r="K466" t="e">
            <v>#N/A</v>
          </cell>
          <cell r="L466" t="e">
            <v>#N/A</v>
          </cell>
          <cell r="M466" t="e">
            <v>#N/A</v>
          </cell>
          <cell r="N466" t="e">
            <v>#N/A</v>
          </cell>
          <cell r="O466" t="e">
            <v>#N/A</v>
          </cell>
          <cell r="P466">
            <v>61.26</v>
          </cell>
          <cell r="Q466">
            <v>0.839306</v>
          </cell>
          <cell r="R466" t="e">
            <v>#N/A</v>
          </cell>
        </row>
        <row r="467">
          <cell r="A467">
            <v>40142</v>
          </cell>
          <cell r="B467">
            <v>40142</v>
          </cell>
          <cell r="C467" t="str">
            <v>Past</v>
          </cell>
          <cell r="D467">
            <v>61.22</v>
          </cell>
          <cell r="E467" t="e">
            <v>#N/A</v>
          </cell>
          <cell r="F467" t="e">
            <v>#N/A</v>
          </cell>
          <cell r="G467" t="e">
            <v>#N/A</v>
          </cell>
          <cell r="H467" t="e">
            <v>#N/A</v>
          </cell>
          <cell r="I467" t="e">
            <v>#N/A</v>
          </cell>
          <cell r="J467" t="e">
            <v>#N/A</v>
          </cell>
          <cell r="K467" t="e">
            <v>#N/A</v>
          </cell>
          <cell r="L467" t="e">
            <v>#N/A</v>
          </cell>
          <cell r="M467" t="e">
            <v>#N/A</v>
          </cell>
          <cell r="N467" t="e">
            <v>#N/A</v>
          </cell>
          <cell r="O467" t="e">
            <v>#N/A</v>
          </cell>
          <cell r="P467">
            <v>61.22</v>
          </cell>
          <cell r="Q467">
            <v>0.76066000000000011</v>
          </cell>
          <cell r="R467" t="e">
            <v>#N/A</v>
          </cell>
        </row>
        <row r="468">
          <cell r="A468">
            <v>40144</v>
          </cell>
          <cell r="B468">
            <v>40144</v>
          </cell>
          <cell r="C468" t="str">
            <v>Past</v>
          </cell>
          <cell r="D468">
            <v>60.07</v>
          </cell>
          <cell r="E468" t="e">
            <v>#N/A</v>
          </cell>
          <cell r="F468" t="e">
            <v>#N/A</v>
          </cell>
          <cell r="G468" t="e">
            <v>#N/A</v>
          </cell>
          <cell r="H468" t="e">
            <v>#N/A</v>
          </cell>
          <cell r="I468" t="e">
            <v>#N/A</v>
          </cell>
          <cell r="J468" t="e">
            <v>#N/A</v>
          </cell>
          <cell r="K468" t="e">
            <v>#N/A</v>
          </cell>
          <cell r="L468" t="e">
            <v>#N/A</v>
          </cell>
          <cell r="M468" t="e">
            <v>#N/A</v>
          </cell>
          <cell r="N468" t="e">
            <v>#N/A</v>
          </cell>
          <cell r="O468" t="e">
            <v>#N/A</v>
          </cell>
          <cell r="P468">
            <v>60.07</v>
          </cell>
          <cell r="Q468">
            <v>0.38829799999999998</v>
          </cell>
          <cell r="R468" t="e">
            <v>#N/A</v>
          </cell>
        </row>
        <row r="469">
          <cell r="A469">
            <v>40147</v>
          </cell>
          <cell r="B469">
            <v>40147</v>
          </cell>
          <cell r="C469" t="str">
            <v>Past</v>
          </cell>
          <cell r="D469">
            <v>59.34</v>
          </cell>
          <cell r="E469" t="e">
            <v>#N/A</v>
          </cell>
          <cell r="F469" t="e">
            <v>#N/A</v>
          </cell>
          <cell r="G469" t="e">
            <v>#N/A</v>
          </cell>
          <cell r="H469" t="e">
            <v>#N/A</v>
          </cell>
          <cell r="I469" t="e">
            <v>#N/A</v>
          </cell>
          <cell r="J469" t="e">
            <v>#N/A</v>
          </cell>
          <cell r="K469" t="e">
            <v>#N/A</v>
          </cell>
          <cell r="L469" t="e">
            <v>#N/A</v>
          </cell>
          <cell r="M469" t="e">
            <v>#N/A</v>
          </cell>
          <cell r="N469" t="e">
            <v>#N/A</v>
          </cell>
          <cell r="O469" t="e">
            <v>#N/A</v>
          </cell>
          <cell r="P469">
            <v>59.34</v>
          </cell>
          <cell r="Q469">
            <v>1.1980309999999998</v>
          </cell>
          <cell r="R469" t="e">
            <v>#N/A</v>
          </cell>
        </row>
        <row r="470">
          <cell r="A470">
            <v>40148</v>
          </cell>
          <cell r="B470">
            <v>40148</v>
          </cell>
          <cell r="C470" t="str">
            <v>Past</v>
          </cell>
          <cell r="D470">
            <v>60.67</v>
          </cell>
          <cell r="E470" t="e">
            <v>#N/A</v>
          </cell>
          <cell r="F470" t="e">
            <v>#N/A</v>
          </cell>
          <cell r="G470" t="e">
            <v>#N/A</v>
          </cell>
          <cell r="H470" t="e">
            <v>#N/A</v>
          </cell>
          <cell r="I470" t="e">
            <v>#N/A</v>
          </cell>
          <cell r="J470" t="e">
            <v>#N/A</v>
          </cell>
          <cell r="K470" t="e">
            <v>#N/A</v>
          </cell>
          <cell r="L470" t="e">
            <v>#N/A</v>
          </cell>
          <cell r="M470" t="e">
            <v>#N/A</v>
          </cell>
          <cell r="N470" t="e">
            <v>#N/A</v>
          </cell>
          <cell r="O470" t="e">
            <v>#N/A</v>
          </cell>
          <cell r="P470">
            <v>60.67</v>
          </cell>
          <cell r="Q470">
            <v>1.0443849999999999</v>
          </cell>
          <cell r="R470" t="e">
            <v>#N/A</v>
          </cell>
        </row>
        <row r="471">
          <cell r="A471">
            <v>40149</v>
          </cell>
          <cell r="B471">
            <v>40149</v>
          </cell>
          <cell r="C471" t="str">
            <v>Past</v>
          </cell>
          <cell r="D471">
            <v>61.04</v>
          </cell>
          <cell r="E471" t="e">
            <v>#N/A</v>
          </cell>
          <cell r="F471" t="e">
            <v>#N/A</v>
          </cell>
          <cell r="G471" t="e">
            <v>#N/A</v>
          </cell>
          <cell r="H471" t="e">
            <v>#N/A</v>
          </cell>
          <cell r="I471" t="e">
            <v>#N/A</v>
          </cell>
          <cell r="J471" t="e">
            <v>#N/A</v>
          </cell>
          <cell r="K471" t="e">
            <v>#N/A</v>
          </cell>
          <cell r="L471" t="e">
            <v>#N/A</v>
          </cell>
          <cell r="M471" t="e">
            <v>#N/A</v>
          </cell>
          <cell r="N471" t="e">
            <v>#N/A</v>
          </cell>
          <cell r="O471" t="e">
            <v>#N/A</v>
          </cell>
          <cell r="P471">
            <v>61.04</v>
          </cell>
          <cell r="Q471">
            <v>0.99718699999999993</v>
          </cell>
          <cell r="R471" t="e">
            <v>#N/A</v>
          </cell>
        </row>
        <row r="472">
          <cell r="A472">
            <v>40150</v>
          </cell>
          <cell r="B472">
            <v>40150</v>
          </cell>
          <cell r="C472" t="str">
            <v>Past</v>
          </cell>
          <cell r="D472">
            <v>60.98</v>
          </cell>
          <cell r="E472" t="e">
            <v>#N/A</v>
          </cell>
          <cell r="F472" t="e">
            <v>#N/A</v>
          </cell>
          <cell r="G472" t="e">
            <v>#N/A</v>
          </cell>
          <cell r="H472" t="e">
            <v>#N/A</v>
          </cell>
          <cell r="I472" t="e">
            <v>#N/A</v>
          </cell>
          <cell r="J472" t="e">
            <v>#N/A</v>
          </cell>
          <cell r="K472" t="e">
            <v>#N/A</v>
          </cell>
          <cell r="L472" t="e">
            <v>#N/A</v>
          </cell>
          <cell r="M472" t="e">
            <v>#N/A</v>
          </cell>
          <cell r="N472" t="e">
            <v>#N/A</v>
          </cell>
          <cell r="O472" t="e">
            <v>#N/A</v>
          </cell>
          <cell r="P472">
            <v>60.98</v>
          </cell>
          <cell r="Q472">
            <v>1.5733119999999998</v>
          </cell>
          <cell r="R472" t="e">
            <v>#N/A</v>
          </cell>
        </row>
        <row r="473">
          <cell r="A473">
            <v>40151</v>
          </cell>
          <cell r="B473">
            <v>40151</v>
          </cell>
          <cell r="C473" t="str">
            <v>Past</v>
          </cell>
          <cell r="D473">
            <v>61.36</v>
          </cell>
          <cell r="E473" t="e">
            <v>#N/A</v>
          </cell>
          <cell r="F473" t="e">
            <v>#N/A</v>
          </cell>
          <cell r="G473" t="e">
            <v>#N/A</v>
          </cell>
          <cell r="H473" t="e">
            <v>#N/A</v>
          </cell>
          <cell r="I473" t="e">
            <v>#N/A</v>
          </cell>
          <cell r="J473" t="e">
            <v>#N/A</v>
          </cell>
          <cell r="K473" t="e">
            <v>#N/A</v>
          </cell>
          <cell r="L473" t="e">
            <v>#N/A</v>
          </cell>
          <cell r="M473" t="e">
            <v>#N/A</v>
          </cell>
          <cell r="N473" t="e">
            <v>#N/A</v>
          </cell>
          <cell r="O473" t="e">
            <v>#N/A</v>
          </cell>
          <cell r="P473">
            <v>61.36</v>
          </cell>
          <cell r="Q473">
            <v>1.652218</v>
          </cell>
          <cell r="R473" t="e">
            <v>#N/A</v>
          </cell>
        </row>
        <row r="474">
          <cell r="A474">
            <v>40154</v>
          </cell>
          <cell r="B474">
            <v>40154</v>
          </cell>
          <cell r="C474" t="str">
            <v>Past</v>
          </cell>
          <cell r="D474">
            <v>61.15</v>
          </cell>
          <cell r="E474" t="e">
            <v>#N/A</v>
          </cell>
          <cell r="F474" t="e">
            <v>#N/A</v>
          </cell>
          <cell r="G474" t="e">
            <v>#N/A</v>
          </cell>
          <cell r="H474" t="e">
            <v>#N/A</v>
          </cell>
          <cell r="I474" t="e">
            <v>#N/A</v>
          </cell>
          <cell r="J474" t="e">
            <v>#N/A</v>
          </cell>
          <cell r="K474" t="e">
            <v>#N/A</v>
          </cell>
          <cell r="L474" t="e">
            <v>#N/A</v>
          </cell>
          <cell r="M474" t="e">
            <v>#N/A</v>
          </cell>
          <cell r="N474" t="e">
            <v>#N/A</v>
          </cell>
          <cell r="O474" t="e">
            <v>#N/A</v>
          </cell>
          <cell r="P474">
            <v>61.15</v>
          </cell>
          <cell r="Q474">
            <v>0.697967</v>
          </cell>
          <cell r="R474" t="e">
            <v>#N/A</v>
          </cell>
        </row>
        <row r="475">
          <cell r="A475">
            <v>40155</v>
          </cell>
          <cell r="B475">
            <v>40155</v>
          </cell>
          <cell r="C475" t="str">
            <v>Past</v>
          </cell>
          <cell r="D475">
            <v>60.7</v>
          </cell>
          <cell r="E475" t="e">
            <v>#N/A</v>
          </cell>
          <cell r="F475" t="e">
            <v>#N/A</v>
          </cell>
          <cell r="G475" t="e">
            <v>#N/A</v>
          </cell>
          <cell r="H475" t="e">
            <v>#N/A</v>
          </cell>
          <cell r="I475" t="e">
            <v>#N/A</v>
          </cell>
          <cell r="J475" t="e">
            <v>#N/A</v>
          </cell>
          <cell r="K475" t="e">
            <v>#N/A</v>
          </cell>
          <cell r="L475" t="e">
            <v>#N/A</v>
          </cell>
          <cell r="M475" t="e">
            <v>#N/A</v>
          </cell>
          <cell r="N475" t="e">
            <v>#N/A</v>
          </cell>
          <cell r="O475" t="e">
            <v>#N/A</v>
          </cell>
          <cell r="P475">
            <v>60.7</v>
          </cell>
          <cell r="Q475">
            <v>1.0189679999999999</v>
          </cell>
          <cell r="R475" t="e">
            <v>#N/A</v>
          </cell>
        </row>
        <row r="476">
          <cell r="A476">
            <v>40156</v>
          </cell>
          <cell r="B476">
            <v>40156</v>
          </cell>
          <cell r="C476" t="str">
            <v>Past</v>
          </cell>
          <cell r="D476">
            <v>60.59</v>
          </cell>
          <cell r="E476" t="e">
            <v>#N/A</v>
          </cell>
          <cell r="F476" t="e">
            <v>#N/A</v>
          </cell>
          <cell r="G476" t="e">
            <v>#N/A</v>
          </cell>
          <cell r="H476" t="e">
            <v>#N/A</v>
          </cell>
          <cell r="I476" t="e">
            <v>#N/A</v>
          </cell>
          <cell r="J476" t="e">
            <v>#N/A</v>
          </cell>
          <cell r="K476" t="e">
            <v>#N/A</v>
          </cell>
          <cell r="L476" t="e">
            <v>#N/A</v>
          </cell>
          <cell r="M476" t="e">
            <v>#N/A</v>
          </cell>
          <cell r="N476" t="e">
            <v>#N/A</v>
          </cell>
          <cell r="O476" t="e">
            <v>#N/A</v>
          </cell>
          <cell r="P476">
            <v>60.59</v>
          </cell>
          <cell r="Q476">
            <v>0.784972</v>
          </cell>
          <cell r="R476" t="e">
            <v>#N/A</v>
          </cell>
        </row>
        <row r="477">
          <cell r="A477">
            <v>40157</v>
          </cell>
          <cell r="B477">
            <v>40157</v>
          </cell>
          <cell r="C477" t="str">
            <v>Past</v>
          </cell>
          <cell r="D477">
            <v>60.66</v>
          </cell>
          <cell r="E477" t="e">
            <v>#N/A</v>
          </cell>
          <cell r="F477" t="e">
            <v>#N/A</v>
          </cell>
          <cell r="G477" t="e">
            <v>#N/A</v>
          </cell>
          <cell r="H477" t="e">
            <v>#N/A</v>
          </cell>
          <cell r="I477" t="e">
            <v>#N/A</v>
          </cell>
          <cell r="J477" t="e">
            <v>#N/A</v>
          </cell>
          <cell r="K477" t="e">
            <v>#N/A</v>
          </cell>
          <cell r="L477" t="e">
            <v>#N/A</v>
          </cell>
          <cell r="M477" t="e">
            <v>#N/A</v>
          </cell>
          <cell r="N477" t="e">
            <v>#N/A</v>
          </cell>
          <cell r="O477" t="e">
            <v>#N/A</v>
          </cell>
          <cell r="P477">
            <v>60.66</v>
          </cell>
          <cell r="Q477">
            <v>0.67529499999999998</v>
          </cell>
          <cell r="R477" t="e">
            <v>#N/A</v>
          </cell>
        </row>
        <row r="478">
          <cell r="A478">
            <v>40158</v>
          </cell>
          <cell r="B478">
            <v>40158</v>
          </cell>
          <cell r="C478" t="str">
            <v>Past</v>
          </cell>
          <cell r="D478">
            <v>62.1</v>
          </cell>
          <cell r="E478" t="e">
            <v>#N/A</v>
          </cell>
          <cell r="F478" t="e">
            <v>#N/A</v>
          </cell>
          <cell r="G478" t="e">
            <v>#N/A</v>
          </cell>
          <cell r="H478" t="e">
            <v>#N/A</v>
          </cell>
          <cell r="I478" t="e">
            <v>#N/A</v>
          </cell>
          <cell r="J478" t="e">
            <v>#N/A</v>
          </cell>
          <cell r="K478" t="e">
            <v>#N/A</v>
          </cell>
          <cell r="L478" t="e">
            <v>#N/A</v>
          </cell>
          <cell r="M478" t="e">
            <v>#N/A</v>
          </cell>
          <cell r="N478" t="e">
            <v>#N/A</v>
          </cell>
          <cell r="O478" t="e">
            <v>#N/A</v>
          </cell>
          <cell r="P478">
            <v>62.1</v>
          </cell>
          <cell r="Q478">
            <v>1.8926569999999998</v>
          </cell>
          <cell r="R478" t="e">
            <v>#N/A</v>
          </cell>
        </row>
        <row r="479">
          <cell r="A479">
            <v>40161</v>
          </cell>
          <cell r="B479">
            <v>40161</v>
          </cell>
          <cell r="C479" t="str">
            <v>Past</v>
          </cell>
          <cell r="D479">
            <v>63.78</v>
          </cell>
          <cell r="E479" t="e">
            <v>#N/A</v>
          </cell>
          <cell r="F479" t="e">
            <v>#N/A</v>
          </cell>
          <cell r="G479" t="e">
            <v>#N/A</v>
          </cell>
          <cell r="H479" t="e">
            <v>#N/A</v>
          </cell>
          <cell r="I479" t="e">
            <v>#N/A</v>
          </cell>
          <cell r="J479" t="e">
            <v>#N/A</v>
          </cell>
          <cell r="K479" t="e">
            <v>#N/A</v>
          </cell>
          <cell r="L479" t="e">
            <v>#N/A</v>
          </cell>
          <cell r="M479" t="e">
            <v>#N/A</v>
          </cell>
          <cell r="N479" t="e">
            <v>#N/A</v>
          </cell>
          <cell r="O479" t="e">
            <v>#N/A</v>
          </cell>
          <cell r="P479">
            <v>63.78</v>
          </cell>
          <cell r="Q479">
            <v>1.8493949999999999</v>
          </cell>
          <cell r="R479" t="e">
            <v>#N/A</v>
          </cell>
        </row>
        <row r="480">
          <cell r="A480">
            <v>40162</v>
          </cell>
          <cell r="B480">
            <v>40162</v>
          </cell>
          <cell r="C480" t="str">
            <v>Past</v>
          </cell>
          <cell r="D480">
            <v>62.77</v>
          </cell>
          <cell r="E480" t="e">
            <v>#N/A</v>
          </cell>
          <cell r="F480" t="e">
            <v>#N/A</v>
          </cell>
          <cell r="G480" t="e">
            <v>#N/A</v>
          </cell>
          <cell r="H480" t="e">
            <v>#N/A</v>
          </cell>
          <cell r="I480" t="e">
            <v>#N/A</v>
          </cell>
          <cell r="J480" t="e">
            <v>#N/A</v>
          </cell>
          <cell r="K480" t="e">
            <v>#N/A</v>
          </cell>
          <cell r="L480" t="e">
            <v>#N/A</v>
          </cell>
          <cell r="M480" t="e">
            <v>#N/A</v>
          </cell>
          <cell r="N480" t="e">
            <v>#N/A</v>
          </cell>
          <cell r="O480" t="e">
            <v>#N/A</v>
          </cell>
          <cell r="P480">
            <v>62.77</v>
          </cell>
          <cell r="Q480">
            <v>1.2838129999999999</v>
          </cell>
          <cell r="R480" t="e">
            <v>#N/A</v>
          </cell>
        </row>
        <row r="481">
          <cell r="A481">
            <v>40163</v>
          </cell>
          <cell r="B481">
            <v>40163</v>
          </cell>
          <cell r="C481" t="str">
            <v>Past</v>
          </cell>
          <cell r="D481">
            <v>63.01</v>
          </cell>
          <cell r="E481" t="e">
            <v>#N/A</v>
          </cell>
          <cell r="F481" t="e">
            <v>#N/A</v>
          </cell>
          <cell r="G481" t="e">
            <v>#N/A</v>
          </cell>
          <cell r="H481" t="e">
            <v>#N/A</v>
          </cell>
          <cell r="I481" t="e">
            <v>#N/A</v>
          </cell>
          <cell r="J481" t="e">
            <v>#N/A</v>
          </cell>
          <cell r="K481" t="e">
            <v>#N/A</v>
          </cell>
          <cell r="L481" t="e">
            <v>#N/A</v>
          </cell>
          <cell r="M481" t="e">
            <v>#N/A</v>
          </cell>
          <cell r="N481" t="e">
            <v>#N/A</v>
          </cell>
          <cell r="O481" t="e">
            <v>#N/A</v>
          </cell>
          <cell r="P481">
            <v>63.01</v>
          </cell>
          <cell r="Q481">
            <v>1.5893969999999999</v>
          </cell>
          <cell r="R481" t="e">
            <v>#N/A</v>
          </cell>
        </row>
        <row r="482">
          <cell r="A482">
            <v>40164</v>
          </cell>
          <cell r="B482">
            <v>40164</v>
          </cell>
          <cell r="C482" t="str">
            <v>Past</v>
          </cell>
          <cell r="D482">
            <v>63.68</v>
          </cell>
          <cell r="E482" t="e">
            <v>#N/A</v>
          </cell>
          <cell r="F482" t="e">
            <v>#N/A</v>
          </cell>
          <cell r="G482" t="e">
            <v>#N/A</v>
          </cell>
          <cell r="H482" t="e">
            <v>#N/A</v>
          </cell>
          <cell r="I482" t="e">
            <v>#N/A</v>
          </cell>
          <cell r="J482" t="e">
            <v>#N/A</v>
          </cell>
          <cell r="K482" t="e">
            <v>#N/A</v>
          </cell>
          <cell r="L482" t="e">
            <v>#N/A</v>
          </cell>
          <cell r="M482" t="e">
            <v>#N/A</v>
          </cell>
          <cell r="N482" t="e">
            <v>#N/A</v>
          </cell>
          <cell r="O482" t="e">
            <v>#N/A</v>
          </cell>
          <cell r="P482">
            <v>63.68</v>
          </cell>
          <cell r="Q482">
            <v>1.4110309999999999</v>
          </cell>
          <cell r="R482" t="e">
            <v>#N/A</v>
          </cell>
        </row>
        <row r="483">
          <cell r="A483">
            <v>40165</v>
          </cell>
          <cell r="B483">
            <v>40165</v>
          </cell>
          <cell r="C483" t="str">
            <v>Past</v>
          </cell>
          <cell r="D483">
            <v>63.85</v>
          </cell>
          <cell r="E483" t="e">
            <v>#N/A</v>
          </cell>
          <cell r="F483" t="e">
            <v>#N/A</v>
          </cell>
          <cell r="G483" t="e">
            <v>#N/A</v>
          </cell>
          <cell r="H483" t="e">
            <v>#N/A</v>
          </cell>
          <cell r="I483" t="e">
            <v>#N/A</v>
          </cell>
          <cell r="J483" t="e">
            <v>#N/A</v>
          </cell>
          <cell r="K483" t="e">
            <v>#N/A</v>
          </cell>
          <cell r="L483" t="e">
            <v>#N/A</v>
          </cell>
          <cell r="M483" t="e">
            <v>#N/A</v>
          </cell>
          <cell r="N483" t="e">
            <v>#N/A</v>
          </cell>
          <cell r="O483" t="e">
            <v>#N/A</v>
          </cell>
          <cell r="P483">
            <v>63.85</v>
          </cell>
          <cell r="Q483">
            <v>1.8057969999999999</v>
          </cell>
          <cell r="R483" t="e">
            <v>#N/A</v>
          </cell>
        </row>
        <row r="484">
          <cell r="A484">
            <v>40168</v>
          </cell>
          <cell r="B484">
            <v>40168</v>
          </cell>
          <cell r="C484" t="str">
            <v>Past</v>
          </cell>
          <cell r="D484">
            <v>64.739999999999995</v>
          </cell>
          <cell r="E484" t="e">
            <v>#N/A</v>
          </cell>
          <cell r="F484" t="e">
            <v>#N/A</v>
          </cell>
          <cell r="G484" t="e">
            <v>#N/A</v>
          </cell>
          <cell r="H484" t="e">
            <v>#N/A</v>
          </cell>
          <cell r="I484" t="e">
            <v>#N/A</v>
          </cell>
          <cell r="J484" t="e">
            <v>#N/A</v>
          </cell>
          <cell r="K484" t="e">
            <v>#N/A</v>
          </cell>
          <cell r="L484" t="e">
            <v>#N/A</v>
          </cell>
          <cell r="M484" t="e">
            <v>#N/A</v>
          </cell>
          <cell r="N484" t="e">
            <v>#N/A</v>
          </cell>
          <cell r="O484" t="e">
            <v>#N/A</v>
          </cell>
          <cell r="P484">
            <v>64.739999999999995</v>
          </cell>
          <cell r="Q484">
            <v>1.0862579999999999</v>
          </cell>
          <cell r="R484" t="e">
            <v>#N/A</v>
          </cell>
        </row>
        <row r="485">
          <cell r="A485">
            <v>40169</v>
          </cell>
          <cell r="B485">
            <v>40169</v>
          </cell>
          <cell r="C485" t="str">
            <v>Past</v>
          </cell>
          <cell r="D485">
            <v>65.64</v>
          </cell>
          <cell r="E485" t="e">
            <v>#N/A</v>
          </cell>
          <cell r="F485" t="e">
            <v>#N/A</v>
          </cell>
          <cell r="G485" t="e">
            <v>#N/A</v>
          </cell>
          <cell r="H485" t="e">
            <v>#N/A</v>
          </cell>
          <cell r="I485" t="e">
            <v>#N/A</v>
          </cell>
          <cell r="J485" t="e">
            <v>#N/A</v>
          </cell>
          <cell r="K485" t="e">
            <v>#N/A</v>
          </cell>
          <cell r="L485" t="e">
            <v>#N/A</v>
          </cell>
          <cell r="M485" t="e">
            <v>#N/A</v>
          </cell>
          <cell r="N485" t="e">
            <v>#N/A</v>
          </cell>
          <cell r="O485" t="e">
            <v>#N/A</v>
          </cell>
          <cell r="P485">
            <v>65.64</v>
          </cell>
          <cell r="Q485">
            <v>1.0566709999999999</v>
          </cell>
          <cell r="R485" t="e">
            <v>#N/A</v>
          </cell>
        </row>
        <row r="486">
          <cell r="A486">
            <v>40170</v>
          </cell>
          <cell r="B486">
            <v>40170</v>
          </cell>
          <cell r="C486" t="str">
            <v>Past</v>
          </cell>
          <cell r="D486">
            <v>65.25</v>
          </cell>
          <cell r="E486" t="e">
            <v>#N/A</v>
          </cell>
          <cell r="F486" t="e">
            <v>#N/A</v>
          </cell>
          <cell r="G486" t="e">
            <v>#N/A</v>
          </cell>
          <cell r="H486" t="e">
            <v>#N/A</v>
          </cell>
          <cell r="I486" t="e">
            <v>#N/A</v>
          </cell>
          <cell r="J486" t="e">
            <v>#N/A</v>
          </cell>
          <cell r="K486" t="e">
            <v>#N/A</v>
          </cell>
          <cell r="L486" t="e">
            <v>#N/A</v>
          </cell>
          <cell r="M486" t="e">
            <v>#N/A</v>
          </cell>
          <cell r="N486" t="e">
            <v>#N/A</v>
          </cell>
          <cell r="O486" t="e">
            <v>#N/A</v>
          </cell>
          <cell r="P486">
            <v>65.25</v>
          </cell>
          <cell r="Q486">
            <v>0.67419600000000002</v>
          </cell>
          <cell r="R486" t="e">
            <v>#N/A</v>
          </cell>
        </row>
        <row r="487">
          <cell r="A487">
            <v>40171</v>
          </cell>
          <cell r="B487">
            <v>40171</v>
          </cell>
          <cell r="C487" t="str">
            <v>Past</v>
          </cell>
          <cell r="D487">
            <v>65.25</v>
          </cell>
          <cell r="E487" t="e">
            <v>#N/A</v>
          </cell>
          <cell r="F487" t="e">
            <v>#N/A</v>
          </cell>
          <cell r="G487" t="e">
            <v>#N/A</v>
          </cell>
          <cell r="H487" t="e">
            <v>#N/A</v>
          </cell>
          <cell r="I487" t="e">
            <v>#N/A</v>
          </cell>
          <cell r="J487" t="e">
            <v>#N/A</v>
          </cell>
          <cell r="K487" t="e">
            <v>#N/A</v>
          </cell>
          <cell r="L487" t="e">
            <v>#N/A</v>
          </cell>
          <cell r="M487" t="e">
            <v>#N/A</v>
          </cell>
          <cell r="N487" t="e">
            <v>#N/A</v>
          </cell>
          <cell r="O487" t="e">
            <v>#N/A</v>
          </cell>
          <cell r="P487">
            <v>65.25</v>
          </cell>
          <cell r="Q487">
            <v>0.170405</v>
          </cell>
          <cell r="R487" t="e">
            <v>#N/A</v>
          </cell>
        </row>
        <row r="488">
          <cell r="A488">
            <v>40175</v>
          </cell>
          <cell r="B488">
            <v>40175</v>
          </cell>
          <cell r="C488" t="str">
            <v>Past</v>
          </cell>
          <cell r="D488">
            <v>64.790000000000006</v>
          </cell>
          <cell r="E488" t="e">
            <v>#N/A</v>
          </cell>
          <cell r="F488" t="e">
            <v>#N/A</v>
          </cell>
          <cell r="G488" t="e">
            <v>#N/A</v>
          </cell>
          <cell r="H488" t="e">
            <v>#N/A</v>
          </cell>
          <cell r="I488" t="e">
            <v>#N/A</v>
          </cell>
          <cell r="J488" t="e">
            <v>#N/A</v>
          </cell>
          <cell r="K488" t="e">
            <v>#N/A</v>
          </cell>
          <cell r="L488" t="e">
            <v>#N/A</v>
          </cell>
          <cell r="M488" t="e">
            <v>#N/A</v>
          </cell>
          <cell r="N488" t="e">
            <v>#N/A</v>
          </cell>
          <cell r="O488" t="e">
            <v>#N/A</v>
          </cell>
          <cell r="P488">
            <v>64.790000000000006</v>
          </cell>
          <cell r="Q488">
            <v>0.46122799999999997</v>
          </cell>
          <cell r="R488" t="e">
            <v>#N/A</v>
          </cell>
        </row>
        <row r="489">
          <cell r="A489">
            <v>40176</v>
          </cell>
          <cell r="B489">
            <v>40176</v>
          </cell>
          <cell r="C489" t="str">
            <v>Past</v>
          </cell>
          <cell r="D489">
            <v>64.34</v>
          </cell>
          <cell r="E489" t="e">
            <v>#N/A</v>
          </cell>
          <cell r="F489" t="e">
            <v>#N/A</v>
          </cell>
          <cell r="G489" t="e">
            <v>#N/A</v>
          </cell>
          <cell r="H489" t="e">
            <v>#N/A</v>
          </cell>
          <cell r="I489" t="e">
            <v>#N/A</v>
          </cell>
          <cell r="J489" t="e">
            <v>#N/A</v>
          </cell>
          <cell r="K489" t="e">
            <v>#N/A</v>
          </cell>
          <cell r="L489" t="e">
            <v>#N/A</v>
          </cell>
          <cell r="M489" t="e">
            <v>#N/A</v>
          </cell>
          <cell r="N489" t="e">
            <v>#N/A</v>
          </cell>
          <cell r="O489" t="e">
            <v>#N/A</v>
          </cell>
          <cell r="P489">
            <v>64.34</v>
          </cell>
          <cell r="Q489">
            <v>1.080222</v>
          </cell>
          <cell r="R489" t="e">
            <v>#N/A</v>
          </cell>
        </row>
        <row r="490">
          <cell r="A490">
            <v>40177</v>
          </cell>
          <cell r="B490">
            <v>40177</v>
          </cell>
          <cell r="C490" t="str">
            <v>Past</v>
          </cell>
          <cell r="D490">
            <v>64.62</v>
          </cell>
          <cell r="E490" t="e">
            <v>#N/A</v>
          </cell>
          <cell r="F490" t="e">
            <v>#N/A</v>
          </cell>
          <cell r="G490" t="e">
            <v>#N/A</v>
          </cell>
          <cell r="H490" t="e">
            <v>#N/A</v>
          </cell>
          <cell r="I490" t="e">
            <v>#N/A</v>
          </cell>
          <cell r="J490" t="e">
            <v>#N/A</v>
          </cell>
          <cell r="K490" t="e">
            <v>#N/A</v>
          </cell>
          <cell r="L490" t="e">
            <v>#N/A</v>
          </cell>
          <cell r="M490" t="e">
            <v>#N/A</v>
          </cell>
          <cell r="N490" t="e">
            <v>#N/A</v>
          </cell>
          <cell r="O490" t="e">
            <v>#N/A</v>
          </cell>
          <cell r="P490">
            <v>64.62</v>
          </cell>
          <cell r="Q490">
            <v>0.621112</v>
          </cell>
          <cell r="R490" t="e">
            <v>#N/A</v>
          </cell>
        </row>
        <row r="491">
          <cell r="A491">
            <v>40178</v>
          </cell>
          <cell r="B491">
            <v>40178</v>
          </cell>
          <cell r="C491" t="str">
            <v>Past</v>
          </cell>
          <cell r="D491">
            <v>64.25</v>
          </cell>
          <cell r="E491" t="e">
            <v>#N/A</v>
          </cell>
          <cell r="F491" t="e">
            <v>#N/A</v>
          </cell>
          <cell r="G491" t="e">
            <v>#N/A</v>
          </cell>
          <cell r="H491" t="e">
            <v>#N/A</v>
          </cell>
          <cell r="I491" t="e">
            <v>#N/A</v>
          </cell>
          <cell r="J491" t="e">
            <v>#N/A</v>
          </cell>
          <cell r="K491" t="e">
            <v>#N/A</v>
          </cell>
          <cell r="L491" t="e">
            <v>#N/A</v>
          </cell>
          <cell r="M491" t="e">
            <v>#N/A</v>
          </cell>
          <cell r="N491" t="e">
            <v>#N/A</v>
          </cell>
          <cell r="O491" t="e">
            <v>#N/A</v>
          </cell>
          <cell r="P491">
            <v>64.25</v>
          </cell>
          <cell r="Q491">
            <v>0.43151599999999996</v>
          </cell>
          <cell r="R491" t="e">
            <v>#N/A</v>
          </cell>
        </row>
        <row r="492">
          <cell r="A492">
            <v>40182</v>
          </cell>
          <cell r="B492">
            <v>40182</v>
          </cell>
          <cell r="C492" t="str">
            <v>Past</v>
          </cell>
          <cell r="D492">
            <v>66.349999999999994</v>
          </cell>
          <cell r="E492" t="e">
            <v>#N/A</v>
          </cell>
          <cell r="F492" t="e">
            <v>#N/A</v>
          </cell>
          <cell r="G492" t="e">
            <v>#N/A</v>
          </cell>
          <cell r="H492" t="e">
            <v>#N/A</v>
          </cell>
          <cell r="I492" t="e">
            <v>#N/A</v>
          </cell>
          <cell r="J492" t="e">
            <v>#N/A</v>
          </cell>
          <cell r="K492" t="e">
            <v>#N/A</v>
          </cell>
          <cell r="L492" t="e">
            <v>#N/A</v>
          </cell>
          <cell r="M492" t="e">
            <v>#N/A</v>
          </cell>
          <cell r="N492" t="e">
            <v>#N/A</v>
          </cell>
          <cell r="O492" t="e">
            <v>#N/A</v>
          </cell>
          <cell r="P492">
            <v>66.349999999999994</v>
          </cell>
          <cell r="Q492">
            <v>1.538219</v>
          </cell>
          <cell r="R492" t="e">
            <v>#N/A</v>
          </cell>
        </row>
        <row r="493">
          <cell r="A493">
            <v>40183</v>
          </cell>
          <cell r="B493">
            <v>40183</v>
          </cell>
          <cell r="C493" t="str">
            <v>Past</v>
          </cell>
          <cell r="D493">
            <v>66.44</v>
          </cell>
          <cell r="E493" t="e">
            <v>#N/A</v>
          </cell>
          <cell r="F493" t="e">
            <v>#N/A</v>
          </cell>
          <cell r="G493" t="e">
            <v>#N/A</v>
          </cell>
          <cell r="H493" t="e">
            <v>#N/A</v>
          </cell>
          <cell r="I493" t="e">
            <v>#N/A</v>
          </cell>
          <cell r="J493" t="e">
            <v>#N/A</v>
          </cell>
          <cell r="K493" t="e">
            <v>#N/A</v>
          </cell>
          <cell r="L493" t="e">
            <v>#N/A</v>
          </cell>
          <cell r="M493" t="e">
            <v>#N/A</v>
          </cell>
          <cell r="N493" t="e">
            <v>#N/A</v>
          </cell>
          <cell r="O493" t="e">
            <v>#N/A</v>
          </cell>
          <cell r="P493">
            <v>66.44</v>
          </cell>
          <cell r="Q493">
            <v>0.81039499999999998</v>
          </cell>
          <cell r="R493" t="e">
            <v>#N/A</v>
          </cell>
        </row>
        <row r="494">
          <cell r="A494">
            <v>40184</v>
          </cell>
          <cell r="B494">
            <v>40184</v>
          </cell>
          <cell r="C494" t="str">
            <v>Past</v>
          </cell>
          <cell r="D494">
            <v>66.819999999999993</v>
          </cell>
          <cell r="E494" t="e">
            <v>#N/A</v>
          </cell>
          <cell r="F494" t="e">
            <v>#N/A</v>
          </cell>
          <cell r="G494" t="e">
            <v>#N/A</v>
          </cell>
          <cell r="H494" t="e">
            <v>#N/A</v>
          </cell>
          <cell r="I494" t="e">
            <v>#N/A</v>
          </cell>
          <cell r="J494" t="e">
            <v>#N/A</v>
          </cell>
          <cell r="K494" t="e">
            <v>#N/A</v>
          </cell>
          <cell r="L494" t="e">
            <v>#N/A</v>
          </cell>
          <cell r="M494" t="e">
            <v>#N/A</v>
          </cell>
          <cell r="N494" t="e">
            <v>#N/A</v>
          </cell>
          <cell r="O494" t="e">
            <v>#N/A</v>
          </cell>
          <cell r="P494">
            <v>66.819999999999993</v>
          </cell>
          <cell r="Q494">
            <v>0.996946</v>
          </cell>
          <cell r="R494" t="e">
            <v>#N/A</v>
          </cell>
        </row>
        <row r="495">
          <cell r="A495">
            <v>40185</v>
          </cell>
          <cell r="B495">
            <v>40185</v>
          </cell>
          <cell r="C495" t="str">
            <v>Past</v>
          </cell>
          <cell r="D495">
            <v>66.16</v>
          </cell>
          <cell r="E495" t="e">
            <v>#N/A</v>
          </cell>
          <cell r="F495" t="e">
            <v>#N/A</v>
          </cell>
          <cell r="G495" t="e">
            <v>#N/A</v>
          </cell>
          <cell r="H495" t="e">
            <v>#N/A</v>
          </cell>
          <cell r="I495" t="e">
            <v>#N/A</v>
          </cell>
          <cell r="J495" t="e">
            <v>#N/A</v>
          </cell>
          <cell r="K495" t="e">
            <v>#N/A</v>
          </cell>
          <cell r="L495" t="e">
            <v>#N/A</v>
          </cell>
          <cell r="M495" t="e">
            <v>#N/A</v>
          </cell>
          <cell r="N495" t="e">
            <v>#N/A</v>
          </cell>
          <cell r="O495" t="e">
            <v>#N/A</v>
          </cell>
          <cell r="P495">
            <v>66.16</v>
          </cell>
          <cell r="Q495">
            <v>0.88902799999999993</v>
          </cell>
          <cell r="R495" t="e">
            <v>#N/A</v>
          </cell>
        </row>
        <row r="496">
          <cell r="A496">
            <v>40186</v>
          </cell>
          <cell r="B496">
            <v>40186</v>
          </cell>
          <cell r="C496" t="str">
            <v>Past</v>
          </cell>
          <cell r="D496">
            <v>66.209999999999994</v>
          </cell>
          <cell r="E496" t="e">
            <v>#N/A</v>
          </cell>
          <cell r="F496" t="e">
            <v>#N/A</v>
          </cell>
          <cell r="G496" t="e">
            <v>#N/A</v>
          </cell>
          <cell r="H496" t="e">
            <v>#N/A</v>
          </cell>
          <cell r="I496" t="e">
            <v>#N/A</v>
          </cell>
          <cell r="J496" t="e">
            <v>#N/A</v>
          </cell>
          <cell r="K496" t="e">
            <v>#N/A</v>
          </cell>
          <cell r="L496" t="e">
            <v>#N/A</v>
          </cell>
          <cell r="M496" t="e">
            <v>#N/A</v>
          </cell>
          <cell r="N496" t="e">
            <v>#N/A</v>
          </cell>
          <cell r="O496" t="e">
            <v>#N/A</v>
          </cell>
          <cell r="P496">
            <v>66.209999999999994</v>
          </cell>
          <cell r="Q496">
            <v>0.99179899999999999</v>
          </cell>
          <cell r="R496" t="e">
            <v>#N/A</v>
          </cell>
        </row>
        <row r="497">
          <cell r="A497">
            <v>40189</v>
          </cell>
          <cell r="B497">
            <v>40189</v>
          </cell>
          <cell r="C497" t="str">
            <v>Past</v>
          </cell>
          <cell r="D497">
            <v>66.349999999999994</v>
          </cell>
          <cell r="E497" t="e">
            <v>#N/A</v>
          </cell>
          <cell r="F497" t="e">
            <v>#N/A</v>
          </cell>
          <cell r="G497" t="e">
            <v>#N/A</v>
          </cell>
          <cell r="H497" t="e">
            <v>#N/A</v>
          </cell>
          <cell r="I497" t="e">
            <v>#N/A</v>
          </cell>
          <cell r="J497" t="e">
            <v>#N/A</v>
          </cell>
          <cell r="K497" t="e">
            <v>#N/A</v>
          </cell>
          <cell r="L497" t="e">
            <v>#N/A</v>
          </cell>
          <cell r="M497" t="e">
            <v>#N/A</v>
          </cell>
          <cell r="N497" t="e">
            <v>#N/A</v>
          </cell>
          <cell r="O497" t="e">
            <v>#N/A</v>
          </cell>
          <cell r="P497">
            <v>66.349999999999994</v>
          </cell>
          <cell r="Q497">
            <v>0.61704199999999998</v>
          </cell>
          <cell r="R497" t="e">
            <v>#N/A</v>
          </cell>
        </row>
        <row r="498">
          <cell r="A498">
            <v>40190</v>
          </cell>
          <cell r="B498">
            <v>40190</v>
          </cell>
          <cell r="C498" t="str">
            <v>Past</v>
          </cell>
          <cell r="D498">
            <v>64.709999999999994</v>
          </cell>
          <cell r="E498" t="e">
            <v>#N/A</v>
          </cell>
          <cell r="F498" t="e">
            <v>#N/A</v>
          </cell>
          <cell r="G498" t="e">
            <v>#N/A</v>
          </cell>
          <cell r="H498" t="e">
            <v>#N/A</v>
          </cell>
          <cell r="I498" t="e">
            <v>#N/A</v>
          </cell>
          <cell r="J498" t="e">
            <v>#N/A</v>
          </cell>
          <cell r="K498" t="e">
            <v>#N/A</v>
          </cell>
          <cell r="L498" t="e">
            <v>#N/A</v>
          </cell>
          <cell r="M498" t="e">
            <v>#N/A</v>
          </cell>
          <cell r="N498" t="e">
            <v>#N/A</v>
          </cell>
          <cell r="O498" t="e">
            <v>#N/A</v>
          </cell>
          <cell r="P498">
            <v>64.709999999999994</v>
          </cell>
          <cell r="Q498">
            <v>1.4132169999999999</v>
          </cell>
          <cell r="R498" t="e">
            <v>#N/A</v>
          </cell>
        </row>
        <row r="499">
          <cell r="A499">
            <v>40191</v>
          </cell>
          <cell r="B499">
            <v>40191</v>
          </cell>
          <cell r="C499" t="str">
            <v>Past</v>
          </cell>
          <cell r="D499">
            <v>65.599999999999994</v>
          </cell>
          <cell r="E499" t="e">
            <v>#N/A</v>
          </cell>
          <cell r="F499" t="e">
            <v>#N/A</v>
          </cell>
          <cell r="G499" t="e">
            <v>#N/A</v>
          </cell>
          <cell r="H499" t="e">
            <v>#N/A</v>
          </cell>
          <cell r="I499" t="e">
            <v>#N/A</v>
          </cell>
          <cell r="J499" t="e">
            <v>#N/A</v>
          </cell>
          <cell r="K499" t="e">
            <v>#N/A</v>
          </cell>
          <cell r="L499" t="e">
            <v>#N/A</v>
          </cell>
          <cell r="M499" t="e">
            <v>#N/A</v>
          </cell>
          <cell r="N499" t="e">
            <v>#N/A</v>
          </cell>
          <cell r="O499" t="e">
            <v>#N/A</v>
          </cell>
          <cell r="P499">
            <v>65.599999999999994</v>
          </cell>
          <cell r="Q499">
            <v>1.3525769999999999</v>
          </cell>
          <cell r="R499" t="e">
            <v>#N/A</v>
          </cell>
        </row>
        <row r="500">
          <cell r="A500">
            <v>40192</v>
          </cell>
          <cell r="B500">
            <v>40192</v>
          </cell>
          <cell r="C500" t="str">
            <v>Past</v>
          </cell>
          <cell r="D500">
            <v>66.72</v>
          </cell>
          <cell r="E500" t="e">
            <v>#N/A</v>
          </cell>
          <cell r="F500" t="e">
            <v>#N/A</v>
          </cell>
          <cell r="G500" t="e">
            <v>#N/A</v>
          </cell>
          <cell r="H500" t="e">
            <v>#N/A</v>
          </cell>
          <cell r="I500" t="e">
            <v>#N/A</v>
          </cell>
          <cell r="J500" t="e">
            <v>#N/A</v>
          </cell>
          <cell r="K500" t="e">
            <v>#N/A</v>
          </cell>
          <cell r="L500" t="e">
            <v>#N/A</v>
          </cell>
          <cell r="M500" t="e">
            <v>#N/A</v>
          </cell>
          <cell r="N500" t="e">
            <v>#N/A</v>
          </cell>
          <cell r="O500" t="e">
            <v>#N/A</v>
          </cell>
          <cell r="P500">
            <v>66.72</v>
          </cell>
          <cell r="Q500">
            <v>0.783327</v>
          </cell>
          <cell r="R500" t="e">
            <v>#N/A</v>
          </cell>
        </row>
        <row r="501">
          <cell r="A501">
            <v>40193</v>
          </cell>
          <cell r="B501">
            <v>40193</v>
          </cell>
          <cell r="C501" t="str">
            <v>Past</v>
          </cell>
          <cell r="D501">
            <v>66.22</v>
          </cell>
          <cell r="E501" t="e">
            <v>#N/A</v>
          </cell>
          <cell r="F501" t="e">
            <v>#N/A</v>
          </cell>
          <cell r="G501" t="e">
            <v>#N/A</v>
          </cell>
          <cell r="H501" t="e">
            <v>#N/A</v>
          </cell>
          <cell r="I501" t="e">
            <v>#N/A</v>
          </cell>
          <cell r="J501" t="e">
            <v>#N/A</v>
          </cell>
          <cell r="K501" t="e">
            <v>#N/A</v>
          </cell>
          <cell r="L501" t="e">
            <v>#N/A</v>
          </cell>
          <cell r="M501" t="e">
            <v>#N/A</v>
          </cell>
          <cell r="N501" t="e">
            <v>#N/A</v>
          </cell>
          <cell r="O501" t="e">
            <v>#N/A</v>
          </cell>
          <cell r="P501">
            <v>66.22</v>
          </cell>
          <cell r="Q501">
            <v>0.84484499999999996</v>
          </cell>
          <cell r="R501" t="e">
            <v>#N/A</v>
          </cell>
        </row>
        <row r="502">
          <cell r="A502">
            <v>40197</v>
          </cell>
          <cell r="B502">
            <v>40197</v>
          </cell>
          <cell r="C502" t="str">
            <v>Past</v>
          </cell>
          <cell r="D502">
            <v>66.319999999999993</v>
          </cell>
          <cell r="E502" t="e">
            <v>#N/A</v>
          </cell>
          <cell r="F502" t="e">
            <v>#N/A</v>
          </cell>
          <cell r="G502" t="e">
            <v>#N/A</v>
          </cell>
          <cell r="H502" t="e">
            <v>#N/A</v>
          </cell>
          <cell r="I502" t="e">
            <v>#N/A</v>
          </cell>
          <cell r="J502" t="e">
            <v>#N/A</v>
          </cell>
          <cell r="K502" t="e">
            <v>#N/A</v>
          </cell>
          <cell r="L502" t="e">
            <v>#N/A</v>
          </cell>
          <cell r="M502" t="e">
            <v>#N/A</v>
          </cell>
          <cell r="N502" t="e">
            <v>#N/A</v>
          </cell>
          <cell r="O502" t="e">
            <v>#N/A</v>
          </cell>
          <cell r="P502">
            <v>66.319999999999993</v>
          </cell>
          <cell r="Q502">
            <v>0.76977099999999998</v>
          </cell>
          <cell r="R502" t="e">
            <v>#N/A</v>
          </cell>
        </row>
        <row r="503">
          <cell r="A503">
            <v>40198</v>
          </cell>
          <cell r="B503">
            <v>40198</v>
          </cell>
          <cell r="C503" t="str">
            <v>Past</v>
          </cell>
          <cell r="D503">
            <v>65.06</v>
          </cell>
          <cell r="E503" t="e">
            <v>#N/A</v>
          </cell>
          <cell r="F503" t="e">
            <v>#N/A</v>
          </cell>
          <cell r="G503" t="e">
            <v>#N/A</v>
          </cell>
          <cell r="H503" t="e">
            <v>#N/A</v>
          </cell>
          <cell r="I503" t="e">
            <v>#N/A</v>
          </cell>
          <cell r="J503" t="e">
            <v>#N/A</v>
          </cell>
          <cell r="K503" t="e">
            <v>#N/A</v>
          </cell>
          <cell r="L503" t="e">
            <v>#N/A</v>
          </cell>
          <cell r="M503" t="e">
            <v>#N/A</v>
          </cell>
          <cell r="N503" t="e">
            <v>#N/A</v>
          </cell>
          <cell r="O503" t="e">
            <v>#N/A</v>
          </cell>
          <cell r="P503">
            <v>65.06</v>
          </cell>
          <cell r="Q503">
            <v>1.359834</v>
          </cell>
          <cell r="R503" t="e">
            <v>#N/A</v>
          </cell>
        </row>
        <row r="504">
          <cell r="A504">
            <v>40199</v>
          </cell>
          <cell r="B504">
            <v>40199</v>
          </cell>
          <cell r="C504" t="str">
            <v>Past</v>
          </cell>
          <cell r="D504">
            <v>62.69</v>
          </cell>
          <cell r="E504" t="e">
            <v>#N/A</v>
          </cell>
          <cell r="F504" t="e">
            <v>#N/A</v>
          </cell>
          <cell r="G504" t="e">
            <v>#N/A</v>
          </cell>
          <cell r="H504" t="e">
            <v>#N/A</v>
          </cell>
          <cell r="I504" t="e">
            <v>#N/A</v>
          </cell>
          <cell r="J504" t="e">
            <v>#N/A</v>
          </cell>
          <cell r="K504" t="e">
            <v>#N/A</v>
          </cell>
          <cell r="L504" t="e">
            <v>#N/A</v>
          </cell>
          <cell r="M504" t="e">
            <v>#N/A</v>
          </cell>
          <cell r="N504" t="e">
            <v>#N/A</v>
          </cell>
          <cell r="O504" t="e">
            <v>#N/A</v>
          </cell>
          <cell r="P504">
            <v>62.69</v>
          </cell>
          <cell r="Q504">
            <v>1.7288839999999999</v>
          </cell>
          <cell r="R504" t="e">
            <v>#N/A</v>
          </cell>
        </row>
        <row r="505">
          <cell r="A505">
            <v>40200</v>
          </cell>
          <cell r="B505">
            <v>40200</v>
          </cell>
          <cell r="C505" t="str">
            <v>Past</v>
          </cell>
          <cell r="D505">
            <v>61.41</v>
          </cell>
          <cell r="E505" t="e">
            <v>#N/A</v>
          </cell>
          <cell r="F505" t="e">
            <v>#N/A</v>
          </cell>
          <cell r="G505" t="e">
            <v>#N/A</v>
          </cell>
          <cell r="H505" t="e">
            <v>#N/A</v>
          </cell>
          <cell r="I505" t="e">
            <v>#N/A</v>
          </cell>
          <cell r="J505" t="e">
            <v>#N/A</v>
          </cell>
          <cell r="K505" t="e">
            <v>#N/A</v>
          </cell>
          <cell r="L505" t="e">
            <v>#N/A</v>
          </cell>
          <cell r="M505" t="e">
            <v>#N/A</v>
          </cell>
          <cell r="N505" t="e">
            <v>#N/A</v>
          </cell>
          <cell r="O505" t="e">
            <v>#N/A</v>
          </cell>
          <cell r="P505">
            <v>61.41</v>
          </cell>
          <cell r="Q505">
            <v>0.85359699999999994</v>
          </cell>
          <cell r="R505" t="e">
            <v>#N/A</v>
          </cell>
        </row>
        <row r="506">
          <cell r="A506">
            <v>40203</v>
          </cell>
          <cell r="B506">
            <v>40203</v>
          </cell>
          <cell r="C506" t="str">
            <v>Past</v>
          </cell>
          <cell r="D506">
            <v>61.14</v>
          </cell>
          <cell r="E506" t="e">
            <v>#N/A</v>
          </cell>
          <cell r="F506" t="e">
            <v>#N/A</v>
          </cell>
          <cell r="G506" t="e">
            <v>#N/A</v>
          </cell>
          <cell r="H506" t="e">
            <v>#N/A</v>
          </cell>
          <cell r="I506" t="e">
            <v>#N/A</v>
          </cell>
          <cell r="J506" t="e">
            <v>#N/A</v>
          </cell>
          <cell r="K506" t="e">
            <v>#N/A</v>
          </cell>
          <cell r="L506" t="e">
            <v>#N/A</v>
          </cell>
          <cell r="M506" t="e">
            <v>#N/A</v>
          </cell>
          <cell r="N506" t="e">
            <v>#N/A</v>
          </cell>
          <cell r="O506" t="e">
            <v>#N/A</v>
          </cell>
          <cell r="P506">
            <v>61.14</v>
          </cell>
          <cell r="Q506">
            <v>0.73810399999999998</v>
          </cell>
          <cell r="R506" t="e">
            <v>#N/A</v>
          </cell>
        </row>
        <row r="507">
          <cell r="A507">
            <v>40204</v>
          </cell>
          <cell r="B507">
            <v>40204</v>
          </cell>
          <cell r="C507" t="str">
            <v>Past</v>
          </cell>
          <cell r="D507">
            <v>61.43</v>
          </cell>
          <cell r="E507" t="e">
            <v>#N/A</v>
          </cell>
          <cell r="F507" t="e">
            <v>#N/A</v>
          </cell>
          <cell r="G507" t="e">
            <v>#N/A</v>
          </cell>
          <cell r="H507" t="e">
            <v>#N/A</v>
          </cell>
          <cell r="I507" t="e">
            <v>#N/A</v>
          </cell>
          <cell r="J507" t="e">
            <v>#N/A</v>
          </cell>
          <cell r="K507" t="e">
            <v>#N/A</v>
          </cell>
          <cell r="L507" t="e">
            <v>#N/A</v>
          </cell>
          <cell r="M507" t="e">
            <v>#N/A</v>
          </cell>
          <cell r="N507" t="e">
            <v>#N/A</v>
          </cell>
          <cell r="O507" t="e">
            <v>#N/A</v>
          </cell>
          <cell r="P507">
            <v>61.43</v>
          </cell>
          <cell r="Q507">
            <v>1.4430749999999999</v>
          </cell>
          <cell r="R507" t="e">
            <v>#N/A</v>
          </cell>
        </row>
        <row r="508">
          <cell r="A508">
            <v>40205</v>
          </cell>
          <cell r="B508">
            <v>40205</v>
          </cell>
          <cell r="C508" t="str">
            <v>Past</v>
          </cell>
          <cell r="D508">
            <v>62.23</v>
          </cell>
          <cell r="E508" t="e">
            <v>#N/A</v>
          </cell>
          <cell r="F508" t="e">
            <v>#N/A</v>
          </cell>
          <cell r="G508" t="e">
            <v>#N/A</v>
          </cell>
          <cell r="H508" t="e">
            <v>#N/A</v>
          </cell>
          <cell r="I508" t="e">
            <v>#N/A</v>
          </cell>
          <cell r="J508" t="e">
            <v>#N/A</v>
          </cell>
          <cell r="K508" t="e">
            <v>#N/A</v>
          </cell>
          <cell r="L508" t="e">
            <v>#N/A</v>
          </cell>
          <cell r="M508" t="e">
            <v>#N/A</v>
          </cell>
          <cell r="N508" t="e">
            <v>#N/A</v>
          </cell>
          <cell r="O508" t="e">
            <v>#N/A</v>
          </cell>
          <cell r="P508">
            <v>62.23</v>
          </cell>
          <cell r="Q508">
            <v>1.695821</v>
          </cell>
          <cell r="R508" t="e">
            <v>#N/A</v>
          </cell>
        </row>
        <row r="509">
          <cell r="A509">
            <v>40206</v>
          </cell>
          <cell r="B509">
            <v>40206</v>
          </cell>
          <cell r="C509" t="str">
            <v>Past</v>
          </cell>
          <cell r="D509">
            <v>61.37</v>
          </cell>
          <cell r="E509" t="e">
            <v>#N/A</v>
          </cell>
          <cell r="F509" t="e">
            <v>#N/A</v>
          </cell>
          <cell r="G509" t="e">
            <v>#N/A</v>
          </cell>
          <cell r="H509" t="e">
            <v>#N/A</v>
          </cell>
          <cell r="I509" t="e">
            <v>#N/A</v>
          </cell>
          <cell r="J509" t="e">
            <v>#N/A</v>
          </cell>
          <cell r="K509" t="e">
            <v>#N/A</v>
          </cell>
          <cell r="L509" t="e">
            <v>#N/A</v>
          </cell>
          <cell r="M509" t="e">
            <v>#N/A</v>
          </cell>
          <cell r="N509" t="e">
            <v>#N/A</v>
          </cell>
          <cell r="O509" t="e">
            <v>#N/A</v>
          </cell>
          <cell r="P509">
            <v>61.37</v>
          </cell>
          <cell r="Q509">
            <v>2.3307340000000001</v>
          </cell>
          <cell r="R509" t="e">
            <v>#N/A</v>
          </cell>
        </row>
        <row r="510">
          <cell r="A510">
            <v>40207</v>
          </cell>
          <cell r="B510">
            <v>40207</v>
          </cell>
          <cell r="C510" t="str">
            <v>Past</v>
          </cell>
          <cell r="D510">
            <v>61.91</v>
          </cell>
          <cell r="E510" t="e">
            <v>#N/A</v>
          </cell>
          <cell r="F510" t="e">
            <v>#N/A</v>
          </cell>
          <cell r="G510" t="e">
            <v>#N/A</v>
          </cell>
          <cell r="H510" t="e">
            <v>#N/A</v>
          </cell>
          <cell r="I510" t="e">
            <v>#N/A</v>
          </cell>
          <cell r="J510" t="e">
            <v>#N/A</v>
          </cell>
          <cell r="K510" t="e">
            <v>#N/A</v>
          </cell>
          <cell r="L510" t="e">
            <v>#N/A</v>
          </cell>
          <cell r="M510" t="e">
            <v>#N/A</v>
          </cell>
          <cell r="N510" t="e">
            <v>#N/A</v>
          </cell>
          <cell r="O510" t="e">
            <v>#N/A</v>
          </cell>
          <cell r="P510">
            <v>61.91</v>
          </cell>
          <cell r="Q510">
            <v>2.2390719999999997</v>
          </cell>
          <cell r="R510" t="e">
            <v>#N/A</v>
          </cell>
        </row>
        <row r="511">
          <cell r="A511">
            <v>40210</v>
          </cell>
          <cell r="B511">
            <v>40210</v>
          </cell>
          <cell r="C511" t="str">
            <v>Past</v>
          </cell>
          <cell r="D511">
            <v>63.09</v>
          </cell>
          <cell r="E511" t="e">
            <v>#N/A</v>
          </cell>
          <cell r="F511" t="e">
            <v>#N/A</v>
          </cell>
          <cell r="G511" t="e">
            <v>#N/A</v>
          </cell>
          <cell r="H511" t="e">
            <v>#N/A</v>
          </cell>
          <cell r="I511" t="e">
            <v>#N/A</v>
          </cell>
          <cell r="J511" t="e">
            <v>#N/A</v>
          </cell>
          <cell r="K511" t="e">
            <v>#N/A</v>
          </cell>
          <cell r="L511" t="e">
            <v>#N/A</v>
          </cell>
          <cell r="M511" t="e">
            <v>#N/A</v>
          </cell>
          <cell r="N511" t="e">
            <v>#N/A</v>
          </cell>
          <cell r="O511" t="e">
            <v>#N/A</v>
          </cell>
          <cell r="P511">
            <v>63.09</v>
          </cell>
          <cell r="Q511">
            <v>1.4132</v>
          </cell>
          <cell r="R511" t="e">
            <v>#N/A</v>
          </cell>
        </row>
        <row r="512">
          <cell r="A512">
            <v>40211</v>
          </cell>
          <cell r="B512">
            <v>40211</v>
          </cell>
          <cell r="C512" t="str">
            <v>Past</v>
          </cell>
          <cell r="D512">
            <v>64.790000000000006</v>
          </cell>
          <cell r="E512" t="e">
            <v>#N/A</v>
          </cell>
          <cell r="F512" t="e">
            <v>#N/A</v>
          </cell>
          <cell r="G512" t="e">
            <v>#N/A</v>
          </cell>
          <cell r="H512" t="e">
            <v>#N/A</v>
          </cell>
          <cell r="I512" t="e">
            <v>#N/A</v>
          </cell>
          <cell r="J512" t="e">
            <v>#N/A</v>
          </cell>
          <cell r="K512" t="e">
            <v>#N/A</v>
          </cell>
          <cell r="L512" t="e">
            <v>#N/A</v>
          </cell>
          <cell r="M512" t="e">
            <v>#N/A</v>
          </cell>
          <cell r="N512" t="e">
            <v>#N/A</v>
          </cell>
          <cell r="O512" t="e">
            <v>#N/A</v>
          </cell>
          <cell r="P512">
            <v>64.790000000000006</v>
          </cell>
          <cell r="Q512">
            <v>1.8616539999999999</v>
          </cell>
          <cell r="R512" t="e">
            <v>#N/A</v>
          </cell>
        </row>
        <row r="513">
          <cell r="A513">
            <v>40212</v>
          </cell>
          <cell r="B513">
            <v>40212</v>
          </cell>
          <cell r="C513" t="str">
            <v>Past</v>
          </cell>
          <cell r="D513">
            <v>64.22</v>
          </cell>
          <cell r="E513" t="e">
            <v>#N/A</v>
          </cell>
          <cell r="F513" t="e">
            <v>#N/A</v>
          </cell>
          <cell r="G513" t="e">
            <v>#N/A</v>
          </cell>
          <cell r="H513" t="e">
            <v>#N/A</v>
          </cell>
          <cell r="I513" t="e">
            <v>#N/A</v>
          </cell>
          <cell r="J513" t="e">
            <v>#N/A</v>
          </cell>
          <cell r="K513" t="e">
            <v>#N/A</v>
          </cell>
          <cell r="L513" t="e">
            <v>#N/A</v>
          </cell>
          <cell r="M513" t="e">
            <v>#N/A</v>
          </cell>
          <cell r="N513" t="e">
            <v>#N/A</v>
          </cell>
          <cell r="O513" t="e">
            <v>#N/A</v>
          </cell>
          <cell r="P513">
            <v>64.22</v>
          </cell>
          <cell r="Q513">
            <v>0.82956199999999991</v>
          </cell>
          <cell r="R513" t="e">
            <v>#N/A</v>
          </cell>
        </row>
        <row r="514">
          <cell r="A514">
            <v>40213</v>
          </cell>
          <cell r="B514">
            <v>40213</v>
          </cell>
          <cell r="C514" t="str">
            <v>Past</v>
          </cell>
          <cell r="D514">
            <v>62.42</v>
          </cell>
          <cell r="E514" t="e">
            <v>#N/A</v>
          </cell>
          <cell r="F514" t="e">
            <v>#N/A</v>
          </cell>
          <cell r="G514" t="e">
            <v>#N/A</v>
          </cell>
          <cell r="H514" t="e">
            <v>#N/A</v>
          </cell>
          <cell r="I514" t="e">
            <v>#N/A</v>
          </cell>
          <cell r="J514" t="e">
            <v>#N/A</v>
          </cell>
          <cell r="K514" t="e">
            <v>#N/A</v>
          </cell>
          <cell r="L514" t="e">
            <v>#N/A</v>
          </cell>
          <cell r="M514" t="e">
            <v>#N/A</v>
          </cell>
          <cell r="N514" t="e">
            <v>#N/A</v>
          </cell>
          <cell r="O514" t="e">
            <v>#N/A</v>
          </cell>
          <cell r="P514">
            <v>62.42</v>
          </cell>
          <cell r="Q514">
            <v>2.0384509999999998</v>
          </cell>
          <cell r="R514" t="e">
            <v>#N/A</v>
          </cell>
        </row>
        <row r="515">
          <cell r="A515">
            <v>40214</v>
          </cell>
          <cell r="B515">
            <v>40214</v>
          </cell>
          <cell r="C515" t="str">
            <v>Past</v>
          </cell>
          <cell r="D515">
            <v>62.45</v>
          </cell>
          <cell r="E515" t="e">
            <v>#N/A</v>
          </cell>
          <cell r="F515" t="e">
            <v>#N/A</v>
          </cell>
          <cell r="G515" t="e">
            <v>#N/A</v>
          </cell>
          <cell r="H515" t="e">
            <v>#N/A</v>
          </cell>
          <cell r="I515" t="e">
            <v>#N/A</v>
          </cell>
          <cell r="J515" t="e">
            <v>#N/A</v>
          </cell>
          <cell r="K515" t="e">
            <v>#N/A</v>
          </cell>
          <cell r="L515" t="e">
            <v>#N/A</v>
          </cell>
          <cell r="M515" t="e">
            <v>#N/A</v>
          </cell>
          <cell r="N515" t="e">
            <v>#N/A</v>
          </cell>
          <cell r="O515" t="e">
            <v>#N/A</v>
          </cell>
          <cell r="P515">
            <v>62.45</v>
          </cell>
          <cell r="Q515">
            <v>1.5878369999999999</v>
          </cell>
          <cell r="R515" t="e">
            <v>#N/A</v>
          </cell>
        </row>
        <row r="516">
          <cell r="A516">
            <v>40217</v>
          </cell>
          <cell r="B516">
            <v>40217</v>
          </cell>
          <cell r="C516" t="str">
            <v>Past</v>
          </cell>
          <cell r="D516">
            <v>61.85</v>
          </cell>
          <cell r="E516" t="e">
            <v>#N/A</v>
          </cell>
          <cell r="F516" t="e">
            <v>#N/A</v>
          </cell>
          <cell r="G516" t="e">
            <v>#N/A</v>
          </cell>
          <cell r="H516" t="e">
            <v>#N/A</v>
          </cell>
          <cell r="I516" t="e">
            <v>#N/A</v>
          </cell>
          <cell r="J516" t="e">
            <v>#N/A</v>
          </cell>
          <cell r="K516" t="e">
            <v>#N/A</v>
          </cell>
          <cell r="L516" t="e">
            <v>#N/A</v>
          </cell>
          <cell r="M516" t="e">
            <v>#N/A</v>
          </cell>
          <cell r="N516" t="e">
            <v>#N/A</v>
          </cell>
          <cell r="O516" t="e">
            <v>#N/A</v>
          </cell>
          <cell r="P516">
            <v>61.85</v>
          </cell>
          <cell r="Q516">
            <v>1.2874700000000001</v>
          </cell>
          <cell r="R516" t="e">
            <v>#N/A</v>
          </cell>
        </row>
        <row r="517">
          <cell r="A517">
            <v>40218</v>
          </cell>
          <cell r="B517">
            <v>40218</v>
          </cell>
          <cell r="C517" t="str">
            <v>Past</v>
          </cell>
          <cell r="D517">
            <v>62.69</v>
          </cell>
          <cell r="E517" t="e">
            <v>#N/A</v>
          </cell>
          <cell r="F517" t="e">
            <v>#N/A</v>
          </cell>
          <cell r="G517" t="e">
            <v>#N/A</v>
          </cell>
          <cell r="H517" t="e">
            <v>#N/A</v>
          </cell>
          <cell r="I517" t="e">
            <v>#N/A</v>
          </cell>
          <cell r="J517" t="e">
            <v>#N/A</v>
          </cell>
          <cell r="K517" t="e">
            <v>#N/A</v>
          </cell>
          <cell r="L517" t="e">
            <v>#N/A</v>
          </cell>
          <cell r="M517" t="e">
            <v>#N/A</v>
          </cell>
          <cell r="N517" t="e">
            <v>#N/A</v>
          </cell>
          <cell r="O517" t="e">
            <v>#N/A</v>
          </cell>
          <cell r="P517">
            <v>62.69</v>
          </cell>
          <cell r="Q517">
            <v>1.5607</v>
          </cell>
          <cell r="R517" t="e">
            <v>#N/A</v>
          </cell>
        </row>
        <row r="518">
          <cell r="A518">
            <v>40219</v>
          </cell>
          <cell r="B518">
            <v>40219</v>
          </cell>
          <cell r="C518" t="str">
            <v>Past</v>
          </cell>
          <cell r="D518">
            <v>62.27</v>
          </cell>
          <cell r="E518" t="e">
            <v>#N/A</v>
          </cell>
          <cell r="F518" t="e">
            <v>#N/A</v>
          </cell>
          <cell r="G518" t="e">
            <v>#N/A</v>
          </cell>
          <cell r="H518" t="e">
            <v>#N/A</v>
          </cell>
          <cell r="I518" t="e">
            <v>#N/A</v>
          </cell>
          <cell r="J518" t="e">
            <v>#N/A</v>
          </cell>
          <cell r="K518" t="e">
            <v>#N/A</v>
          </cell>
          <cell r="L518" t="e">
            <v>#N/A</v>
          </cell>
          <cell r="M518" t="e">
            <v>#N/A</v>
          </cell>
          <cell r="N518" t="e">
            <v>#N/A</v>
          </cell>
          <cell r="O518" t="e">
            <v>#N/A</v>
          </cell>
          <cell r="P518">
            <v>62.27</v>
          </cell>
          <cell r="Q518">
            <v>0.93381399999999992</v>
          </cell>
          <cell r="R518" t="e">
            <v>#N/A</v>
          </cell>
        </row>
        <row r="519">
          <cell r="A519">
            <v>40220</v>
          </cell>
          <cell r="B519">
            <v>40220</v>
          </cell>
          <cell r="C519" t="str">
            <v>Past</v>
          </cell>
          <cell r="D519">
            <v>63.51</v>
          </cell>
          <cell r="E519" t="e">
            <v>#N/A</v>
          </cell>
          <cell r="F519" t="e">
            <v>#N/A</v>
          </cell>
          <cell r="G519" t="e">
            <v>#N/A</v>
          </cell>
          <cell r="H519" t="e">
            <v>#N/A</v>
          </cell>
          <cell r="I519" t="e">
            <v>#N/A</v>
          </cell>
          <cell r="J519" t="e">
            <v>#N/A</v>
          </cell>
          <cell r="K519" t="e">
            <v>#N/A</v>
          </cell>
          <cell r="L519" t="e">
            <v>#N/A</v>
          </cell>
          <cell r="M519" t="e">
            <v>#N/A</v>
          </cell>
          <cell r="N519" t="e">
            <v>#N/A</v>
          </cell>
          <cell r="O519" t="e">
            <v>#N/A</v>
          </cell>
          <cell r="P519">
            <v>63.51</v>
          </cell>
          <cell r="Q519">
            <v>1.0413509999999999</v>
          </cell>
          <cell r="R519" t="e">
            <v>#N/A</v>
          </cell>
        </row>
        <row r="520">
          <cell r="A520">
            <v>40221</v>
          </cell>
          <cell r="B520">
            <v>40221</v>
          </cell>
          <cell r="C520" t="str">
            <v>Past</v>
          </cell>
          <cell r="D520">
            <v>63.36</v>
          </cell>
          <cell r="E520" t="e">
            <v>#N/A</v>
          </cell>
          <cell r="F520" t="e">
            <v>#N/A</v>
          </cell>
          <cell r="G520" t="e">
            <v>#N/A</v>
          </cell>
          <cell r="H520" t="e">
            <v>#N/A</v>
          </cell>
          <cell r="I520" t="e">
            <v>#N/A</v>
          </cell>
          <cell r="J520" t="e">
            <v>#N/A</v>
          </cell>
          <cell r="K520" t="e">
            <v>#N/A</v>
          </cell>
          <cell r="L520" t="e">
            <v>#N/A</v>
          </cell>
          <cell r="M520" t="e">
            <v>#N/A</v>
          </cell>
          <cell r="N520" t="e">
            <v>#N/A</v>
          </cell>
          <cell r="O520" t="e">
            <v>#N/A</v>
          </cell>
          <cell r="P520">
            <v>63.36</v>
          </cell>
          <cell r="Q520">
            <v>0.76871000000000012</v>
          </cell>
          <cell r="R520" t="e">
            <v>#N/A</v>
          </cell>
        </row>
        <row r="521">
          <cell r="A521">
            <v>40225</v>
          </cell>
          <cell r="B521">
            <v>40225</v>
          </cell>
          <cell r="C521" t="str">
            <v>Past</v>
          </cell>
          <cell r="D521">
            <v>64.17</v>
          </cell>
          <cell r="E521" t="e">
            <v>#N/A</v>
          </cell>
          <cell r="F521" t="e">
            <v>#N/A</v>
          </cell>
          <cell r="G521" t="e">
            <v>#N/A</v>
          </cell>
          <cell r="H521" t="e">
            <v>#N/A</v>
          </cell>
          <cell r="I521" t="e">
            <v>#N/A</v>
          </cell>
          <cell r="J521" t="e">
            <v>#N/A</v>
          </cell>
          <cell r="K521" t="e">
            <v>#N/A</v>
          </cell>
          <cell r="L521" t="e">
            <v>#N/A</v>
          </cell>
          <cell r="M521" t="e">
            <v>#N/A</v>
          </cell>
          <cell r="N521" t="e">
            <v>#N/A</v>
          </cell>
          <cell r="O521" t="e">
            <v>#N/A</v>
          </cell>
          <cell r="P521">
            <v>64.17</v>
          </cell>
          <cell r="Q521">
            <v>2.0793879999999998</v>
          </cell>
          <cell r="R521" t="e">
            <v>#N/A</v>
          </cell>
        </row>
        <row r="522">
          <cell r="A522">
            <v>40226</v>
          </cell>
          <cell r="B522">
            <v>40226</v>
          </cell>
          <cell r="C522" t="str">
            <v>Past</v>
          </cell>
          <cell r="D522">
            <v>64.180000000000007</v>
          </cell>
          <cell r="E522" t="e">
            <v>#N/A</v>
          </cell>
          <cell r="F522" t="e">
            <v>#N/A</v>
          </cell>
          <cell r="G522" t="e">
            <v>#N/A</v>
          </cell>
          <cell r="H522" t="e">
            <v>#N/A</v>
          </cell>
          <cell r="I522" t="e">
            <v>#N/A</v>
          </cell>
          <cell r="J522" t="e">
            <v>#N/A</v>
          </cell>
          <cell r="K522" t="e">
            <v>#N/A</v>
          </cell>
          <cell r="L522" t="e">
            <v>#N/A</v>
          </cell>
          <cell r="M522" t="e">
            <v>#N/A</v>
          </cell>
          <cell r="N522" t="e">
            <v>#N/A</v>
          </cell>
          <cell r="O522" t="e">
            <v>#N/A</v>
          </cell>
          <cell r="P522">
            <v>64.180000000000007</v>
          </cell>
          <cell r="Q522">
            <v>1.303064</v>
          </cell>
          <cell r="R522" t="e">
            <v>#N/A</v>
          </cell>
        </row>
        <row r="523">
          <cell r="A523">
            <v>40227</v>
          </cell>
          <cell r="B523">
            <v>40227</v>
          </cell>
          <cell r="C523" t="str">
            <v>Past</v>
          </cell>
          <cell r="D523">
            <v>64.88</v>
          </cell>
          <cell r="E523" t="e">
            <v>#N/A</v>
          </cell>
          <cell r="F523" t="e">
            <v>#N/A</v>
          </cell>
          <cell r="G523" t="e">
            <v>#N/A</v>
          </cell>
          <cell r="H523" t="e">
            <v>#N/A</v>
          </cell>
          <cell r="I523" t="e">
            <v>#N/A</v>
          </cell>
          <cell r="J523" t="e">
            <v>#N/A</v>
          </cell>
          <cell r="K523" t="e">
            <v>#N/A</v>
          </cell>
          <cell r="L523" t="e">
            <v>#N/A</v>
          </cell>
          <cell r="M523" t="e">
            <v>#N/A</v>
          </cell>
          <cell r="N523" t="e">
            <v>#N/A</v>
          </cell>
          <cell r="O523" t="e">
            <v>#N/A</v>
          </cell>
          <cell r="P523">
            <v>64.88</v>
          </cell>
          <cell r="Q523">
            <v>0.95619199999999993</v>
          </cell>
          <cell r="R523" t="e">
            <v>#N/A</v>
          </cell>
        </row>
        <row r="524">
          <cell r="A524">
            <v>40228</v>
          </cell>
          <cell r="B524">
            <v>40228</v>
          </cell>
          <cell r="C524" t="str">
            <v>Past</v>
          </cell>
          <cell r="D524">
            <v>65.239999999999995</v>
          </cell>
          <cell r="E524" t="e">
            <v>#N/A</v>
          </cell>
          <cell r="F524" t="e">
            <v>#N/A</v>
          </cell>
          <cell r="G524" t="e">
            <v>#N/A</v>
          </cell>
          <cell r="H524" t="e">
            <v>#N/A</v>
          </cell>
          <cell r="I524" t="e">
            <v>#N/A</v>
          </cell>
          <cell r="J524" t="e">
            <v>#N/A</v>
          </cell>
          <cell r="K524" t="e">
            <v>#N/A</v>
          </cell>
          <cell r="L524" t="e">
            <v>#N/A</v>
          </cell>
          <cell r="M524" t="e">
            <v>#N/A</v>
          </cell>
          <cell r="N524" t="e">
            <v>#N/A</v>
          </cell>
          <cell r="O524" t="e">
            <v>#N/A</v>
          </cell>
          <cell r="P524">
            <v>65.239999999999995</v>
          </cell>
          <cell r="Q524">
            <v>1.2444</v>
          </cell>
          <cell r="R524" t="e">
            <v>#N/A</v>
          </cell>
        </row>
        <row r="525">
          <cell r="A525">
            <v>40231</v>
          </cell>
          <cell r="B525">
            <v>40231</v>
          </cell>
          <cell r="C525" t="str">
            <v>Past</v>
          </cell>
          <cell r="D525">
            <v>65</v>
          </cell>
          <cell r="E525" t="e">
            <v>#N/A</v>
          </cell>
          <cell r="F525" t="e">
            <v>#N/A</v>
          </cell>
          <cell r="G525" t="e">
            <v>#N/A</v>
          </cell>
          <cell r="H525" t="e">
            <v>#N/A</v>
          </cell>
          <cell r="I525" t="e">
            <v>#N/A</v>
          </cell>
          <cell r="J525" t="e">
            <v>#N/A</v>
          </cell>
          <cell r="K525" t="e">
            <v>#N/A</v>
          </cell>
          <cell r="L525" t="e">
            <v>#N/A</v>
          </cell>
          <cell r="M525" t="e">
            <v>#N/A</v>
          </cell>
          <cell r="N525" t="e">
            <v>#N/A</v>
          </cell>
          <cell r="O525" t="e">
            <v>#N/A</v>
          </cell>
          <cell r="P525">
            <v>65</v>
          </cell>
          <cell r="Q525">
            <v>0.79830599999999996</v>
          </cell>
          <cell r="R525" t="e">
            <v>#N/A</v>
          </cell>
        </row>
        <row r="526">
          <cell r="A526">
            <v>40232</v>
          </cell>
          <cell r="B526">
            <v>40232</v>
          </cell>
          <cell r="C526" t="str">
            <v>Past</v>
          </cell>
          <cell r="D526">
            <v>64.2</v>
          </cell>
          <cell r="E526" t="e">
            <v>#N/A</v>
          </cell>
          <cell r="F526" t="e">
            <v>#N/A</v>
          </cell>
          <cell r="G526" t="e">
            <v>#N/A</v>
          </cell>
          <cell r="H526" t="e">
            <v>#N/A</v>
          </cell>
          <cell r="I526" t="e">
            <v>#N/A</v>
          </cell>
          <cell r="J526" t="e">
            <v>#N/A</v>
          </cell>
          <cell r="K526" t="e">
            <v>#N/A</v>
          </cell>
          <cell r="L526" t="e">
            <v>#N/A</v>
          </cell>
          <cell r="M526" t="e">
            <v>#N/A</v>
          </cell>
          <cell r="N526" t="e">
            <v>#N/A</v>
          </cell>
          <cell r="O526" t="e">
            <v>#N/A</v>
          </cell>
          <cell r="P526">
            <v>64.2</v>
          </cell>
          <cell r="Q526">
            <v>1.4157609999999998</v>
          </cell>
          <cell r="R526" t="e">
            <v>#N/A</v>
          </cell>
        </row>
        <row r="527">
          <cell r="A527">
            <v>40233</v>
          </cell>
          <cell r="B527">
            <v>40233</v>
          </cell>
          <cell r="C527" t="str">
            <v>Past</v>
          </cell>
          <cell r="D527">
            <v>64.900000000000006</v>
          </cell>
          <cell r="E527" t="e">
            <v>#N/A</v>
          </cell>
          <cell r="F527" t="e">
            <v>#N/A</v>
          </cell>
          <cell r="G527" t="e">
            <v>#N/A</v>
          </cell>
          <cell r="H527" t="e">
            <v>#N/A</v>
          </cell>
          <cell r="I527" t="e">
            <v>#N/A</v>
          </cell>
          <cell r="J527" t="e">
            <v>#N/A</v>
          </cell>
          <cell r="K527" t="e">
            <v>#N/A</v>
          </cell>
          <cell r="L527" t="e">
            <v>#N/A</v>
          </cell>
          <cell r="M527" t="e">
            <v>#N/A</v>
          </cell>
          <cell r="N527" t="e">
            <v>#N/A</v>
          </cell>
          <cell r="O527" t="e">
            <v>#N/A</v>
          </cell>
          <cell r="P527">
            <v>64.900000000000006</v>
          </cell>
          <cell r="Q527">
            <v>1.410061</v>
          </cell>
          <cell r="R527" t="e">
            <v>#N/A</v>
          </cell>
        </row>
        <row r="528">
          <cell r="A528">
            <v>40234</v>
          </cell>
          <cell r="B528">
            <v>40234</v>
          </cell>
          <cell r="C528" t="str">
            <v>Past</v>
          </cell>
          <cell r="D528">
            <v>64.8</v>
          </cell>
          <cell r="E528" t="e">
            <v>#N/A</v>
          </cell>
          <cell r="F528" t="e">
            <v>#N/A</v>
          </cell>
          <cell r="G528" t="e">
            <v>#N/A</v>
          </cell>
          <cell r="H528" t="e">
            <v>#N/A</v>
          </cell>
          <cell r="I528" t="e">
            <v>#N/A</v>
          </cell>
          <cell r="J528" t="e">
            <v>#N/A</v>
          </cell>
          <cell r="K528" t="e">
            <v>#N/A</v>
          </cell>
          <cell r="L528" t="e">
            <v>#N/A</v>
          </cell>
          <cell r="M528" t="e">
            <v>#N/A</v>
          </cell>
          <cell r="N528" t="e">
            <v>#N/A</v>
          </cell>
          <cell r="O528" t="e">
            <v>#N/A</v>
          </cell>
          <cell r="P528">
            <v>64.8</v>
          </cell>
          <cell r="Q528">
            <v>1.514103</v>
          </cell>
          <cell r="R528" t="e">
            <v>#N/A</v>
          </cell>
        </row>
        <row r="529">
          <cell r="A529">
            <v>40235</v>
          </cell>
          <cell r="B529">
            <v>40235</v>
          </cell>
          <cell r="C529" t="str">
            <v>Past</v>
          </cell>
          <cell r="D529">
            <v>65.63</v>
          </cell>
          <cell r="E529" t="e">
            <v>#N/A</v>
          </cell>
          <cell r="F529" t="e">
            <v>#N/A</v>
          </cell>
          <cell r="G529" t="e">
            <v>#N/A</v>
          </cell>
          <cell r="H529" t="e">
            <v>#N/A</v>
          </cell>
          <cell r="I529" t="e">
            <v>#N/A</v>
          </cell>
          <cell r="J529" t="e">
            <v>#N/A</v>
          </cell>
          <cell r="K529" t="e">
            <v>#N/A</v>
          </cell>
          <cell r="L529" t="e">
            <v>#N/A</v>
          </cell>
          <cell r="M529" t="e">
            <v>#N/A</v>
          </cell>
          <cell r="N529" t="e">
            <v>#N/A</v>
          </cell>
          <cell r="O529" t="e">
            <v>#N/A</v>
          </cell>
          <cell r="P529">
            <v>65.63</v>
          </cell>
          <cell r="Q529">
            <v>1.6516359999999999</v>
          </cell>
          <cell r="R529" t="e">
            <v>#N/A</v>
          </cell>
        </row>
        <row r="530">
          <cell r="A530">
            <v>40238</v>
          </cell>
          <cell r="B530">
            <v>40238</v>
          </cell>
          <cell r="C530" t="str">
            <v>Past</v>
          </cell>
          <cell r="D530">
            <v>67.25</v>
          </cell>
          <cell r="E530" t="e">
            <v>#N/A</v>
          </cell>
          <cell r="F530" t="e">
            <v>#N/A</v>
          </cell>
          <cell r="G530" t="e">
            <v>#N/A</v>
          </cell>
          <cell r="H530" t="e">
            <v>#N/A</v>
          </cell>
          <cell r="I530" t="e">
            <v>#N/A</v>
          </cell>
          <cell r="J530" t="e">
            <v>#N/A</v>
          </cell>
          <cell r="K530" t="e">
            <v>#N/A</v>
          </cell>
          <cell r="L530" t="e">
            <v>#N/A</v>
          </cell>
          <cell r="M530" t="e">
            <v>#N/A</v>
          </cell>
          <cell r="N530" t="e">
            <v>#N/A</v>
          </cell>
          <cell r="O530" t="e">
            <v>#N/A</v>
          </cell>
          <cell r="P530">
            <v>67.25</v>
          </cell>
          <cell r="Q530">
            <v>1.8971829999999998</v>
          </cell>
          <cell r="R530" t="e">
            <v>#N/A</v>
          </cell>
        </row>
        <row r="531">
          <cell r="A531">
            <v>40239</v>
          </cell>
          <cell r="B531">
            <v>40239</v>
          </cell>
          <cell r="C531" t="str">
            <v>Past</v>
          </cell>
          <cell r="D531">
            <v>67.790000000000006</v>
          </cell>
          <cell r="E531" t="e">
            <v>#N/A</v>
          </cell>
          <cell r="F531" t="e">
            <v>#N/A</v>
          </cell>
          <cell r="G531" t="e">
            <v>#N/A</v>
          </cell>
          <cell r="H531" t="e">
            <v>#N/A</v>
          </cell>
          <cell r="I531" t="e">
            <v>#N/A</v>
          </cell>
          <cell r="J531" t="e">
            <v>#N/A</v>
          </cell>
          <cell r="K531" t="e">
            <v>#N/A</v>
          </cell>
          <cell r="L531" t="e">
            <v>#N/A</v>
          </cell>
          <cell r="M531" t="e">
            <v>#N/A</v>
          </cell>
          <cell r="N531" t="e">
            <v>#N/A</v>
          </cell>
          <cell r="O531" t="e">
            <v>#N/A</v>
          </cell>
          <cell r="P531">
            <v>67.790000000000006</v>
          </cell>
          <cell r="Q531">
            <v>2.1222759999999998</v>
          </cell>
          <cell r="R531" t="e">
            <v>#N/A</v>
          </cell>
        </row>
        <row r="532">
          <cell r="A532">
            <v>40240</v>
          </cell>
          <cell r="B532">
            <v>40240</v>
          </cell>
          <cell r="C532" t="str">
            <v>Past</v>
          </cell>
          <cell r="D532">
            <v>67.680000000000007</v>
          </cell>
          <cell r="E532" t="e">
            <v>#N/A</v>
          </cell>
          <cell r="F532" t="e">
            <v>#N/A</v>
          </cell>
          <cell r="G532" t="e">
            <v>#N/A</v>
          </cell>
          <cell r="H532" t="e">
            <v>#N/A</v>
          </cell>
          <cell r="I532" t="e">
            <v>#N/A</v>
          </cell>
          <cell r="J532" t="e">
            <v>#N/A</v>
          </cell>
          <cell r="K532" t="e">
            <v>#N/A</v>
          </cell>
          <cell r="L532" t="e">
            <v>#N/A</v>
          </cell>
          <cell r="M532" t="e">
            <v>#N/A</v>
          </cell>
          <cell r="N532" t="e">
            <v>#N/A</v>
          </cell>
          <cell r="O532" t="e">
            <v>#N/A</v>
          </cell>
          <cell r="P532">
            <v>67.680000000000007</v>
          </cell>
          <cell r="Q532">
            <v>1.5122200000000001</v>
          </cell>
          <cell r="R532" t="e">
            <v>#N/A</v>
          </cell>
        </row>
        <row r="533">
          <cell r="A533">
            <v>40241</v>
          </cell>
          <cell r="B533">
            <v>40241</v>
          </cell>
          <cell r="C533" t="str">
            <v>Past</v>
          </cell>
          <cell r="D533">
            <v>69.040000000000006</v>
          </cell>
          <cell r="E533" t="e">
            <v>#N/A</v>
          </cell>
          <cell r="F533" t="e">
            <v>#N/A</v>
          </cell>
          <cell r="G533" t="e">
            <v>#N/A</v>
          </cell>
          <cell r="H533" t="e">
            <v>#N/A</v>
          </cell>
          <cell r="I533" t="e">
            <v>#N/A</v>
          </cell>
          <cell r="J533" t="e">
            <v>#N/A</v>
          </cell>
          <cell r="K533" t="e">
            <v>#N/A</v>
          </cell>
          <cell r="L533" t="e">
            <v>#N/A</v>
          </cell>
          <cell r="M533" t="e">
            <v>#N/A</v>
          </cell>
          <cell r="N533" t="e">
            <v>#N/A</v>
          </cell>
          <cell r="O533" t="e">
            <v>#N/A</v>
          </cell>
          <cell r="P533">
            <v>69.040000000000006</v>
          </cell>
          <cell r="Q533">
            <v>1.9760439999999999</v>
          </cell>
          <cell r="R533" t="e">
            <v>#N/A</v>
          </cell>
        </row>
        <row r="534">
          <cell r="A534">
            <v>40242</v>
          </cell>
          <cell r="B534">
            <v>40242</v>
          </cell>
          <cell r="C534" t="str">
            <v>Past</v>
          </cell>
          <cell r="D534">
            <v>69.69</v>
          </cell>
          <cell r="E534" t="e">
            <v>#N/A</v>
          </cell>
          <cell r="F534" t="e">
            <v>#N/A</v>
          </cell>
          <cell r="G534" t="e">
            <v>#N/A</v>
          </cell>
          <cell r="H534" t="e">
            <v>#N/A</v>
          </cell>
          <cell r="I534" t="e">
            <v>#N/A</v>
          </cell>
          <cell r="J534" t="e">
            <v>#N/A</v>
          </cell>
          <cell r="K534" t="e">
            <v>#N/A</v>
          </cell>
          <cell r="L534" t="e">
            <v>#N/A</v>
          </cell>
          <cell r="M534" t="e">
            <v>#N/A</v>
          </cell>
          <cell r="N534" t="e">
            <v>#N/A</v>
          </cell>
          <cell r="O534" t="e">
            <v>#N/A</v>
          </cell>
          <cell r="P534">
            <v>69.69</v>
          </cell>
          <cell r="Q534">
            <v>2.481897</v>
          </cell>
          <cell r="R534" t="e">
            <v>#N/A</v>
          </cell>
        </row>
        <row r="535">
          <cell r="A535">
            <v>40245</v>
          </cell>
          <cell r="B535">
            <v>40245</v>
          </cell>
          <cell r="C535" t="str">
            <v>Past</v>
          </cell>
          <cell r="D535">
            <v>68.739999999999995</v>
          </cell>
          <cell r="E535" t="e">
            <v>#N/A</v>
          </cell>
          <cell r="F535" t="e">
            <v>#N/A</v>
          </cell>
          <cell r="G535" t="e">
            <v>#N/A</v>
          </cell>
          <cell r="H535" t="e">
            <v>#N/A</v>
          </cell>
          <cell r="I535" t="e">
            <v>#N/A</v>
          </cell>
          <cell r="J535" t="e">
            <v>#N/A</v>
          </cell>
          <cell r="K535" t="e">
            <v>#N/A</v>
          </cell>
          <cell r="L535" t="e">
            <v>#N/A</v>
          </cell>
          <cell r="M535" t="e">
            <v>#N/A</v>
          </cell>
          <cell r="N535" t="e">
            <v>#N/A</v>
          </cell>
          <cell r="O535" t="e">
            <v>#N/A</v>
          </cell>
          <cell r="P535">
            <v>68.739999999999995</v>
          </cell>
          <cell r="Q535">
            <v>1.3382639999999999</v>
          </cell>
          <cell r="R535" t="e">
            <v>#N/A</v>
          </cell>
        </row>
        <row r="536">
          <cell r="A536">
            <v>40246</v>
          </cell>
          <cell r="B536">
            <v>40246</v>
          </cell>
          <cell r="C536" t="str">
            <v>Past</v>
          </cell>
          <cell r="D536">
            <v>69.72</v>
          </cell>
          <cell r="E536" t="e">
            <v>#N/A</v>
          </cell>
          <cell r="F536" t="e">
            <v>#N/A</v>
          </cell>
          <cell r="G536" t="e">
            <v>#N/A</v>
          </cell>
          <cell r="H536" t="e">
            <v>#N/A</v>
          </cell>
          <cell r="I536" t="e">
            <v>#N/A</v>
          </cell>
          <cell r="J536" t="e">
            <v>#N/A</v>
          </cell>
          <cell r="K536" t="e">
            <v>#N/A</v>
          </cell>
          <cell r="L536" t="e">
            <v>#N/A</v>
          </cell>
          <cell r="M536" t="e">
            <v>#N/A</v>
          </cell>
          <cell r="N536" t="e">
            <v>#N/A</v>
          </cell>
          <cell r="O536" t="e">
            <v>#N/A</v>
          </cell>
          <cell r="P536">
            <v>69.72</v>
          </cell>
          <cell r="Q536">
            <v>1.6253469999999999</v>
          </cell>
          <cell r="R536" t="e">
            <v>#N/A</v>
          </cell>
        </row>
        <row r="537">
          <cell r="A537">
            <v>40247</v>
          </cell>
          <cell r="B537">
            <v>40247</v>
          </cell>
          <cell r="C537" t="str">
            <v>Past</v>
          </cell>
          <cell r="D537">
            <v>71.2</v>
          </cell>
          <cell r="E537" t="e">
            <v>#N/A</v>
          </cell>
          <cell r="F537" t="e">
            <v>#N/A</v>
          </cell>
          <cell r="G537" t="e">
            <v>#N/A</v>
          </cell>
          <cell r="H537" t="e">
            <v>#N/A</v>
          </cell>
          <cell r="I537" t="e">
            <v>#N/A</v>
          </cell>
          <cell r="J537" t="e">
            <v>#N/A</v>
          </cell>
          <cell r="K537" t="e">
            <v>#N/A</v>
          </cell>
          <cell r="L537" t="e">
            <v>#N/A</v>
          </cell>
          <cell r="M537" t="e">
            <v>#N/A</v>
          </cell>
          <cell r="N537" t="e">
            <v>#N/A</v>
          </cell>
          <cell r="O537" t="e">
            <v>#N/A</v>
          </cell>
          <cell r="P537">
            <v>71.2</v>
          </cell>
          <cell r="Q537">
            <v>1.8022119999999999</v>
          </cell>
          <cell r="R537" t="e">
            <v>#N/A</v>
          </cell>
        </row>
        <row r="538">
          <cell r="A538">
            <v>40248</v>
          </cell>
          <cell r="B538">
            <v>40248</v>
          </cell>
          <cell r="C538" t="str">
            <v>Past</v>
          </cell>
          <cell r="D538">
            <v>72.650000000000006</v>
          </cell>
          <cell r="E538" t="e">
            <v>#N/A</v>
          </cell>
          <cell r="F538" t="e">
            <v>#N/A</v>
          </cell>
          <cell r="G538" t="e">
            <v>#N/A</v>
          </cell>
          <cell r="H538" t="e">
            <v>#N/A</v>
          </cell>
          <cell r="I538" t="e">
            <v>#N/A</v>
          </cell>
          <cell r="J538" t="e">
            <v>#N/A</v>
          </cell>
          <cell r="K538" t="e">
            <v>#N/A</v>
          </cell>
          <cell r="L538" t="e">
            <v>#N/A</v>
          </cell>
          <cell r="M538" t="e">
            <v>#N/A</v>
          </cell>
          <cell r="N538" t="e">
            <v>#N/A</v>
          </cell>
          <cell r="O538" t="e">
            <v>#N/A</v>
          </cell>
          <cell r="P538">
            <v>72.650000000000006</v>
          </cell>
          <cell r="Q538">
            <v>2.1373630000000001</v>
          </cell>
          <cell r="R538" t="e">
            <v>#N/A</v>
          </cell>
        </row>
        <row r="539">
          <cell r="A539">
            <v>40249</v>
          </cell>
          <cell r="B539">
            <v>40249</v>
          </cell>
          <cell r="C539" t="str">
            <v>Past</v>
          </cell>
          <cell r="D539">
            <v>72</v>
          </cell>
          <cell r="E539" t="e">
            <v>#N/A</v>
          </cell>
          <cell r="F539" t="e">
            <v>#N/A</v>
          </cell>
          <cell r="G539" t="e">
            <v>#N/A</v>
          </cell>
          <cell r="H539" t="e">
            <v>#N/A</v>
          </cell>
          <cell r="I539" t="e">
            <v>#N/A</v>
          </cell>
          <cell r="J539" t="e">
            <v>#N/A</v>
          </cell>
          <cell r="K539" t="e">
            <v>#N/A</v>
          </cell>
          <cell r="L539" t="e">
            <v>#N/A</v>
          </cell>
          <cell r="M539" t="e">
            <v>#N/A</v>
          </cell>
          <cell r="N539" t="e">
            <v>#N/A</v>
          </cell>
          <cell r="O539" t="e">
            <v>#N/A</v>
          </cell>
          <cell r="P539">
            <v>72</v>
          </cell>
          <cell r="Q539">
            <v>1.1227659999999999</v>
          </cell>
          <cell r="R539" t="e">
            <v>#N/A</v>
          </cell>
        </row>
        <row r="540">
          <cell r="A540">
            <v>40252</v>
          </cell>
          <cell r="B540">
            <v>40252</v>
          </cell>
          <cell r="C540" t="str">
            <v>Past</v>
          </cell>
          <cell r="D540">
            <v>71.650000000000006</v>
          </cell>
          <cell r="E540" t="e">
            <v>#N/A</v>
          </cell>
          <cell r="F540" t="e">
            <v>#N/A</v>
          </cell>
          <cell r="G540" t="e">
            <v>#N/A</v>
          </cell>
          <cell r="H540" t="e">
            <v>#N/A</v>
          </cell>
          <cell r="I540" t="e">
            <v>#N/A</v>
          </cell>
          <cell r="J540" t="e">
            <v>#N/A</v>
          </cell>
          <cell r="K540" t="e">
            <v>#N/A</v>
          </cell>
          <cell r="L540" t="e">
            <v>#N/A</v>
          </cell>
          <cell r="M540" t="e">
            <v>#N/A</v>
          </cell>
          <cell r="N540" t="e">
            <v>#N/A</v>
          </cell>
          <cell r="O540" t="e">
            <v>#N/A</v>
          </cell>
          <cell r="P540">
            <v>71.650000000000006</v>
          </cell>
          <cell r="Q540">
            <v>0.88502899999999995</v>
          </cell>
          <cell r="R540" t="e">
            <v>#N/A</v>
          </cell>
        </row>
        <row r="541">
          <cell r="A541">
            <v>40253</v>
          </cell>
          <cell r="B541">
            <v>40253</v>
          </cell>
          <cell r="C541" t="str">
            <v>Past</v>
          </cell>
          <cell r="D541">
            <v>72.03</v>
          </cell>
          <cell r="E541" t="e">
            <v>#N/A</v>
          </cell>
          <cell r="F541" t="e">
            <v>#N/A</v>
          </cell>
          <cell r="G541" t="e">
            <v>#N/A</v>
          </cell>
          <cell r="H541" t="e">
            <v>#N/A</v>
          </cell>
          <cell r="I541" t="e">
            <v>#N/A</v>
          </cell>
          <cell r="J541" t="e">
            <v>#N/A</v>
          </cell>
          <cell r="K541" t="e">
            <v>#N/A</v>
          </cell>
          <cell r="L541" t="e">
            <v>#N/A</v>
          </cell>
          <cell r="M541" t="e">
            <v>#N/A</v>
          </cell>
          <cell r="N541" t="e">
            <v>#N/A</v>
          </cell>
          <cell r="O541" t="e">
            <v>#N/A</v>
          </cell>
          <cell r="P541">
            <v>72.03</v>
          </cell>
          <cell r="Q541">
            <v>1.762262</v>
          </cell>
          <cell r="R541" t="e">
            <v>#N/A</v>
          </cell>
        </row>
        <row r="542">
          <cell r="A542">
            <v>40254</v>
          </cell>
          <cell r="B542">
            <v>40254</v>
          </cell>
          <cell r="C542" t="str">
            <v>Past</v>
          </cell>
          <cell r="D542">
            <v>71.489999999999995</v>
          </cell>
          <cell r="E542" t="e">
            <v>#N/A</v>
          </cell>
          <cell r="F542" t="e">
            <v>#N/A</v>
          </cell>
          <cell r="G542" t="e">
            <v>#N/A</v>
          </cell>
          <cell r="H542" t="e">
            <v>#N/A</v>
          </cell>
          <cell r="I542" t="e">
            <v>#N/A</v>
          </cell>
          <cell r="J542" t="e">
            <v>#N/A</v>
          </cell>
          <cell r="K542" t="e">
            <v>#N/A</v>
          </cell>
          <cell r="L542" t="e">
            <v>#N/A</v>
          </cell>
          <cell r="M542" t="e">
            <v>#N/A</v>
          </cell>
          <cell r="N542" t="e">
            <v>#N/A</v>
          </cell>
          <cell r="O542" t="e">
            <v>#N/A</v>
          </cell>
          <cell r="P542">
            <v>71.489999999999995</v>
          </cell>
          <cell r="Q542">
            <v>1.8962509999999999</v>
          </cell>
          <cell r="R542" t="e">
            <v>#N/A</v>
          </cell>
        </row>
        <row r="543">
          <cell r="A543">
            <v>40255</v>
          </cell>
          <cell r="B543">
            <v>40255</v>
          </cell>
          <cell r="C543" t="str">
            <v>Past</v>
          </cell>
          <cell r="D543">
            <v>70.23</v>
          </cell>
          <cell r="E543" t="e">
            <v>#N/A</v>
          </cell>
          <cell r="F543" t="e">
            <v>#N/A</v>
          </cell>
          <cell r="G543" t="e">
            <v>#N/A</v>
          </cell>
          <cell r="H543" t="e">
            <v>#N/A</v>
          </cell>
          <cell r="I543" t="e">
            <v>#N/A</v>
          </cell>
          <cell r="J543" t="e">
            <v>#N/A</v>
          </cell>
          <cell r="K543" t="e">
            <v>#N/A</v>
          </cell>
          <cell r="L543" t="e">
            <v>#N/A</v>
          </cell>
          <cell r="M543" t="e">
            <v>#N/A</v>
          </cell>
          <cell r="N543" t="e">
            <v>#N/A</v>
          </cell>
          <cell r="O543" t="e">
            <v>#N/A</v>
          </cell>
          <cell r="P543">
            <v>70.23</v>
          </cell>
          <cell r="Q543">
            <v>3.3027200000000003</v>
          </cell>
          <cell r="R543" t="e">
            <v>#N/A</v>
          </cell>
        </row>
        <row r="544">
          <cell r="A544">
            <v>40256</v>
          </cell>
          <cell r="B544">
            <v>40256</v>
          </cell>
          <cell r="C544" t="str">
            <v>Past</v>
          </cell>
          <cell r="D544">
            <v>71.41</v>
          </cell>
          <cell r="E544" t="e">
            <v>#N/A</v>
          </cell>
          <cell r="F544" t="e">
            <v>#N/A</v>
          </cell>
          <cell r="G544" t="e">
            <v>#N/A</v>
          </cell>
          <cell r="H544" t="e">
            <v>#N/A</v>
          </cell>
          <cell r="I544" t="e">
            <v>#N/A</v>
          </cell>
          <cell r="J544" t="e">
            <v>#N/A</v>
          </cell>
          <cell r="K544" t="e">
            <v>#N/A</v>
          </cell>
          <cell r="L544" t="e">
            <v>#N/A</v>
          </cell>
          <cell r="M544" t="e">
            <v>#N/A</v>
          </cell>
          <cell r="N544" t="e">
            <v>#N/A</v>
          </cell>
          <cell r="O544" t="e">
            <v>#N/A</v>
          </cell>
          <cell r="P544">
            <v>71.41</v>
          </cell>
          <cell r="Q544">
            <v>3.7041779999999997</v>
          </cell>
          <cell r="R544" t="e">
            <v>#N/A</v>
          </cell>
        </row>
        <row r="545">
          <cell r="A545">
            <v>40259</v>
          </cell>
          <cell r="B545">
            <v>40259</v>
          </cell>
          <cell r="C545" t="str">
            <v>Past</v>
          </cell>
          <cell r="D545">
            <v>71.459999999999994</v>
          </cell>
          <cell r="E545" t="e">
            <v>#N/A</v>
          </cell>
          <cell r="F545" t="e">
            <v>#N/A</v>
          </cell>
          <cell r="G545" t="e">
            <v>#N/A</v>
          </cell>
          <cell r="H545" t="e">
            <v>#N/A</v>
          </cell>
          <cell r="I545" t="e">
            <v>#N/A</v>
          </cell>
          <cell r="J545" t="e">
            <v>#N/A</v>
          </cell>
          <cell r="K545" t="e">
            <v>#N/A</v>
          </cell>
          <cell r="L545" t="e">
            <v>#N/A</v>
          </cell>
          <cell r="M545" t="e">
            <v>#N/A</v>
          </cell>
          <cell r="N545" t="e">
            <v>#N/A</v>
          </cell>
          <cell r="O545" t="e">
            <v>#N/A</v>
          </cell>
          <cell r="P545">
            <v>71.459999999999994</v>
          </cell>
          <cell r="Q545">
            <v>1.5193179999999999</v>
          </cell>
          <cell r="R545" t="e">
            <v>#N/A</v>
          </cell>
        </row>
        <row r="546">
          <cell r="A546">
            <v>40260</v>
          </cell>
          <cell r="B546">
            <v>40260</v>
          </cell>
          <cell r="C546" t="str">
            <v>Past</v>
          </cell>
          <cell r="D546">
            <v>71.52</v>
          </cell>
          <cell r="E546" t="e">
            <v>#N/A</v>
          </cell>
          <cell r="F546" t="e">
            <v>#N/A</v>
          </cell>
          <cell r="G546" t="e">
            <v>#N/A</v>
          </cell>
          <cell r="H546" t="e">
            <v>#N/A</v>
          </cell>
          <cell r="I546" t="e">
            <v>#N/A</v>
          </cell>
          <cell r="J546" t="e">
            <v>#N/A</v>
          </cell>
          <cell r="K546" t="e">
            <v>#N/A</v>
          </cell>
          <cell r="L546" t="e">
            <v>#N/A</v>
          </cell>
          <cell r="M546" t="e">
            <v>#N/A</v>
          </cell>
          <cell r="N546" t="e">
            <v>#N/A</v>
          </cell>
          <cell r="O546" t="e">
            <v>#N/A</v>
          </cell>
          <cell r="P546">
            <v>71.52</v>
          </cell>
          <cell r="Q546">
            <v>1.4071600000000002</v>
          </cell>
          <cell r="R546" t="e">
            <v>#N/A</v>
          </cell>
        </row>
        <row r="547">
          <cell r="A547">
            <v>40261</v>
          </cell>
          <cell r="B547">
            <v>40261</v>
          </cell>
          <cell r="C547" t="str">
            <v>Past</v>
          </cell>
          <cell r="D547">
            <v>70.849999999999994</v>
          </cell>
          <cell r="E547" t="e">
            <v>#N/A</v>
          </cell>
          <cell r="F547" t="e">
            <v>#N/A</v>
          </cell>
          <cell r="G547" t="e">
            <v>#N/A</v>
          </cell>
          <cell r="H547" t="e">
            <v>#N/A</v>
          </cell>
          <cell r="I547" t="e">
            <v>#N/A</v>
          </cell>
          <cell r="J547" t="e">
            <v>#N/A</v>
          </cell>
          <cell r="K547" t="e">
            <v>#N/A</v>
          </cell>
          <cell r="L547" t="e">
            <v>#N/A</v>
          </cell>
          <cell r="M547" t="e">
            <v>#N/A</v>
          </cell>
          <cell r="N547" t="e">
            <v>#N/A</v>
          </cell>
          <cell r="O547" t="e">
            <v>#N/A</v>
          </cell>
          <cell r="P547">
            <v>70.849999999999994</v>
          </cell>
          <cell r="Q547">
            <v>1.1509389999999999</v>
          </cell>
          <cell r="R547" t="e">
            <v>#N/A</v>
          </cell>
        </row>
        <row r="548">
          <cell r="A548">
            <v>40262</v>
          </cell>
          <cell r="B548">
            <v>40262</v>
          </cell>
          <cell r="C548" t="str">
            <v>Past</v>
          </cell>
          <cell r="D548">
            <v>70.88</v>
          </cell>
          <cell r="E548" t="e">
            <v>#N/A</v>
          </cell>
          <cell r="F548" t="e">
            <v>#N/A</v>
          </cell>
          <cell r="G548" t="e">
            <v>#N/A</v>
          </cell>
          <cell r="H548" t="e">
            <v>#N/A</v>
          </cell>
          <cell r="I548" t="e">
            <v>#N/A</v>
          </cell>
          <cell r="J548" t="e">
            <v>#N/A</v>
          </cell>
          <cell r="K548" t="e">
            <v>#N/A</v>
          </cell>
          <cell r="L548" t="e">
            <v>#N/A</v>
          </cell>
          <cell r="M548" t="e">
            <v>#N/A</v>
          </cell>
          <cell r="N548" t="e">
            <v>#N/A</v>
          </cell>
          <cell r="O548" t="e">
            <v>#N/A</v>
          </cell>
          <cell r="P548">
            <v>70.88</v>
          </cell>
          <cell r="Q548">
            <v>1.4198189999999999</v>
          </cell>
          <cell r="R548" t="e">
            <v>#N/A</v>
          </cell>
        </row>
        <row r="549">
          <cell r="A549">
            <v>40263</v>
          </cell>
          <cell r="B549">
            <v>40263</v>
          </cell>
          <cell r="C549" t="str">
            <v>Past</v>
          </cell>
          <cell r="D549">
            <v>71.010000000000005</v>
          </cell>
          <cell r="E549" t="e">
            <v>#N/A</v>
          </cell>
          <cell r="F549" t="e">
            <v>#N/A</v>
          </cell>
          <cell r="G549" t="e">
            <v>#N/A</v>
          </cell>
          <cell r="H549" t="e">
            <v>#N/A</v>
          </cell>
          <cell r="I549" t="e">
            <v>#N/A</v>
          </cell>
          <cell r="J549" t="e">
            <v>#N/A</v>
          </cell>
          <cell r="K549" t="e">
            <v>#N/A</v>
          </cell>
          <cell r="L549" t="e">
            <v>#N/A</v>
          </cell>
          <cell r="M549" t="e">
            <v>#N/A</v>
          </cell>
          <cell r="N549" t="e">
            <v>#N/A</v>
          </cell>
          <cell r="O549" t="e">
            <v>#N/A</v>
          </cell>
          <cell r="P549">
            <v>71.010000000000005</v>
          </cell>
          <cell r="Q549">
            <v>1.694269</v>
          </cell>
          <cell r="R549" t="e">
            <v>#N/A</v>
          </cell>
        </row>
        <row r="550">
          <cell r="A550">
            <v>40266</v>
          </cell>
          <cell r="B550">
            <v>40266</v>
          </cell>
          <cell r="C550" t="str">
            <v>Past</v>
          </cell>
          <cell r="D550">
            <v>71.05</v>
          </cell>
          <cell r="E550" t="e">
            <v>#N/A</v>
          </cell>
          <cell r="F550" t="e">
            <v>#N/A</v>
          </cell>
          <cell r="G550" t="e">
            <v>#N/A</v>
          </cell>
          <cell r="H550" t="e">
            <v>#N/A</v>
          </cell>
          <cell r="I550" t="e">
            <v>#N/A</v>
          </cell>
          <cell r="J550" t="e">
            <v>#N/A</v>
          </cell>
          <cell r="K550" t="e">
            <v>#N/A</v>
          </cell>
          <cell r="L550" t="e">
            <v>#N/A</v>
          </cell>
          <cell r="M550" t="e">
            <v>#N/A</v>
          </cell>
          <cell r="N550" t="e">
            <v>#N/A</v>
          </cell>
          <cell r="O550" t="e">
            <v>#N/A</v>
          </cell>
          <cell r="P550">
            <v>71.05</v>
          </cell>
          <cell r="Q550">
            <v>1.2252369999999999</v>
          </cell>
          <cell r="R550" t="e">
            <v>#N/A</v>
          </cell>
        </row>
        <row r="551">
          <cell r="A551">
            <v>40267</v>
          </cell>
          <cell r="B551">
            <v>40267</v>
          </cell>
          <cell r="C551" t="str">
            <v>Past</v>
          </cell>
          <cell r="D551">
            <v>71.540000000000006</v>
          </cell>
          <cell r="E551" t="e">
            <v>#N/A</v>
          </cell>
          <cell r="F551" t="e">
            <v>#N/A</v>
          </cell>
          <cell r="G551" t="e">
            <v>#N/A</v>
          </cell>
          <cell r="H551" t="e">
            <v>#N/A</v>
          </cell>
          <cell r="I551" t="e">
            <v>#N/A</v>
          </cell>
          <cell r="J551" t="e">
            <v>#N/A</v>
          </cell>
          <cell r="K551" t="e">
            <v>#N/A</v>
          </cell>
          <cell r="L551" t="e">
            <v>#N/A</v>
          </cell>
          <cell r="M551" t="e">
            <v>#N/A</v>
          </cell>
          <cell r="N551" t="e">
            <v>#N/A</v>
          </cell>
          <cell r="O551" t="e">
            <v>#N/A</v>
          </cell>
          <cell r="P551">
            <v>71.540000000000006</v>
          </cell>
          <cell r="Q551">
            <v>1.3155189999999999</v>
          </cell>
          <cell r="R551" t="e">
            <v>#N/A</v>
          </cell>
        </row>
        <row r="552">
          <cell r="A552">
            <v>40268</v>
          </cell>
          <cell r="B552">
            <v>40268</v>
          </cell>
          <cell r="C552" t="str">
            <v>Past</v>
          </cell>
          <cell r="D552">
            <v>70.52</v>
          </cell>
          <cell r="E552" t="e">
            <v>#N/A</v>
          </cell>
          <cell r="F552" t="e">
            <v>#N/A</v>
          </cell>
          <cell r="G552" t="e">
            <v>#N/A</v>
          </cell>
          <cell r="H552" t="e">
            <v>#N/A</v>
          </cell>
          <cell r="I552" t="e">
            <v>#N/A</v>
          </cell>
          <cell r="J552" t="e">
            <v>#N/A</v>
          </cell>
          <cell r="K552" t="e">
            <v>#N/A</v>
          </cell>
          <cell r="L552" t="e">
            <v>#N/A</v>
          </cell>
          <cell r="M552" t="e">
            <v>#N/A</v>
          </cell>
          <cell r="N552" t="e">
            <v>#N/A</v>
          </cell>
          <cell r="O552" t="e">
            <v>#N/A</v>
          </cell>
          <cell r="P552">
            <v>70.52</v>
          </cell>
          <cell r="Q552">
            <v>1.3972800000000001</v>
          </cell>
          <cell r="R552" t="e">
            <v>#N/A</v>
          </cell>
        </row>
        <row r="553">
          <cell r="A553">
            <v>40269</v>
          </cell>
          <cell r="B553">
            <v>40269</v>
          </cell>
          <cell r="C553" t="str">
            <v>Past</v>
          </cell>
          <cell r="D553">
            <v>70.930000000000007</v>
          </cell>
          <cell r="E553" t="e">
            <v>#N/A</v>
          </cell>
          <cell r="F553" t="e">
            <v>#N/A</v>
          </cell>
          <cell r="G553" t="e">
            <v>#N/A</v>
          </cell>
          <cell r="H553" t="e">
            <v>#N/A</v>
          </cell>
          <cell r="I553" t="e">
            <v>#N/A</v>
          </cell>
          <cell r="J553" t="e">
            <v>#N/A</v>
          </cell>
          <cell r="K553" t="e">
            <v>#N/A</v>
          </cell>
          <cell r="L553" t="e">
            <v>#N/A</v>
          </cell>
          <cell r="M553" t="e">
            <v>#N/A</v>
          </cell>
          <cell r="N553" t="e">
            <v>#N/A</v>
          </cell>
          <cell r="O553" t="e">
            <v>#N/A</v>
          </cell>
          <cell r="P553">
            <v>70.930000000000007</v>
          </cell>
          <cell r="Q553">
            <v>1.4024939999999999</v>
          </cell>
          <cell r="R553" t="e">
            <v>#N/A</v>
          </cell>
        </row>
        <row r="554">
          <cell r="A554">
            <v>40273</v>
          </cell>
          <cell r="B554">
            <v>40273</v>
          </cell>
          <cell r="C554" t="str">
            <v>Past</v>
          </cell>
          <cell r="D554">
            <v>71.11</v>
          </cell>
          <cell r="E554" t="e">
            <v>#N/A</v>
          </cell>
          <cell r="F554" t="e">
            <v>#N/A</v>
          </cell>
          <cell r="G554" t="e">
            <v>#N/A</v>
          </cell>
          <cell r="H554" t="e">
            <v>#N/A</v>
          </cell>
          <cell r="I554" t="e">
            <v>#N/A</v>
          </cell>
          <cell r="J554" t="e">
            <v>#N/A</v>
          </cell>
          <cell r="K554" t="e">
            <v>#N/A</v>
          </cell>
          <cell r="L554" t="e">
            <v>#N/A</v>
          </cell>
          <cell r="M554" t="e">
            <v>#N/A</v>
          </cell>
          <cell r="N554" t="e">
            <v>#N/A</v>
          </cell>
          <cell r="O554" t="e">
            <v>#N/A</v>
          </cell>
          <cell r="P554">
            <v>71.11</v>
          </cell>
          <cell r="Q554">
            <v>1.1170149999999999</v>
          </cell>
          <cell r="R554" t="e">
            <v>#N/A</v>
          </cell>
        </row>
        <row r="555">
          <cell r="A555">
            <v>40274</v>
          </cell>
          <cell r="B555">
            <v>40274</v>
          </cell>
          <cell r="C555" t="str">
            <v>Past</v>
          </cell>
          <cell r="D555">
            <v>70.55</v>
          </cell>
          <cell r="E555" t="e">
            <v>#N/A</v>
          </cell>
          <cell r="F555" t="e">
            <v>#N/A</v>
          </cell>
          <cell r="G555" t="e">
            <v>#N/A</v>
          </cell>
          <cell r="H555" t="e">
            <v>#N/A</v>
          </cell>
          <cell r="I555" t="e">
            <v>#N/A</v>
          </cell>
          <cell r="J555" t="e">
            <v>#N/A</v>
          </cell>
          <cell r="K555" t="e">
            <v>#N/A</v>
          </cell>
          <cell r="L555" t="e">
            <v>#N/A</v>
          </cell>
          <cell r="M555" t="e">
            <v>#N/A</v>
          </cell>
          <cell r="N555" t="e">
            <v>#N/A</v>
          </cell>
          <cell r="O555" t="e">
            <v>#N/A</v>
          </cell>
          <cell r="P555">
            <v>70.55</v>
          </cell>
          <cell r="Q555">
            <v>1.179543</v>
          </cell>
          <cell r="R555" t="e">
            <v>#N/A</v>
          </cell>
        </row>
        <row r="556">
          <cell r="A556">
            <v>40275</v>
          </cell>
          <cell r="B556">
            <v>40275</v>
          </cell>
          <cell r="C556" t="str">
            <v>Past</v>
          </cell>
          <cell r="D556">
            <v>70.430000000000007</v>
          </cell>
          <cell r="E556" t="e">
            <v>#N/A</v>
          </cell>
          <cell r="F556" t="e">
            <v>#N/A</v>
          </cell>
          <cell r="G556" t="e">
            <v>#N/A</v>
          </cell>
          <cell r="H556" t="e">
            <v>#N/A</v>
          </cell>
          <cell r="I556" t="e">
            <v>#N/A</v>
          </cell>
          <cell r="J556" t="e">
            <v>#N/A</v>
          </cell>
          <cell r="K556" t="e">
            <v>#N/A</v>
          </cell>
          <cell r="L556" t="e">
            <v>#N/A</v>
          </cell>
          <cell r="M556" t="e">
            <v>#N/A</v>
          </cell>
          <cell r="N556" t="e">
            <v>#N/A</v>
          </cell>
          <cell r="O556" t="e">
            <v>#N/A</v>
          </cell>
          <cell r="P556">
            <v>70.430000000000007</v>
          </cell>
          <cell r="Q556">
            <v>1.2936209999999999</v>
          </cell>
          <cell r="R556" t="e">
            <v>#N/A</v>
          </cell>
        </row>
        <row r="557">
          <cell r="A557">
            <v>40276</v>
          </cell>
          <cell r="B557">
            <v>40276</v>
          </cell>
          <cell r="C557" t="str">
            <v>Past</v>
          </cell>
          <cell r="D557">
            <v>70.5</v>
          </cell>
          <cell r="E557" t="e">
            <v>#N/A</v>
          </cell>
          <cell r="F557" t="e">
            <v>#N/A</v>
          </cell>
          <cell r="G557" t="e">
            <v>#N/A</v>
          </cell>
          <cell r="H557" t="e">
            <v>#N/A</v>
          </cell>
          <cell r="I557" t="e">
            <v>#N/A</v>
          </cell>
          <cell r="J557" t="e">
            <v>#N/A</v>
          </cell>
          <cell r="K557" t="e">
            <v>#N/A</v>
          </cell>
          <cell r="L557" t="e">
            <v>#N/A</v>
          </cell>
          <cell r="M557" t="e">
            <v>#N/A</v>
          </cell>
          <cell r="N557" t="e">
            <v>#N/A</v>
          </cell>
          <cell r="O557">
            <v>0</v>
          </cell>
          <cell r="P557">
            <v>70.5</v>
          </cell>
          <cell r="Q557">
            <v>0.67118699999999998</v>
          </cell>
          <cell r="R557" t="e">
            <v>#N/A</v>
          </cell>
        </row>
        <row r="558">
          <cell r="A558">
            <v>40277</v>
          </cell>
          <cell r="B558">
            <v>40277</v>
          </cell>
          <cell r="C558" t="str">
            <v>Current</v>
          </cell>
          <cell r="D558">
            <v>71.03</v>
          </cell>
          <cell r="E558">
            <v>71.03</v>
          </cell>
          <cell r="F558">
            <v>71.03</v>
          </cell>
          <cell r="G558">
            <v>71.03</v>
          </cell>
          <cell r="H558">
            <v>71.03</v>
          </cell>
          <cell r="I558">
            <v>71.03</v>
          </cell>
          <cell r="J558" t="e">
            <v>#N/A</v>
          </cell>
          <cell r="K558" t="e">
            <v>#N/A</v>
          </cell>
          <cell r="L558" t="e">
            <v>#N/A</v>
          </cell>
          <cell r="M558" t="e">
            <v>#N/A</v>
          </cell>
          <cell r="N558" t="e">
            <v>#N/A</v>
          </cell>
          <cell r="O558">
            <v>36.378945000000002</v>
          </cell>
          <cell r="P558">
            <v>71.03</v>
          </cell>
          <cell r="Q558">
            <v>1.638614</v>
          </cell>
          <cell r="R558" t="e">
            <v>#N/A</v>
          </cell>
        </row>
        <row r="559">
          <cell r="A559">
            <v>40280</v>
          </cell>
          <cell r="B559">
            <v>40280</v>
          </cell>
          <cell r="C559" t="str">
            <v>Future</v>
          </cell>
          <cell r="D559" t="e">
            <v>#N/A</v>
          </cell>
          <cell r="E559">
            <v>70.75035433070866</v>
          </cell>
          <cell r="F559">
            <v>71.163740157480319</v>
          </cell>
          <cell r="G559">
            <v>70.966889763779534</v>
          </cell>
          <cell r="H559">
            <v>70.966889763779534</v>
          </cell>
          <cell r="I559" t="e">
            <v>#N/A</v>
          </cell>
          <cell r="J559" t="e">
            <v>#N/A</v>
          </cell>
          <cell r="K559" t="e">
            <v>#N/A</v>
          </cell>
          <cell r="L559" t="e">
            <v>#N/A</v>
          </cell>
          <cell r="M559" t="e">
            <v>#N/A</v>
          </cell>
          <cell r="N559" t="e">
            <v>#N/A</v>
          </cell>
          <cell r="O559" t="e">
            <v>#N/A</v>
          </cell>
          <cell r="P559">
            <v>71.03</v>
          </cell>
          <cell r="Q559">
            <v>1.638614</v>
          </cell>
          <cell r="R559" t="e">
            <v>#N/A</v>
          </cell>
        </row>
        <row r="560">
          <cell r="A560">
            <v>40281</v>
          </cell>
          <cell r="B560">
            <v>40281</v>
          </cell>
          <cell r="C560" t="str">
            <v>Future</v>
          </cell>
          <cell r="D560" t="e">
            <v>#N/A</v>
          </cell>
          <cell r="E560">
            <v>70.470708661417319</v>
          </cell>
          <cell r="F560">
            <v>71.297480314960637</v>
          </cell>
          <cell r="G560">
            <v>70.903779527559067</v>
          </cell>
          <cell r="H560">
            <v>70.903779527559067</v>
          </cell>
          <cell r="I560" t="e">
            <v>#N/A</v>
          </cell>
          <cell r="J560" t="e">
            <v>#N/A</v>
          </cell>
          <cell r="K560" t="e">
            <v>#N/A</v>
          </cell>
          <cell r="L560" t="e">
            <v>#N/A</v>
          </cell>
          <cell r="M560" t="e">
            <v>#N/A</v>
          </cell>
          <cell r="N560" t="e">
            <v>#N/A</v>
          </cell>
          <cell r="O560" t="e">
            <v>#N/A</v>
          </cell>
          <cell r="P560">
            <v>71.03</v>
          </cell>
          <cell r="Q560" t="str">
            <v/>
          </cell>
          <cell r="R560" t="e">
            <v>#N/A</v>
          </cell>
        </row>
        <row r="561">
          <cell r="A561">
            <v>40282</v>
          </cell>
          <cell r="B561">
            <v>40282</v>
          </cell>
          <cell r="C561" t="str">
            <v>Future</v>
          </cell>
          <cell r="D561" t="e">
            <v>#N/A</v>
          </cell>
          <cell r="E561">
            <v>70.191062992125978</v>
          </cell>
          <cell r="F561">
            <v>71.431220472440955</v>
          </cell>
          <cell r="G561">
            <v>70.8406692913386</v>
          </cell>
          <cell r="H561">
            <v>70.8406692913386</v>
          </cell>
          <cell r="I561" t="e">
            <v>#N/A</v>
          </cell>
          <cell r="J561" t="e">
            <v>#N/A</v>
          </cell>
          <cell r="K561" t="e">
            <v>#N/A</v>
          </cell>
          <cell r="L561" t="e">
            <v>#N/A</v>
          </cell>
          <cell r="M561" t="e">
            <v>#N/A</v>
          </cell>
          <cell r="N561" t="e">
            <v>#N/A</v>
          </cell>
          <cell r="O561" t="e">
            <v>#N/A</v>
          </cell>
          <cell r="P561">
            <v>71.03</v>
          </cell>
          <cell r="Q561" t="str">
            <v/>
          </cell>
          <cell r="R561" t="e">
            <v>#N/A</v>
          </cell>
        </row>
        <row r="562">
          <cell r="A562">
            <v>40283</v>
          </cell>
          <cell r="B562">
            <v>40283</v>
          </cell>
          <cell r="C562" t="str">
            <v>Future</v>
          </cell>
          <cell r="D562" t="e">
            <v>#N/A</v>
          </cell>
          <cell r="E562">
            <v>69.911417322834637</v>
          </cell>
          <cell r="F562">
            <v>71.564960629921273</v>
          </cell>
          <cell r="G562">
            <v>70.777559055118132</v>
          </cell>
          <cell r="H562">
            <v>70.777559055118132</v>
          </cell>
          <cell r="I562" t="e">
            <v>#N/A</v>
          </cell>
          <cell r="J562" t="e">
            <v>#N/A</v>
          </cell>
          <cell r="K562" t="e">
            <v>#N/A</v>
          </cell>
          <cell r="L562" t="e">
            <v>#N/A</v>
          </cell>
          <cell r="M562" t="e">
            <v>#N/A</v>
          </cell>
          <cell r="N562" t="e">
            <v>#N/A</v>
          </cell>
          <cell r="O562" t="e">
            <v>#N/A</v>
          </cell>
          <cell r="P562">
            <v>71.03</v>
          </cell>
          <cell r="Q562" t="str">
            <v/>
          </cell>
          <cell r="R562" t="e">
            <v>#N/A</v>
          </cell>
        </row>
        <row r="563">
          <cell r="A563">
            <v>40284</v>
          </cell>
          <cell r="B563">
            <v>40284</v>
          </cell>
          <cell r="C563" t="str">
            <v>Future</v>
          </cell>
          <cell r="D563" t="e">
            <v>#N/A</v>
          </cell>
          <cell r="E563">
            <v>69.631771653543296</v>
          </cell>
          <cell r="F563">
            <v>71.698700787401592</v>
          </cell>
          <cell r="G563">
            <v>70.714448818897665</v>
          </cell>
          <cell r="H563">
            <v>70.714448818897665</v>
          </cell>
          <cell r="I563" t="e">
            <v>#N/A</v>
          </cell>
          <cell r="J563" t="e">
            <v>#N/A</v>
          </cell>
          <cell r="K563" t="e">
            <v>#N/A</v>
          </cell>
          <cell r="L563" t="e">
            <v>#N/A</v>
          </cell>
          <cell r="M563" t="e">
            <v>#N/A</v>
          </cell>
          <cell r="N563" t="e">
            <v>#N/A</v>
          </cell>
          <cell r="O563" t="e">
            <v>#N/A</v>
          </cell>
          <cell r="P563">
            <v>71.03</v>
          </cell>
          <cell r="Q563" t="str">
            <v/>
          </cell>
          <cell r="R563" t="e">
            <v>#N/A</v>
          </cell>
        </row>
        <row r="564">
          <cell r="A564">
            <v>40287</v>
          </cell>
          <cell r="B564">
            <v>40287</v>
          </cell>
          <cell r="C564" t="str">
            <v>Future</v>
          </cell>
          <cell r="D564" t="e">
            <v>#N/A</v>
          </cell>
          <cell r="E564">
            <v>69.352125984251956</v>
          </cell>
          <cell r="F564">
            <v>71.83244094488191</v>
          </cell>
          <cell r="G564">
            <v>70.651338582677198</v>
          </cell>
          <cell r="H564">
            <v>70.651338582677198</v>
          </cell>
          <cell r="I564" t="e">
            <v>#N/A</v>
          </cell>
          <cell r="J564" t="e">
            <v>#N/A</v>
          </cell>
          <cell r="K564" t="e">
            <v>#N/A</v>
          </cell>
          <cell r="L564" t="e">
            <v>#N/A</v>
          </cell>
          <cell r="M564" t="e">
            <v>#N/A</v>
          </cell>
          <cell r="N564" t="e">
            <v>#N/A</v>
          </cell>
          <cell r="O564" t="e">
            <v>#N/A</v>
          </cell>
          <cell r="P564">
            <v>71.03</v>
          </cell>
          <cell r="Q564" t="str">
            <v/>
          </cell>
          <cell r="R564" t="e">
            <v>#N/A</v>
          </cell>
        </row>
        <row r="565">
          <cell r="A565">
            <v>40288</v>
          </cell>
          <cell r="B565">
            <v>40288</v>
          </cell>
          <cell r="C565" t="str">
            <v>Future</v>
          </cell>
          <cell r="D565" t="e">
            <v>#N/A</v>
          </cell>
          <cell r="E565">
            <v>69.072480314960615</v>
          </cell>
          <cell r="F565">
            <v>71.966181102362228</v>
          </cell>
          <cell r="G565">
            <v>70.588228346456731</v>
          </cell>
          <cell r="H565">
            <v>70.588228346456731</v>
          </cell>
          <cell r="I565" t="e">
            <v>#N/A</v>
          </cell>
          <cell r="J565" t="e">
            <v>#N/A</v>
          </cell>
          <cell r="K565" t="e">
            <v>#N/A</v>
          </cell>
          <cell r="L565" t="e">
            <v>#N/A</v>
          </cell>
          <cell r="M565" t="e">
            <v>#N/A</v>
          </cell>
          <cell r="N565" t="e">
            <v>#N/A</v>
          </cell>
          <cell r="O565" t="e">
            <v>#N/A</v>
          </cell>
          <cell r="P565">
            <v>71.03</v>
          </cell>
          <cell r="Q565" t="str">
            <v/>
          </cell>
          <cell r="R565" t="e">
            <v>#N/A</v>
          </cell>
        </row>
        <row r="566">
          <cell r="A566">
            <v>40289</v>
          </cell>
          <cell r="B566">
            <v>40289</v>
          </cell>
          <cell r="C566" t="str">
            <v>Future</v>
          </cell>
          <cell r="D566" t="e">
            <v>#N/A</v>
          </cell>
          <cell r="E566">
            <v>68.792834645669274</v>
          </cell>
          <cell r="F566">
            <v>72.099921259842546</v>
          </cell>
          <cell r="G566">
            <v>70.525118110236264</v>
          </cell>
          <cell r="H566">
            <v>70.525118110236264</v>
          </cell>
          <cell r="I566" t="e">
            <v>#N/A</v>
          </cell>
          <cell r="J566" t="e">
            <v>#N/A</v>
          </cell>
          <cell r="K566" t="e">
            <v>#N/A</v>
          </cell>
          <cell r="L566" t="e">
            <v>#N/A</v>
          </cell>
          <cell r="M566" t="e">
            <v>#N/A</v>
          </cell>
          <cell r="N566" t="e">
            <v>#N/A</v>
          </cell>
          <cell r="O566" t="e">
            <v>#N/A</v>
          </cell>
          <cell r="P566">
            <v>71.03</v>
          </cell>
          <cell r="Q566" t="str">
            <v/>
          </cell>
          <cell r="R566" t="e">
            <v>#N/A</v>
          </cell>
        </row>
        <row r="567">
          <cell r="A567">
            <v>40290</v>
          </cell>
          <cell r="B567">
            <v>40290</v>
          </cell>
          <cell r="C567" t="str">
            <v>Future</v>
          </cell>
          <cell r="D567" t="e">
            <v>#N/A</v>
          </cell>
          <cell r="E567">
            <v>68.513188976377933</v>
          </cell>
          <cell r="F567">
            <v>72.233661417322864</v>
          </cell>
          <cell r="G567">
            <v>70.462007874015796</v>
          </cell>
          <cell r="H567">
            <v>70.462007874015796</v>
          </cell>
          <cell r="I567" t="e">
            <v>#N/A</v>
          </cell>
          <cell r="J567" t="e">
            <v>#N/A</v>
          </cell>
          <cell r="K567" t="e">
            <v>#N/A</v>
          </cell>
          <cell r="L567" t="e">
            <v>#N/A</v>
          </cell>
          <cell r="M567" t="e">
            <v>#N/A</v>
          </cell>
          <cell r="N567" t="e">
            <v>#N/A</v>
          </cell>
          <cell r="O567" t="e">
            <v>#N/A</v>
          </cell>
          <cell r="P567">
            <v>71.03</v>
          </cell>
          <cell r="Q567" t="str">
            <v/>
          </cell>
          <cell r="R567" t="e">
            <v>#N/A</v>
          </cell>
        </row>
        <row r="568">
          <cell r="A568">
            <v>40291</v>
          </cell>
          <cell r="B568">
            <v>40291</v>
          </cell>
          <cell r="C568" t="str">
            <v>Future</v>
          </cell>
          <cell r="D568" t="e">
            <v>#N/A</v>
          </cell>
          <cell r="E568">
            <v>68.233543307086592</v>
          </cell>
          <cell r="F568">
            <v>72.367401574803182</v>
          </cell>
          <cell r="G568">
            <v>70.398897637795329</v>
          </cell>
          <cell r="H568">
            <v>70.398897637795329</v>
          </cell>
          <cell r="I568" t="e">
            <v>#N/A</v>
          </cell>
          <cell r="J568" t="e">
            <v>#N/A</v>
          </cell>
          <cell r="K568" t="e">
            <v>#N/A</v>
          </cell>
          <cell r="L568" t="e">
            <v>#N/A</v>
          </cell>
          <cell r="M568" t="e">
            <v>#N/A</v>
          </cell>
          <cell r="N568" t="e">
            <v>#N/A</v>
          </cell>
          <cell r="O568" t="e">
            <v>#N/A</v>
          </cell>
          <cell r="P568">
            <v>71.03</v>
          </cell>
          <cell r="Q568" t="str">
            <v/>
          </cell>
          <cell r="R568" t="e">
            <v>#N/A</v>
          </cell>
        </row>
        <row r="569">
          <cell r="A569">
            <v>40294</v>
          </cell>
          <cell r="B569">
            <v>40294</v>
          </cell>
          <cell r="C569" t="str">
            <v>Future</v>
          </cell>
          <cell r="D569" t="e">
            <v>#N/A</v>
          </cell>
          <cell r="E569">
            <v>67.953897637795251</v>
          </cell>
          <cell r="F569">
            <v>72.5011417322835</v>
          </cell>
          <cell r="G569">
            <v>70.335787401574862</v>
          </cell>
          <cell r="H569">
            <v>70.335787401574862</v>
          </cell>
          <cell r="I569" t="e">
            <v>#N/A</v>
          </cell>
          <cell r="J569" t="e">
            <v>#N/A</v>
          </cell>
          <cell r="K569" t="e">
            <v>#N/A</v>
          </cell>
          <cell r="L569" t="e">
            <v>#N/A</v>
          </cell>
          <cell r="M569" t="e">
            <v>#N/A</v>
          </cell>
          <cell r="N569" t="e">
            <v>#N/A</v>
          </cell>
          <cell r="O569" t="e">
            <v>#N/A</v>
          </cell>
          <cell r="P569">
            <v>71.03</v>
          </cell>
          <cell r="Q569" t="str">
            <v/>
          </cell>
          <cell r="R569" t="e">
            <v>#N/A</v>
          </cell>
        </row>
        <row r="570">
          <cell r="A570">
            <v>40295</v>
          </cell>
          <cell r="B570">
            <v>40295</v>
          </cell>
          <cell r="C570" t="str">
            <v>Future</v>
          </cell>
          <cell r="D570" t="e">
            <v>#N/A</v>
          </cell>
          <cell r="E570">
            <v>67.67425196850391</v>
          </cell>
          <cell r="F570">
            <v>72.634881889763818</v>
          </cell>
          <cell r="G570">
            <v>70.272677165354395</v>
          </cell>
          <cell r="H570">
            <v>70.272677165354395</v>
          </cell>
          <cell r="I570" t="e">
            <v>#N/A</v>
          </cell>
          <cell r="J570" t="e">
            <v>#N/A</v>
          </cell>
          <cell r="K570" t="e">
            <v>#N/A</v>
          </cell>
          <cell r="L570" t="e">
            <v>#N/A</v>
          </cell>
          <cell r="M570" t="e">
            <v>#N/A</v>
          </cell>
          <cell r="N570" t="e">
            <v>#N/A</v>
          </cell>
          <cell r="O570" t="e">
            <v>#N/A</v>
          </cell>
          <cell r="P570">
            <v>71.03</v>
          </cell>
          <cell r="Q570" t="str">
            <v/>
          </cell>
          <cell r="R570" t="e">
            <v>#N/A</v>
          </cell>
        </row>
        <row r="571">
          <cell r="A571">
            <v>40296</v>
          </cell>
          <cell r="B571">
            <v>40296</v>
          </cell>
          <cell r="C571" t="str">
            <v>Future</v>
          </cell>
          <cell r="D571" t="e">
            <v>#N/A</v>
          </cell>
          <cell r="E571">
            <v>67.394606299212569</v>
          </cell>
          <cell r="F571">
            <v>72.768622047244136</v>
          </cell>
          <cell r="G571">
            <v>70.209566929133928</v>
          </cell>
          <cell r="H571">
            <v>70.209566929133928</v>
          </cell>
          <cell r="I571" t="e">
            <v>#N/A</v>
          </cell>
          <cell r="J571" t="e">
            <v>#N/A</v>
          </cell>
          <cell r="K571" t="e">
            <v>#N/A</v>
          </cell>
          <cell r="L571" t="e">
            <v>#N/A</v>
          </cell>
          <cell r="M571" t="e">
            <v>#N/A</v>
          </cell>
          <cell r="N571" t="e">
            <v>#N/A</v>
          </cell>
          <cell r="O571" t="e">
            <v>#N/A</v>
          </cell>
          <cell r="P571">
            <v>71.03</v>
          </cell>
          <cell r="Q571" t="str">
            <v/>
          </cell>
          <cell r="R571" t="e">
            <v>#N/A</v>
          </cell>
        </row>
        <row r="572">
          <cell r="A572">
            <v>40297</v>
          </cell>
          <cell r="B572">
            <v>40297</v>
          </cell>
          <cell r="C572" t="str">
            <v>Future</v>
          </cell>
          <cell r="D572" t="e">
            <v>#N/A</v>
          </cell>
          <cell r="E572">
            <v>67.114960629921228</v>
          </cell>
          <cell r="F572">
            <v>72.902362204724454</v>
          </cell>
          <cell r="G572">
            <v>70.146456692913461</v>
          </cell>
          <cell r="H572">
            <v>70.146456692913461</v>
          </cell>
          <cell r="I572" t="e">
            <v>#N/A</v>
          </cell>
          <cell r="J572" t="e">
            <v>#N/A</v>
          </cell>
          <cell r="K572" t="e">
            <v>#N/A</v>
          </cell>
          <cell r="L572" t="e">
            <v>#N/A</v>
          </cell>
          <cell r="M572" t="e">
            <v>#N/A</v>
          </cell>
          <cell r="N572" t="e">
            <v>#N/A</v>
          </cell>
          <cell r="O572" t="e">
            <v>#N/A</v>
          </cell>
          <cell r="P572">
            <v>71.03</v>
          </cell>
          <cell r="Q572" t="str">
            <v/>
          </cell>
          <cell r="R572" t="e">
            <v>#N/A</v>
          </cell>
        </row>
        <row r="573">
          <cell r="A573">
            <v>40298</v>
          </cell>
          <cell r="B573">
            <v>40298</v>
          </cell>
          <cell r="C573" t="str">
            <v>Future</v>
          </cell>
          <cell r="D573" t="e">
            <v>#N/A</v>
          </cell>
          <cell r="E573">
            <v>66.835314960629887</v>
          </cell>
          <cell r="F573">
            <v>73.036102362204772</v>
          </cell>
          <cell r="G573">
            <v>70.083346456692993</v>
          </cell>
          <cell r="H573">
            <v>70.083346456692993</v>
          </cell>
          <cell r="I573" t="e">
            <v>#N/A</v>
          </cell>
          <cell r="J573" t="e">
            <v>#N/A</v>
          </cell>
          <cell r="K573" t="e">
            <v>#N/A</v>
          </cell>
          <cell r="L573" t="e">
            <v>#N/A</v>
          </cell>
          <cell r="M573" t="e">
            <v>#N/A</v>
          </cell>
          <cell r="N573" t="e">
            <v>#N/A</v>
          </cell>
          <cell r="O573" t="e">
            <v>#N/A</v>
          </cell>
          <cell r="P573">
            <v>71.03</v>
          </cell>
          <cell r="Q573" t="str">
            <v/>
          </cell>
          <cell r="R573" t="e">
            <v>#N/A</v>
          </cell>
        </row>
        <row r="574">
          <cell r="A574">
            <v>40301</v>
          </cell>
          <cell r="B574">
            <v>40301</v>
          </cell>
          <cell r="C574" t="str">
            <v>Future</v>
          </cell>
          <cell r="D574" t="e">
            <v>#N/A</v>
          </cell>
          <cell r="E574">
            <v>66.555669291338546</v>
          </cell>
          <cell r="F574">
            <v>73.169842519685091</v>
          </cell>
          <cell r="G574">
            <v>70.020236220472526</v>
          </cell>
          <cell r="H574">
            <v>70.020236220472526</v>
          </cell>
          <cell r="I574" t="e">
            <v>#N/A</v>
          </cell>
          <cell r="J574" t="e">
            <v>#N/A</v>
          </cell>
          <cell r="K574" t="e">
            <v>#N/A</v>
          </cell>
          <cell r="L574" t="e">
            <v>#N/A</v>
          </cell>
          <cell r="M574" t="e">
            <v>#N/A</v>
          </cell>
          <cell r="N574" t="e">
            <v>#N/A</v>
          </cell>
          <cell r="O574" t="e">
            <v>#N/A</v>
          </cell>
          <cell r="P574">
            <v>71.03</v>
          </cell>
          <cell r="Q574" t="str">
            <v/>
          </cell>
          <cell r="R574" t="e">
            <v>#N/A</v>
          </cell>
        </row>
        <row r="575">
          <cell r="A575">
            <v>40302</v>
          </cell>
          <cell r="B575">
            <v>40302</v>
          </cell>
          <cell r="C575" t="str">
            <v>Future</v>
          </cell>
          <cell r="D575" t="e">
            <v>#N/A</v>
          </cell>
          <cell r="E575">
            <v>66.276023622047205</v>
          </cell>
          <cell r="F575">
            <v>73.303582677165409</v>
          </cell>
          <cell r="G575">
            <v>69.957125984252059</v>
          </cell>
          <cell r="H575">
            <v>69.957125984252059</v>
          </cell>
          <cell r="I575" t="e">
            <v>#N/A</v>
          </cell>
          <cell r="J575" t="e">
            <v>#N/A</v>
          </cell>
          <cell r="K575" t="e">
            <v>#N/A</v>
          </cell>
          <cell r="L575" t="e">
            <v>#N/A</v>
          </cell>
          <cell r="M575" t="e">
            <v>#N/A</v>
          </cell>
          <cell r="N575" t="e">
            <v>#N/A</v>
          </cell>
          <cell r="O575" t="e">
            <v>#N/A</v>
          </cell>
          <cell r="P575">
            <v>71.03</v>
          </cell>
          <cell r="Q575" t="str">
            <v/>
          </cell>
          <cell r="R575" t="e">
            <v>#N/A</v>
          </cell>
        </row>
        <row r="576">
          <cell r="A576">
            <v>40303</v>
          </cell>
          <cell r="B576">
            <v>40303</v>
          </cell>
          <cell r="C576" t="str">
            <v>Future</v>
          </cell>
          <cell r="D576" t="e">
            <v>#N/A</v>
          </cell>
          <cell r="E576">
            <v>65.996377952755864</v>
          </cell>
          <cell r="F576">
            <v>73.437322834645727</v>
          </cell>
          <cell r="G576">
            <v>69.894015748031592</v>
          </cell>
          <cell r="H576">
            <v>69.894015748031592</v>
          </cell>
          <cell r="I576" t="e">
            <v>#N/A</v>
          </cell>
          <cell r="J576" t="e">
            <v>#N/A</v>
          </cell>
          <cell r="K576" t="e">
            <v>#N/A</v>
          </cell>
          <cell r="L576" t="e">
            <v>#N/A</v>
          </cell>
          <cell r="M576" t="e">
            <v>#N/A</v>
          </cell>
          <cell r="N576" t="e">
            <v>#N/A</v>
          </cell>
          <cell r="O576" t="e">
            <v>#N/A</v>
          </cell>
          <cell r="P576">
            <v>71.03</v>
          </cell>
          <cell r="Q576" t="str">
            <v/>
          </cell>
          <cell r="R576" t="e">
            <v>#N/A</v>
          </cell>
        </row>
        <row r="577">
          <cell r="A577">
            <v>40304</v>
          </cell>
          <cell r="B577">
            <v>40304</v>
          </cell>
          <cell r="C577" t="str">
            <v>Future</v>
          </cell>
          <cell r="D577" t="e">
            <v>#N/A</v>
          </cell>
          <cell r="E577">
            <v>65.716732283464523</v>
          </cell>
          <cell r="F577">
            <v>73.571062992126045</v>
          </cell>
          <cell r="G577">
            <v>69.830905511811125</v>
          </cell>
          <cell r="H577">
            <v>69.830905511811125</v>
          </cell>
          <cell r="I577" t="e">
            <v>#N/A</v>
          </cell>
          <cell r="J577" t="e">
            <v>#N/A</v>
          </cell>
          <cell r="K577" t="e">
            <v>#N/A</v>
          </cell>
          <cell r="L577" t="e">
            <v>#N/A</v>
          </cell>
          <cell r="M577" t="e">
            <v>#N/A</v>
          </cell>
          <cell r="N577" t="e">
            <v>#N/A</v>
          </cell>
          <cell r="O577" t="e">
            <v>#N/A</v>
          </cell>
          <cell r="P577">
            <v>71.03</v>
          </cell>
          <cell r="Q577" t="str">
            <v/>
          </cell>
          <cell r="R577" t="e">
            <v>#N/A</v>
          </cell>
        </row>
        <row r="578">
          <cell r="A578">
            <v>40305</v>
          </cell>
          <cell r="B578">
            <v>40305</v>
          </cell>
          <cell r="C578" t="str">
            <v>Future</v>
          </cell>
          <cell r="D578" t="e">
            <v>#N/A</v>
          </cell>
          <cell r="E578">
            <v>65.437086614173182</v>
          </cell>
          <cell r="F578">
            <v>73.704803149606363</v>
          </cell>
          <cell r="G578">
            <v>69.767795275590657</v>
          </cell>
          <cell r="H578">
            <v>69.767795275590657</v>
          </cell>
          <cell r="I578" t="e">
            <v>#N/A</v>
          </cell>
          <cell r="J578" t="e">
            <v>#N/A</v>
          </cell>
          <cell r="K578" t="e">
            <v>#N/A</v>
          </cell>
          <cell r="L578" t="e">
            <v>#N/A</v>
          </cell>
          <cell r="M578" t="e">
            <v>#N/A</v>
          </cell>
          <cell r="N578" t="e">
            <v>#N/A</v>
          </cell>
          <cell r="O578" t="e">
            <v>#N/A</v>
          </cell>
          <cell r="P578">
            <v>71.03</v>
          </cell>
          <cell r="Q578" t="str">
            <v/>
          </cell>
          <cell r="R578" t="e">
            <v>#N/A</v>
          </cell>
        </row>
        <row r="579">
          <cell r="A579">
            <v>40308</v>
          </cell>
          <cell r="B579">
            <v>40308</v>
          </cell>
          <cell r="C579" t="str">
            <v>Future</v>
          </cell>
          <cell r="D579" t="e">
            <v>#N/A</v>
          </cell>
          <cell r="E579">
            <v>65.157440944881841</v>
          </cell>
          <cell r="F579">
            <v>73.838543307086681</v>
          </cell>
          <cell r="G579">
            <v>69.70468503937019</v>
          </cell>
          <cell r="H579">
            <v>69.70468503937019</v>
          </cell>
          <cell r="I579" t="e">
            <v>#N/A</v>
          </cell>
          <cell r="J579" t="e">
            <v>#N/A</v>
          </cell>
          <cell r="K579" t="e">
            <v>#N/A</v>
          </cell>
          <cell r="L579" t="e">
            <v>#N/A</v>
          </cell>
          <cell r="M579" t="e">
            <v>#N/A</v>
          </cell>
          <cell r="N579" t="e">
            <v>#N/A</v>
          </cell>
          <cell r="O579" t="e">
            <v>#N/A</v>
          </cell>
          <cell r="P579">
            <v>71.03</v>
          </cell>
          <cell r="Q579" t="str">
            <v/>
          </cell>
          <cell r="R579" t="e">
            <v>#N/A</v>
          </cell>
        </row>
        <row r="580">
          <cell r="A580">
            <v>40309</v>
          </cell>
          <cell r="B580">
            <v>40309</v>
          </cell>
          <cell r="C580" t="str">
            <v>Future</v>
          </cell>
          <cell r="D580" t="e">
            <v>#N/A</v>
          </cell>
          <cell r="E580">
            <v>64.877795275590501</v>
          </cell>
          <cell r="F580">
            <v>73.972283464566999</v>
          </cell>
          <cell r="G580">
            <v>69.641574803149723</v>
          </cell>
          <cell r="H580">
            <v>69.641574803149723</v>
          </cell>
          <cell r="I580" t="e">
            <v>#N/A</v>
          </cell>
          <cell r="J580" t="e">
            <v>#N/A</v>
          </cell>
          <cell r="K580" t="e">
            <v>#N/A</v>
          </cell>
          <cell r="L580" t="e">
            <v>#N/A</v>
          </cell>
          <cell r="M580" t="e">
            <v>#N/A</v>
          </cell>
          <cell r="N580" t="e">
            <v>#N/A</v>
          </cell>
          <cell r="O580" t="e">
            <v>#N/A</v>
          </cell>
          <cell r="P580">
            <v>71.03</v>
          </cell>
          <cell r="Q580" t="str">
            <v/>
          </cell>
          <cell r="R580" t="e">
            <v>#N/A</v>
          </cell>
        </row>
        <row r="581">
          <cell r="A581">
            <v>40310</v>
          </cell>
          <cell r="B581">
            <v>40310</v>
          </cell>
          <cell r="C581" t="str">
            <v>Future</v>
          </cell>
          <cell r="D581" t="e">
            <v>#N/A</v>
          </cell>
          <cell r="E581">
            <v>64.59814960629916</v>
          </cell>
          <cell r="F581">
            <v>74.106023622047317</v>
          </cell>
          <cell r="G581">
            <v>69.578464566929256</v>
          </cell>
          <cell r="H581">
            <v>69.578464566929256</v>
          </cell>
          <cell r="I581" t="e">
            <v>#N/A</v>
          </cell>
          <cell r="J581" t="e">
            <v>#N/A</v>
          </cell>
          <cell r="K581" t="e">
            <v>#N/A</v>
          </cell>
          <cell r="L581" t="e">
            <v>#N/A</v>
          </cell>
          <cell r="M581" t="e">
            <v>#N/A</v>
          </cell>
          <cell r="N581" t="e">
            <v>#N/A</v>
          </cell>
          <cell r="O581" t="e">
            <v>#N/A</v>
          </cell>
          <cell r="P581">
            <v>71.03</v>
          </cell>
          <cell r="Q581" t="str">
            <v/>
          </cell>
          <cell r="R581" t="e">
            <v>#N/A</v>
          </cell>
        </row>
        <row r="582">
          <cell r="A582">
            <v>40311</v>
          </cell>
          <cell r="B582">
            <v>40311</v>
          </cell>
          <cell r="C582" t="str">
            <v>Future</v>
          </cell>
          <cell r="D582" t="e">
            <v>#N/A</v>
          </cell>
          <cell r="E582">
            <v>64.318503937007819</v>
          </cell>
          <cell r="F582">
            <v>74.239763779527635</v>
          </cell>
          <cell r="G582">
            <v>69.515354330708789</v>
          </cell>
          <cell r="H582">
            <v>69.515354330708789</v>
          </cell>
          <cell r="I582" t="e">
            <v>#N/A</v>
          </cell>
          <cell r="J582" t="e">
            <v>#N/A</v>
          </cell>
          <cell r="K582" t="e">
            <v>#N/A</v>
          </cell>
          <cell r="L582" t="e">
            <v>#N/A</v>
          </cell>
          <cell r="M582" t="e">
            <v>#N/A</v>
          </cell>
          <cell r="N582" t="e">
            <v>#N/A</v>
          </cell>
          <cell r="O582" t="e">
            <v>#N/A</v>
          </cell>
          <cell r="P582">
            <v>71.03</v>
          </cell>
          <cell r="Q582" t="str">
            <v/>
          </cell>
          <cell r="R582" t="e">
            <v>#N/A</v>
          </cell>
        </row>
        <row r="583">
          <cell r="A583">
            <v>40312</v>
          </cell>
          <cell r="B583">
            <v>40312</v>
          </cell>
          <cell r="C583" t="str">
            <v>Future</v>
          </cell>
          <cell r="D583" t="e">
            <v>#N/A</v>
          </cell>
          <cell r="E583">
            <v>64.038858267716478</v>
          </cell>
          <cell r="F583">
            <v>74.373503937007953</v>
          </cell>
          <cell r="G583">
            <v>69.452244094488321</v>
          </cell>
          <cell r="H583">
            <v>69.452244094488321</v>
          </cell>
          <cell r="I583" t="e">
            <v>#N/A</v>
          </cell>
          <cell r="J583" t="e">
            <v>#N/A</v>
          </cell>
          <cell r="K583" t="e">
            <v>#N/A</v>
          </cell>
          <cell r="L583" t="e">
            <v>#N/A</v>
          </cell>
          <cell r="M583" t="e">
            <v>#N/A</v>
          </cell>
          <cell r="N583" t="e">
            <v>#N/A</v>
          </cell>
          <cell r="O583" t="e">
            <v>#N/A</v>
          </cell>
          <cell r="P583">
            <v>71.03</v>
          </cell>
          <cell r="Q583" t="str">
            <v/>
          </cell>
          <cell r="R583" t="e">
            <v>#N/A</v>
          </cell>
        </row>
        <row r="584">
          <cell r="A584">
            <v>40315</v>
          </cell>
          <cell r="B584">
            <v>40315</v>
          </cell>
          <cell r="C584" t="str">
            <v>Future</v>
          </cell>
          <cell r="D584" t="e">
            <v>#N/A</v>
          </cell>
          <cell r="E584">
            <v>63.759212598425137</v>
          </cell>
          <cell r="F584">
            <v>74.507244094488271</v>
          </cell>
          <cell r="G584">
            <v>69.389133858267854</v>
          </cell>
          <cell r="H584">
            <v>69.389133858267854</v>
          </cell>
          <cell r="I584" t="e">
            <v>#N/A</v>
          </cell>
          <cell r="J584" t="e">
            <v>#N/A</v>
          </cell>
          <cell r="K584" t="e">
            <v>#N/A</v>
          </cell>
          <cell r="L584" t="e">
            <v>#N/A</v>
          </cell>
          <cell r="M584" t="e">
            <v>#N/A</v>
          </cell>
          <cell r="N584" t="e">
            <v>#N/A</v>
          </cell>
          <cell r="O584" t="e">
            <v>#N/A</v>
          </cell>
          <cell r="P584">
            <v>71.03</v>
          </cell>
          <cell r="Q584" t="str">
            <v/>
          </cell>
          <cell r="R584" t="e">
            <v>#N/A</v>
          </cell>
        </row>
        <row r="585">
          <cell r="A585">
            <v>40316</v>
          </cell>
          <cell r="B585">
            <v>40316</v>
          </cell>
          <cell r="C585" t="str">
            <v>Future</v>
          </cell>
          <cell r="D585" t="e">
            <v>#N/A</v>
          </cell>
          <cell r="E585">
            <v>63.479566929133796</v>
          </cell>
          <cell r="F585">
            <v>74.64098425196859</v>
          </cell>
          <cell r="G585">
            <v>69.326023622047387</v>
          </cell>
          <cell r="H585">
            <v>69.326023622047387</v>
          </cell>
          <cell r="I585" t="e">
            <v>#N/A</v>
          </cell>
          <cell r="J585" t="e">
            <v>#N/A</v>
          </cell>
          <cell r="K585" t="e">
            <v>#N/A</v>
          </cell>
          <cell r="L585" t="e">
            <v>#N/A</v>
          </cell>
          <cell r="M585" t="e">
            <v>#N/A</v>
          </cell>
          <cell r="N585" t="e">
            <v>#N/A</v>
          </cell>
          <cell r="O585" t="e">
            <v>#N/A</v>
          </cell>
          <cell r="P585">
            <v>71.03</v>
          </cell>
          <cell r="Q585" t="str">
            <v/>
          </cell>
          <cell r="R585" t="e">
            <v>#N/A</v>
          </cell>
        </row>
        <row r="586">
          <cell r="A586">
            <v>40317</v>
          </cell>
          <cell r="B586">
            <v>40317</v>
          </cell>
          <cell r="C586" t="str">
            <v>Future</v>
          </cell>
          <cell r="D586" t="e">
            <v>#N/A</v>
          </cell>
          <cell r="E586">
            <v>63.199921259842455</v>
          </cell>
          <cell r="F586">
            <v>74.774724409448908</v>
          </cell>
          <cell r="G586">
            <v>69.26291338582692</v>
          </cell>
          <cell r="H586">
            <v>69.26291338582692</v>
          </cell>
          <cell r="I586" t="e">
            <v>#N/A</v>
          </cell>
          <cell r="J586" t="e">
            <v>#N/A</v>
          </cell>
          <cell r="K586" t="e">
            <v>#N/A</v>
          </cell>
          <cell r="L586" t="e">
            <v>#N/A</v>
          </cell>
          <cell r="M586" t="e">
            <v>#N/A</v>
          </cell>
          <cell r="N586" t="e">
            <v>#N/A</v>
          </cell>
          <cell r="O586" t="e">
            <v>#N/A</v>
          </cell>
          <cell r="P586">
            <v>71.03</v>
          </cell>
          <cell r="Q586" t="str">
            <v/>
          </cell>
          <cell r="R586" t="e">
            <v>#N/A</v>
          </cell>
        </row>
        <row r="587">
          <cell r="A587">
            <v>40318</v>
          </cell>
          <cell r="B587">
            <v>40318</v>
          </cell>
          <cell r="C587" t="str">
            <v>Future</v>
          </cell>
          <cell r="D587" t="e">
            <v>#N/A</v>
          </cell>
          <cell r="E587">
            <v>62.920275590551114</v>
          </cell>
          <cell r="F587">
            <v>74.908464566929226</v>
          </cell>
          <cell r="G587">
            <v>69.199803149606453</v>
          </cell>
          <cell r="H587">
            <v>69.199803149606453</v>
          </cell>
          <cell r="I587" t="e">
            <v>#N/A</v>
          </cell>
          <cell r="J587" t="e">
            <v>#N/A</v>
          </cell>
          <cell r="K587" t="e">
            <v>#N/A</v>
          </cell>
          <cell r="L587" t="e">
            <v>#N/A</v>
          </cell>
          <cell r="M587" t="e">
            <v>#N/A</v>
          </cell>
          <cell r="N587" t="e">
            <v>#N/A</v>
          </cell>
          <cell r="O587" t="e">
            <v>#N/A</v>
          </cell>
          <cell r="P587">
            <v>71.03</v>
          </cell>
          <cell r="Q587" t="str">
            <v/>
          </cell>
          <cell r="R587" t="e">
            <v>#N/A</v>
          </cell>
        </row>
        <row r="588">
          <cell r="A588">
            <v>40319</v>
          </cell>
          <cell r="B588">
            <v>40319</v>
          </cell>
          <cell r="C588" t="str">
            <v>Future</v>
          </cell>
          <cell r="D588" t="e">
            <v>#N/A</v>
          </cell>
          <cell r="E588">
            <v>62.640629921259773</v>
          </cell>
          <cell r="F588">
            <v>75.042204724409544</v>
          </cell>
          <cell r="G588">
            <v>69.136692913385986</v>
          </cell>
          <cell r="H588">
            <v>69.136692913385986</v>
          </cell>
          <cell r="I588" t="e">
            <v>#N/A</v>
          </cell>
          <cell r="J588" t="e">
            <v>#N/A</v>
          </cell>
          <cell r="K588" t="e">
            <v>#N/A</v>
          </cell>
          <cell r="L588" t="e">
            <v>#N/A</v>
          </cell>
          <cell r="M588" t="e">
            <v>#N/A</v>
          </cell>
          <cell r="N588" t="e">
            <v>#N/A</v>
          </cell>
          <cell r="O588" t="e">
            <v>#N/A</v>
          </cell>
          <cell r="P588">
            <v>71.03</v>
          </cell>
          <cell r="Q588" t="str">
            <v/>
          </cell>
          <cell r="R588" t="e">
            <v>#N/A</v>
          </cell>
        </row>
        <row r="589">
          <cell r="A589">
            <v>40322</v>
          </cell>
          <cell r="B589">
            <v>40322</v>
          </cell>
          <cell r="C589" t="str">
            <v>Future</v>
          </cell>
          <cell r="D589" t="e">
            <v>#N/A</v>
          </cell>
          <cell r="E589">
            <v>62.360984251968432</v>
          </cell>
          <cell r="F589">
            <v>75.175944881889862</v>
          </cell>
          <cell r="G589">
            <v>69.073582677165518</v>
          </cell>
          <cell r="H589">
            <v>69.073582677165518</v>
          </cell>
          <cell r="I589" t="e">
            <v>#N/A</v>
          </cell>
          <cell r="J589" t="e">
            <v>#N/A</v>
          </cell>
          <cell r="K589" t="e">
            <v>#N/A</v>
          </cell>
          <cell r="L589" t="e">
            <v>#N/A</v>
          </cell>
          <cell r="M589" t="e">
            <v>#N/A</v>
          </cell>
          <cell r="N589" t="e">
            <v>#N/A</v>
          </cell>
          <cell r="O589" t="e">
            <v>#N/A</v>
          </cell>
          <cell r="P589">
            <v>71.03</v>
          </cell>
          <cell r="Q589" t="str">
            <v/>
          </cell>
          <cell r="R589" t="e">
            <v>#N/A</v>
          </cell>
        </row>
        <row r="590">
          <cell r="A590">
            <v>40323</v>
          </cell>
          <cell r="B590">
            <v>40323</v>
          </cell>
          <cell r="C590" t="str">
            <v>Future</v>
          </cell>
          <cell r="D590" t="e">
            <v>#N/A</v>
          </cell>
          <cell r="E590">
            <v>62.081338582677091</v>
          </cell>
          <cell r="F590">
            <v>75.30968503937018</v>
          </cell>
          <cell r="G590">
            <v>69.010472440945051</v>
          </cell>
          <cell r="H590">
            <v>69.010472440945051</v>
          </cell>
          <cell r="I590" t="e">
            <v>#N/A</v>
          </cell>
          <cell r="J590" t="e">
            <v>#N/A</v>
          </cell>
          <cell r="K590" t="e">
            <v>#N/A</v>
          </cell>
          <cell r="L590" t="e">
            <v>#N/A</v>
          </cell>
          <cell r="M590" t="e">
            <v>#N/A</v>
          </cell>
          <cell r="N590" t="e">
            <v>#N/A</v>
          </cell>
          <cell r="O590" t="e">
            <v>#N/A</v>
          </cell>
          <cell r="P590">
            <v>71.03</v>
          </cell>
          <cell r="Q590" t="str">
            <v/>
          </cell>
          <cell r="R590" t="e">
            <v>#N/A</v>
          </cell>
        </row>
        <row r="591">
          <cell r="A591">
            <v>40324</v>
          </cell>
          <cell r="B591">
            <v>40324</v>
          </cell>
          <cell r="C591" t="str">
            <v>Future</v>
          </cell>
          <cell r="D591" t="e">
            <v>#N/A</v>
          </cell>
          <cell r="E591">
            <v>61.80169291338575</v>
          </cell>
          <cell r="F591">
            <v>75.443425196850498</v>
          </cell>
          <cell r="G591">
            <v>68.947362204724584</v>
          </cell>
          <cell r="H591">
            <v>68.947362204724584</v>
          </cell>
          <cell r="I591" t="e">
            <v>#N/A</v>
          </cell>
          <cell r="J591" t="e">
            <v>#N/A</v>
          </cell>
          <cell r="K591" t="e">
            <v>#N/A</v>
          </cell>
          <cell r="L591" t="e">
            <v>#N/A</v>
          </cell>
          <cell r="M591" t="e">
            <v>#N/A</v>
          </cell>
          <cell r="N591" t="e">
            <v>#N/A</v>
          </cell>
          <cell r="O591" t="e">
            <v>#N/A</v>
          </cell>
          <cell r="P591">
            <v>71.03</v>
          </cell>
          <cell r="Q591" t="str">
            <v/>
          </cell>
          <cell r="R591" t="e">
            <v>#N/A</v>
          </cell>
        </row>
        <row r="592">
          <cell r="A592">
            <v>40325</v>
          </cell>
          <cell r="B592">
            <v>40325</v>
          </cell>
          <cell r="C592" t="str">
            <v>Future</v>
          </cell>
          <cell r="D592" t="e">
            <v>#N/A</v>
          </cell>
          <cell r="E592">
            <v>61.522047244094409</v>
          </cell>
          <cell r="F592">
            <v>75.577165354330816</v>
          </cell>
          <cell r="G592">
            <v>68.884251968504117</v>
          </cell>
          <cell r="H592">
            <v>68.884251968504117</v>
          </cell>
          <cell r="I592" t="e">
            <v>#N/A</v>
          </cell>
          <cell r="J592" t="e">
            <v>#N/A</v>
          </cell>
          <cell r="K592" t="e">
            <v>#N/A</v>
          </cell>
          <cell r="L592" t="e">
            <v>#N/A</v>
          </cell>
          <cell r="M592" t="e">
            <v>#N/A</v>
          </cell>
          <cell r="N592" t="e">
            <v>#N/A</v>
          </cell>
          <cell r="O592" t="e">
            <v>#N/A</v>
          </cell>
          <cell r="P592">
            <v>71.03</v>
          </cell>
          <cell r="Q592" t="str">
            <v/>
          </cell>
          <cell r="R592" t="e">
            <v>#N/A</v>
          </cell>
        </row>
        <row r="593">
          <cell r="A593">
            <v>40326</v>
          </cell>
          <cell r="B593">
            <v>40326</v>
          </cell>
          <cell r="C593" t="str">
            <v>Future</v>
          </cell>
          <cell r="D593" t="e">
            <v>#N/A</v>
          </cell>
          <cell r="E593">
            <v>61.242401574803068</v>
          </cell>
          <cell r="F593">
            <v>75.710905511811134</v>
          </cell>
          <cell r="G593">
            <v>68.82114173228365</v>
          </cell>
          <cell r="H593">
            <v>68.82114173228365</v>
          </cell>
          <cell r="I593" t="e">
            <v>#N/A</v>
          </cell>
          <cell r="J593" t="e">
            <v>#N/A</v>
          </cell>
          <cell r="K593" t="e">
            <v>#N/A</v>
          </cell>
          <cell r="L593" t="e">
            <v>#N/A</v>
          </cell>
          <cell r="M593" t="e">
            <v>#N/A</v>
          </cell>
          <cell r="N593" t="e">
            <v>#N/A</v>
          </cell>
          <cell r="O593" t="e">
            <v>#N/A</v>
          </cell>
          <cell r="P593">
            <v>71.03</v>
          </cell>
          <cell r="Q593" t="str">
            <v/>
          </cell>
          <cell r="R593" t="e">
            <v>#N/A</v>
          </cell>
        </row>
        <row r="594">
          <cell r="A594">
            <v>40330</v>
          </cell>
          <cell r="B594">
            <v>40330</v>
          </cell>
          <cell r="C594" t="str">
            <v>Future</v>
          </cell>
          <cell r="D594" t="e">
            <v>#N/A</v>
          </cell>
          <cell r="E594">
            <v>60.962755905511727</v>
          </cell>
          <cell r="F594">
            <v>75.844645669291452</v>
          </cell>
          <cell r="G594">
            <v>68.758031496063182</v>
          </cell>
          <cell r="H594">
            <v>68.758031496063182</v>
          </cell>
          <cell r="I594" t="e">
            <v>#N/A</v>
          </cell>
          <cell r="J594" t="e">
            <v>#N/A</v>
          </cell>
          <cell r="K594" t="e">
            <v>#N/A</v>
          </cell>
          <cell r="L594" t="e">
            <v>#N/A</v>
          </cell>
          <cell r="M594" t="e">
            <v>#N/A</v>
          </cell>
          <cell r="N594" t="e">
            <v>#N/A</v>
          </cell>
          <cell r="O594" t="e">
            <v>#N/A</v>
          </cell>
          <cell r="P594">
            <v>71.03</v>
          </cell>
          <cell r="Q594" t="str">
            <v/>
          </cell>
          <cell r="R594" t="e">
            <v>#N/A</v>
          </cell>
        </row>
        <row r="595">
          <cell r="A595">
            <v>40331</v>
          </cell>
          <cell r="B595">
            <v>40331</v>
          </cell>
          <cell r="C595" t="str">
            <v>Future</v>
          </cell>
          <cell r="D595" t="e">
            <v>#N/A</v>
          </cell>
          <cell r="E595">
            <v>60.683110236220386</v>
          </cell>
          <cell r="F595">
            <v>75.97838582677177</v>
          </cell>
          <cell r="G595">
            <v>68.694921259842715</v>
          </cell>
          <cell r="H595">
            <v>68.694921259842715</v>
          </cell>
          <cell r="I595" t="e">
            <v>#N/A</v>
          </cell>
          <cell r="J595" t="e">
            <v>#N/A</v>
          </cell>
          <cell r="K595" t="e">
            <v>#N/A</v>
          </cell>
          <cell r="L595" t="e">
            <v>#N/A</v>
          </cell>
          <cell r="M595" t="e">
            <v>#N/A</v>
          </cell>
          <cell r="N595" t="e">
            <v>#N/A</v>
          </cell>
          <cell r="O595" t="e">
            <v>#N/A</v>
          </cell>
          <cell r="P595">
            <v>71.03</v>
          </cell>
          <cell r="Q595" t="str">
            <v/>
          </cell>
          <cell r="R595" t="e">
            <v>#N/A</v>
          </cell>
        </row>
        <row r="596">
          <cell r="A596">
            <v>40332</v>
          </cell>
          <cell r="B596">
            <v>40332</v>
          </cell>
          <cell r="C596" t="str">
            <v>Future</v>
          </cell>
          <cell r="D596" t="e">
            <v>#N/A</v>
          </cell>
          <cell r="E596">
            <v>60.403464566929046</v>
          </cell>
          <cell r="F596">
            <v>76.112125984252089</v>
          </cell>
          <cell r="G596">
            <v>68.631811023622248</v>
          </cell>
          <cell r="H596">
            <v>68.631811023622248</v>
          </cell>
          <cell r="I596" t="e">
            <v>#N/A</v>
          </cell>
          <cell r="J596" t="e">
            <v>#N/A</v>
          </cell>
          <cell r="K596" t="e">
            <v>#N/A</v>
          </cell>
          <cell r="L596" t="e">
            <v>#N/A</v>
          </cell>
          <cell r="M596" t="e">
            <v>#N/A</v>
          </cell>
          <cell r="N596" t="e">
            <v>#N/A</v>
          </cell>
          <cell r="O596" t="e">
            <v>#N/A</v>
          </cell>
          <cell r="P596">
            <v>71.03</v>
          </cell>
          <cell r="Q596" t="str">
            <v/>
          </cell>
          <cell r="R596" t="e">
            <v>#N/A</v>
          </cell>
        </row>
        <row r="597">
          <cell r="A597">
            <v>40333</v>
          </cell>
          <cell r="B597">
            <v>40333</v>
          </cell>
          <cell r="C597" t="str">
            <v>Future</v>
          </cell>
          <cell r="D597" t="e">
            <v>#N/A</v>
          </cell>
          <cell r="E597">
            <v>60.123818897637705</v>
          </cell>
          <cell r="F597">
            <v>76.245866141732407</v>
          </cell>
          <cell r="G597">
            <v>68.568700787401781</v>
          </cell>
          <cell r="H597">
            <v>68.568700787401781</v>
          </cell>
          <cell r="I597" t="e">
            <v>#N/A</v>
          </cell>
          <cell r="J597" t="e">
            <v>#N/A</v>
          </cell>
          <cell r="K597" t="e">
            <v>#N/A</v>
          </cell>
          <cell r="L597" t="e">
            <v>#N/A</v>
          </cell>
          <cell r="M597" t="e">
            <v>#N/A</v>
          </cell>
          <cell r="N597" t="e">
            <v>#N/A</v>
          </cell>
          <cell r="O597" t="e">
            <v>#N/A</v>
          </cell>
          <cell r="P597">
            <v>71.03</v>
          </cell>
          <cell r="Q597" t="str">
            <v/>
          </cell>
          <cell r="R597" t="e">
            <v>#N/A</v>
          </cell>
        </row>
        <row r="598">
          <cell r="A598">
            <v>40336</v>
          </cell>
          <cell r="B598">
            <v>40336</v>
          </cell>
          <cell r="C598" t="str">
            <v>Future</v>
          </cell>
          <cell r="D598" t="e">
            <v>#N/A</v>
          </cell>
          <cell r="E598">
            <v>59.844173228346364</v>
          </cell>
          <cell r="F598">
            <v>76.379606299212725</v>
          </cell>
          <cell r="G598">
            <v>68.505590551181314</v>
          </cell>
          <cell r="H598">
            <v>68.505590551181314</v>
          </cell>
          <cell r="I598" t="e">
            <v>#N/A</v>
          </cell>
          <cell r="J598" t="e">
            <v>#N/A</v>
          </cell>
          <cell r="K598" t="e">
            <v>#N/A</v>
          </cell>
          <cell r="L598" t="e">
            <v>#N/A</v>
          </cell>
          <cell r="M598" t="e">
            <v>#N/A</v>
          </cell>
          <cell r="N598" t="e">
            <v>#N/A</v>
          </cell>
          <cell r="O598" t="e">
            <v>#N/A</v>
          </cell>
          <cell r="P598">
            <v>71.03</v>
          </cell>
          <cell r="Q598" t="str">
            <v/>
          </cell>
          <cell r="R598" t="e">
            <v>#N/A</v>
          </cell>
        </row>
        <row r="599">
          <cell r="A599">
            <v>40337</v>
          </cell>
          <cell r="B599">
            <v>40337</v>
          </cell>
          <cell r="C599" t="str">
            <v>Future</v>
          </cell>
          <cell r="D599" t="e">
            <v>#N/A</v>
          </cell>
          <cell r="E599">
            <v>59.564527559055023</v>
          </cell>
          <cell r="F599">
            <v>76.513346456693043</v>
          </cell>
          <cell r="G599">
            <v>68.442480314960846</v>
          </cell>
          <cell r="H599">
            <v>68.442480314960846</v>
          </cell>
          <cell r="I599" t="e">
            <v>#N/A</v>
          </cell>
          <cell r="J599" t="e">
            <v>#N/A</v>
          </cell>
          <cell r="K599" t="e">
            <v>#N/A</v>
          </cell>
          <cell r="L599" t="e">
            <v>#N/A</v>
          </cell>
          <cell r="M599" t="e">
            <v>#N/A</v>
          </cell>
          <cell r="N599" t="e">
            <v>#N/A</v>
          </cell>
          <cell r="O599" t="e">
            <v>#N/A</v>
          </cell>
          <cell r="P599">
            <v>71.03</v>
          </cell>
          <cell r="Q599" t="str">
            <v/>
          </cell>
          <cell r="R599" t="e">
            <v>#N/A</v>
          </cell>
        </row>
        <row r="600">
          <cell r="A600">
            <v>40338</v>
          </cell>
          <cell r="B600">
            <v>40338</v>
          </cell>
          <cell r="C600" t="str">
            <v>Future</v>
          </cell>
          <cell r="D600" t="e">
            <v>#N/A</v>
          </cell>
          <cell r="E600">
            <v>59.284881889763682</v>
          </cell>
          <cell r="F600">
            <v>76.647086614173361</v>
          </cell>
          <cell r="G600">
            <v>68.379370078740379</v>
          </cell>
          <cell r="H600">
            <v>68.379370078740379</v>
          </cell>
          <cell r="I600" t="e">
            <v>#N/A</v>
          </cell>
          <cell r="J600" t="e">
            <v>#N/A</v>
          </cell>
          <cell r="K600" t="e">
            <v>#N/A</v>
          </cell>
          <cell r="L600" t="e">
            <v>#N/A</v>
          </cell>
          <cell r="M600" t="e">
            <v>#N/A</v>
          </cell>
          <cell r="N600" t="e">
            <v>#N/A</v>
          </cell>
          <cell r="O600" t="e">
            <v>#N/A</v>
          </cell>
          <cell r="P600">
            <v>71.03</v>
          </cell>
          <cell r="Q600" t="str">
            <v/>
          </cell>
          <cell r="R600" t="e">
            <v>#N/A</v>
          </cell>
        </row>
        <row r="601">
          <cell r="A601">
            <v>40339</v>
          </cell>
          <cell r="B601">
            <v>40339</v>
          </cell>
          <cell r="C601" t="str">
            <v>Future</v>
          </cell>
          <cell r="D601" t="e">
            <v>#N/A</v>
          </cell>
          <cell r="E601">
            <v>59.005236220472341</v>
          </cell>
          <cell r="F601">
            <v>76.780826771653679</v>
          </cell>
          <cell r="G601">
            <v>68.316259842519912</v>
          </cell>
          <cell r="H601">
            <v>68.316259842519912</v>
          </cell>
          <cell r="I601" t="e">
            <v>#N/A</v>
          </cell>
          <cell r="J601" t="e">
            <v>#N/A</v>
          </cell>
          <cell r="K601" t="e">
            <v>#N/A</v>
          </cell>
          <cell r="L601" t="e">
            <v>#N/A</v>
          </cell>
          <cell r="M601" t="e">
            <v>#N/A</v>
          </cell>
          <cell r="N601" t="e">
            <v>#N/A</v>
          </cell>
          <cell r="O601" t="e">
            <v>#N/A</v>
          </cell>
          <cell r="P601">
            <v>71.03</v>
          </cell>
          <cell r="Q601" t="str">
            <v/>
          </cell>
          <cell r="R601" t="e">
            <v>#N/A</v>
          </cell>
        </row>
        <row r="602">
          <cell r="A602">
            <v>40340</v>
          </cell>
          <cell r="B602">
            <v>40340</v>
          </cell>
          <cell r="C602" t="str">
            <v>Future</v>
          </cell>
          <cell r="D602" t="e">
            <v>#N/A</v>
          </cell>
          <cell r="E602">
            <v>58.725590551181</v>
          </cell>
          <cell r="F602">
            <v>76.914566929133997</v>
          </cell>
          <cell r="G602">
            <v>68.253149606299445</v>
          </cell>
          <cell r="H602">
            <v>68.253149606299445</v>
          </cell>
          <cell r="I602" t="e">
            <v>#N/A</v>
          </cell>
          <cell r="J602" t="e">
            <v>#N/A</v>
          </cell>
          <cell r="K602" t="e">
            <v>#N/A</v>
          </cell>
          <cell r="L602" t="e">
            <v>#N/A</v>
          </cell>
          <cell r="M602" t="e">
            <v>#N/A</v>
          </cell>
          <cell r="N602" t="e">
            <v>#N/A</v>
          </cell>
          <cell r="O602" t="e">
            <v>#N/A</v>
          </cell>
          <cell r="P602">
            <v>71.03</v>
          </cell>
          <cell r="Q602" t="str">
            <v/>
          </cell>
          <cell r="R602" t="e">
            <v>#N/A</v>
          </cell>
        </row>
        <row r="603">
          <cell r="A603">
            <v>40343</v>
          </cell>
          <cell r="B603">
            <v>40343</v>
          </cell>
          <cell r="C603" t="str">
            <v>Future</v>
          </cell>
          <cell r="D603" t="e">
            <v>#N/A</v>
          </cell>
          <cell r="E603">
            <v>58.445944881889659</v>
          </cell>
          <cell r="F603">
            <v>77.048307086614315</v>
          </cell>
          <cell r="G603">
            <v>68.190039370078978</v>
          </cell>
          <cell r="H603">
            <v>68.190039370078978</v>
          </cell>
          <cell r="I603" t="e">
            <v>#N/A</v>
          </cell>
          <cell r="J603" t="e">
            <v>#N/A</v>
          </cell>
          <cell r="K603" t="e">
            <v>#N/A</v>
          </cell>
          <cell r="L603" t="e">
            <v>#N/A</v>
          </cell>
          <cell r="M603" t="e">
            <v>#N/A</v>
          </cell>
          <cell r="N603" t="e">
            <v>#N/A</v>
          </cell>
          <cell r="O603" t="e">
            <v>#N/A</v>
          </cell>
          <cell r="P603">
            <v>71.03</v>
          </cell>
          <cell r="Q603" t="str">
            <v/>
          </cell>
          <cell r="R603" t="e">
            <v>#N/A</v>
          </cell>
        </row>
        <row r="604">
          <cell r="A604">
            <v>40344</v>
          </cell>
          <cell r="B604">
            <v>40344</v>
          </cell>
          <cell r="C604" t="str">
            <v>Future</v>
          </cell>
          <cell r="D604" t="e">
            <v>#N/A</v>
          </cell>
          <cell r="E604">
            <v>58.166299212598318</v>
          </cell>
          <cell r="F604">
            <v>77.182047244094633</v>
          </cell>
          <cell r="G604">
            <v>68.126929133858511</v>
          </cell>
          <cell r="H604">
            <v>68.126929133858511</v>
          </cell>
          <cell r="I604" t="e">
            <v>#N/A</v>
          </cell>
          <cell r="J604" t="e">
            <v>#N/A</v>
          </cell>
          <cell r="K604" t="e">
            <v>#N/A</v>
          </cell>
          <cell r="L604" t="e">
            <v>#N/A</v>
          </cell>
          <cell r="M604" t="e">
            <v>#N/A</v>
          </cell>
          <cell r="N604" t="e">
            <v>#N/A</v>
          </cell>
          <cell r="O604" t="e">
            <v>#N/A</v>
          </cell>
          <cell r="P604">
            <v>71.03</v>
          </cell>
          <cell r="Q604" t="str">
            <v/>
          </cell>
          <cell r="R604" t="e">
            <v>#N/A</v>
          </cell>
        </row>
        <row r="605">
          <cell r="A605">
            <v>40345</v>
          </cell>
          <cell r="B605">
            <v>40345</v>
          </cell>
          <cell r="C605" t="str">
            <v>Future</v>
          </cell>
          <cell r="D605" t="e">
            <v>#N/A</v>
          </cell>
          <cell r="E605">
            <v>57.886653543306977</v>
          </cell>
          <cell r="F605">
            <v>77.315787401574951</v>
          </cell>
          <cell r="G605">
            <v>68.063818897638043</v>
          </cell>
          <cell r="H605">
            <v>68.063818897638043</v>
          </cell>
          <cell r="I605" t="e">
            <v>#N/A</v>
          </cell>
          <cell r="J605" t="e">
            <v>#N/A</v>
          </cell>
          <cell r="K605" t="e">
            <v>#N/A</v>
          </cell>
          <cell r="L605" t="e">
            <v>#N/A</v>
          </cell>
          <cell r="M605" t="e">
            <v>#N/A</v>
          </cell>
          <cell r="N605" t="e">
            <v>#N/A</v>
          </cell>
          <cell r="O605" t="e">
            <v>#N/A</v>
          </cell>
          <cell r="P605">
            <v>71.03</v>
          </cell>
          <cell r="Q605" t="str">
            <v/>
          </cell>
          <cell r="R605" t="e">
            <v>#N/A</v>
          </cell>
        </row>
        <row r="606">
          <cell r="A606">
            <v>40346</v>
          </cell>
          <cell r="B606">
            <v>40346</v>
          </cell>
          <cell r="C606" t="str">
            <v>Future</v>
          </cell>
          <cell r="D606" t="e">
            <v>#N/A</v>
          </cell>
          <cell r="E606">
            <v>57.607007874015636</v>
          </cell>
          <cell r="F606">
            <v>77.449527559055269</v>
          </cell>
          <cell r="G606">
            <v>68.000708661417576</v>
          </cell>
          <cell r="H606">
            <v>68.000708661417576</v>
          </cell>
          <cell r="I606" t="e">
            <v>#N/A</v>
          </cell>
          <cell r="J606" t="e">
            <v>#N/A</v>
          </cell>
          <cell r="K606" t="e">
            <v>#N/A</v>
          </cell>
          <cell r="L606" t="e">
            <v>#N/A</v>
          </cell>
          <cell r="M606" t="e">
            <v>#N/A</v>
          </cell>
          <cell r="N606" t="e">
            <v>#N/A</v>
          </cell>
          <cell r="O606" t="e">
            <v>#N/A</v>
          </cell>
          <cell r="P606">
            <v>71.03</v>
          </cell>
          <cell r="Q606" t="str">
            <v/>
          </cell>
          <cell r="R606" t="e">
            <v>#N/A</v>
          </cell>
        </row>
        <row r="607">
          <cell r="A607">
            <v>40347</v>
          </cell>
          <cell r="B607">
            <v>40347</v>
          </cell>
          <cell r="C607" t="str">
            <v>Future</v>
          </cell>
          <cell r="D607" t="e">
            <v>#N/A</v>
          </cell>
          <cell r="E607">
            <v>57.327362204724295</v>
          </cell>
          <cell r="F607">
            <v>77.583267716535588</v>
          </cell>
          <cell r="G607">
            <v>67.937598425197109</v>
          </cell>
          <cell r="H607">
            <v>67.937598425197109</v>
          </cell>
          <cell r="I607" t="e">
            <v>#N/A</v>
          </cell>
          <cell r="J607" t="e">
            <v>#N/A</v>
          </cell>
          <cell r="K607" t="e">
            <v>#N/A</v>
          </cell>
          <cell r="L607" t="e">
            <v>#N/A</v>
          </cell>
          <cell r="M607" t="e">
            <v>#N/A</v>
          </cell>
          <cell r="N607" t="e">
            <v>#N/A</v>
          </cell>
          <cell r="O607" t="e">
            <v>#N/A</v>
          </cell>
          <cell r="P607">
            <v>71.03</v>
          </cell>
          <cell r="Q607" t="str">
            <v/>
          </cell>
          <cell r="R607" t="e">
            <v>#N/A</v>
          </cell>
        </row>
        <row r="608">
          <cell r="A608">
            <v>40350</v>
          </cell>
          <cell r="B608">
            <v>40350</v>
          </cell>
          <cell r="C608" t="str">
            <v>Future</v>
          </cell>
          <cell r="D608" t="e">
            <v>#N/A</v>
          </cell>
          <cell r="E608">
            <v>57.047716535432954</v>
          </cell>
          <cell r="F608">
            <v>77.717007874015906</v>
          </cell>
          <cell r="G608">
            <v>67.874488188976642</v>
          </cell>
          <cell r="H608">
            <v>67.874488188976642</v>
          </cell>
          <cell r="I608" t="e">
            <v>#N/A</v>
          </cell>
          <cell r="J608" t="e">
            <v>#N/A</v>
          </cell>
          <cell r="K608" t="e">
            <v>#N/A</v>
          </cell>
          <cell r="L608" t="e">
            <v>#N/A</v>
          </cell>
          <cell r="M608" t="e">
            <v>#N/A</v>
          </cell>
          <cell r="N608" t="e">
            <v>#N/A</v>
          </cell>
          <cell r="O608" t="e">
            <v>#N/A</v>
          </cell>
          <cell r="P608">
            <v>71.03</v>
          </cell>
          <cell r="Q608" t="str">
            <v/>
          </cell>
          <cell r="R608" t="e">
            <v>#N/A</v>
          </cell>
        </row>
        <row r="609">
          <cell r="A609">
            <v>40351</v>
          </cell>
          <cell r="B609">
            <v>40351</v>
          </cell>
          <cell r="C609" t="str">
            <v>Future</v>
          </cell>
          <cell r="D609" t="e">
            <v>#N/A</v>
          </cell>
          <cell r="E609">
            <v>56.768070866141613</v>
          </cell>
          <cell r="F609">
            <v>77.850748031496224</v>
          </cell>
          <cell r="G609">
            <v>67.811377952756175</v>
          </cell>
          <cell r="H609">
            <v>67.811377952756175</v>
          </cell>
          <cell r="I609" t="e">
            <v>#N/A</v>
          </cell>
          <cell r="J609" t="e">
            <v>#N/A</v>
          </cell>
          <cell r="K609" t="e">
            <v>#N/A</v>
          </cell>
          <cell r="L609" t="e">
            <v>#N/A</v>
          </cell>
          <cell r="M609" t="e">
            <v>#N/A</v>
          </cell>
          <cell r="N609" t="e">
            <v>#N/A</v>
          </cell>
          <cell r="O609" t="e">
            <v>#N/A</v>
          </cell>
          <cell r="P609">
            <v>71.03</v>
          </cell>
          <cell r="Q609" t="str">
            <v/>
          </cell>
          <cell r="R609" t="e">
            <v>#N/A</v>
          </cell>
        </row>
        <row r="610">
          <cell r="A610">
            <v>40352</v>
          </cell>
          <cell r="B610">
            <v>40352</v>
          </cell>
          <cell r="C610" t="str">
            <v>Future</v>
          </cell>
          <cell r="D610" t="e">
            <v>#N/A</v>
          </cell>
          <cell r="E610">
            <v>56.488425196850272</v>
          </cell>
          <cell r="F610">
            <v>77.984488188976542</v>
          </cell>
          <cell r="G610">
            <v>67.748267716535707</v>
          </cell>
          <cell r="H610">
            <v>67.748267716535707</v>
          </cell>
          <cell r="I610" t="e">
            <v>#N/A</v>
          </cell>
          <cell r="J610" t="e">
            <v>#N/A</v>
          </cell>
          <cell r="K610" t="e">
            <v>#N/A</v>
          </cell>
          <cell r="L610" t="e">
            <v>#N/A</v>
          </cell>
          <cell r="M610" t="e">
            <v>#N/A</v>
          </cell>
          <cell r="N610" t="e">
            <v>#N/A</v>
          </cell>
          <cell r="O610" t="e">
            <v>#N/A</v>
          </cell>
          <cell r="P610">
            <v>71.03</v>
          </cell>
          <cell r="Q610" t="str">
            <v/>
          </cell>
          <cell r="R610" t="e">
            <v>#N/A</v>
          </cell>
        </row>
        <row r="611">
          <cell r="A611">
            <v>40353</v>
          </cell>
          <cell r="B611">
            <v>40353</v>
          </cell>
          <cell r="C611" t="str">
            <v>Future</v>
          </cell>
          <cell r="D611" t="e">
            <v>#N/A</v>
          </cell>
          <cell r="E611">
            <v>56.208779527558931</v>
          </cell>
          <cell r="F611">
            <v>78.11822834645686</v>
          </cell>
          <cell r="G611">
            <v>67.68515748031524</v>
          </cell>
          <cell r="H611">
            <v>67.68515748031524</v>
          </cell>
          <cell r="I611" t="e">
            <v>#N/A</v>
          </cell>
          <cell r="J611" t="e">
            <v>#N/A</v>
          </cell>
          <cell r="K611" t="e">
            <v>#N/A</v>
          </cell>
          <cell r="L611" t="e">
            <v>#N/A</v>
          </cell>
          <cell r="M611" t="e">
            <v>#N/A</v>
          </cell>
          <cell r="N611" t="e">
            <v>#N/A</v>
          </cell>
          <cell r="O611" t="e">
            <v>#N/A</v>
          </cell>
          <cell r="P611">
            <v>71.03</v>
          </cell>
          <cell r="Q611" t="str">
            <v/>
          </cell>
          <cell r="R611" t="e">
            <v>#N/A</v>
          </cell>
        </row>
        <row r="612">
          <cell r="A612">
            <v>40354</v>
          </cell>
          <cell r="B612">
            <v>40354</v>
          </cell>
          <cell r="C612" t="str">
            <v>Future</v>
          </cell>
          <cell r="D612" t="e">
            <v>#N/A</v>
          </cell>
          <cell r="E612">
            <v>55.929133858267591</v>
          </cell>
          <cell r="F612">
            <v>78.251968503937178</v>
          </cell>
          <cell r="G612">
            <v>67.622047244094773</v>
          </cell>
          <cell r="H612">
            <v>67.622047244094773</v>
          </cell>
          <cell r="I612" t="e">
            <v>#N/A</v>
          </cell>
          <cell r="J612" t="e">
            <v>#N/A</v>
          </cell>
          <cell r="K612" t="e">
            <v>#N/A</v>
          </cell>
          <cell r="L612" t="e">
            <v>#N/A</v>
          </cell>
          <cell r="M612" t="e">
            <v>#N/A</v>
          </cell>
          <cell r="N612" t="e">
            <v>#N/A</v>
          </cell>
          <cell r="O612" t="e">
            <v>#N/A</v>
          </cell>
          <cell r="P612">
            <v>71.03</v>
          </cell>
          <cell r="Q612" t="str">
            <v/>
          </cell>
          <cell r="R612" t="e">
            <v>#N/A</v>
          </cell>
        </row>
        <row r="613">
          <cell r="A613">
            <v>40357</v>
          </cell>
          <cell r="B613">
            <v>40357</v>
          </cell>
          <cell r="C613" t="str">
            <v>Future</v>
          </cell>
          <cell r="D613" t="e">
            <v>#N/A</v>
          </cell>
          <cell r="E613">
            <v>55.64948818897625</v>
          </cell>
          <cell r="F613">
            <v>78.385708661417496</v>
          </cell>
          <cell r="G613">
            <v>67.558937007874306</v>
          </cell>
          <cell r="H613">
            <v>67.558937007874306</v>
          </cell>
          <cell r="I613" t="e">
            <v>#N/A</v>
          </cell>
          <cell r="J613" t="e">
            <v>#N/A</v>
          </cell>
          <cell r="K613" t="e">
            <v>#N/A</v>
          </cell>
          <cell r="L613" t="e">
            <v>#N/A</v>
          </cell>
          <cell r="M613" t="e">
            <v>#N/A</v>
          </cell>
          <cell r="N613" t="e">
            <v>#N/A</v>
          </cell>
          <cell r="O613" t="e">
            <v>#N/A</v>
          </cell>
          <cell r="P613">
            <v>71.03</v>
          </cell>
          <cell r="Q613" t="str">
            <v/>
          </cell>
          <cell r="R613" t="e">
            <v>#N/A</v>
          </cell>
        </row>
        <row r="614">
          <cell r="A614">
            <v>40358</v>
          </cell>
          <cell r="B614">
            <v>40358</v>
          </cell>
          <cell r="C614" t="str">
            <v>Future</v>
          </cell>
          <cell r="D614" t="e">
            <v>#N/A</v>
          </cell>
          <cell r="E614">
            <v>55.369842519684909</v>
          </cell>
          <cell r="F614">
            <v>78.519448818897814</v>
          </cell>
          <cell r="G614">
            <v>67.495826771653839</v>
          </cell>
          <cell r="H614">
            <v>67.495826771653839</v>
          </cell>
          <cell r="I614" t="e">
            <v>#N/A</v>
          </cell>
          <cell r="J614" t="e">
            <v>#N/A</v>
          </cell>
          <cell r="K614" t="e">
            <v>#N/A</v>
          </cell>
          <cell r="L614" t="e">
            <v>#N/A</v>
          </cell>
          <cell r="M614" t="e">
            <v>#N/A</v>
          </cell>
          <cell r="N614" t="e">
            <v>#N/A</v>
          </cell>
          <cell r="O614" t="e">
            <v>#N/A</v>
          </cell>
          <cell r="P614">
            <v>71.03</v>
          </cell>
          <cell r="Q614" t="str">
            <v/>
          </cell>
          <cell r="R614" t="e">
            <v>#N/A</v>
          </cell>
        </row>
        <row r="615">
          <cell r="A615">
            <v>40359</v>
          </cell>
          <cell r="B615">
            <v>40359</v>
          </cell>
          <cell r="C615" t="str">
            <v>Future</v>
          </cell>
          <cell r="D615" t="e">
            <v>#N/A</v>
          </cell>
          <cell r="E615">
            <v>55.090196850393568</v>
          </cell>
          <cell r="F615">
            <v>78.653188976378132</v>
          </cell>
          <cell r="G615">
            <v>67.432716535433372</v>
          </cell>
          <cell r="H615">
            <v>67.432716535433372</v>
          </cell>
          <cell r="I615" t="e">
            <v>#N/A</v>
          </cell>
          <cell r="J615" t="e">
            <v>#N/A</v>
          </cell>
          <cell r="K615" t="e">
            <v>#N/A</v>
          </cell>
          <cell r="L615" t="e">
            <v>#N/A</v>
          </cell>
          <cell r="M615" t="e">
            <v>#N/A</v>
          </cell>
          <cell r="N615" t="e">
            <v>#N/A</v>
          </cell>
          <cell r="O615" t="e">
            <v>#N/A</v>
          </cell>
          <cell r="P615">
            <v>71.03</v>
          </cell>
          <cell r="Q615" t="str">
            <v/>
          </cell>
          <cell r="R615" t="e">
            <v>#N/A</v>
          </cell>
        </row>
        <row r="616">
          <cell r="A616">
            <v>40360</v>
          </cell>
          <cell r="B616">
            <v>40360</v>
          </cell>
          <cell r="C616" t="str">
            <v>Future</v>
          </cell>
          <cell r="D616" t="e">
            <v>#N/A</v>
          </cell>
          <cell r="E616">
            <v>54.810551181102227</v>
          </cell>
          <cell r="F616">
            <v>78.78692913385845</v>
          </cell>
          <cell r="G616">
            <v>67.369606299212904</v>
          </cell>
          <cell r="H616">
            <v>67.369606299212904</v>
          </cell>
          <cell r="I616" t="e">
            <v>#N/A</v>
          </cell>
          <cell r="J616" t="e">
            <v>#N/A</v>
          </cell>
          <cell r="K616" t="e">
            <v>#N/A</v>
          </cell>
          <cell r="L616" t="e">
            <v>#N/A</v>
          </cell>
          <cell r="M616" t="e">
            <v>#N/A</v>
          </cell>
          <cell r="N616" t="e">
            <v>#N/A</v>
          </cell>
          <cell r="O616" t="e">
            <v>#N/A</v>
          </cell>
          <cell r="P616">
            <v>71.03</v>
          </cell>
          <cell r="Q616" t="str">
            <v/>
          </cell>
          <cell r="R616" t="e">
            <v>#N/A</v>
          </cell>
        </row>
        <row r="617">
          <cell r="A617">
            <v>40361</v>
          </cell>
          <cell r="B617">
            <v>40361</v>
          </cell>
          <cell r="C617" t="str">
            <v>Future</v>
          </cell>
          <cell r="D617" t="e">
            <v>#N/A</v>
          </cell>
          <cell r="E617">
            <v>54.530905511810886</v>
          </cell>
          <cell r="F617">
            <v>78.920669291338768</v>
          </cell>
          <cell r="G617">
            <v>67.306496062992437</v>
          </cell>
          <cell r="H617">
            <v>67.306496062992437</v>
          </cell>
          <cell r="I617" t="e">
            <v>#N/A</v>
          </cell>
          <cell r="J617" t="e">
            <v>#N/A</v>
          </cell>
          <cell r="K617" t="e">
            <v>#N/A</v>
          </cell>
          <cell r="L617" t="e">
            <v>#N/A</v>
          </cell>
          <cell r="M617" t="e">
            <v>#N/A</v>
          </cell>
          <cell r="N617" t="e">
            <v>#N/A</v>
          </cell>
          <cell r="O617" t="e">
            <v>#N/A</v>
          </cell>
          <cell r="P617">
            <v>71.03</v>
          </cell>
          <cell r="Q617" t="str">
            <v/>
          </cell>
          <cell r="R617" t="e">
            <v>#N/A</v>
          </cell>
        </row>
        <row r="618">
          <cell r="A618">
            <v>40365</v>
          </cell>
          <cell r="B618">
            <v>40365</v>
          </cell>
          <cell r="C618" t="str">
            <v>Future</v>
          </cell>
          <cell r="D618" t="e">
            <v>#N/A</v>
          </cell>
          <cell r="E618">
            <v>54.251259842519545</v>
          </cell>
          <cell r="F618">
            <v>79.054409448819086</v>
          </cell>
          <cell r="G618">
            <v>67.24338582677197</v>
          </cell>
          <cell r="H618">
            <v>67.24338582677197</v>
          </cell>
          <cell r="I618" t="e">
            <v>#N/A</v>
          </cell>
          <cell r="J618" t="e">
            <v>#N/A</v>
          </cell>
          <cell r="K618" t="e">
            <v>#N/A</v>
          </cell>
          <cell r="L618" t="e">
            <v>#N/A</v>
          </cell>
          <cell r="M618" t="e">
            <v>#N/A</v>
          </cell>
          <cell r="N618" t="e">
            <v>#N/A</v>
          </cell>
          <cell r="O618" t="e">
            <v>#N/A</v>
          </cell>
          <cell r="P618">
            <v>71.03</v>
          </cell>
          <cell r="Q618" t="str">
            <v/>
          </cell>
          <cell r="R618" t="e">
            <v>#N/A</v>
          </cell>
        </row>
        <row r="619">
          <cell r="A619">
            <v>40366</v>
          </cell>
          <cell r="B619">
            <v>40366</v>
          </cell>
          <cell r="C619" t="str">
            <v>Future</v>
          </cell>
          <cell r="D619" t="e">
            <v>#N/A</v>
          </cell>
          <cell r="E619">
            <v>53.971614173228204</v>
          </cell>
          <cell r="F619">
            <v>79.188149606299405</v>
          </cell>
          <cell r="G619">
            <v>67.180275590551503</v>
          </cell>
          <cell r="H619">
            <v>67.180275590551503</v>
          </cell>
          <cell r="I619" t="e">
            <v>#N/A</v>
          </cell>
          <cell r="J619" t="e">
            <v>#N/A</v>
          </cell>
          <cell r="K619" t="e">
            <v>#N/A</v>
          </cell>
          <cell r="L619" t="e">
            <v>#N/A</v>
          </cell>
          <cell r="M619" t="e">
            <v>#N/A</v>
          </cell>
          <cell r="N619" t="e">
            <v>#N/A</v>
          </cell>
          <cell r="O619" t="e">
            <v>#N/A</v>
          </cell>
          <cell r="P619">
            <v>71.03</v>
          </cell>
          <cell r="Q619" t="str">
            <v/>
          </cell>
          <cell r="R619" t="e">
            <v>#N/A</v>
          </cell>
        </row>
        <row r="620">
          <cell r="A620">
            <v>40367</v>
          </cell>
          <cell r="B620">
            <v>40367</v>
          </cell>
          <cell r="C620" t="str">
            <v>Future</v>
          </cell>
          <cell r="D620" t="e">
            <v>#N/A</v>
          </cell>
          <cell r="E620">
            <v>53.691968503936863</v>
          </cell>
          <cell r="F620">
            <v>79.321889763779723</v>
          </cell>
          <cell r="G620">
            <v>67.117165354331036</v>
          </cell>
          <cell r="H620">
            <v>67.117165354331036</v>
          </cell>
          <cell r="I620" t="e">
            <v>#N/A</v>
          </cell>
          <cell r="J620" t="e">
            <v>#N/A</v>
          </cell>
          <cell r="K620" t="e">
            <v>#N/A</v>
          </cell>
          <cell r="L620" t="e">
            <v>#N/A</v>
          </cell>
          <cell r="M620" t="e">
            <v>#N/A</v>
          </cell>
          <cell r="N620" t="e">
            <v>#N/A</v>
          </cell>
          <cell r="O620" t="e">
            <v>#N/A</v>
          </cell>
          <cell r="P620">
            <v>71.03</v>
          </cell>
          <cell r="Q620" t="str">
            <v/>
          </cell>
          <cell r="R620" t="e">
            <v>#N/A</v>
          </cell>
        </row>
        <row r="621">
          <cell r="A621">
            <v>40368</v>
          </cell>
          <cell r="B621">
            <v>40368</v>
          </cell>
          <cell r="C621" t="str">
            <v>Future</v>
          </cell>
          <cell r="D621" t="e">
            <v>#N/A</v>
          </cell>
          <cell r="E621">
            <v>53.412322834645522</v>
          </cell>
          <cell r="F621">
            <v>79.455629921260041</v>
          </cell>
          <cell r="G621">
            <v>67.054055118110568</v>
          </cell>
          <cell r="H621">
            <v>67.054055118110568</v>
          </cell>
          <cell r="I621" t="e">
            <v>#N/A</v>
          </cell>
          <cell r="J621" t="e">
            <v>#N/A</v>
          </cell>
          <cell r="K621" t="e">
            <v>#N/A</v>
          </cell>
          <cell r="L621" t="e">
            <v>#N/A</v>
          </cell>
          <cell r="M621" t="e">
            <v>#N/A</v>
          </cell>
          <cell r="N621" t="e">
            <v>#N/A</v>
          </cell>
          <cell r="O621" t="e">
            <v>#N/A</v>
          </cell>
          <cell r="P621">
            <v>71.03</v>
          </cell>
          <cell r="Q621" t="str">
            <v/>
          </cell>
          <cell r="R621" t="e">
            <v>#N/A</v>
          </cell>
        </row>
        <row r="622">
          <cell r="A622">
            <v>40371</v>
          </cell>
          <cell r="B622">
            <v>40371</v>
          </cell>
          <cell r="C622" t="str">
            <v>Future</v>
          </cell>
          <cell r="D622" t="e">
            <v>#N/A</v>
          </cell>
          <cell r="E622">
            <v>53.132677165354181</v>
          </cell>
          <cell r="F622">
            <v>79.589370078740359</v>
          </cell>
          <cell r="G622">
            <v>66.990944881890101</v>
          </cell>
          <cell r="H622">
            <v>66.990944881890101</v>
          </cell>
          <cell r="I622" t="e">
            <v>#N/A</v>
          </cell>
          <cell r="J622" t="e">
            <v>#N/A</v>
          </cell>
          <cell r="K622" t="e">
            <v>#N/A</v>
          </cell>
          <cell r="L622" t="e">
            <v>#N/A</v>
          </cell>
          <cell r="M622" t="e">
            <v>#N/A</v>
          </cell>
          <cell r="N622" t="e">
            <v>#N/A</v>
          </cell>
          <cell r="O622" t="e">
            <v>#N/A</v>
          </cell>
          <cell r="P622">
            <v>71.03</v>
          </cell>
          <cell r="Q622" t="str">
            <v/>
          </cell>
          <cell r="R622" t="e">
            <v>#N/A</v>
          </cell>
        </row>
        <row r="623">
          <cell r="A623">
            <v>40372</v>
          </cell>
          <cell r="B623">
            <v>40372</v>
          </cell>
          <cell r="C623" t="str">
            <v>Future</v>
          </cell>
          <cell r="D623" t="e">
            <v>#N/A</v>
          </cell>
          <cell r="E623">
            <v>52.85303149606284</v>
          </cell>
          <cell r="F623">
            <v>79.723110236220677</v>
          </cell>
          <cell r="G623">
            <v>66.927834645669634</v>
          </cell>
          <cell r="H623">
            <v>66.927834645669634</v>
          </cell>
          <cell r="I623" t="e">
            <v>#N/A</v>
          </cell>
          <cell r="J623" t="e">
            <v>#N/A</v>
          </cell>
          <cell r="K623" t="e">
            <v>#N/A</v>
          </cell>
          <cell r="L623" t="e">
            <v>#N/A</v>
          </cell>
          <cell r="M623" t="e">
            <v>#N/A</v>
          </cell>
          <cell r="N623" t="e">
            <v>#N/A</v>
          </cell>
          <cell r="O623" t="e">
            <v>#N/A</v>
          </cell>
          <cell r="P623">
            <v>71.03</v>
          </cell>
          <cell r="Q623" t="str">
            <v/>
          </cell>
          <cell r="R623" t="e">
            <v>#N/A</v>
          </cell>
        </row>
        <row r="624">
          <cell r="A624">
            <v>40373</v>
          </cell>
          <cell r="B624">
            <v>40373</v>
          </cell>
          <cell r="C624" t="str">
            <v>Future</v>
          </cell>
          <cell r="D624" t="e">
            <v>#N/A</v>
          </cell>
          <cell r="E624">
            <v>52.573385826771499</v>
          </cell>
          <cell r="F624">
            <v>79.856850393700995</v>
          </cell>
          <cell r="G624">
            <v>66.864724409449167</v>
          </cell>
          <cell r="H624">
            <v>66.864724409449167</v>
          </cell>
          <cell r="I624" t="e">
            <v>#N/A</v>
          </cell>
          <cell r="J624" t="e">
            <v>#N/A</v>
          </cell>
          <cell r="K624" t="e">
            <v>#N/A</v>
          </cell>
          <cell r="L624" t="e">
            <v>#N/A</v>
          </cell>
          <cell r="M624" t="e">
            <v>#N/A</v>
          </cell>
          <cell r="N624" t="e">
            <v>#N/A</v>
          </cell>
          <cell r="O624" t="e">
            <v>#N/A</v>
          </cell>
          <cell r="P624">
            <v>71.03</v>
          </cell>
          <cell r="Q624" t="str">
            <v/>
          </cell>
          <cell r="R624" t="e">
            <v>#N/A</v>
          </cell>
        </row>
        <row r="625">
          <cell r="A625">
            <v>40374</v>
          </cell>
          <cell r="B625">
            <v>40374</v>
          </cell>
          <cell r="C625" t="str">
            <v>Future</v>
          </cell>
          <cell r="D625" t="e">
            <v>#N/A</v>
          </cell>
          <cell r="E625">
            <v>52.293740157480158</v>
          </cell>
          <cell r="F625">
            <v>79.990590551181313</v>
          </cell>
          <cell r="G625">
            <v>66.8016141732287</v>
          </cell>
          <cell r="H625">
            <v>66.8016141732287</v>
          </cell>
          <cell r="I625" t="e">
            <v>#N/A</v>
          </cell>
          <cell r="J625" t="e">
            <v>#N/A</v>
          </cell>
          <cell r="K625" t="e">
            <v>#N/A</v>
          </cell>
          <cell r="L625" t="e">
            <v>#N/A</v>
          </cell>
          <cell r="M625" t="e">
            <v>#N/A</v>
          </cell>
          <cell r="N625" t="e">
            <v>#N/A</v>
          </cell>
          <cell r="O625" t="e">
            <v>#N/A</v>
          </cell>
          <cell r="P625">
            <v>71.03</v>
          </cell>
          <cell r="Q625" t="str">
            <v/>
          </cell>
          <cell r="R625" t="e">
            <v>#N/A</v>
          </cell>
        </row>
        <row r="626">
          <cell r="A626">
            <v>40375</v>
          </cell>
          <cell r="B626">
            <v>40375</v>
          </cell>
          <cell r="C626" t="str">
            <v>Future</v>
          </cell>
          <cell r="D626" t="e">
            <v>#N/A</v>
          </cell>
          <cell r="E626">
            <v>52.014094488188817</v>
          </cell>
          <cell r="F626">
            <v>80.124330708661631</v>
          </cell>
          <cell r="G626">
            <v>66.738503937008232</v>
          </cell>
          <cell r="H626">
            <v>66.738503937008232</v>
          </cell>
          <cell r="I626" t="e">
            <v>#N/A</v>
          </cell>
          <cell r="J626" t="e">
            <v>#N/A</v>
          </cell>
          <cell r="K626" t="e">
            <v>#N/A</v>
          </cell>
          <cell r="L626" t="e">
            <v>#N/A</v>
          </cell>
          <cell r="M626" t="e">
            <v>#N/A</v>
          </cell>
          <cell r="N626" t="e">
            <v>#N/A</v>
          </cell>
          <cell r="O626" t="e">
            <v>#N/A</v>
          </cell>
          <cell r="P626">
            <v>71.03</v>
          </cell>
          <cell r="Q626" t="str">
            <v/>
          </cell>
          <cell r="R626" t="e">
            <v>#N/A</v>
          </cell>
        </row>
        <row r="627">
          <cell r="A627">
            <v>40378</v>
          </cell>
          <cell r="B627">
            <v>40378</v>
          </cell>
          <cell r="C627" t="str">
            <v>Future</v>
          </cell>
          <cell r="D627" t="e">
            <v>#N/A</v>
          </cell>
          <cell r="E627">
            <v>51.734448818897476</v>
          </cell>
          <cell r="F627">
            <v>80.258070866141949</v>
          </cell>
          <cell r="G627">
            <v>66.675393700787765</v>
          </cell>
          <cell r="H627">
            <v>66.675393700787765</v>
          </cell>
          <cell r="I627" t="e">
            <v>#N/A</v>
          </cell>
          <cell r="J627" t="e">
            <v>#N/A</v>
          </cell>
          <cell r="K627" t="e">
            <v>#N/A</v>
          </cell>
          <cell r="L627" t="e">
            <v>#N/A</v>
          </cell>
          <cell r="M627" t="e">
            <v>#N/A</v>
          </cell>
          <cell r="N627" t="e">
            <v>#N/A</v>
          </cell>
          <cell r="O627" t="e">
            <v>#N/A</v>
          </cell>
          <cell r="P627">
            <v>71.03</v>
          </cell>
          <cell r="Q627" t="str">
            <v/>
          </cell>
          <cell r="R627" t="e">
            <v>#N/A</v>
          </cell>
        </row>
        <row r="628">
          <cell r="A628">
            <v>40379</v>
          </cell>
          <cell r="B628">
            <v>40379</v>
          </cell>
          <cell r="C628" t="str">
            <v>Future</v>
          </cell>
          <cell r="D628" t="e">
            <v>#N/A</v>
          </cell>
          <cell r="E628">
            <v>51.454803149606136</v>
          </cell>
          <cell r="F628">
            <v>80.391811023622267</v>
          </cell>
          <cell r="G628">
            <v>66.612283464567298</v>
          </cell>
          <cell r="H628">
            <v>66.612283464567298</v>
          </cell>
          <cell r="I628" t="e">
            <v>#N/A</v>
          </cell>
          <cell r="J628" t="e">
            <v>#N/A</v>
          </cell>
          <cell r="K628" t="e">
            <v>#N/A</v>
          </cell>
          <cell r="L628" t="e">
            <v>#N/A</v>
          </cell>
          <cell r="M628" t="e">
            <v>#N/A</v>
          </cell>
          <cell r="N628" t="e">
            <v>#N/A</v>
          </cell>
          <cell r="O628" t="e">
            <v>#N/A</v>
          </cell>
          <cell r="P628">
            <v>71.03</v>
          </cell>
          <cell r="Q628" t="str">
            <v/>
          </cell>
          <cell r="R628" t="e">
            <v>#N/A</v>
          </cell>
        </row>
        <row r="629">
          <cell r="A629">
            <v>40380</v>
          </cell>
          <cell r="B629">
            <v>40380</v>
          </cell>
          <cell r="C629" t="str">
            <v>Future</v>
          </cell>
          <cell r="D629" t="e">
            <v>#N/A</v>
          </cell>
          <cell r="E629">
            <v>51.175157480314795</v>
          </cell>
          <cell r="F629">
            <v>80.525551181102585</v>
          </cell>
          <cell r="G629">
            <v>66.549173228346831</v>
          </cell>
          <cell r="H629">
            <v>66.549173228346831</v>
          </cell>
          <cell r="I629" t="e">
            <v>#N/A</v>
          </cell>
          <cell r="J629" t="e">
            <v>#N/A</v>
          </cell>
          <cell r="K629" t="e">
            <v>#N/A</v>
          </cell>
          <cell r="L629" t="e">
            <v>#N/A</v>
          </cell>
          <cell r="M629" t="e">
            <v>#N/A</v>
          </cell>
          <cell r="N629" t="e">
            <v>#N/A</v>
          </cell>
          <cell r="O629" t="e">
            <v>#N/A</v>
          </cell>
          <cell r="P629">
            <v>71.03</v>
          </cell>
          <cell r="Q629" t="str">
            <v/>
          </cell>
          <cell r="R629" t="e">
            <v>#N/A</v>
          </cell>
        </row>
        <row r="630">
          <cell r="A630">
            <v>40381</v>
          </cell>
          <cell r="B630">
            <v>40381</v>
          </cell>
          <cell r="C630" t="str">
            <v>Future</v>
          </cell>
          <cell r="D630" t="e">
            <v>#N/A</v>
          </cell>
          <cell r="E630">
            <v>50.895511811023454</v>
          </cell>
          <cell r="F630">
            <v>80.659291338582904</v>
          </cell>
          <cell r="G630">
            <v>66.486062992126364</v>
          </cell>
          <cell r="H630">
            <v>66.486062992126364</v>
          </cell>
          <cell r="I630" t="e">
            <v>#N/A</v>
          </cell>
          <cell r="J630" t="e">
            <v>#N/A</v>
          </cell>
          <cell r="K630" t="e">
            <v>#N/A</v>
          </cell>
          <cell r="L630" t="e">
            <v>#N/A</v>
          </cell>
          <cell r="M630" t="e">
            <v>#N/A</v>
          </cell>
          <cell r="N630" t="e">
            <v>#N/A</v>
          </cell>
          <cell r="O630" t="e">
            <v>#N/A</v>
          </cell>
          <cell r="P630">
            <v>71.03</v>
          </cell>
          <cell r="Q630" t="str">
            <v/>
          </cell>
          <cell r="R630" t="e">
            <v>#N/A</v>
          </cell>
        </row>
        <row r="631">
          <cell r="A631">
            <v>40382</v>
          </cell>
          <cell r="B631">
            <v>40382</v>
          </cell>
          <cell r="C631" t="str">
            <v>Future</v>
          </cell>
          <cell r="D631" t="e">
            <v>#N/A</v>
          </cell>
          <cell r="E631">
            <v>50.615866141732113</v>
          </cell>
          <cell r="F631">
            <v>80.793031496063222</v>
          </cell>
          <cell r="G631">
            <v>66.422952755905897</v>
          </cell>
          <cell r="H631">
            <v>66.422952755905897</v>
          </cell>
          <cell r="I631" t="e">
            <v>#N/A</v>
          </cell>
          <cell r="J631" t="e">
            <v>#N/A</v>
          </cell>
          <cell r="K631" t="e">
            <v>#N/A</v>
          </cell>
          <cell r="L631" t="e">
            <v>#N/A</v>
          </cell>
          <cell r="M631" t="e">
            <v>#N/A</v>
          </cell>
          <cell r="N631" t="e">
            <v>#N/A</v>
          </cell>
          <cell r="O631" t="e">
            <v>#N/A</v>
          </cell>
          <cell r="P631">
            <v>71.03</v>
          </cell>
          <cell r="Q631" t="str">
            <v/>
          </cell>
          <cell r="R631" t="e">
            <v>#N/A</v>
          </cell>
        </row>
        <row r="632">
          <cell r="A632">
            <v>40385</v>
          </cell>
          <cell r="B632">
            <v>40385</v>
          </cell>
          <cell r="C632" t="str">
            <v>Future</v>
          </cell>
          <cell r="D632" t="e">
            <v>#N/A</v>
          </cell>
          <cell r="E632">
            <v>50.336220472440772</v>
          </cell>
          <cell r="F632">
            <v>80.92677165354354</v>
          </cell>
          <cell r="G632">
            <v>66.359842519685429</v>
          </cell>
          <cell r="H632">
            <v>66.359842519685429</v>
          </cell>
          <cell r="I632" t="e">
            <v>#N/A</v>
          </cell>
          <cell r="J632" t="e">
            <v>#N/A</v>
          </cell>
          <cell r="K632" t="e">
            <v>#N/A</v>
          </cell>
          <cell r="L632" t="e">
            <v>#N/A</v>
          </cell>
          <cell r="M632" t="e">
            <v>#N/A</v>
          </cell>
          <cell r="N632" t="e">
            <v>#N/A</v>
          </cell>
          <cell r="O632" t="e">
            <v>#N/A</v>
          </cell>
          <cell r="P632">
            <v>71.03</v>
          </cell>
          <cell r="Q632" t="str">
            <v/>
          </cell>
          <cell r="R632" t="e">
            <v>#N/A</v>
          </cell>
        </row>
        <row r="633">
          <cell r="A633">
            <v>40386</v>
          </cell>
          <cell r="B633">
            <v>40386</v>
          </cell>
          <cell r="C633" t="str">
            <v>Future</v>
          </cell>
          <cell r="D633" t="e">
            <v>#N/A</v>
          </cell>
          <cell r="E633">
            <v>50.056574803149431</v>
          </cell>
          <cell r="F633">
            <v>81.060511811023858</v>
          </cell>
          <cell r="G633">
            <v>66.296732283464962</v>
          </cell>
          <cell r="H633">
            <v>66.296732283464962</v>
          </cell>
          <cell r="I633" t="e">
            <v>#N/A</v>
          </cell>
          <cell r="J633" t="e">
            <v>#N/A</v>
          </cell>
          <cell r="K633" t="e">
            <v>#N/A</v>
          </cell>
          <cell r="L633" t="e">
            <v>#N/A</v>
          </cell>
          <cell r="M633" t="e">
            <v>#N/A</v>
          </cell>
          <cell r="N633" t="e">
            <v>#N/A</v>
          </cell>
          <cell r="O633" t="e">
            <v>#N/A</v>
          </cell>
          <cell r="P633">
            <v>71.03</v>
          </cell>
          <cell r="Q633" t="str">
            <v/>
          </cell>
          <cell r="R633" t="e">
            <v>#N/A</v>
          </cell>
        </row>
        <row r="634">
          <cell r="A634">
            <v>40387</v>
          </cell>
          <cell r="B634">
            <v>40387</v>
          </cell>
          <cell r="C634" t="str">
            <v>Future</v>
          </cell>
          <cell r="D634" t="e">
            <v>#N/A</v>
          </cell>
          <cell r="E634">
            <v>49.77692913385809</v>
          </cell>
          <cell r="F634">
            <v>81.194251968504176</v>
          </cell>
          <cell r="G634">
            <v>66.233622047244495</v>
          </cell>
          <cell r="H634">
            <v>66.233622047244495</v>
          </cell>
          <cell r="I634" t="e">
            <v>#N/A</v>
          </cell>
          <cell r="J634" t="e">
            <v>#N/A</v>
          </cell>
          <cell r="K634" t="e">
            <v>#N/A</v>
          </cell>
          <cell r="L634" t="e">
            <v>#N/A</v>
          </cell>
          <cell r="M634" t="e">
            <v>#N/A</v>
          </cell>
          <cell r="N634" t="e">
            <v>#N/A</v>
          </cell>
          <cell r="O634" t="e">
            <v>#N/A</v>
          </cell>
          <cell r="P634">
            <v>71.03</v>
          </cell>
          <cell r="Q634" t="str">
            <v/>
          </cell>
          <cell r="R634" t="e">
            <v>#N/A</v>
          </cell>
        </row>
        <row r="635">
          <cell r="A635">
            <v>40388</v>
          </cell>
          <cell r="B635">
            <v>40388</v>
          </cell>
          <cell r="C635" t="str">
            <v>Future</v>
          </cell>
          <cell r="D635" t="e">
            <v>#N/A</v>
          </cell>
          <cell r="E635">
            <v>49.497283464566749</v>
          </cell>
          <cell r="F635">
            <v>81.327992125984494</v>
          </cell>
          <cell r="G635">
            <v>66.170511811024028</v>
          </cell>
          <cell r="H635">
            <v>66.170511811024028</v>
          </cell>
          <cell r="I635" t="e">
            <v>#N/A</v>
          </cell>
          <cell r="J635" t="e">
            <v>#N/A</v>
          </cell>
          <cell r="K635" t="e">
            <v>#N/A</v>
          </cell>
          <cell r="L635" t="e">
            <v>#N/A</v>
          </cell>
          <cell r="M635" t="e">
            <v>#N/A</v>
          </cell>
          <cell r="N635" t="e">
            <v>#N/A</v>
          </cell>
          <cell r="O635" t="e">
            <v>#N/A</v>
          </cell>
          <cell r="P635">
            <v>71.03</v>
          </cell>
          <cell r="Q635" t="str">
            <v/>
          </cell>
          <cell r="R635" t="e">
            <v>#N/A</v>
          </cell>
        </row>
        <row r="636">
          <cell r="A636">
            <v>40389</v>
          </cell>
          <cell r="B636">
            <v>40389</v>
          </cell>
          <cell r="C636" t="str">
            <v>Future</v>
          </cell>
          <cell r="D636" t="e">
            <v>#N/A</v>
          </cell>
          <cell r="E636">
            <v>49.217637795275408</v>
          </cell>
          <cell r="F636">
            <v>81.461732283464812</v>
          </cell>
          <cell r="G636">
            <v>66.107401574803561</v>
          </cell>
          <cell r="H636">
            <v>66.107401574803561</v>
          </cell>
          <cell r="I636" t="e">
            <v>#N/A</v>
          </cell>
          <cell r="J636" t="e">
            <v>#N/A</v>
          </cell>
          <cell r="K636" t="e">
            <v>#N/A</v>
          </cell>
          <cell r="L636" t="e">
            <v>#N/A</v>
          </cell>
          <cell r="M636" t="e">
            <v>#N/A</v>
          </cell>
          <cell r="N636" t="e">
            <v>#N/A</v>
          </cell>
          <cell r="O636" t="e">
            <v>#N/A</v>
          </cell>
          <cell r="P636">
            <v>71.03</v>
          </cell>
          <cell r="Q636" t="str">
            <v/>
          </cell>
          <cell r="R636" t="e">
            <v>#N/A</v>
          </cell>
        </row>
        <row r="637">
          <cell r="A637">
            <v>40392</v>
          </cell>
          <cell r="B637">
            <v>40392</v>
          </cell>
          <cell r="C637" t="str">
            <v>Future</v>
          </cell>
          <cell r="D637" t="e">
            <v>#N/A</v>
          </cell>
          <cell r="E637">
            <v>48.937992125984067</v>
          </cell>
          <cell r="F637">
            <v>81.59547244094513</v>
          </cell>
          <cell r="G637">
            <v>66.044291338583093</v>
          </cell>
          <cell r="H637">
            <v>66.044291338583093</v>
          </cell>
          <cell r="I637" t="e">
            <v>#N/A</v>
          </cell>
          <cell r="J637" t="e">
            <v>#N/A</v>
          </cell>
          <cell r="K637" t="e">
            <v>#N/A</v>
          </cell>
          <cell r="L637" t="e">
            <v>#N/A</v>
          </cell>
          <cell r="M637" t="e">
            <v>#N/A</v>
          </cell>
          <cell r="N637" t="e">
            <v>#N/A</v>
          </cell>
          <cell r="O637" t="e">
            <v>#N/A</v>
          </cell>
          <cell r="P637">
            <v>71.03</v>
          </cell>
          <cell r="Q637" t="str">
            <v/>
          </cell>
          <cell r="R637" t="e">
            <v>#N/A</v>
          </cell>
        </row>
        <row r="638">
          <cell r="A638">
            <v>40393</v>
          </cell>
          <cell r="B638">
            <v>40393</v>
          </cell>
          <cell r="C638" t="str">
            <v>Future</v>
          </cell>
          <cell r="D638" t="e">
            <v>#N/A</v>
          </cell>
          <cell r="E638">
            <v>48.658346456692726</v>
          </cell>
          <cell r="F638">
            <v>81.729212598425448</v>
          </cell>
          <cell r="G638">
            <v>65.981181102362626</v>
          </cell>
          <cell r="H638">
            <v>65.981181102362626</v>
          </cell>
          <cell r="I638" t="e">
            <v>#N/A</v>
          </cell>
          <cell r="J638" t="e">
            <v>#N/A</v>
          </cell>
          <cell r="K638" t="e">
            <v>#N/A</v>
          </cell>
          <cell r="L638" t="e">
            <v>#N/A</v>
          </cell>
          <cell r="M638" t="e">
            <v>#N/A</v>
          </cell>
          <cell r="N638" t="e">
            <v>#N/A</v>
          </cell>
          <cell r="O638" t="e">
            <v>#N/A</v>
          </cell>
          <cell r="P638">
            <v>71.03</v>
          </cell>
          <cell r="Q638" t="str">
            <v/>
          </cell>
          <cell r="R638" t="e">
            <v>#N/A</v>
          </cell>
        </row>
        <row r="639">
          <cell r="A639">
            <v>40394</v>
          </cell>
          <cell r="B639">
            <v>40394</v>
          </cell>
          <cell r="C639" t="str">
            <v>Future</v>
          </cell>
          <cell r="D639" t="e">
            <v>#N/A</v>
          </cell>
          <cell r="E639">
            <v>48.378700787401385</v>
          </cell>
          <cell r="F639">
            <v>81.862952755905766</v>
          </cell>
          <cell r="G639">
            <v>65.918070866142159</v>
          </cell>
          <cell r="H639">
            <v>65.918070866142159</v>
          </cell>
          <cell r="I639" t="e">
            <v>#N/A</v>
          </cell>
          <cell r="J639" t="e">
            <v>#N/A</v>
          </cell>
          <cell r="K639" t="e">
            <v>#N/A</v>
          </cell>
          <cell r="L639" t="e">
            <v>#N/A</v>
          </cell>
          <cell r="M639" t="e">
            <v>#N/A</v>
          </cell>
          <cell r="N639" t="e">
            <v>#N/A</v>
          </cell>
          <cell r="O639" t="e">
            <v>#N/A</v>
          </cell>
          <cell r="P639">
            <v>71.03</v>
          </cell>
          <cell r="Q639" t="str">
            <v/>
          </cell>
          <cell r="R639" t="e">
            <v>#N/A</v>
          </cell>
        </row>
        <row r="640">
          <cell r="A640">
            <v>40395</v>
          </cell>
          <cell r="B640">
            <v>40395</v>
          </cell>
          <cell r="C640" t="str">
            <v>Future</v>
          </cell>
          <cell r="D640" t="e">
            <v>#N/A</v>
          </cell>
          <cell r="E640">
            <v>48.099055118110044</v>
          </cell>
          <cell r="F640">
            <v>81.996692913386084</v>
          </cell>
          <cell r="G640">
            <v>65.854960629921692</v>
          </cell>
          <cell r="H640">
            <v>65.854960629921692</v>
          </cell>
          <cell r="I640" t="e">
            <v>#N/A</v>
          </cell>
          <cell r="J640" t="e">
            <v>#N/A</v>
          </cell>
          <cell r="K640" t="e">
            <v>#N/A</v>
          </cell>
          <cell r="L640" t="e">
            <v>#N/A</v>
          </cell>
          <cell r="M640" t="e">
            <v>#N/A</v>
          </cell>
          <cell r="N640" t="e">
            <v>#N/A</v>
          </cell>
          <cell r="O640" t="e">
            <v>#N/A</v>
          </cell>
          <cell r="P640">
            <v>71.03</v>
          </cell>
          <cell r="Q640" t="str">
            <v/>
          </cell>
          <cell r="R640" t="e">
            <v>#N/A</v>
          </cell>
        </row>
        <row r="641">
          <cell r="A641">
            <v>40396</v>
          </cell>
          <cell r="B641">
            <v>40396</v>
          </cell>
          <cell r="C641" t="str">
            <v>Future</v>
          </cell>
          <cell r="D641" t="e">
            <v>#N/A</v>
          </cell>
          <cell r="E641">
            <v>47.819409448818703</v>
          </cell>
          <cell r="F641">
            <v>82.130433070866403</v>
          </cell>
          <cell r="G641">
            <v>65.791850393701225</v>
          </cell>
          <cell r="H641">
            <v>65.791850393701225</v>
          </cell>
          <cell r="I641" t="e">
            <v>#N/A</v>
          </cell>
          <cell r="J641" t="e">
            <v>#N/A</v>
          </cell>
          <cell r="K641" t="e">
            <v>#N/A</v>
          </cell>
          <cell r="L641" t="e">
            <v>#N/A</v>
          </cell>
          <cell r="M641" t="e">
            <v>#N/A</v>
          </cell>
          <cell r="N641" t="e">
            <v>#N/A</v>
          </cell>
          <cell r="O641" t="e">
            <v>#N/A</v>
          </cell>
          <cell r="P641">
            <v>71.03</v>
          </cell>
          <cell r="Q641" t="str">
            <v/>
          </cell>
          <cell r="R641" t="e">
            <v>#N/A</v>
          </cell>
        </row>
        <row r="642">
          <cell r="A642">
            <v>40399</v>
          </cell>
          <cell r="B642">
            <v>40399</v>
          </cell>
          <cell r="C642" t="str">
            <v>Future</v>
          </cell>
          <cell r="D642" t="e">
            <v>#N/A</v>
          </cell>
          <cell r="E642">
            <v>47.539763779527362</v>
          </cell>
          <cell r="F642">
            <v>82.264173228346721</v>
          </cell>
          <cell r="G642">
            <v>65.728740157480757</v>
          </cell>
          <cell r="H642">
            <v>65.728740157480757</v>
          </cell>
          <cell r="I642" t="e">
            <v>#N/A</v>
          </cell>
          <cell r="J642" t="e">
            <v>#N/A</v>
          </cell>
          <cell r="K642" t="e">
            <v>#N/A</v>
          </cell>
          <cell r="L642" t="e">
            <v>#N/A</v>
          </cell>
          <cell r="M642" t="e">
            <v>#N/A</v>
          </cell>
          <cell r="N642" t="e">
            <v>#N/A</v>
          </cell>
          <cell r="O642" t="e">
            <v>#N/A</v>
          </cell>
          <cell r="P642">
            <v>71.03</v>
          </cell>
          <cell r="Q642" t="str">
            <v/>
          </cell>
          <cell r="R642" t="e">
            <v>#N/A</v>
          </cell>
        </row>
        <row r="643">
          <cell r="A643">
            <v>40400</v>
          </cell>
          <cell r="B643">
            <v>40400</v>
          </cell>
          <cell r="C643" t="str">
            <v>Future</v>
          </cell>
          <cell r="D643" t="e">
            <v>#N/A</v>
          </cell>
          <cell r="E643">
            <v>47.260118110236021</v>
          </cell>
          <cell r="F643">
            <v>82.397913385827039</v>
          </cell>
          <cell r="G643">
            <v>65.66562992126029</v>
          </cell>
          <cell r="H643">
            <v>65.66562992126029</v>
          </cell>
          <cell r="I643" t="e">
            <v>#N/A</v>
          </cell>
          <cell r="J643" t="e">
            <v>#N/A</v>
          </cell>
          <cell r="K643" t="e">
            <v>#N/A</v>
          </cell>
          <cell r="L643" t="e">
            <v>#N/A</v>
          </cell>
          <cell r="M643" t="e">
            <v>#N/A</v>
          </cell>
          <cell r="N643" t="e">
            <v>#N/A</v>
          </cell>
          <cell r="O643" t="e">
            <v>#N/A</v>
          </cell>
          <cell r="P643">
            <v>71.03</v>
          </cell>
          <cell r="Q643" t="str">
            <v/>
          </cell>
          <cell r="R643" t="e">
            <v>#N/A</v>
          </cell>
        </row>
        <row r="644">
          <cell r="A644">
            <v>40401</v>
          </cell>
          <cell r="B644">
            <v>40401</v>
          </cell>
          <cell r="C644" t="str">
            <v>Future</v>
          </cell>
          <cell r="D644" t="e">
            <v>#N/A</v>
          </cell>
          <cell r="E644">
            <v>46.980472440944681</v>
          </cell>
          <cell r="F644">
            <v>82.531653543307357</v>
          </cell>
          <cell r="G644">
            <v>65.602519685039823</v>
          </cell>
          <cell r="H644">
            <v>65.602519685039823</v>
          </cell>
          <cell r="I644" t="e">
            <v>#N/A</v>
          </cell>
          <cell r="J644" t="e">
            <v>#N/A</v>
          </cell>
          <cell r="K644" t="e">
            <v>#N/A</v>
          </cell>
          <cell r="L644" t="e">
            <v>#N/A</v>
          </cell>
          <cell r="M644" t="e">
            <v>#N/A</v>
          </cell>
          <cell r="N644" t="e">
            <v>#N/A</v>
          </cell>
          <cell r="O644" t="e">
            <v>#N/A</v>
          </cell>
          <cell r="P644">
            <v>71.03</v>
          </cell>
          <cell r="Q644" t="str">
            <v/>
          </cell>
          <cell r="R644" t="e">
            <v>#N/A</v>
          </cell>
        </row>
        <row r="645">
          <cell r="A645">
            <v>40402</v>
          </cell>
          <cell r="B645">
            <v>40402</v>
          </cell>
          <cell r="C645" t="str">
            <v>Future</v>
          </cell>
          <cell r="D645" t="e">
            <v>#N/A</v>
          </cell>
          <cell r="E645">
            <v>46.70082677165334</v>
          </cell>
          <cell r="F645">
            <v>82.665393700787675</v>
          </cell>
          <cell r="G645">
            <v>65.539409448819356</v>
          </cell>
          <cell r="H645">
            <v>65.539409448819356</v>
          </cell>
          <cell r="I645" t="e">
            <v>#N/A</v>
          </cell>
          <cell r="J645" t="e">
            <v>#N/A</v>
          </cell>
          <cell r="K645" t="e">
            <v>#N/A</v>
          </cell>
          <cell r="L645" t="e">
            <v>#N/A</v>
          </cell>
          <cell r="M645" t="e">
            <v>#N/A</v>
          </cell>
          <cell r="N645" t="e">
            <v>#N/A</v>
          </cell>
          <cell r="O645" t="e">
            <v>#N/A</v>
          </cell>
          <cell r="P645">
            <v>71.03</v>
          </cell>
          <cell r="Q645" t="str">
            <v/>
          </cell>
          <cell r="R645" t="e">
            <v>#N/A</v>
          </cell>
        </row>
        <row r="646">
          <cell r="A646">
            <v>40403</v>
          </cell>
          <cell r="B646">
            <v>40403</v>
          </cell>
          <cell r="C646" t="str">
            <v>Future</v>
          </cell>
          <cell r="D646" t="e">
            <v>#N/A</v>
          </cell>
          <cell r="E646">
            <v>46.421181102361999</v>
          </cell>
          <cell r="F646">
            <v>82.799133858267993</v>
          </cell>
          <cell r="G646">
            <v>65.476299212598889</v>
          </cell>
          <cell r="H646">
            <v>65.476299212598889</v>
          </cell>
          <cell r="I646" t="e">
            <v>#N/A</v>
          </cell>
          <cell r="J646" t="e">
            <v>#N/A</v>
          </cell>
          <cell r="K646" t="e">
            <v>#N/A</v>
          </cell>
          <cell r="L646" t="e">
            <v>#N/A</v>
          </cell>
          <cell r="M646" t="e">
            <v>#N/A</v>
          </cell>
          <cell r="N646" t="e">
            <v>#N/A</v>
          </cell>
          <cell r="O646" t="e">
            <v>#N/A</v>
          </cell>
          <cell r="P646">
            <v>71.03</v>
          </cell>
          <cell r="Q646" t="str">
            <v/>
          </cell>
          <cell r="R646" t="e">
            <v>#N/A</v>
          </cell>
        </row>
        <row r="647">
          <cell r="A647">
            <v>40406</v>
          </cell>
          <cell r="B647">
            <v>40406</v>
          </cell>
          <cell r="C647" t="str">
            <v>Future</v>
          </cell>
          <cell r="D647" t="e">
            <v>#N/A</v>
          </cell>
          <cell r="E647">
            <v>46.141535433070658</v>
          </cell>
          <cell r="F647">
            <v>82.932874015748311</v>
          </cell>
          <cell r="G647">
            <v>65.413188976378422</v>
          </cell>
          <cell r="H647">
            <v>65.413188976378422</v>
          </cell>
          <cell r="I647" t="e">
            <v>#N/A</v>
          </cell>
          <cell r="J647" t="e">
            <v>#N/A</v>
          </cell>
          <cell r="K647" t="e">
            <v>#N/A</v>
          </cell>
          <cell r="L647" t="e">
            <v>#N/A</v>
          </cell>
          <cell r="M647" t="e">
            <v>#N/A</v>
          </cell>
          <cell r="N647" t="e">
            <v>#N/A</v>
          </cell>
          <cell r="O647" t="e">
            <v>#N/A</v>
          </cell>
          <cell r="P647">
            <v>71.03</v>
          </cell>
          <cell r="Q647" t="str">
            <v/>
          </cell>
          <cell r="R647" t="e">
            <v>#N/A</v>
          </cell>
        </row>
        <row r="648">
          <cell r="A648">
            <v>40407</v>
          </cell>
          <cell r="B648">
            <v>40407</v>
          </cell>
          <cell r="C648" t="str">
            <v>Future</v>
          </cell>
          <cell r="D648" t="e">
            <v>#N/A</v>
          </cell>
          <cell r="E648">
            <v>45.861889763779317</v>
          </cell>
          <cell r="F648">
            <v>83.066614173228629</v>
          </cell>
          <cell r="G648">
            <v>65.350078740157954</v>
          </cell>
          <cell r="H648">
            <v>65.350078740157954</v>
          </cell>
          <cell r="I648" t="e">
            <v>#N/A</v>
          </cell>
          <cell r="J648" t="e">
            <v>#N/A</v>
          </cell>
          <cell r="K648" t="e">
            <v>#N/A</v>
          </cell>
          <cell r="L648" t="e">
            <v>#N/A</v>
          </cell>
          <cell r="M648" t="e">
            <v>#N/A</v>
          </cell>
          <cell r="N648" t="e">
            <v>#N/A</v>
          </cell>
          <cell r="O648" t="e">
            <v>#N/A</v>
          </cell>
          <cell r="P648">
            <v>71.03</v>
          </cell>
          <cell r="Q648" t="str">
            <v/>
          </cell>
          <cell r="R648" t="e">
            <v>#N/A</v>
          </cell>
        </row>
        <row r="649">
          <cell r="A649">
            <v>40408</v>
          </cell>
          <cell r="B649">
            <v>40408</v>
          </cell>
          <cell r="C649" t="str">
            <v>Future</v>
          </cell>
          <cell r="D649" t="e">
            <v>#N/A</v>
          </cell>
          <cell r="E649">
            <v>45.582244094487976</v>
          </cell>
          <cell r="F649">
            <v>83.200354330708947</v>
          </cell>
          <cell r="G649">
            <v>65.286968503937487</v>
          </cell>
          <cell r="H649">
            <v>65.286968503937487</v>
          </cell>
          <cell r="I649" t="e">
            <v>#N/A</v>
          </cell>
          <cell r="J649" t="e">
            <v>#N/A</v>
          </cell>
          <cell r="K649" t="e">
            <v>#N/A</v>
          </cell>
          <cell r="L649" t="e">
            <v>#N/A</v>
          </cell>
          <cell r="M649" t="e">
            <v>#N/A</v>
          </cell>
          <cell r="N649" t="e">
            <v>#N/A</v>
          </cell>
          <cell r="O649" t="e">
            <v>#N/A</v>
          </cell>
          <cell r="P649">
            <v>71.03</v>
          </cell>
          <cell r="Q649" t="str">
            <v/>
          </cell>
          <cell r="R649" t="e">
            <v>#N/A</v>
          </cell>
        </row>
        <row r="650">
          <cell r="A650">
            <v>40409</v>
          </cell>
          <cell r="B650">
            <v>40409</v>
          </cell>
          <cell r="C650" t="str">
            <v>Future</v>
          </cell>
          <cell r="D650" t="e">
            <v>#N/A</v>
          </cell>
          <cell r="E650">
            <v>45.302598425196635</v>
          </cell>
          <cell r="F650">
            <v>83.334094488189265</v>
          </cell>
          <cell r="G650">
            <v>65.22385826771702</v>
          </cell>
          <cell r="H650">
            <v>65.22385826771702</v>
          </cell>
          <cell r="I650" t="e">
            <v>#N/A</v>
          </cell>
          <cell r="J650" t="e">
            <v>#N/A</v>
          </cell>
          <cell r="K650" t="e">
            <v>#N/A</v>
          </cell>
          <cell r="L650" t="e">
            <v>#N/A</v>
          </cell>
          <cell r="M650" t="e">
            <v>#N/A</v>
          </cell>
          <cell r="N650" t="e">
            <v>#N/A</v>
          </cell>
          <cell r="O650" t="e">
            <v>#N/A</v>
          </cell>
          <cell r="P650">
            <v>71.03</v>
          </cell>
          <cell r="Q650" t="str">
            <v/>
          </cell>
          <cell r="R650" t="e">
            <v>#N/A</v>
          </cell>
        </row>
        <row r="651">
          <cell r="A651">
            <v>40410</v>
          </cell>
          <cell r="B651">
            <v>40410</v>
          </cell>
          <cell r="C651" t="str">
            <v>Future</v>
          </cell>
          <cell r="D651" t="e">
            <v>#N/A</v>
          </cell>
          <cell r="E651">
            <v>45.022952755905294</v>
          </cell>
          <cell r="F651">
            <v>83.467834645669583</v>
          </cell>
          <cell r="G651">
            <v>65.160748031496553</v>
          </cell>
          <cell r="H651">
            <v>65.160748031496553</v>
          </cell>
          <cell r="I651" t="e">
            <v>#N/A</v>
          </cell>
          <cell r="J651" t="e">
            <v>#N/A</v>
          </cell>
          <cell r="K651" t="e">
            <v>#N/A</v>
          </cell>
          <cell r="L651" t="e">
            <v>#N/A</v>
          </cell>
          <cell r="M651" t="e">
            <v>#N/A</v>
          </cell>
          <cell r="N651" t="e">
            <v>#N/A</v>
          </cell>
          <cell r="O651" t="e">
            <v>#N/A</v>
          </cell>
          <cell r="P651">
            <v>71.03</v>
          </cell>
          <cell r="Q651" t="str">
            <v/>
          </cell>
          <cell r="R651" t="e">
            <v>#N/A</v>
          </cell>
        </row>
        <row r="652">
          <cell r="A652">
            <v>40413</v>
          </cell>
          <cell r="B652">
            <v>40413</v>
          </cell>
          <cell r="C652" t="str">
            <v>Future</v>
          </cell>
          <cell r="D652" t="e">
            <v>#N/A</v>
          </cell>
          <cell r="E652">
            <v>44.743307086613953</v>
          </cell>
          <cell r="F652">
            <v>83.601574803149902</v>
          </cell>
          <cell r="G652">
            <v>65.097637795276086</v>
          </cell>
          <cell r="H652">
            <v>65.097637795276086</v>
          </cell>
          <cell r="I652" t="e">
            <v>#N/A</v>
          </cell>
          <cell r="J652" t="e">
            <v>#N/A</v>
          </cell>
          <cell r="K652" t="e">
            <v>#N/A</v>
          </cell>
          <cell r="L652" t="e">
            <v>#N/A</v>
          </cell>
          <cell r="M652" t="e">
            <v>#N/A</v>
          </cell>
          <cell r="N652" t="e">
            <v>#N/A</v>
          </cell>
          <cell r="O652" t="e">
            <v>#N/A</v>
          </cell>
          <cell r="P652">
            <v>71.03</v>
          </cell>
          <cell r="Q652" t="str">
            <v/>
          </cell>
          <cell r="R652" t="e">
            <v>#N/A</v>
          </cell>
        </row>
        <row r="653">
          <cell r="A653">
            <v>40414</v>
          </cell>
          <cell r="B653">
            <v>40414</v>
          </cell>
          <cell r="C653" t="str">
            <v>Future</v>
          </cell>
          <cell r="D653" t="e">
            <v>#N/A</v>
          </cell>
          <cell r="E653">
            <v>44.463661417322612</v>
          </cell>
          <cell r="F653">
            <v>83.73531496063022</v>
          </cell>
          <cell r="G653">
            <v>65.034527559055618</v>
          </cell>
          <cell r="H653">
            <v>65.034527559055618</v>
          </cell>
          <cell r="I653" t="e">
            <v>#N/A</v>
          </cell>
          <cell r="J653" t="e">
            <v>#N/A</v>
          </cell>
          <cell r="K653" t="e">
            <v>#N/A</v>
          </cell>
          <cell r="L653" t="e">
            <v>#N/A</v>
          </cell>
          <cell r="M653" t="e">
            <v>#N/A</v>
          </cell>
          <cell r="N653" t="e">
            <v>#N/A</v>
          </cell>
          <cell r="O653" t="e">
            <v>#N/A</v>
          </cell>
          <cell r="P653">
            <v>71.03</v>
          </cell>
          <cell r="Q653" t="str">
            <v/>
          </cell>
          <cell r="R653" t="e">
            <v>#N/A</v>
          </cell>
        </row>
        <row r="654">
          <cell r="A654">
            <v>40415</v>
          </cell>
          <cell r="B654">
            <v>40415</v>
          </cell>
          <cell r="C654" t="str">
            <v>Future</v>
          </cell>
          <cell r="D654" t="e">
            <v>#N/A</v>
          </cell>
          <cell r="E654">
            <v>44.184015748031271</v>
          </cell>
          <cell r="F654">
            <v>83.869055118110538</v>
          </cell>
          <cell r="G654">
            <v>64.971417322835151</v>
          </cell>
          <cell r="H654">
            <v>64.971417322835151</v>
          </cell>
          <cell r="I654" t="e">
            <v>#N/A</v>
          </cell>
          <cell r="J654" t="e">
            <v>#N/A</v>
          </cell>
          <cell r="K654" t="e">
            <v>#N/A</v>
          </cell>
          <cell r="L654" t="e">
            <v>#N/A</v>
          </cell>
          <cell r="M654" t="e">
            <v>#N/A</v>
          </cell>
          <cell r="N654" t="e">
            <v>#N/A</v>
          </cell>
          <cell r="O654" t="e">
            <v>#N/A</v>
          </cell>
          <cell r="P654">
            <v>71.03</v>
          </cell>
          <cell r="Q654" t="str">
            <v/>
          </cell>
          <cell r="R654" t="e">
            <v>#N/A</v>
          </cell>
        </row>
        <row r="655">
          <cell r="A655">
            <v>40416</v>
          </cell>
          <cell r="B655">
            <v>40416</v>
          </cell>
          <cell r="C655" t="str">
            <v>Future</v>
          </cell>
          <cell r="D655" t="e">
            <v>#N/A</v>
          </cell>
          <cell r="E655">
            <v>43.90437007873993</v>
          </cell>
          <cell r="F655">
            <v>84.002795275590856</v>
          </cell>
          <cell r="G655">
            <v>64.908307086614684</v>
          </cell>
          <cell r="H655">
            <v>64.908307086614684</v>
          </cell>
          <cell r="I655" t="e">
            <v>#N/A</v>
          </cell>
          <cell r="J655" t="e">
            <v>#N/A</v>
          </cell>
          <cell r="K655" t="e">
            <v>#N/A</v>
          </cell>
          <cell r="L655" t="e">
            <v>#N/A</v>
          </cell>
          <cell r="M655" t="e">
            <v>#N/A</v>
          </cell>
          <cell r="N655" t="e">
            <v>#N/A</v>
          </cell>
          <cell r="O655" t="e">
            <v>#N/A</v>
          </cell>
          <cell r="P655">
            <v>71.03</v>
          </cell>
          <cell r="Q655" t="str">
            <v/>
          </cell>
          <cell r="R655" t="e">
            <v>#N/A</v>
          </cell>
        </row>
        <row r="656">
          <cell r="A656">
            <v>40417</v>
          </cell>
          <cell r="B656">
            <v>40417</v>
          </cell>
          <cell r="C656" t="str">
            <v>Future</v>
          </cell>
          <cell r="D656" t="e">
            <v>#N/A</v>
          </cell>
          <cell r="E656">
            <v>43.624724409448589</v>
          </cell>
          <cell r="F656">
            <v>84.136535433071174</v>
          </cell>
          <cell r="G656">
            <v>64.845196850394217</v>
          </cell>
          <cell r="H656">
            <v>64.845196850394217</v>
          </cell>
          <cell r="I656" t="e">
            <v>#N/A</v>
          </cell>
          <cell r="J656" t="e">
            <v>#N/A</v>
          </cell>
          <cell r="K656" t="e">
            <v>#N/A</v>
          </cell>
          <cell r="L656" t="e">
            <v>#N/A</v>
          </cell>
          <cell r="M656" t="e">
            <v>#N/A</v>
          </cell>
          <cell r="N656" t="e">
            <v>#N/A</v>
          </cell>
          <cell r="O656" t="e">
            <v>#N/A</v>
          </cell>
          <cell r="P656">
            <v>71.03</v>
          </cell>
          <cell r="Q656" t="str">
            <v/>
          </cell>
          <cell r="R656" t="e">
            <v>#N/A</v>
          </cell>
        </row>
        <row r="657">
          <cell r="A657">
            <v>40420</v>
          </cell>
          <cell r="B657">
            <v>40420</v>
          </cell>
          <cell r="C657" t="str">
            <v>Future</v>
          </cell>
          <cell r="D657" t="e">
            <v>#N/A</v>
          </cell>
          <cell r="E657">
            <v>43.345078740157248</v>
          </cell>
          <cell r="F657">
            <v>84.270275590551492</v>
          </cell>
          <cell r="G657">
            <v>64.78208661417375</v>
          </cell>
          <cell r="H657">
            <v>64.78208661417375</v>
          </cell>
          <cell r="I657" t="e">
            <v>#N/A</v>
          </cell>
          <cell r="J657" t="e">
            <v>#N/A</v>
          </cell>
          <cell r="K657" t="e">
            <v>#N/A</v>
          </cell>
          <cell r="L657" t="e">
            <v>#N/A</v>
          </cell>
          <cell r="M657" t="e">
            <v>#N/A</v>
          </cell>
          <cell r="N657" t="e">
            <v>#N/A</v>
          </cell>
          <cell r="O657" t="e">
            <v>#N/A</v>
          </cell>
          <cell r="P657">
            <v>71.03</v>
          </cell>
          <cell r="Q657" t="str">
            <v/>
          </cell>
          <cell r="R657" t="e">
            <v>#N/A</v>
          </cell>
        </row>
        <row r="658">
          <cell r="A658">
            <v>40421</v>
          </cell>
          <cell r="B658">
            <v>40421</v>
          </cell>
          <cell r="C658" t="str">
            <v>Future</v>
          </cell>
          <cell r="D658" t="e">
            <v>#N/A</v>
          </cell>
          <cell r="E658">
            <v>43.065433070865907</v>
          </cell>
          <cell r="F658">
            <v>84.40401574803181</v>
          </cell>
          <cell r="G658">
            <v>64.718976377953283</v>
          </cell>
          <cell r="H658">
            <v>64.718976377953283</v>
          </cell>
          <cell r="I658" t="e">
            <v>#N/A</v>
          </cell>
          <cell r="J658" t="e">
            <v>#N/A</v>
          </cell>
          <cell r="K658" t="e">
            <v>#N/A</v>
          </cell>
          <cell r="L658" t="e">
            <v>#N/A</v>
          </cell>
          <cell r="M658" t="e">
            <v>#N/A</v>
          </cell>
          <cell r="N658" t="e">
            <v>#N/A</v>
          </cell>
          <cell r="O658" t="e">
            <v>#N/A</v>
          </cell>
          <cell r="P658">
            <v>71.03</v>
          </cell>
          <cell r="Q658" t="str">
            <v/>
          </cell>
          <cell r="R658" t="e">
            <v>#N/A</v>
          </cell>
        </row>
        <row r="659">
          <cell r="A659">
            <v>40422</v>
          </cell>
          <cell r="B659">
            <v>40422</v>
          </cell>
          <cell r="C659" t="str">
            <v>Future</v>
          </cell>
          <cell r="D659" t="e">
            <v>#N/A</v>
          </cell>
          <cell r="E659">
            <v>42.785787401574567</v>
          </cell>
          <cell r="F659">
            <v>84.537755905512128</v>
          </cell>
          <cell r="G659">
            <v>64.655866141732815</v>
          </cell>
          <cell r="H659">
            <v>64.655866141732815</v>
          </cell>
          <cell r="I659" t="e">
            <v>#N/A</v>
          </cell>
          <cell r="J659" t="e">
            <v>#N/A</v>
          </cell>
          <cell r="K659" t="e">
            <v>#N/A</v>
          </cell>
          <cell r="L659" t="e">
            <v>#N/A</v>
          </cell>
          <cell r="M659" t="e">
            <v>#N/A</v>
          </cell>
          <cell r="N659" t="e">
            <v>#N/A</v>
          </cell>
          <cell r="O659" t="e">
            <v>#N/A</v>
          </cell>
          <cell r="P659">
            <v>71.03</v>
          </cell>
          <cell r="Q659" t="str">
            <v/>
          </cell>
          <cell r="R659" t="e">
            <v>#N/A</v>
          </cell>
        </row>
        <row r="660">
          <cell r="A660">
            <v>40423</v>
          </cell>
          <cell r="B660">
            <v>40423</v>
          </cell>
          <cell r="C660" t="str">
            <v>Future</v>
          </cell>
          <cell r="D660" t="e">
            <v>#N/A</v>
          </cell>
          <cell r="E660">
            <v>42.506141732283226</v>
          </cell>
          <cell r="F660">
            <v>84.671496062992446</v>
          </cell>
          <cell r="G660">
            <v>64.592755905512348</v>
          </cell>
          <cell r="H660">
            <v>64.592755905512348</v>
          </cell>
          <cell r="I660" t="e">
            <v>#N/A</v>
          </cell>
          <cell r="J660" t="e">
            <v>#N/A</v>
          </cell>
          <cell r="K660" t="e">
            <v>#N/A</v>
          </cell>
          <cell r="L660" t="e">
            <v>#N/A</v>
          </cell>
          <cell r="M660" t="e">
            <v>#N/A</v>
          </cell>
          <cell r="N660" t="e">
            <v>#N/A</v>
          </cell>
          <cell r="O660" t="e">
            <v>#N/A</v>
          </cell>
          <cell r="P660">
            <v>71.03</v>
          </cell>
          <cell r="Q660" t="str">
            <v/>
          </cell>
          <cell r="R660" t="e">
            <v>#N/A</v>
          </cell>
        </row>
        <row r="661">
          <cell r="A661">
            <v>40424</v>
          </cell>
          <cell r="B661">
            <v>40424</v>
          </cell>
          <cell r="C661" t="str">
            <v>Future</v>
          </cell>
          <cell r="D661" t="e">
            <v>#N/A</v>
          </cell>
          <cell r="E661">
            <v>42.226496062991885</v>
          </cell>
          <cell r="F661">
            <v>84.805236220472764</v>
          </cell>
          <cell r="G661">
            <v>64.529645669291881</v>
          </cell>
          <cell r="H661">
            <v>64.529645669291881</v>
          </cell>
          <cell r="I661" t="e">
            <v>#N/A</v>
          </cell>
          <cell r="J661" t="e">
            <v>#N/A</v>
          </cell>
          <cell r="K661" t="e">
            <v>#N/A</v>
          </cell>
          <cell r="L661" t="e">
            <v>#N/A</v>
          </cell>
          <cell r="M661" t="e">
            <v>#N/A</v>
          </cell>
          <cell r="N661" t="e">
            <v>#N/A</v>
          </cell>
          <cell r="O661" t="e">
            <v>#N/A</v>
          </cell>
          <cell r="P661">
            <v>71.03</v>
          </cell>
          <cell r="Q661" t="str">
            <v/>
          </cell>
          <cell r="R661" t="e">
            <v>#N/A</v>
          </cell>
        </row>
        <row r="662">
          <cell r="A662">
            <v>40428</v>
          </cell>
          <cell r="B662">
            <v>40428</v>
          </cell>
          <cell r="C662" t="str">
            <v>Future</v>
          </cell>
          <cell r="D662" t="e">
            <v>#N/A</v>
          </cell>
          <cell r="E662">
            <v>41.946850393700544</v>
          </cell>
          <cell r="F662">
            <v>84.938976377953082</v>
          </cell>
          <cell r="G662">
            <v>64.466535433071414</v>
          </cell>
          <cell r="H662">
            <v>64.466535433071414</v>
          </cell>
          <cell r="I662" t="e">
            <v>#N/A</v>
          </cell>
          <cell r="J662" t="e">
            <v>#N/A</v>
          </cell>
          <cell r="K662" t="e">
            <v>#N/A</v>
          </cell>
          <cell r="L662" t="e">
            <v>#N/A</v>
          </cell>
          <cell r="M662" t="e">
            <v>#N/A</v>
          </cell>
          <cell r="N662" t="e">
            <v>#N/A</v>
          </cell>
          <cell r="O662" t="e">
            <v>#N/A</v>
          </cell>
          <cell r="P662">
            <v>71.03</v>
          </cell>
          <cell r="Q662" t="str">
            <v/>
          </cell>
          <cell r="R662" t="e">
            <v>#N/A</v>
          </cell>
        </row>
        <row r="663">
          <cell r="A663">
            <v>40429</v>
          </cell>
          <cell r="B663">
            <v>40429</v>
          </cell>
          <cell r="C663" t="str">
            <v>Future</v>
          </cell>
          <cell r="D663" t="e">
            <v>#N/A</v>
          </cell>
          <cell r="E663">
            <v>41.667204724409203</v>
          </cell>
          <cell r="F663">
            <v>85.072716535433401</v>
          </cell>
          <cell r="G663">
            <v>64.403425196850947</v>
          </cell>
          <cell r="H663">
            <v>64.403425196850947</v>
          </cell>
          <cell r="I663" t="e">
            <v>#N/A</v>
          </cell>
          <cell r="J663" t="e">
            <v>#N/A</v>
          </cell>
          <cell r="K663" t="e">
            <v>#N/A</v>
          </cell>
          <cell r="L663" t="e">
            <v>#N/A</v>
          </cell>
          <cell r="M663" t="e">
            <v>#N/A</v>
          </cell>
          <cell r="N663" t="e">
            <v>#N/A</v>
          </cell>
          <cell r="O663" t="e">
            <v>#N/A</v>
          </cell>
          <cell r="P663">
            <v>71.03</v>
          </cell>
          <cell r="Q663" t="str">
            <v/>
          </cell>
          <cell r="R663" t="e">
            <v>#N/A</v>
          </cell>
        </row>
        <row r="664">
          <cell r="A664">
            <v>40430</v>
          </cell>
          <cell r="B664">
            <v>40430</v>
          </cell>
          <cell r="C664" t="str">
            <v>Future</v>
          </cell>
          <cell r="D664" t="e">
            <v>#N/A</v>
          </cell>
          <cell r="E664">
            <v>41.387559055117862</v>
          </cell>
          <cell r="F664">
            <v>85.206456692913719</v>
          </cell>
          <cell r="G664">
            <v>64.340314960630479</v>
          </cell>
          <cell r="H664">
            <v>64.340314960630479</v>
          </cell>
          <cell r="I664" t="e">
            <v>#N/A</v>
          </cell>
          <cell r="J664" t="e">
            <v>#N/A</v>
          </cell>
          <cell r="K664" t="e">
            <v>#N/A</v>
          </cell>
          <cell r="L664" t="e">
            <v>#N/A</v>
          </cell>
          <cell r="M664" t="e">
            <v>#N/A</v>
          </cell>
          <cell r="N664" t="e">
            <v>#N/A</v>
          </cell>
          <cell r="O664" t="e">
            <v>#N/A</v>
          </cell>
          <cell r="P664">
            <v>71.03</v>
          </cell>
          <cell r="Q664" t="str">
            <v/>
          </cell>
          <cell r="R664" t="e">
            <v>#N/A</v>
          </cell>
        </row>
        <row r="665">
          <cell r="A665">
            <v>40431</v>
          </cell>
          <cell r="B665">
            <v>40431</v>
          </cell>
          <cell r="C665" t="str">
            <v>Future</v>
          </cell>
          <cell r="D665" t="e">
            <v>#N/A</v>
          </cell>
          <cell r="E665">
            <v>41.107913385826521</v>
          </cell>
          <cell r="F665">
            <v>85.340196850394037</v>
          </cell>
          <cell r="G665">
            <v>64.277204724410012</v>
          </cell>
          <cell r="H665">
            <v>64.277204724410012</v>
          </cell>
          <cell r="I665" t="e">
            <v>#N/A</v>
          </cell>
          <cell r="J665" t="e">
            <v>#N/A</v>
          </cell>
          <cell r="K665" t="e">
            <v>#N/A</v>
          </cell>
          <cell r="L665" t="e">
            <v>#N/A</v>
          </cell>
          <cell r="M665" t="e">
            <v>#N/A</v>
          </cell>
          <cell r="N665" t="e">
            <v>#N/A</v>
          </cell>
          <cell r="O665" t="e">
            <v>#N/A</v>
          </cell>
          <cell r="P665">
            <v>71.03</v>
          </cell>
          <cell r="Q665" t="str">
            <v/>
          </cell>
          <cell r="R665" t="e">
            <v>#N/A</v>
          </cell>
        </row>
        <row r="666">
          <cell r="A666">
            <v>40434</v>
          </cell>
          <cell r="B666">
            <v>40434</v>
          </cell>
          <cell r="C666" t="str">
            <v>Future</v>
          </cell>
          <cell r="D666" t="e">
            <v>#N/A</v>
          </cell>
          <cell r="E666">
            <v>40.82826771653518</v>
          </cell>
          <cell r="F666">
            <v>85.473937007874355</v>
          </cell>
          <cell r="G666">
            <v>64.214094488189545</v>
          </cell>
          <cell r="H666">
            <v>64.214094488189545</v>
          </cell>
          <cell r="I666" t="e">
            <v>#N/A</v>
          </cell>
          <cell r="J666" t="e">
            <v>#N/A</v>
          </cell>
          <cell r="K666" t="e">
            <v>#N/A</v>
          </cell>
          <cell r="L666" t="e">
            <v>#N/A</v>
          </cell>
          <cell r="M666" t="e">
            <v>#N/A</v>
          </cell>
          <cell r="N666" t="e">
            <v>#N/A</v>
          </cell>
          <cell r="O666" t="e">
            <v>#N/A</v>
          </cell>
          <cell r="P666">
            <v>71.03</v>
          </cell>
          <cell r="Q666" t="str">
            <v/>
          </cell>
          <cell r="R666" t="e">
            <v>#N/A</v>
          </cell>
        </row>
        <row r="667">
          <cell r="A667">
            <v>40435</v>
          </cell>
          <cell r="B667">
            <v>40435</v>
          </cell>
          <cell r="C667" t="str">
            <v>Future</v>
          </cell>
          <cell r="D667" t="e">
            <v>#N/A</v>
          </cell>
          <cell r="E667">
            <v>40.548622047243839</v>
          </cell>
          <cell r="F667">
            <v>85.607677165354673</v>
          </cell>
          <cell r="G667">
            <v>64.150984251969078</v>
          </cell>
          <cell r="H667">
            <v>64.150984251969078</v>
          </cell>
          <cell r="I667" t="e">
            <v>#N/A</v>
          </cell>
          <cell r="J667" t="e">
            <v>#N/A</v>
          </cell>
          <cell r="K667" t="e">
            <v>#N/A</v>
          </cell>
          <cell r="L667" t="e">
            <v>#N/A</v>
          </cell>
          <cell r="M667" t="e">
            <v>#N/A</v>
          </cell>
          <cell r="N667" t="e">
            <v>#N/A</v>
          </cell>
          <cell r="O667" t="e">
            <v>#N/A</v>
          </cell>
          <cell r="P667">
            <v>71.03</v>
          </cell>
          <cell r="Q667" t="str">
            <v/>
          </cell>
          <cell r="R667" t="e">
            <v>#N/A</v>
          </cell>
        </row>
        <row r="668">
          <cell r="A668">
            <v>40436</v>
          </cell>
          <cell r="B668">
            <v>40436</v>
          </cell>
          <cell r="C668" t="str">
            <v>Future</v>
          </cell>
          <cell r="D668" t="e">
            <v>#N/A</v>
          </cell>
          <cell r="E668">
            <v>40.268976377952498</v>
          </cell>
          <cell r="F668">
            <v>85.741417322834991</v>
          </cell>
          <cell r="G668">
            <v>64.087874015748611</v>
          </cell>
          <cell r="H668">
            <v>64.087874015748611</v>
          </cell>
          <cell r="I668" t="e">
            <v>#N/A</v>
          </cell>
          <cell r="J668" t="e">
            <v>#N/A</v>
          </cell>
          <cell r="K668" t="e">
            <v>#N/A</v>
          </cell>
          <cell r="L668" t="e">
            <v>#N/A</v>
          </cell>
          <cell r="M668" t="e">
            <v>#N/A</v>
          </cell>
          <cell r="N668" t="e">
            <v>#N/A</v>
          </cell>
          <cell r="O668" t="e">
            <v>#N/A</v>
          </cell>
          <cell r="P668">
            <v>71.03</v>
          </cell>
          <cell r="Q668" t="str">
            <v/>
          </cell>
          <cell r="R668" t="e">
            <v>#N/A</v>
          </cell>
        </row>
        <row r="669">
          <cell r="A669">
            <v>40437</v>
          </cell>
          <cell r="B669">
            <v>40437</v>
          </cell>
          <cell r="C669" t="str">
            <v>Future</v>
          </cell>
          <cell r="D669" t="e">
            <v>#N/A</v>
          </cell>
          <cell r="E669">
            <v>39.989330708661157</v>
          </cell>
          <cell r="F669">
            <v>85.875157480315309</v>
          </cell>
          <cell r="G669">
            <v>64.024763779528143</v>
          </cell>
          <cell r="H669">
            <v>64.024763779528143</v>
          </cell>
          <cell r="I669" t="e">
            <v>#N/A</v>
          </cell>
          <cell r="J669" t="e">
            <v>#N/A</v>
          </cell>
          <cell r="K669" t="e">
            <v>#N/A</v>
          </cell>
          <cell r="L669" t="e">
            <v>#N/A</v>
          </cell>
          <cell r="M669" t="e">
            <v>#N/A</v>
          </cell>
          <cell r="N669" t="e">
            <v>#N/A</v>
          </cell>
          <cell r="O669" t="e">
            <v>#N/A</v>
          </cell>
          <cell r="P669">
            <v>71.03</v>
          </cell>
          <cell r="Q669" t="str">
            <v/>
          </cell>
          <cell r="R669" t="e">
            <v>#N/A</v>
          </cell>
        </row>
        <row r="670">
          <cell r="A670">
            <v>40438</v>
          </cell>
          <cell r="B670">
            <v>40438</v>
          </cell>
          <cell r="C670" t="str">
            <v>Future</v>
          </cell>
          <cell r="D670" t="e">
            <v>#N/A</v>
          </cell>
          <cell r="E670">
            <v>39.709685039369816</v>
          </cell>
          <cell r="F670">
            <v>86.008897637795627</v>
          </cell>
          <cell r="G670">
            <v>63.961653543307669</v>
          </cell>
          <cell r="H670">
            <v>63.961653543307669</v>
          </cell>
          <cell r="I670" t="e">
            <v>#N/A</v>
          </cell>
          <cell r="J670" t="e">
            <v>#N/A</v>
          </cell>
          <cell r="K670" t="e">
            <v>#N/A</v>
          </cell>
          <cell r="L670" t="e">
            <v>#N/A</v>
          </cell>
          <cell r="M670" t="e">
            <v>#N/A</v>
          </cell>
          <cell r="N670" t="e">
            <v>#N/A</v>
          </cell>
          <cell r="O670" t="e">
            <v>#N/A</v>
          </cell>
          <cell r="P670">
            <v>71.03</v>
          </cell>
          <cell r="Q670" t="str">
            <v/>
          </cell>
          <cell r="R670" t="e">
            <v>#N/A</v>
          </cell>
        </row>
        <row r="671">
          <cell r="A671">
            <v>40441</v>
          </cell>
          <cell r="B671">
            <v>40441</v>
          </cell>
          <cell r="C671" t="str">
            <v>Future</v>
          </cell>
          <cell r="D671" t="e">
            <v>#N/A</v>
          </cell>
          <cell r="E671">
            <v>39.430039370078475</v>
          </cell>
          <cell r="F671">
            <v>86.142637795275945</v>
          </cell>
          <cell r="G671">
            <v>63.898543307087195</v>
          </cell>
          <cell r="H671">
            <v>63.898543307087195</v>
          </cell>
          <cell r="I671" t="e">
            <v>#N/A</v>
          </cell>
          <cell r="J671" t="e">
            <v>#N/A</v>
          </cell>
          <cell r="K671" t="e">
            <v>#N/A</v>
          </cell>
          <cell r="L671" t="e">
            <v>#N/A</v>
          </cell>
          <cell r="M671" t="e">
            <v>#N/A</v>
          </cell>
          <cell r="N671" t="e">
            <v>#N/A</v>
          </cell>
          <cell r="O671" t="e">
            <v>#N/A</v>
          </cell>
          <cell r="P671">
            <v>71.03</v>
          </cell>
          <cell r="Q671" t="str">
            <v/>
          </cell>
          <cell r="R671" t="e">
            <v>#N/A</v>
          </cell>
        </row>
        <row r="672">
          <cell r="A672">
            <v>40442</v>
          </cell>
          <cell r="B672">
            <v>40442</v>
          </cell>
          <cell r="C672" t="str">
            <v>Future</v>
          </cell>
          <cell r="D672" t="e">
            <v>#N/A</v>
          </cell>
          <cell r="E672">
            <v>39.150393700787134</v>
          </cell>
          <cell r="F672">
            <v>86.276377952756263</v>
          </cell>
          <cell r="G672">
            <v>63.835433070866721</v>
          </cell>
          <cell r="H672">
            <v>63.835433070866721</v>
          </cell>
          <cell r="I672" t="e">
            <v>#N/A</v>
          </cell>
          <cell r="J672" t="e">
            <v>#N/A</v>
          </cell>
          <cell r="K672" t="e">
            <v>#N/A</v>
          </cell>
          <cell r="L672" t="e">
            <v>#N/A</v>
          </cell>
          <cell r="M672" t="e">
            <v>#N/A</v>
          </cell>
          <cell r="N672" t="e">
            <v>#N/A</v>
          </cell>
          <cell r="O672" t="e">
            <v>#N/A</v>
          </cell>
          <cell r="P672">
            <v>71.03</v>
          </cell>
          <cell r="Q672" t="str">
            <v/>
          </cell>
          <cell r="R672" t="e">
            <v>#N/A</v>
          </cell>
        </row>
        <row r="673">
          <cell r="A673">
            <v>40443</v>
          </cell>
          <cell r="B673">
            <v>40443</v>
          </cell>
          <cell r="C673" t="str">
            <v>Future</v>
          </cell>
          <cell r="D673" t="e">
            <v>#N/A</v>
          </cell>
          <cell r="E673">
            <v>38.870748031495793</v>
          </cell>
          <cell r="F673">
            <v>86.410118110236581</v>
          </cell>
          <cell r="G673">
            <v>63.772322834646246</v>
          </cell>
          <cell r="H673">
            <v>63.772322834646246</v>
          </cell>
          <cell r="I673" t="e">
            <v>#N/A</v>
          </cell>
          <cell r="J673" t="e">
            <v>#N/A</v>
          </cell>
          <cell r="K673" t="e">
            <v>#N/A</v>
          </cell>
          <cell r="L673" t="e">
            <v>#N/A</v>
          </cell>
          <cell r="M673" t="e">
            <v>#N/A</v>
          </cell>
          <cell r="N673" t="e">
            <v>#N/A</v>
          </cell>
          <cell r="O673" t="e">
            <v>#N/A</v>
          </cell>
          <cell r="P673">
            <v>71.03</v>
          </cell>
          <cell r="Q673" t="str">
            <v/>
          </cell>
          <cell r="R673" t="e">
            <v>#N/A</v>
          </cell>
        </row>
        <row r="674">
          <cell r="A674">
            <v>40444</v>
          </cell>
          <cell r="B674">
            <v>40444</v>
          </cell>
          <cell r="C674" t="str">
            <v>Future</v>
          </cell>
          <cell r="D674" t="e">
            <v>#N/A</v>
          </cell>
          <cell r="E674">
            <v>38.591102362204452</v>
          </cell>
          <cell r="F674">
            <v>86.543858267716899</v>
          </cell>
          <cell r="G674">
            <v>63.709212598425772</v>
          </cell>
          <cell r="H674">
            <v>63.709212598425772</v>
          </cell>
          <cell r="I674" t="e">
            <v>#N/A</v>
          </cell>
          <cell r="J674" t="e">
            <v>#N/A</v>
          </cell>
          <cell r="K674" t="e">
            <v>#N/A</v>
          </cell>
          <cell r="L674" t="e">
            <v>#N/A</v>
          </cell>
          <cell r="M674" t="e">
            <v>#N/A</v>
          </cell>
          <cell r="N674" t="e">
            <v>#N/A</v>
          </cell>
          <cell r="O674" t="e">
            <v>#N/A</v>
          </cell>
          <cell r="P674">
            <v>71.03</v>
          </cell>
          <cell r="Q674" t="str">
            <v/>
          </cell>
          <cell r="R674" t="e">
            <v>#N/A</v>
          </cell>
        </row>
        <row r="675">
          <cell r="A675">
            <v>40445</v>
          </cell>
          <cell r="B675">
            <v>40445</v>
          </cell>
          <cell r="C675" t="str">
            <v>Future</v>
          </cell>
          <cell r="D675" t="e">
            <v>#N/A</v>
          </cell>
          <cell r="E675">
            <v>38.311456692913112</v>
          </cell>
          <cell r="F675">
            <v>86.677598425197218</v>
          </cell>
          <cell r="G675">
            <v>63.646102362205298</v>
          </cell>
          <cell r="H675">
            <v>63.646102362205298</v>
          </cell>
          <cell r="I675" t="e">
            <v>#N/A</v>
          </cell>
          <cell r="J675" t="e">
            <v>#N/A</v>
          </cell>
          <cell r="K675" t="e">
            <v>#N/A</v>
          </cell>
          <cell r="L675" t="e">
            <v>#N/A</v>
          </cell>
          <cell r="M675" t="e">
            <v>#N/A</v>
          </cell>
          <cell r="N675" t="e">
            <v>#N/A</v>
          </cell>
          <cell r="O675" t="e">
            <v>#N/A</v>
          </cell>
          <cell r="P675">
            <v>71.03</v>
          </cell>
          <cell r="Q675" t="str">
            <v/>
          </cell>
          <cell r="R675" t="e">
            <v>#N/A</v>
          </cell>
        </row>
        <row r="676">
          <cell r="A676">
            <v>40448</v>
          </cell>
          <cell r="B676">
            <v>40448</v>
          </cell>
          <cell r="C676" t="str">
            <v>Future</v>
          </cell>
          <cell r="D676" t="e">
            <v>#N/A</v>
          </cell>
          <cell r="E676">
            <v>38.031811023621771</v>
          </cell>
          <cell r="F676">
            <v>86.811338582677536</v>
          </cell>
          <cell r="G676">
            <v>63.582992125984823</v>
          </cell>
          <cell r="H676">
            <v>63.582992125984823</v>
          </cell>
          <cell r="I676" t="e">
            <v>#N/A</v>
          </cell>
          <cell r="J676" t="e">
            <v>#N/A</v>
          </cell>
          <cell r="K676" t="e">
            <v>#N/A</v>
          </cell>
          <cell r="L676" t="e">
            <v>#N/A</v>
          </cell>
          <cell r="M676" t="e">
            <v>#N/A</v>
          </cell>
          <cell r="N676" t="e">
            <v>#N/A</v>
          </cell>
          <cell r="O676" t="e">
            <v>#N/A</v>
          </cell>
          <cell r="P676">
            <v>71.03</v>
          </cell>
          <cell r="Q676" t="str">
            <v/>
          </cell>
          <cell r="R676" t="e">
            <v>#N/A</v>
          </cell>
        </row>
        <row r="677">
          <cell r="A677">
            <v>40449</v>
          </cell>
          <cell r="B677">
            <v>40449</v>
          </cell>
          <cell r="C677" t="str">
            <v>Future</v>
          </cell>
          <cell r="D677" t="e">
            <v>#N/A</v>
          </cell>
          <cell r="E677">
            <v>37.75216535433043</v>
          </cell>
          <cell r="F677">
            <v>86.945078740157854</v>
          </cell>
          <cell r="G677">
            <v>63.519881889764349</v>
          </cell>
          <cell r="H677">
            <v>63.519881889764349</v>
          </cell>
          <cell r="I677" t="e">
            <v>#N/A</v>
          </cell>
          <cell r="J677" t="e">
            <v>#N/A</v>
          </cell>
          <cell r="K677" t="e">
            <v>#N/A</v>
          </cell>
          <cell r="L677" t="e">
            <v>#N/A</v>
          </cell>
          <cell r="M677" t="e">
            <v>#N/A</v>
          </cell>
          <cell r="N677" t="e">
            <v>#N/A</v>
          </cell>
          <cell r="O677" t="e">
            <v>#N/A</v>
          </cell>
          <cell r="P677">
            <v>71.03</v>
          </cell>
          <cell r="Q677" t="str">
            <v/>
          </cell>
          <cell r="R677" t="e">
            <v>#N/A</v>
          </cell>
        </row>
        <row r="678">
          <cell r="A678">
            <v>40450</v>
          </cell>
          <cell r="B678">
            <v>40450</v>
          </cell>
          <cell r="C678" t="str">
            <v>Future</v>
          </cell>
          <cell r="D678" t="e">
            <v>#N/A</v>
          </cell>
          <cell r="E678">
            <v>37.472519685039089</v>
          </cell>
          <cell r="F678">
            <v>87.078818897638172</v>
          </cell>
          <cell r="G678">
            <v>63.456771653543875</v>
          </cell>
          <cell r="H678">
            <v>63.456771653543875</v>
          </cell>
          <cell r="I678" t="e">
            <v>#N/A</v>
          </cell>
          <cell r="J678" t="e">
            <v>#N/A</v>
          </cell>
          <cell r="K678" t="e">
            <v>#N/A</v>
          </cell>
          <cell r="L678" t="e">
            <v>#N/A</v>
          </cell>
          <cell r="M678" t="e">
            <v>#N/A</v>
          </cell>
          <cell r="N678" t="e">
            <v>#N/A</v>
          </cell>
          <cell r="O678" t="e">
            <v>#N/A</v>
          </cell>
          <cell r="P678">
            <v>71.03</v>
          </cell>
          <cell r="Q678" t="str">
            <v/>
          </cell>
          <cell r="R678" t="e">
            <v>#N/A</v>
          </cell>
        </row>
        <row r="679">
          <cell r="A679">
            <v>40451</v>
          </cell>
          <cell r="B679">
            <v>40451</v>
          </cell>
          <cell r="C679" t="str">
            <v>Future</v>
          </cell>
          <cell r="D679" t="e">
            <v>#N/A</v>
          </cell>
          <cell r="E679">
            <v>37.192874015747748</v>
          </cell>
          <cell r="F679">
            <v>87.21255905511849</v>
          </cell>
          <cell r="G679">
            <v>63.393661417323401</v>
          </cell>
          <cell r="H679">
            <v>63.393661417323401</v>
          </cell>
          <cell r="I679" t="e">
            <v>#N/A</v>
          </cell>
          <cell r="J679" t="e">
            <v>#N/A</v>
          </cell>
          <cell r="K679" t="e">
            <v>#N/A</v>
          </cell>
          <cell r="L679" t="e">
            <v>#N/A</v>
          </cell>
          <cell r="M679" t="e">
            <v>#N/A</v>
          </cell>
          <cell r="N679" t="e">
            <v>#N/A</v>
          </cell>
          <cell r="O679" t="e">
            <v>#N/A</v>
          </cell>
          <cell r="P679">
            <v>71.03</v>
          </cell>
          <cell r="Q679" t="str">
            <v/>
          </cell>
          <cell r="R679" t="e">
            <v>#N/A</v>
          </cell>
        </row>
        <row r="680">
          <cell r="A680">
            <v>40452</v>
          </cell>
          <cell r="B680">
            <v>40452</v>
          </cell>
          <cell r="C680" t="str">
            <v>Future</v>
          </cell>
          <cell r="D680" t="e">
            <v>#N/A</v>
          </cell>
          <cell r="E680">
            <v>36.913228346456407</v>
          </cell>
          <cell r="F680">
            <v>87.346299212598808</v>
          </cell>
          <cell r="G680">
            <v>63.330551181102926</v>
          </cell>
          <cell r="H680">
            <v>63.330551181102926</v>
          </cell>
          <cell r="I680" t="e">
            <v>#N/A</v>
          </cell>
          <cell r="J680" t="e">
            <v>#N/A</v>
          </cell>
          <cell r="K680" t="e">
            <v>#N/A</v>
          </cell>
          <cell r="L680" t="e">
            <v>#N/A</v>
          </cell>
          <cell r="M680" t="e">
            <v>#N/A</v>
          </cell>
          <cell r="N680" t="e">
            <v>#N/A</v>
          </cell>
          <cell r="O680" t="e">
            <v>#N/A</v>
          </cell>
          <cell r="P680">
            <v>71.03</v>
          </cell>
          <cell r="Q680" t="str">
            <v/>
          </cell>
          <cell r="R680" t="e">
            <v>#N/A</v>
          </cell>
        </row>
        <row r="681">
          <cell r="A681">
            <v>40455</v>
          </cell>
          <cell r="B681">
            <v>40455</v>
          </cell>
          <cell r="C681" t="str">
            <v>Future</v>
          </cell>
          <cell r="D681" t="e">
            <v>#N/A</v>
          </cell>
          <cell r="E681">
            <v>36.633582677165066</v>
          </cell>
          <cell r="F681">
            <v>87.480039370079126</v>
          </cell>
          <cell r="G681">
            <v>63.267440944882452</v>
          </cell>
          <cell r="H681">
            <v>63.267440944882452</v>
          </cell>
          <cell r="I681" t="e">
            <v>#N/A</v>
          </cell>
          <cell r="J681" t="e">
            <v>#N/A</v>
          </cell>
          <cell r="K681" t="e">
            <v>#N/A</v>
          </cell>
          <cell r="L681" t="e">
            <v>#N/A</v>
          </cell>
          <cell r="M681" t="e">
            <v>#N/A</v>
          </cell>
          <cell r="N681" t="e">
            <v>#N/A</v>
          </cell>
          <cell r="O681" t="e">
            <v>#N/A</v>
          </cell>
          <cell r="P681">
            <v>71.03</v>
          </cell>
          <cell r="Q681" t="str">
            <v/>
          </cell>
          <cell r="R681" t="e">
            <v>#N/A</v>
          </cell>
        </row>
        <row r="682">
          <cell r="A682">
            <v>40456</v>
          </cell>
          <cell r="B682">
            <v>40456</v>
          </cell>
          <cell r="C682" t="str">
            <v>Future</v>
          </cell>
          <cell r="D682" t="e">
            <v>#N/A</v>
          </cell>
          <cell r="E682">
            <v>36.353937007873725</v>
          </cell>
          <cell r="F682">
            <v>87.613779527559444</v>
          </cell>
          <cell r="G682">
            <v>63.204330708661978</v>
          </cell>
          <cell r="H682">
            <v>63.204330708661978</v>
          </cell>
          <cell r="I682" t="e">
            <v>#N/A</v>
          </cell>
          <cell r="J682" t="e">
            <v>#N/A</v>
          </cell>
          <cell r="K682" t="e">
            <v>#N/A</v>
          </cell>
          <cell r="L682" t="e">
            <v>#N/A</v>
          </cell>
          <cell r="M682" t="e">
            <v>#N/A</v>
          </cell>
          <cell r="N682" t="e">
            <v>#N/A</v>
          </cell>
          <cell r="O682" t="e">
            <v>#N/A</v>
          </cell>
          <cell r="P682">
            <v>71.03</v>
          </cell>
          <cell r="Q682" t="str">
            <v/>
          </cell>
          <cell r="R682" t="e">
            <v>#N/A</v>
          </cell>
        </row>
        <row r="683">
          <cell r="A683">
            <v>40457</v>
          </cell>
          <cell r="B683">
            <v>40457</v>
          </cell>
          <cell r="C683" t="str">
            <v>Future</v>
          </cell>
          <cell r="D683" t="e">
            <v>#N/A</v>
          </cell>
          <cell r="E683">
            <v>36.074291338582384</v>
          </cell>
          <cell r="F683">
            <v>87.747519685039762</v>
          </cell>
          <cell r="G683">
            <v>63.141220472441503</v>
          </cell>
          <cell r="H683">
            <v>63.141220472441503</v>
          </cell>
          <cell r="I683" t="e">
            <v>#N/A</v>
          </cell>
          <cell r="J683" t="e">
            <v>#N/A</v>
          </cell>
          <cell r="K683" t="e">
            <v>#N/A</v>
          </cell>
          <cell r="L683" t="e">
            <v>#N/A</v>
          </cell>
          <cell r="M683" t="e">
            <v>#N/A</v>
          </cell>
          <cell r="N683" t="e">
            <v>#N/A</v>
          </cell>
          <cell r="O683" t="e">
            <v>#N/A</v>
          </cell>
          <cell r="P683">
            <v>71.03</v>
          </cell>
          <cell r="Q683" t="str">
            <v/>
          </cell>
          <cell r="R683" t="e">
            <v>#N/A</v>
          </cell>
        </row>
        <row r="684">
          <cell r="A684">
            <v>40458</v>
          </cell>
          <cell r="B684">
            <v>40458</v>
          </cell>
          <cell r="C684" t="str">
            <v>Future</v>
          </cell>
          <cell r="D684" t="e">
            <v>#N/A</v>
          </cell>
          <cell r="E684">
            <v>35.794645669291043</v>
          </cell>
          <cell r="F684">
            <v>87.88125984252008</v>
          </cell>
          <cell r="G684">
            <v>63.078110236221029</v>
          </cell>
          <cell r="H684">
            <v>63.078110236221029</v>
          </cell>
          <cell r="I684" t="e">
            <v>#N/A</v>
          </cell>
          <cell r="J684" t="e">
            <v>#N/A</v>
          </cell>
          <cell r="K684" t="e">
            <v>#N/A</v>
          </cell>
          <cell r="L684" t="e">
            <v>#N/A</v>
          </cell>
          <cell r="M684" t="e">
            <v>#N/A</v>
          </cell>
          <cell r="N684" t="e">
            <v>#N/A</v>
          </cell>
          <cell r="O684" t="e">
            <v>#N/A</v>
          </cell>
          <cell r="P684">
            <v>71.03</v>
          </cell>
          <cell r="Q684" t="str">
            <v/>
          </cell>
          <cell r="R684" t="e">
            <v>#N/A</v>
          </cell>
        </row>
        <row r="685">
          <cell r="A685">
            <v>40459</v>
          </cell>
          <cell r="B685">
            <v>40459</v>
          </cell>
          <cell r="C685" t="str">
            <v>Future</v>
          </cell>
          <cell r="D685" t="e">
            <v>#N/A</v>
          </cell>
          <cell r="E685">
            <v>35.514999999999702</v>
          </cell>
          <cell r="F685">
            <v>88.015000000000398</v>
          </cell>
          <cell r="G685">
            <v>63.015000000000555</v>
          </cell>
          <cell r="H685">
            <v>63.015000000000555</v>
          </cell>
          <cell r="I685" t="e">
            <v>#N/A</v>
          </cell>
          <cell r="J685" t="e">
            <v>#N/A</v>
          </cell>
          <cell r="K685" t="e">
            <v>#N/A</v>
          </cell>
          <cell r="L685" t="e">
            <v>#N/A</v>
          </cell>
          <cell r="M685" t="e">
            <v>#N/A</v>
          </cell>
          <cell r="N685" t="e">
            <v>#N/A</v>
          </cell>
          <cell r="O685" t="e">
            <v>#N/A</v>
          </cell>
          <cell r="P685">
            <v>71.03</v>
          </cell>
          <cell r="Q685" t="str">
            <v/>
          </cell>
          <cell r="R685" t="e">
            <v>#N/A</v>
          </cell>
        </row>
        <row r="686">
          <cell r="A686">
            <v>40462</v>
          </cell>
          <cell r="B686">
            <v>40462</v>
          </cell>
          <cell r="C686" t="str">
            <v>Future</v>
          </cell>
          <cell r="D686" t="e">
            <v>#N/A</v>
          </cell>
          <cell r="E686">
            <v>35.235354330708361</v>
          </cell>
          <cell r="F686">
            <v>88.148740157480717</v>
          </cell>
          <cell r="G686">
            <v>62.951889763780081</v>
          </cell>
          <cell r="H686">
            <v>62.951889763780081</v>
          </cell>
          <cell r="I686" t="e">
            <v>#N/A</v>
          </cell>
          <cell r="J686" t="e">
            <v>#N/A</v>
          </cell>
          <cell r="K686" t="e">
            <v>#N/A</v>
          </cell>
          <cell r="L686" t="e">
            <v>#N/A</v>
          </cell>
          <cell r="M686" t="e">
            <v>#N/A</v>
          </cell>
          <cell r="N686" t="e">
            <v>#N/A</v>
          </cell>
          <cell r="O686" t="e">
            <v>#N/A</v>
          </cell>
          <cell r="P686">
            <v>71.03</v>
          </cell>
          <cell r="Q686" t="str">
            <v/>
          </cell>
          <cell r="R686" t="e">
            <v>#N/A</v>
          </cell>
        </row>
        <row r="687">
          <cell r="A687">
            <v>40463</v>
          </cell>
          <cell r="B687">
            <v>40463</v>
          </cell>
          <cell r="C687" t="str">
            <v>Future</v>
          </cell>
          <cell r="D687" t="e">
            <v>#N/A</v>
          </cell>
          <cell r="E687">
            <v>34.95570866141702</v>
          </cell>
          <cell r="F687">
            <v>88.282480314961035</v>
          </cell>
          <cell r="G687">
            <v>62.888779527559606</v>
          </cell>
          <cell r="H687">
            <v>62.888779527559606</v>
          </cell>
          <cell r="I687" t="e">
            <v>#N/A</v>
          </cell>
          <cell r="J687" t="e">
            <v>#N/A</v>
          </cell>
          <cell r="K687" t="e">
            <v>#N/A</v>
          </cell>
          <cell r="L687" t="e">
            <v>#N/A</v>
          </cell>
          <cell r="M687" t="e">
            <v>#N/A</v>
          </cell>
          <cell r="N687" t="e">
            <v>#N/A</v>
          </cell>
          <cell r="O687" t="e">
            <v>#N/A</v>
          </cell>
          <cell r="P687">
            <v>71.03</v>
          </cell>
          <cell r="Q687" t="str">
            <v/>
          </cell>
          <cell r="R687" t="e">
            <v>#N/A</v>
          </cell>
        </row>
        <row r="688">
          <cell r="A688">
            <v>40464</v>
          </cell>
          <cell r="B688">
            <v>40464</v>
          </cell>
          <cell r="C688" t="str">
            <v>Future</v>
          </cell>
          <cell r="D688" t="e">
            <v>#N/A</v>
          </cell>
          <cell r="E688">
            <v>34.676062992125679</v>
          </cell>
          <cell r="F688">
            <v>88.416220472441353</v>
          </cell>
          <cell r="G688">
            <v>62.825669291339132</v>
          </cell>
          <cell r="H688">
            <v>62.825669291339132</v>
          </cell>
          <cell r="I688" t="e">
            <v>#N/A</v>
          </cell>
          <cell r="J688" t="e">
            <v>#N/A</v>
          </cell>
          <cell r="K688" t="e">
            <v>#N/A</v>
          </cell>
          <cell r="L688" t="e">
            <v>#N/A</v>
          </cell>
          <cell r="M688" t="e">
            <v>#N/A</v>
          </cell>
          <cell r="N688" t="e">
            <v>#N/A</v>
          </cell>
          <cell r="O688" t="e">
            <v>#N/A</v>
          </cell>
          <cell r="P688">
            <v>71.03</v>
          </cell>
          <cell r="Q688" t="str">
            <v/>
          </cell>
          <cell r="R688" t="e">
            <v>#N/A</v>
          </cell>
        </row>
        <row r="689">
          <cell r="A689">
            <v>40465</v>
          </cell>
          <cell r="B689">
            <v>40465</v>
          </cell>
          <cell r="C689" t="str">
            <v>Future</v>
          </cell>
          <cell r="D689" t="e">
            <v>#N/A</v>
          </cell>
          <cell r="E689">
            <v>34.396417322834338</v>
          </cell>
          <cell r="F689">
            <v>88.549960629921671</v>
          </cell>
          <cell r="G689">
            <v>62.762559055118658</v>
          </cell>
          <cell r="H689">
            <v>62.762559055118658</v>
          </cell>
          <cell r="I689" t="e">
            <v>#N/A</v>
          </cell>
          <cell r="J689" t="e">
            <v>#N/A</v>
          </cell>
          <cell r="K689" t="e">
            <v>#N/A</v>
          </cell>
          <cell r="L689" t="e">
            <v>#N/A</v>
          </cell>
          <cell r="M689" t="e">
            <v>#N/A</v>
          </cell>
          <cell r="N689" t="e">
            <v>#N/A</v>
          </cell>
          <cell r="O689" t="e">
            <v>#N/A</v>
          </cell>
          <cell r="P689">
            <v>71.03</v>
          </cell>
          <cell r="Q689" t="str">
            <v/>
          </cell>
          <cell r="R689" t="e">
            <v>#N/A</v>
          </cell>
        </row>
        <row r="690">
          <cell r="A690">
            <v>40466</v>
          </cell>
          <cell r="B690">
            <v>40466</v>
          </cell>
          <cell r="C690" t="str">
            <v>Future</v>
          </cell>
          <cell r="D690" t="e">
            <v>#N/A</v>
          </cell>
          <cell r="E690">
            <v>34.116771653542997</v>
          </cell>
          <cell r="F690">
            <v>88.683700787401989</v>
          </cell>
          <cell r="G690">
            <v>62.699448818898183</v>
          </cell>
          <cell r="H690">
            <v>62.699448818898183</v>
          </cell>
          <cell r="I690" t="e">
            <v>#N/A</v>
          </cell>
          <cell r="J690" t="e">
            <v>#N/A</v>
          </cell>
          <cell r="K690" t="e">
            <v>#N/A</v>
          </cell>
          <cell r="L690" t="e">
            <v>#N/A</v>
          </cell>
          <cell r="M690" t="e">
            <v>#N/A</v>
          </cell>
          <cell r="N690" t="e">
            <v>#N/A</v>
          </cell>
          <cell r="O690" t="e">
            <v>#N/A</v>
          </cell>
          <cell r="P690">
            <v>71.03</v>
          </cell>
          <cell r="Q690" t="str">
            <v/>
          </cell>
          <cell r="R690" t="e">
            <v>#N/A</v>
          </cell>
        </row>
        <row r="691">
          <cell r="A691">
            <v>40469</v>
          </cell>
          <cell r="B691">
            <v>40469</v>
          </cell>
          <cell r="C691" t="str">
            <v>Future</v>
          </cell>
          <cell r="D691" t="e">
            <v>#N/A</v>
          </cell>
          <cell r="E691">
            <v>33.837125984251657</v>
          </cell>
          <cell r="F691">
            <v>88.817440944882307</v>
          </cell>
          <cell r="G691">
            <v>62.636338582677709</v>
          </cell>
          <cell r="H691">
            <v>62.636338582677709</v>
          </cell>
          <cell r="I691" t="e">
            <v>#N/A</v>
          </cell>
          <cell r="J691" t="e">
            <v>#N/A</v>
          </cell>
          <cell r="K691" t="e">
            <v>#N/A</v>
          </cell>
          <cell r="L691" t="e">
            <v>#N/A</v>
          </cell>
          <cell r="M691" t="e">
            <v>#N/A</v>
          </cell>
          <cell r="N691" t="e">
            <v>#N/A</v>
          </cell>
          <cell r="O691" t="e">
            <v>#N/A</v>
          </cell>
          <cell r="P691">
            <v>71.03</v>
          </cell>
          <cell r="Q691" t="str">
            <v/>
          </cell>
          <cell r="R691" t="e">
            <v>#N/A</v>
          </cell>
        </row>
        <row r="692">
          <cell r="A692">
            <v>40470</v>
          </cell>
          <cell r="B692">
            <v>40470</v>
          </cell>
          <cell r="C692" t="str">
            <v>Future</v>
          </cell>
          <cell r="D692" t="e">
            <v>#N/A</v>
          </cell>
          <cell r="E692">
            <v>33.557480314960316</v>
          </cell>
          <cell r="F692">
            <v>88.951181102362625</v>
          </cell>
          <cell r="G692">
            <v>62.573228346457235</v>
          </cell>
          <cell r="H692">
            <v>62.573228346457235</v>
          </cell>
          <cell r="I692" t="e">
            <v>#N/A</v>
          </cell>
          <cell r="J692" t="e">
            <v>#N/A</v>
          </cell>
          <cell r="K692" t="e">
            <v>#N/A</v>
          </cell>
          <cell r="L692" t="e">
            <v>#N/A</v>
          </cell>
          <cell r="M692" t="e">
            <v>#N/A</v>
          </cell>
          <cell r="N692" t="e">
            <v>#N/A</v>
          </cell>
          <cell r="O692" t="e">
            <v>#N/A</v>
          </cell>
          <cell r="P692">
            <v>71.03</v>
          </cell>
          <cell r="Q692" t="str">
            <v/>
          </cell>
          <cell r="R692" t="e">
            <v>#N/A</v>
          </cell>
        </row>
        <row r="693">
          <cell r="A693">
            <v>40471</v>
          </cell>
          <cell r="B693">
            <v>40471</v>
          </cell>
          <cell r="C693" t="str">
            <v>Future</v>
          </cell>
          <cell r="D693" t="e">
            <v>#N/A</v>
          </cell>
          <cell r="E693">
            <v>33.277834645668975</v>
          </cell>
          <cell r="F693">
            <v>89.084921259842943</v>
          </cell>
          <cell r="G693">
            <v>62.51011811023676</v>
          </cell>
          <cell r="H693">
            <v>62.51011811023676</v>
          </cell>
          <cell r="I693" t="e">
            <v>#N/A</v>
          </cell>
          <cell r="J693" t="e">
            <v>#N/A</v>
          </cell>
          <cell r="K693" t="e">
            <v>#N/A</v>
          </cell>
          <cell r="L693" t="e">
            <v>#N/A</v>
          </cell>
          <cell r="M693" t="e">
            <v>#N/A</v>
          </cell>
          <cell r="N693" t="e">
            <v>#N/A</v>
          </cell>
          <cell r="O693" t="e">
            <v>#N/A</v>
          </cell>
          <cell r="P693">
            <v>71.03</v>
          </cell>
          <cell r="Q693" t="str">
            <v/>
          </cell>
          <cell r="R693" t="e">
            <v>#N/A</v>
          </cell>
        </row>
        <row r="694">
          <cell r="A694">
            <v>40472</v>
          </cell>
          <cell r="B694">
            <v>40472</v>
          </cell>
          <cell r="C694" t="str">
            <v>Future</v>
          </cell>
          <cell r="D694" t="e">
            <v>#N/A</v>
          </cell>
          <cell r="E694">
            <v>32.998188976377634</v>
          </cell>
          <cell r="F694">
            <v>89.218661417323261</v>
          </cell>
          <cell r="G694">
            <v>62.447007874016286</v>
          </cell>
          <cell r="H694">
            <v>62.447007874016286</v>
          </cell>
          <cell r="I694" t="e">
            <v>#N/A</v>
          </cell>
          <cell r="J694" t="e">
            <v>#N/A</v>
          </cell>
          <cell r="K694" t="e">
            <v>#N/A</v>
          </cell>
          <cell r="L694" t="e">
            <v>#N/A</v>
          </cell>
          <cell r="M694" t="e">
            <v>#N/A</v>
          </cell>
          <cell r="N694" t="e">
            <v>#N/A</v>
          </cell>
          <cell r="O694" t="e">
            <v>#N/A</v>
          </cell>
          <cell r="P694">
            <v>71.03</v>
          </cell>
          <cell r="Q694" t="str">
            <v/>
          </cell>
          <cell r="R694" t="e">
            <v>#N/A</v>
          </cell>
        </row>
        <row r="695">
          <cell r="A695">
            <v>40473</v>
          </cell>
          <cell r="B695">
            <v>40473</v>
          </cell>
          <cell r="C695" t="str">
            <v>Future</v>
          </cell>
          <cell r="D695" t="e">
            <v>#N/A</v>
          </cell>
          <cell r="E695">
            <v>32.718543307086293</v>
          </cell>
          <cell r="F695">
            <v>89.352401574803579</v>
          </cell>
          <cell r="G695">
            <v>62.383897637795812</v>
          </cell>
          <cell r="H695">
            <v>62.383897637795812</v>
          </cell>
          <cell r="I695" t="e">
            <v>#N/A</v>
          </cell>
          <cell r="J695" t="e">
            <v>#N/A</v>
          </cell>
          <cell r="K695" t="e">
            <v>#N/A</v>
          </cell>
          <cell r="L695" t="e">
            <v>#N/A</v>
          </cell>
          <cell r="M695" t="e">
            <v>#N/A</v>
          </cell>
          <cell r="N695" t="e">
            <v>#N/A</v>
          </cell>
          <cell r="O695" t="e">
            <v>#N/A</v>
          </cell>
          <cell r="P695">
            <v>71.03</v>
          </cell>
          <cell r="Q695" t="str">
            <v/>
          </cell>
          <cell r="R695" t="e">
            <v>#N/A</v>
          </cell>
        </row>
        <row r="696">
          <cell r="A696">
            <v>40476</v>
          </cell>
          <cell r="B696">
            <v>40476</v>
          </cell>
          <cell r="C696" t="str">
            <v>Future</v>
          </cell>
          <cell r="D696" t="e">
            <v>#N/A</v>
          </cell>
          <cell r="E696">
            <v>32.438897637794952</v>
          </cell>
          <cell r="F696">
            <v>89.486141732283897</v>
          </cell>
          <cell r="G696">
            <v>62.320787401575338</v>
          </cell>
          <cell r="H696">
            <v>62.320787401575338</v>
          </cell>
          <cell r="I696" t="e">
            <v>#N/A</v>
          </cell>
          <cell r="J696" t="e">
            <v>#N/A</v>
          </cell>
          <cell r="K696" t="e">
            <v>#N/A</v>
          </cell>
          <cell r="L696" t="e">
            <v>#N/A</v>
          </cell>
          <cell r="M696" t="e">
            <v>#N/A</v>
          </cell>
          <cell r="N696" t="e">
            <v>#N/A</v>
          </cell>
          <cell r="O696" t="e">
            <v>#N/A</v>
          </cell>
          <cell r="P696">
            <v>71.03</v>
          </cell>
          <cell r="Q696" t="str">
            <v/>
          </cell>
          <cell r="R696" t="e">
            <v>#N/A</v>
          </cell>
        </row>
        <row r="697">
          <cell r="A697">
            <v>40477</v>
          </cell>
          <cell r="B697">
            <v>40477</v>
          </cell>
          <cell r="C697" t="str">
            <v>Future</v>
          </cell>
          <cell r="D697" t="e">
            <v>#N/A</v>
          </cell>
          <cell r="E697">
            <v>32.159251968503611</v>
          </cell>
          <cell r="F697">
            <v>89.619881889764216</v>
          </cell>
          <cell r="G697">
            <v>62.257677165354863</v>
          </cell>
          <cell r="H697">
            <v>62.257677165354863</v>
          </cell>
          <cell r="I697" t="e">
            <v>#N/A</v>
          </cell>
          <cell r="J697" t="e">
            <v>#N/A</v>
          </cell>
          <cell r="K697" t="e">
            <v>#N/A</v>
          </cell>
          <cell r="L697" t="e">
            <v>#N/A</v>
          </cell>
          <cell r="M697" t="e">
            <v>#N/A</v>
          </cell>
          <cell r="N697" t="e">
            <v>#N/A</v>
          </cell>
          <cell r="O697" t="e">
            <v>#N/A</v>
          </cell>
          <cell r="P697">
            <v>71.03</v>
          </cell>
          <cell r="Q697" t="str">
            <v/>
          </cell>
          <cell r="R697" t="e">
            <v>#N/A</v>
          </cell>
        </row>
        <row r="698">
          <cell r="A698">
            <v>40478</v>
          </cell>
          <cell r="B698">
            <v>40478</v>
          </cell>
          <cell r="C698" t="str">
            <v>Future</v>
          </cell>
          <cell r="D698" t="e">
            <v>#N/A</v>
          </cell>
          <cell r="E698">
            <v>31.879606299212274</v>
          </cell>
          <cell r="F698">
            <v>89.753622047244534</v>
          </cell>
          <cell r="G698">
            <v>62.194566929134389</v>
          </cell>
          <cell r="H698">
            <v>62.194566929134389</v>
          </cell>
          <cell r="I698" t="e">
            <v>#N/A</v>
          </cell>
          <cell r="J698" t="e">
            <v>#N/A</v>
          </cell>
          <cell r="K698" t="e">
            <v>#N/A</v>
          </cell>
          <cell r="L698" t="e">
            <v>#N/A</v>
          </cell>
          <cell r="M698" t="e">
            <v>#N/A</v>
          </cell>
          <cell r="N698" t="e">
            <v>#N/A</v>
          </cell>
          <cell r="O698" t="e">
            <v>#N/A</v>
          </cell>
          <cell r="P698">
            <v>71.03</v>
          </cell>
          <cell r="Q698" t="str">
            <v/>
          </cell>
          <cell r="R698" t="e">
            <v>#N/A</v>
          </cell>
        </row>
        <row r="699">
          <cell r="A699">
            <v>40479</v>
          </cell>
          <cell r="B699">
            <v>40479</v>
          </cell>
          <cell r="C699" t="str">
            <v>Future</v>
          </cell>
          <cell r="D699" t="e">
            <v>#N/A</v>
          </cell>
          <cell r="E699">
            <v>31.599960629920936</v>
          </cell>
          <cell r="F699">
            <v>89.887362204724852</v>
          </cell>
          <cell r="G699">
            <v>62.131456692913915</v>
          </cell>
          <cell r="H699">
            <v>62.131456692913915</v>
          </cell>
          <cell r="I699" t="e">
            <v>#N/A</v>
          </cell>
          <cell r="J699" t="e">
            <v>#N/A</v>
          </cell>
          <cell r="K699" t="e">
            <v>#N/A</v>
          </cell>
          <cell r="L699" t="e">
            <v>#N/A</v>
          </cell>
          <cell r="M699" t="e">
            <v>#N/A</v>
          </cell>
          <cell r="N699" t="e">
            <v>#N/A</v>
          </cell>
          <cell r="O699" t="e">
            <v>#N/A</v>
          </cell>
          <cell r="P699">
            <v>71.03</v>
          </cell>
          <cell r="Q699" t="str">
            <v/>
          </cell>
          <cell r="R699" t="e">
            <v>#N/A</v>
          </cell>
        </row>
        <row r="700">
          <cell r="A700">
            <v>40480</v>
          </cell>
          <cell r="B700">
            <v>40480</v>
          </cell>
          <cell r="C700" t="str">
            <v>Future</v>
          </cell>
          <cell r="D700" t="e">
            <v>#N/A</v>
          </cell>
          <cell r="E700">
            <v>31.320314960629599</v>
          </cell>
          <cell r="F700">
            <v>90.02110236220517</v>
          </cell>
          <cell r="G700">
            <v>62.06834645669344</v>
          </cell>
          <cell r="H700">
            <v>62.06834645669344</v>
          </cell>
          <cell r="I700" t="e">
            <v>#N/A</v>
          </cell>
          <cell r="J700" t="e">
            <v>#N/A</v>
          </cell>
          <cell r="K700" t="e">
            <v>#N/A</v>
          </cell>
          <cell r="L700" t="e">
            <v>#N/A</v>
          </cell>
          <cell r="M700" t="e">
            <v>#N/A</v>
          </cell>
          <cell r="N700" t="e">
            <v>#N/A</v>
          </cell>
          <cell r="O700" t="e">
            <v>#N/A</v>
          </cell>
          <cell r="P700">
            <v>71.03</v>
          </cell>
          <cell r="Q700" t="str">
            <v/>
          </cell>
          <cell r="R700" t="e">
            <v>#N/A</v>
          </cell>
        </row>
        <row r="701">
          <cell r="A701">
            <v>40483</v>
          </cell>
          <cell r="B701">
            <v>40483</v>
          </cell>
          <cell r="C701" t="str">
            <v>Future</v>
          </cell>
          <cell r="D701" t="e">
            <v>#N/A</v>
          </cell>
          <cell r="E701">
            <v>31.040669291338261</v>
          </cell>
          <cell r="F701">
            <v>90.154842519685488</v>
          </cell>
          <cell r="G701">
            <v>62.005236220472966</v>
          </cell>
          <cell r="H701">
            <v>62.005236220472966</v>
          </cell>
          <cell r="I701" t="e">
            <v>#N/A</v>
          </cell>
          <cell r="J701" t="e">
            <v>#N/A</v>
          </cell>
          <cell r="K701" t="e">
            <v>#N/A</v>
          </cell>
          <cell r="L701" t="e">
            <v>#N/A</v>
          </cell>
          <cell r="M701" t="e">
            <v>#N/A</v>
          </cell>
          <cell r="N701" t="e">
            <v>#N/A</v>
          </cell>
          <cell r="O701" t="e">
            <v>#N/A</v>
          </cell>
          <cell r="P701">
            <v>71.03</v>
          </cell>
          <cell r="Q701" t="str">
            <v/>
          </cell>
          <cell r="R701" t="e">
            <v>#N/A</v>
          </cell>
        </row>
        <row r="702">
          <cell r="A702">
            <v>40484</v>
          </cell>
          <cell r="B702">
            <v>40484</v>
          </cell>
          <cell r="C702" t="str">
            <v>Future</v>
          </cell>
          <cell r="D702" t="e">
            <v>#N/A</v>
          </cell>
          <cell r="E702">
            <v>30.761023622046924</v>
          </cell>
          <cell r="F702">
            <v>90.288582677165806</v>
          </cell>
          <cell r="G702">
            <v>61.942125984252492</v>
          </cell>
          <cell r="H702">
            <v>61.942125984252492</v>
          </cell>
          <cell r="I702" t="e">
            <v>#N/A</v>
          </cell>
          <cell r="J702" t="e">
            <v>#N/A</v>
          </cell>
          <cell r="K702" t="e">
            <v>#N/A</v>
          </cell>
          <cell r="L702" t="e">
            <v>#N/A</v>
          </cell>
          <cell r="M702" t="e">
            <v>#N/A</v>
          </cell>
          <cell r="N702" t="e">
            <v>#N/A</v>
          </cell>
          <cell r="O702" t="e">
            <v>#N/A</v>
          </cell>
          <cell r="P702">
            <v>71.03</v>
          </cell>
          <cell r="Q702" t="str">
            <v/>
          </cell>
          <cell r="R702" t="e">
            <v>#N/A</v>
          </cell>
        </row>
        <row r="703">
          <cell r="A703">
            <v>40485</v>
          </cell>
          <cell r="B703">
            <v>40485</v>
          </cell>
          <cell r="C703" t="str">
            <v>Future</v>
          </cell>
          <cell r="D703" t="e">
            <v>#N/A</v>
          </cell>
          <cell r="E703">
            <v>30.481377952755587</v>
          </cell>
          <cell r="F703">
            <v>90.422322834646124</v>
          </cell>
          <cell r="G703">
            <v>61.879015748032018</v>
          </cell>
          <cell r="H703">
            <v>61.879015748032018</v>
          </cell>
          <cell r="I703" t="e">
            <v>#N/A</v>
          </cell>
          <cell r="J703" t="e">
            <v>#N/A</v>
          </cell>
          <cell r="K703" t="e">
            <v>#N/A</v>
          </cell>
          <cell r="L703" t="e">
            <v>#N/A</v>
          </cell>
          <cell r="M703" t="e">
            <v>#N/A</v>
          </cell>
          <cell r="N703" t="e">
            <v>#N/A</v>
          </cell>
          <cell r="O703" t="e">
            <v>#N/A</v>
          </cell>
          <cell r="P703">
            <v>71.03</v>
          </cell>
          <cell r="Q703" t="str">
            <v/>
          </cell>
          <cell r="R703" t="e">
            <v>#N/A</v>
          </cell>
        </row>
        <row r="704">
          <cell r="A704">
            <v>40486</v>
          </cell>
          <cell r="B704">
            <v>40486</v>
          </cell>
          <cell r="C704" t="str">
            <v>Future</v>
          </cell>
          <cell r="D704" t="e">
            <v>#N/A</v>
          </cell>
          <cell r="E704">
            <v>30.201732283464249</v>
          </cell>
          <cell r="F704">
            <v>90.556062992126442</v>
          </cell>
          <cell r="G704">
            <v>61.815905511811543</v>
          </cell>
          <cell r="H704">
            <v>61.815905511811543</v>
          </cell>
          <cell r="I704" t="e">
            <v>#N/A</v>
          </cell>
          <cell r="J704" t="e">
            <v>#N/A</v>
          </cell>
          <cell r="K704" t="e">
            <v>#N/A</v>
          </cell>
          <cell r="L704" t="e">
            <v>#N/A</v>
          </cell>
          <cell r="M704" t="e">
            <v>#N/A</v>
          </cell>
          <cell r="N704" t="e">
            <v>#N/A</v>
          </cell>
          <cell r="O704" t="e">
            <v>#N/A</v>
          </cell>
          <cell r="P704">
            <v>71.03</v>
          </cell>
          <cell r="Q704" t="str">
            <v/>
          </cell>
          <cell r="R704" t="e">
            <v>#N/A</v>
          </cell>
        </row>
        <row r="705">
          <cell r="A705">
            <v>40487</v>
          </cell>
          <cell r="B705">
            <v>40487</v>
          </cell>
          <cell r="C705" t="str">
            <v>Future</v>
          </cell>
          <cell r="D705" t="e">
            <v>#N/A</v>
          </cell>
          <cell r="E705">
            <v>29.922086614172912</v>
          </cell>
          <cell r="F705">
            <v>90.68980314960676</v>
          </cell>
          <cell r="G705">
            <v>61.752795275591069</v>
          </cell>
          <cell r="H705">
            <v>61.752795275591069</v>
          </cell>
          <cell r="I705" t="e">
            <v>#N/A</v>
          </cell>
          <cell r="J705" t="e">
            <v>#N/A</v>
          </cell>
          <cell r="K705" t="e">
            <v>#N/A</v>
          </cell>
          <cell r="L705" t="e">
            <v>#N/A</v>
          </cell>
          <cell r="M705" t="e">
            <v>#N/A</v>
          </cell>
          <cell r="N705" t="e">
            <v>#N/A</v>
          </cell>
          <cell r="O705" t="e">
            <v>#N/A</v>
          </cell>
          <cell r="P705">
            <v>71.03</v>
          </cell>
          <cell r="Q705" t="str">
            <v/>
          </cell>
          <cell r="R705" t="e">
            <v>#N/A</v>
          </cell>
        </row>
        <row r="706">
          <cell r="A706">
            <v>40490</v>
          </cell>
          <cell r="B706">
            <v>40490</v>
          </cell>
          <cell r="C706" t="str">
            <v>Future</v>
          </cell>
          <cell r="D706" t="e">
            <v>#N/A</v>
          </cell>
          <cell r="E706">
            <v>29.642440944881574</v>
          </cell>
          <cell r="F706">
            <v>90.823543307087078</v>
          </cell>
          <cell r="G706">
            <v>61.689685039370595</v>
          </cell>
          <cell r="H706">
            <v>61.689685039370595</v>
          </cell>
          <cell r="I706" t="e">
            <v>#N/A</v>
          </cell>
          <cell r="J706" t="e">
            <v>#N/A</v>
          </cell>
          <cell r="K706" t="e">
            <v>#N/A</v>
          </cell>
          <cell r="L706" t="e">
            <v>#N/A</v>
          </cell>
          <cell r="M706" t="e">
            <v>#N/A</v>
          </cell>
          <cell r="N706" t="e">
            <v>#N/A</v>
          </cell>
          <cell r="O706" t="e">
            <v>#N/A</v>
          </cell>
          <cell r="P706">
            <v>71.03</v>
          </cell>
          <cell r="Q706" t="str">
            <v/>
          </cell>
          <cell r="R706" t="e">
            <v>#N/A</v>
          </cell>
        </row>
        <row r="707">
          <cell r="A707">
            <v>40491</v>
          </cell>
          <cell r="B707">
            <v>40491</v>
          </cell>
          <cell r="C707" t="str">
            <v>Future</v>
          </cell>
          <cell r="D707" t="e">
            <v>#N/A</v>
          </cell>
          <cell r="E707">
            <v>29.362795275590237</v>
          </cell>
          <cell r="F707">
            <v>90.957283464567396</v>
          </cell>
          <cell r="G707">
            <v>61.62657480315012</v>
          </cell>
          <cell r="H707">
            <v>61.62657480315012</v>
          </cell>
          <cell r="I707" t="e">
            <v>#N/A</v>
          </cell>
          <cell r="J707" t="e">
            <v>#N/A</v>
          </cell>
          <cell r="K707" t="e">
            <v>#N/A</v>
          </cell>
          <cell r="L707" t="e">
            <v>#N/A</v>
          </cell>
          <cell r="M707" t="e">
            <v>#N/A</v>
          </cell>
          <cell r="N707" t="e">
            <v>#N/A</v>
          </cell>
          <cell r="O707" t="e">
            <v>#N/A</v>
          </cell>
          <cell r="P707">
            <v>71.03</v>
          </cell>
          <cell r="Q707" t="str">
            <v/>
          </cell>
          <cell r="R707" t="e">
            <v>#N/A</v>
          </cell>
        </row>
        <row r="708">
          <cell r="A708">
            <v>40492</v>
          </cell>
          <cell r="B708">
            <v>40492</v>
          </cell>
          <cell r="C708" t="str">
            <v>Future</v>
          </cell>
          <cell r="D708" t="e">
            <v>#N/A</v>
          </cell>
          <cell r="E708">
            <v>29.0831496062989</v>
          </cell>
          <cell r="F708">
            <v>91.091023622047715</v>
          </cell>
          <cell r="G708">
            <v>61.563464566929646</v>
          </cell>
          <cell r="H708">
            <v>61.563464566929646</v>
          </cell>
          <cell r="I708" t="e">
            <v>#N/A</v>
          </cell>
          <cell r="J708" t="e">
            <v>#N/A</v>
          </cell>
          <cell r="K708" t="e">
            <v>#N/A</v>
          </cell>
          <cell r="L708" t="e">
            <v>#N/A</v>
          </cell>
          <cell r="M708" t="e">
            <v>#N/A</v>
          </cell>
          <cell r="N708" t="e">
            <v>#N/A</v>
          </cell>
          <cell r="O708" t="e">
            <v>#N/A</v>
          </cell>
          <cell r="P708">
            <v>71.03</v>
          </cell>
          <cell r="Q708" t="str">
            <v/>
          </cell>
          <cell r="R708" t="e">
            <v>#N/A</v>
          </cell>
        </row>
        <row r="709">
          <cell r="A709">
            <v>40493</v>
          </cell>
          <cell r="B709">
            <v>40493</v>
          </cell>
          <cell r="C709" t="str">
            <v>Future</v>
          </cell>
          <cell r="D709" t="e">
            <v>#N/A</v>
          </cell>
          <cell r="E709">
            <v>28.803503937007562</v>
          </cell>
          <cell r="F709">
            <v>91.224763779528033</v>
          </cell>
          <cell r="G709">
            <v>61.500354330709172</v>
          </cell>
          <cell r="H709">
            <v>61.500354330709172</v>
          </cell>
          <cell r="I709" t="e">
            <v>#N/A</v>
          </cell>
          <cell r="J709" t="e">
            <v>#N/A</v>
          </cell>
          <cell r="K709" t="e">
            <v>#N/A</v>
          </cell>
          <cell r="L709" t="e">
            <v>#N/A</v>
          </cell>
          <cell r="M709" t="e">
            <v>#N/A</v>
          </cell>
          <cell r="N709" t="e">
            <v>#N/A</v>
          </cell>
          <cell r="O709" t="e">
            <v>#N/A</v>
          </cell>
          <cell r="P709">
            <v>71.03</v>
          </cell>
          <cell r="Q709" t="str">
            <v/>
          </cell>
          <cell r="R709" t="e">
            <v>#N/A</v>
          </cell>
        </row>
        <row r="710">
          <cell r="A710">
            <v>40494</v>
          </cell>
          <cell r="B710">
            <v>40494</v>
          </cell>
          <cell r="C710" t="str">
            <v>Future</v>
          </cell>
          <cell r="D710" t="e">
            <v>#N/A</v>
          </cell>
          <cell r="E710">
            <v>28.523858267716225</v>
          </cell>
          <cell r="F710">
            <v>91.358503937008351</v>
          </cell>
          <cell r="G710">
            <v>61.437244094488697</v>
          </cell>
          <cell r="H710">
            <v>61.437244094488697</v>
          </cell>
          <cell r="I710" t="e">
            <v>#N/A</v>
          </cell>
          <cell r="J710" t="e">
            <v>#N/A</v>
          </cell>
          <cell r="K710" t="e">
            <v>#N/A</v>
          </cell>
          <cell r="L710" t="e">
            <v>#N/A</v>
          </cell>
          <cell r="M710" t="e">
            <v>#N/A</v>
          </cell>
          <cell r="N710" t="e">
            <v>#N/A</v>
          </cell>
          <cell r="O710" t="e">
            <v>#N/A</v>
          </cell>
          <cell r="P710">
            <v>71.03</v>
          </cell>
          <cell r="Q710" t="str">
            <v/>
          </cell>
          <cell r="R710" t="e">
            <v>#N/A</v>
          </cell>
        </row>
        <row r="711">
          <cell r="A711">
            <v>40497</v>
          </cell>
          <cell r="B711">
            <v>40497</v>
          </cell>
          <cell r="C711" t="str">
            <v>Future</v>
          </cell>
          <cell r="D711" t="e">
            <v>#N/A</v>
          </cell>
          <cell r="E711">
            <v>28.244212598424888</v>
          </cell>
          <cell r="F711">
            <v>91.492244094488669</v>
          </cell>
          <cell r="G711">
            <v>61.374133858268223</v>
          </cell>
          <cell r="H711">
            <v>61.374133858268223</v>
          </cell>
          <cell r="I711" t="e">
            <v>#N/A</v>
          </cell>
          <cell r="J711" t="e">
            <v>#N/A</v>
          </cell>
          <cell r="K711" t="e">
            <v>#N/A</v>
          </cell>
          <cell r="L711" t="e">
            <v>#N/A</v>
          </cell>
          <cell r="M711" t="e">
            <v>#N/A</v>
          </cell>
          <cell r="N711" t="e">
            <v>#N/A</v>
          </cell>
          <cell r="O711" t="e">
            <v>#N/A</v>
          </cell>
          <cell r="P711">
            <v>71.03</v>
          </cell>
          <cell r="Q711" t="str">
            <v/>
          </cell>
          <cell r="R711" t="e">
            <v>#N/A</v>
          </cell>
        </row>
        <row r="712">
          <cell r="A712">
            <v>40498</v>
          </cell>
          <cell r="B712">
            <v>40498</v>
          </cell>
          <cell r="C712" t="str">
            <v>Future</v>
          </cell>
          <cell r="D712" t="e">
            <v>#N/A</v>
          </cell>
          <cell r="E712">
            <v>27.96456692913355</v>
          </cell>
          <cell r="F712">
            <v>91.625984251968987</v>
          </cell>
          <cell r="G712">
            <v>61.311023622047749</v>
          </cell>
          <cell r="H712">
            <v>61.311023622047749</v>
          </cell>
          <cell r="I712" t="e">
            <v>#N/A</v>
          </cell>
          <cell r="J712" t="e">
            <v>#N/A</v>
          </cell>
          <cell r="K712" t="e">
            <v>#N/A</v>
          </cell>
          <cell r="L712" t="e">
            <v>#N/A</v>
          </cell>
          <cell r="M712" t="e">
            <v>#N/A</v>
          </cell>
          <cell r="N712" t="e">
            <v>#N/A</v>
          </cell>
          <cell r="O712" t="e">
            <v>#N/A</v>
          </cell>
          <cell r="P712">
            <v>71.03</v>
          </cell>
          <cell r="Q712" t="str">
            <v/>
          </cell>
          <cell r="R712" t="e">
            <v>#N/A</v>
          </cell>
        </row>
        <row r="713">
          <cell r="A713">
            <v>40499</v>
          </cell>
          <cell r="B713">
            <v>40499</v>
          </cell>
          <cell r="C713" t="str">
            <v>Future</v>
          </cell>
          <cell r="D713" t="e">
            <v>#N/A</v>
          </cell>
          <cell r="E713">
            <v>27.684921259842213</v>
          </cell>
          <cell r="F713">
            <v>91.759724409449305</v>
          </cell>
          <cell r="G713">
            <v>61.247913385827275</v>
          </cell>
          <cell r="H713">
            <v>61.247913385827275</v>
          </cell>
          <cell r="I713" t="e">
            <v>#N/A</v>
          </cell>
          <cell r="J713" t="e">
            <v>#N/A</v>
          </cell>
          <cell r="K713" t="e">
            <v>#N/A</v>
          </cell>
          <cell r="L713" t="e">
            <v>#N/A</v>
          </cell>
          <cell r="M713" t="e">
            <v>#N/A</v>
          </cell>
          <cell r="N713" t="e">
            <v>#N/A</v>
          </cell>
          <cell r="O713" t="e">
            <v>#N/A</v>
          </cell>
          <cell r="P713">
            <v>71.03</v>
          </cell>
          <cell r="Q713" t="str">
            <v/>
          </cell>
          <cell r="R713" t="e">
            <v>#N/A</v>
          </cell>
        </row>
        <row r="714">
          <cell r="A714">
            <v>40500</v>
          </cell>
          <cell r="B714">
            <v>40500</v>
          </cell>
          <cell r="C714" t="str">
            <v>Future</v>
          </cell>
          <cell r="D714" t="e">
            <v>#N/A</v>
          </cell>
          <cell r="E714">
            <v>27.405275590550875</v>
          </cell>
          <cell r="F714">
            <v>91.893464566929623</v>
          </cell>
          <cell r="G714">
            <v>61.1848031496068</v>
          </cell>
          <cell r="H714">
            <v>61.1848031496068</v>
          </cell>
          <cell r="I714" t="e">
            <v>#N/A</v>
          </cell>
          <cell r="J714" t="e">
            <v>#N/A</v>
          </cell>
          <cell r="K714" t="e">
            <v>#N/A</v>
          </cell>
          <cell r="L714" t="e">
            <v>#N/A</v>
          </cell>
          <cell r="M714" t="e">
            <v>#N/A</v>
          </cell>
          <cell r="N714" t="e">
            <v>#N/A</v>
          </cell>
          <cell r="O714" t="e">
            <v>#N/A</v>
          </cell>
          <cell r="P714">
            <v>71.03</v>
          </cell>
          <cell r="Q714" t="str">
            <v/>
          </cell>
          <cell r="R714" t="e">
            <v>#N/A</v>
          </cell>
        </row>
        <row r="715">
          <cell r="A715">
            <v>40501</v>
          </cell>
          <cell r="B715">
            <v>40501</v>
          </cell>
          <cell r="C715" t="str">
            <v>Future</v>
          </cell>
          <cell r="D715" t="e">
            <v>#N/A</v>
          </cell>
          <cell r="E715">
            <v>27.125629921259538</v>
          </cell>
          <cell r="F715">
            <v>92.027204724409941</v>
          </cell>
          <cell r="G715">
            <v>61.121692913386326</v>
          </cell>
          <cell r="H715">
            <v>61.121692913386326</v>
          </cell>
          <cell r="I715" t="e">
            <v>#N/A</v>
          </cell>
          <cell r="J715" t="e">
            <v>#N/A</v>
          </cell>
          <cell r="K715" t="e">
            <v>#N/A</v>
          </cell>
          <cell r="L715" t="e">
            <v>#N/A</v>
          </cell>
          <cell r="M715" t="e">
            <v>#N/A</v>
          </cell>
          <cell r="N715" t="e">
            <v>#N/A</v>
          </cell>
          <cell r="O715" t="e">
            <v>#N/A</v>
          </cell>
          <cell r="P715">
            <v>71.03</v>
          </cell>
          <cell r="Q715" t="str">
            <v/>
          </cell>
          <cell r="R715" t="e">
            <v>#N/A</v>
          </cell>
        </row>
        <row r="716">
          <cell r="A716">
            <v>40504</v>
          </cell>
          <cell r="B716">
            <v>40504</v>
          </cell>
          <cell r="C716" t="str">
            <v>Future</v>
          </cell>
          <cell r="D716" t="e">
            <v>#N/A</v>
          </cell>
          <cell r="E716">
            <v>26.845984251968201</v>
          </cell>
          <cell r="F716">
            <v>92.160944881890259</v>
          </cell>
          <cell r="G716">
            <v>61.058582677165852</v>
          </cell>
          <cell r="H716">
            <v>61.058582677165852</v>
          </cell>
          <cell r="I716" t="e">
            <v>#N/A</v>
          </cell>
          <cell r="J716" t="e">
            <v>#N/A</v>
          </cell>
          <cell r="K716" t="e">
            <v>#N/A</v>
          </cell>
          <cell r="L716" t="e">
            <v>#N/A</v>
          </cell>
          <cell r="M716" t="e">
            <v>#N/A</v>
          </cell>
          <cell r="N716" t="e">
            <v>#N/A</v>
          </cell>
          <cell r="O716" t="e">
            <v>#N/A</v>
          </cell>
          <cell r="P716">
            <v>71.03</v>
          </cell>
          <cell r="Q716" t="str">
            <v/>
          </cell>
          <cell r="R716" t="e">
            <v>#N/A</v>
          </cell>
        </row>
        <row r="717">
          <cell r="A717">
            <v>40505</v>
          </cell>
          <cell r="B717">
            <v>40505</v>
          </cell>
          <cell r="C717" t="str">
            <v>Future</v>
          </cell>
          <cell r="D717" t="e">
            <v>#N/A</v>
          </cell>
          <cell r="E717">
            <v>26.566338582676863</v>
          </cell>
          <cell r="F717">
            <v>92.294685039370577</v>
          </cell>
          <cell r="G717">
            <v>60.995472440945377</v>
          </cell>
          <cell r="H717">
            <v>60.995472440945377</v>
          </cell>
          <cell r="I717" t="e">
            <v>#N/A</v>
          </cell>
          <cell r="J717" t="e">
            <v>#N/A</v>
          </cell>
          <cell r="K717" t="e">
            <v>#N/A</v>
          </cell>
          <cell r="L717" t="e">
            <v>#N/A</v>
          </cell>
          <cell r="M717" t="e">
            <v>#N/A</v>
          </cell>
          <cell r="N717" t="e">
            <v>#N/A</v>
          </cell>
          <cell r="O717" t="e">
            <v>#N/A</v>
          </cell>
          <cell r="P717">
            <v>71.03</v>
          </cell>
          <cell r="Q717" t="str">
            <v/>
          </cell>
          <cell r="R717" t="e">
            <v>#N/A</v>
          </cell>
        </row>
        <row r="718">
          <cell r="A718">
            <v>40506</v>
          </cell>
          <cell r="B718">
            <v>40506</v>
          </cell>
          <cell r="C718" t="str">
            <v>Future</v>
          </cell>
          <cell r="D718" t="e">
            <v>#N/A</v>
          </cell>
          <cell r="E718">
            <v>26.286692913385526</v>
          </cell>
          <cell r="F718">
            <v>92.428425196850895</v>
          </cell>
          <cell r="G718">
            <v>60.932362204724903</v>
          </cell>
          <cell r="H718">
            <v>60.932362204724903</v>
          </cell>
          <cell r="I718" t="e">
            <v>#N/A</v>
          </cell>
          <cell r="J718" t="e">
            <v>#N/A</v>
          </cell>
          <cell r="K718" t="e">
            <v>#N/A</v>
          </cell>
          <cell r="L718" t="e">
            <v>#N/A</v>
          </cell>
          <cell r="M718" t="e">
            <v>#N/A</v>
          </cell>
          <cell r="N718" t="e">
            <v>#N/A</v>
          </cell>
          <cell r="O718" t="e">
            <v>#N/A</v>
          </cell>
          <cell r="P718">
            <v>71.03</v>
          </cell>
          <cell r="Q718" t="str">
            <v/>
          </cell>
          <cell r="R718" t="e">
            <v>#N/A</v>
          </cell>
        </row>
        <row r="719">
          <cell r="A719">
            <v>40508</v>
          </cell>
          <cell r="B719">
            <v>40508</v>
          </cell>
          <cell r="C719" t="str">
            <v>Future</v>
          </cell>
          <cell r="D719" t="e">
            <v>#N/A</v>
          </cell>
          <cell r="E719">
            <v>26.007047244094188</v>
          </cell>
          <cell r="F719">
            <v>92.562165354331214</v>
          </cell>
          <cell r="G719">
            <v>60.869251968504429</v>
          </cell>
          <cell r="H719">
            <v>60.869251968504429</v>
          </cell>
          <cell r="I719" t="e">
            <v>#N/A</v>
          </cell>
          <cell r="J719" t="e">
            <v>#N/A</v>
          </cell>
          <cell r="K719" t="e">
            <v>#N/A</v>
          </cell>
          <cell r="L719" t="e">
            <v>#N/A</v>
          </cell>
          <cell r="M719" t="e">
            <v>#N/A</v>
          </cell>
          <cell r="N719" t="e">
            <v>#N/A</v>
          </cell>
          <cell r="O719" t="e">
            <v>#N/A</v>
          </cell>
          <cell r="P719">
            <v>71.03</v>
          </cell>
          <cell r="Q719" t="str">
            <v/>
          </cell>
          <cell r="R719" t="e">
            <v>#N/A</v>
          </cell>
        </row>
        <row r="720">
          <cell r="A720">
            <v>40511</v>
          </cell>
          <cell r="B720">
            <v>40511</v>
          </cell>
          <cell r="C720" t="str">
            <v>Future</v>
          </cell>
          <cell r="D720" t="e">
            <v>#N/A</v>
          </cell>
          <cell r="E720">
            <v>25.727401574802851</v>
          </cell>
          <cell r="F720">
            <v>92.695905511811532</v>
          </cell>
          <cell r="G720">
            <v>60.806141732283955</v>
          </cell>
          <cell r="H720">
            <v>60.806141732283955</v>
          </cell>
          <cell r="I720" t="e">
            <v>#N/A</v>
          </cell>
          <cell r="J720" t="e">
            <v>#N/A</v>
          </cell>
          <cell r="K720" t="e">
            <v>#N/A</v>
          </cell>
          <cell r="L720" t="e">
            <v>#N/A</v>
          </cell>
          <cell r="M720" t="e">
            <v>#N/A</v>
          </cell>
          <cell r="N720" t="e">
            <v>#N/A</v>
          </cell>
          <cell r="O720" t="e">
            <v>#N/A</v>
          </cell>
          <cell r="P720">
            <v>71.03</v>
          </cell>
          <cell r="Q720" t="str">
            <v/>
          </cell>
          <cell r="R720" t="e">
            <v>#N/A</v>
          </cell>
        </row>
        <row r="721">
          <cell r="A721">
            <v>40512</v>
          </cell>
          <cell r="B721">
            <v>40512</v>
          </cell>
          <cell r="C721" t="str">
            <v>Future</v>
          </cell>
          <cell r="D721" t="e">
            <v>#N/A</v>
          </cell>
          <cell r="E721">
            <v>25.447755905511514</v>
          </cell>
          <cell r="F721">
            <v>92.82964566929185</v>
          </cell>
          <cell r="G721">
            <v>60.74303149606348</v>
          </cell>
          <cell r="H721">
            <v>60.74303149606348</v>
          </cell>
          <cell r="I721" t="e">
            <v>#N/A</v>
          </cell>
          <cell r="J721" t="e">
            <v>#N/A</v>
          </cell>
          <cell r="K721" t="e">
            <v>#N/A</v>
          </cell>
          <cell r="L721" t="e">
            <v>#N/A</v>
          </cell>
          <cell r="M721" t="e">
            <v>#N/A</v>
          </cell>
          <cell r="N721" t="e">
            <v>#N/A</v>
          </cell>
          <cell r="O721" t="e">
            <v>#N/A</v>
          </cell>
          <cell r="P721">
            <v>71.03</v>
          </cell>
          <cell r="Q721" t="str">
            <v/>
          </cell>
          <cell r="R721" t="e">
            <v>#N/A</v>
          </cell>
        </row>
        <row r="722">
          <cell r="A722">
            <v>40513</v>
          </cell>
          <cell r="B722">
            <v>40513</v>
          </cell>
          <cell r="C722" t="str">
            <v>Future</v>
          </cell>
          <cell r="D722" t="e">
            <v>#N/A</v>
          </cell>
          <cell r="E722">
            <v>25.168110236220176</v>
          </cell>
          <cell r="F722">
            <v>92.963385826772168</v>
          </cell>
          <cell r="G722">
            <v>60.679921259843006</v>
          </cell>
          <cell r="H722">
            <v>60.679921259843006</v>
          </cell>
          <cell r="I722" t="e">
            <v>#N/A</v>
          </cell>
          <cell r="J722" t="e">
            <v>#N/A</v>
          </cell>
          <cell r="K722" t="e">
            <v>#N/A</v>
          </cell>
          <cell r="L722" t="e">
            <v>#N/A</v>
          </cell>
          <cell r="M722" t="e">
            <v>#N/A</v>
          </cell>
          <cell r="N722" t="e">
            <v>#N/A</v>
          </cell>
          <cell r="O722" t="e">
            <v>#N/A</v>
          </cell>
          <cell r="P722">
            <v>71.03</v>
          </cell>
          <cell r="Q722" t="str">
            <v/>
          </cell>
          <cell r="R722" t="e">
            <v>#N/A</v>
          </cell>
        </row>
        <row r="723">
          <cell r="A723">
            <v>40514</v>
          </cell>
          <cell r="B723">
            <v>40514</v>
          </cell>
          <cell r="C723" t="str">
            <v>Future</v>
          </cell>
          <cell r="D723" t="e">
            <v>#N/A</v>
          </cell>
          <cell r="E723">
            <v>24.888464566928839</v>
          </cell>
          <cell r="F723">
            <v>93.097125984252486</v>
          </cell>
          <cell r="G723">
            <v>60.616811023622532</v>
          </cell>
          <cell r="H723">
            <v>60.616811023622532</v>
          </cell>
          <cell r="I723" t="e">
            <v>#N/A</v>
          </cell>
          <cell r="J723" t="e">
            <v>#N/A</v>
          </cell>
          <cell r="K723" t="e">
            <v>#N/A</v>
          </cell>
          <cell r="L723" t="e">
            <v>#N/A</v>
          </cell>
          <cell r="M723" t="e">
            <v>#N/A</v>
          </cell>
          <cell r="N723" t="e">
            <v>#N/A</v>
          </cell>
          <cell r="O723" t="e">
            <v>#N/A</v>
          </cell>
          <cell r="P723">
            <v>71.03</v>
          </cell>
          <cell r="Q723" t="str">
            <v/>
          </cell>
          <cell r="R723" t="e">
            <v>#N/A</v>
          </cell>
        </row>
        <row r="724">
          <cell r="A724">
            <v>40515</v>
          </cell>
          <cell r="B724">
            <v>40515</v>
          </cell>
          <cell r="C724" t="str">
            <v>Future</v>
          </cell>
          <cell r="D724" t="e">
            <v>#N/A</v>
          </cell>
          <cell r="E724">
            <v>24.608818897637502</v>
          </cell>
          <cell r="F724">
            <v>93.230866141732804</v>
          </cell>
          <cell r="G724">
            <v>60.553700787402057</v>
          </cell>
          <cell r="H724">
            <v>60.553700787402057</v>
          </cell>
          <cell r="I724" t="e">
            <v>#N/A</v>
          </cell>
          <cell r="J724" t="e">
            <v>#N/A</v>
          </cell>
          <cell r="K724" t="e">
            <v>#N/A</v>
          </cell>
          <cell r="L724" t="e">
            <v>#N/A</v>
          </cell>
          <cell r="M724" t="e">
            <v>#N/A</v>
          </cell>
          <cell r="N724" t="e">
            <v>#N/A</v>
          </cell>
          <cell r="O724" t="e">
            <v>#N/A</v>
          </cell>
          <cell r="P724">
            <v>71.03</v>
          </cell>
          <cell r="Q724" t="str">
            <v/>
          </cell>
          <cell r="R724" t="e">
            <v>#N/A</v>
          </cell>
        </row>
        <row r="725">
          <cell r="A725">
            <v>40518</v>
          </cell>
          <cell r="B725">
            <v>40518</v>
          </cell>
          <cell r="C725" t="str">
            <v>Future</v>
          </cell>
          <cell r="D725" t="e">
            <v>#N/A</v>
          </cell>
          <cell r="E725">
            <v>24.329173228346164</v>
          </cell>
          <cell r="F725">
            <v>93.364606299213122</v>
          </cell>
          <cell r="G725">
            <v>60.490590551181583</v>
          </cell>
          <cell r="H725">
            <v>60.490590551181583</v>
          </cell>
          <cell r="I725" t="e">
            <v>#N/A</v>
          </cell>
          <cell r="J725" t="e">
            <v>#N/A</v>
          </cell>
          <cell r="K725" t="e">
            <v>#N/A</v>
          </cell>
          <cell r="L725" t="e">
            <v>#N/A</v>
          </cell>
          <cell r="M725" t="e">
            <v>#N/A</v>
          </cell>
          <cell r="N725" t="e">
            <v>#N/A</v>
          </cell>
          <cell r="O725" t="e">
            <v>#N/A</v>
          </cell>
          <cell r="P725">
            <v>71.03</v>
          </cell>
          <cell r="Q725" t="str">
            <v/>
          </cell>
          <cell r="R725" t="e">
            <v>#N/A</v>
          </cell>
        </row>
        <row r="726">
          <cell r="A726">
            <v>40519</v>
          </cell>
          <cell r="B726">
            <v>40519</v>
          </cell>
          <cell r="C726" t="str">
            <v>Future</v>
          </cell>
          <cell r="D726" t="e">
            <v>#N/A</v>
          </cell>
          <cell r="E726">
            <v>24.049527559054827</v>
          </cell>
          <cell r="F726">
            <v>93.49834645669344</v>
          </cell>
          <cell r="G726">
            <v>60.427480314961109</v>
          </cell>
          <cell r="H726">
            <v>60.427480314961109</v>
          </cell>
          <cell r="I726" t="e">
            <v>#N/A</v>
          </cell>
          <cell r="J726" t="e">
            <v>#N/A</v>
          </cell>
          <cell r="K726" t="e">
            <v>#N/A</v>
          </cell>
          <cell r="L726" t="e">
            <v>#N/A</v>
          </cell>
          <cell r="M726" t="e">
            <v>#N/A</v>
          </cell>
          <cell r="N726" t="e">
            <v>#N/A</v>
          </cell>
          <cell r="O726" t="e">
            <v>#N/A</v>
          </cell>
          <cell r="P726">
            <v>71.03</v>
          </cell>
          <cell r="Q726" t="str">
            <v/>
          </cell>
          <cell r="R726" t="e">
            <v>#N/A</v>
          </cell>
        </row>
        <row r="727">
          <cell r="A727">
            <v>40520</v>
          </cell>
          <cell r="B727">
            <v>40520</v>
          </cell>
          <cell r="C727" t="str">
            <v>Future</v>
          </cell>
          <cell r="D727" t="e">
            <v>#N/A</v>
          </cell>
          <cell r="E727">
            <v>23.769881889763489</v>
          </cell>
          <cell r="F727">
            <v>93.632086614173758</v>
          </cell>
          <cell r="G727">
            <v>60.364370078740635</v>
          </cell>
          <cell r="H727">
            <v>60.364370078740635</v>
          </cell>
          <cell r="I727" t="e">
            <v>#N/A</v>
          </cell>
          <cell r="J727" t="e">
            <v>#N/A</v>
          </cell>
          <cell r="K727" t="e">
            <v>#N/A</v>
          </cell>
          <cell r="L727" t="e">
            <v>#N/A</v>
          </cell>
          <cell r="M727" t="e">
            <v>#N/A</v>
          </cell>
          <cell r="N727" t="e">
            <v>#N/A</v>
          </cell>
          <cell r="O727" t="e">
            <v>#N/A</v>
          </cell>
          <cell r="P727">
            <v>71.03</v>
          </cell>
          <cell r="Q727" t="str">
            <v/>
          </cell>
          <cell r="R727" t="e">
            <v>#N/A</v>
          </cell>
        </row>
        <row r="728">
          <cell r="A728">
            <v>40521</v>
          </cell>
          <cell r="B728">
            <v>40521</v>
          </cell>
          <cell r="C728" t="str">
            <v>Future</v>
          </cell>
          <cell r="D728" t="e">
            <v>#N/A</v>
          </cell>
          <cell r="E728">
            <v>23.490236220472152</v>
          </cell>
          <cell r="F728">
            <v>93.765826771654076</v>
          </cell>
          <cell r="G728">
            <v>60.30125984252016</v>
          </cell>
          <cell r="H728">
            <v>60.30125984252016</v>
          </cell>
          <cell r="I728" t="e">
            <v>#N/A</v>
          </cell>
          <cell r="J728" t="e">
            <v>#N/A</v>
          </cell>
          <cell r="K728" t="e">
            <v>#N/A</v>
          </cell>
          <cell r="L728" t="e">
            <v>#N/A</v>
          </cell>
          <cell r="M728" t="e">
            <v>#N/A</v>
          </cell>
          <cell r="N728" t="e">
            <v>#N/A</v>
          </cell>
          <cell r="O728" t="e">
            <v>#N/A</v>
          </cell>
          <cell r="P728">
            <v>71.03</v>
          </cell>
          <cell r="Q728" t="str">
            <v/>
          </cell>
          <cell r="R728" t="e">
            <v>#N/A</v>
          </cell>
        </row>
        <row r="729">
          <cell r="A729">
            <v>40522</v>
          </cell>
          <cell r="B729">
            <v>40522</v>
          </cell>
          <cell r="C729" t="str">
            <v>Future</v>
          </cell>
          <cell r="D729" t="e">
            <v>#N/A</v>
          </cell>
          <cell r="E729">
            <v>23.210590551180815</v>
          </cell>
          <cell r="F729">
            <v>93.899566929134394</v>
          </cell>
          <cell r="G729">
            <v>60.238149606299686</v>
          </cell>
          <cell r="H729">
            <v>60.238149606299686</v>
          </cell>
          <cell r="I729" t="e">
            <v>#N/A</v>
          </cell>
          <cell r="J729" t="e">
            <v>#N/A</v>
          </cell>
          <cell r="K729" t="e">
            <v>#N/A</v>
          </cell>
          <cell r="L729" t="e">
            <v>#N/A</v>
          </cell>
          <cell r="M729" t="e">
            <v>#N/A</v>
          </cell>
          <cell r="N729" t="e">
            <v>#N/A</v>
          </cell>
          <cell r="O729" t="e">
            <v>#N/A</v>
          </cell>
          <cell r="P729">
            <v>71.03</v>
          </cell>
          <cell r="Q729" t="str">
            <v/>
          </cell>
          <cell r="R729" t="e">
            <v>#N/A</v>
          </cell>
        </row>
        <row r="730">
          <cell r="A730">
            <v>40525</v>
          </cell>
          <cell r="B730">
            <v>40525</v>
          </cell>
          <cell r="C730" t="str">
            <v>Future</v>
          </cell>
          <cell r="D730" t="e">
            <v>#N/A</v>
          </cell>
          <cell r="E730">
            <v>22.930944881889477</v>
          </cell>
          <cell r="F730">
            <v>94.033307086614712</v>
          </cell>
          <cell r="G730">
            <v>60.175039370079212</v>
          </cell>
          <cell r="H730">
            <v>60.175039370079212</v>
          </cell>
          <cell r="I730" t="e">
            <v>#N/A</v>
          </cell>
          <cell r="J730" t="e">
            <v>#N/A</v>
          </cell>
          <cell r="K730" t="e">
            <v>#N/A</v>
          </cell>
          <cell r="L730" t="e">
            <v>#N/A</v>
          </cell>
          <cell r="M730" t="e">
            <v>#N/A</v>
          </cell>
          <cell r="N730" t="e">
            <v>#N/A</v>
          </cell>
          <cell r="O730" t="e">
            <v>#N/A</v>
          </cell>
          <cell r="P730">
            <v>71.03</v>
          </cell>
          <cell r="Q730" t="str">
            <v/>
          </cell>
          <cell r="R730" t="e">
            <v>#N/A</v>
          </cell>
        </row>
        <row r="731">
          <cell r="A731">
            <v>40526</v>
          </cell>
          <cell r="B731">
            <v>40526</v>
          </cell>
          <cell r="C731" t="str">
            <v>Future</v>
          </cell>
          <cell r="D731" t="e">
            <v>#N/A</v>
          </cell>
          <cell r="E731">
            <v>22.65129921259814</v>
          </cell>
          <cell r="F731">
            <v>94.167047244095031</v>
          </cell>
          <cell r="G731">
            <v>60.111929133858737</v>
          </cell>
          <cell r="H731">
            <v>60.111929133858737</v>
          </cell>
          <cell r="I731" t="e">
            <v>#N/A</v>
          </cell>
          <cell r="J731" t="e">
            <v>#N/A</v>
          </cell>
          <cell r="K731" t="e">
            <v>#N/A</v>
          </cell>
          <cell r="L731" t="e">
            <v>#N/A</v>
          </cell>
          <cell r="M731" t="e">
            <v>#N/A</v>
          </cell>
          <cell r="N731" t="e">
            <v>#N/A</v>
          </cell>
          <cell r="O731" t="e">
            <v>#N/A</v>
          </cell>
          <cell r="P731">
            <v>71.03</v>
          </cell>
          <cell r="Q731" t="str">
            <v/>
          </cell>
          <cell r="R731" t="e">
            <v>#N/A</v>
          </cell>
        </row>
        <row r="732">
          <cell r="A732">
            <v>40527</v>
          </cell>
          <cell r="B732">
            <v>40527</v>
          </cell>
          <cell r="C732" t="str">
            <v>Future</v>
          </cell>
          <cell r="D732" t="e">
            <v>#N/A</v>
          </cell>
          <cell r="E732">
            <v>22.371653543306802</v>
          </cell>
          <cell r="F732">
            <v>94.300787401575349</v>
          </cell>
          <cell r="G732">
            <v>60.048818897638263</v>
          </cell>
          <cell r="H732">
            <v>60.048818897638263</v>
          </cell>
          <cell r="I732" t="e">
            <v>#N/A</v>
          </cell>
          <cell r="J732" t="e">
            <v>#N/A</v>
          </cell>
          <cell r="K732" t="e">
            <v>#N/A</v>
          </cell>
          <cell r="L732" t="e">
            <v>#N/A</v>
          </cell>
          <cell r="M732" t="e">
            <v>#N/A</v>
          </cell>
          <cell r="N732" t="e">
            <v>#N/A</v>
          </cell>
          <cell r="O732" t="e">
            <v>#N/A</v>
          </cell>
          <cell r="P732">
            <v>71.03</v>
          </cell>
          <cell r="Q732" t="str">
            <v/>
          </cell>
          <cell r="R732" t="e">
            <v>#N/A</v>
          </cell>
        </row>
        <row r="733">
          <cell r="A733">
            <v>40528</v>
          </cell>
          <cell r="B733">
            <v>40528</v>
          </cell>
          <cell r="C733" t="str">
            <v>Future</v>
          </cell>
          <cell r="D733" t="e">
            <v>#N/A</v>
          </cell>
          <cell r="E733">
            <v>22.092007874015465</v>
          </cell>
          <cell r="F733">
            <v>94.434527559055667</v>
          </cell>
          <cell r="G733">
            <v>59.985708661417789</v>
          </cell>
          <cell r="H733">
            <v>59.985708661417789</v>
          </cell>
          <cell r="I733" t="e">
            <v>#N/A</v>
          </cell>
          <cell r="J733" t="e">
            <v>#N/A</v>
          </cell>
          <cell r="K733" t="e">
            <v>#N/A</v>
          </cell>
          <cell r="L733" t="e">
            <v>#N/A</v>
          </cell>
          <cell r="M733" t="e">
            <v>#N/A</v>
          </cell>
          <cell r="N733" t="e">
            <v>#N/A</v>
          </cell>
          <cell r="O733" t="e">
            <v>#N/A</v>
          </cell>
          <cell r="P733">
            <v>71.03</v>
          </cell>
          <cell r="Q733" t="str">
            <v/>
          </cell>
          <cell r="R733" t="e">
            <v>#N/A</v>
          </cell>
        </row>
        <row r="734">
          <cell r="A734">
            <v>40529</v>
          </cell>
          <cell r="B734">
            <v>40529</v>
          </cell>
          <cell r="C734" t="str">
            <v>Future</v>
          </cell>
          <cell r="D734" t="e">
            <v>#N/A</v>
          </cell>
          <cell r="E734">
            <v>21.812362204724128</v>
          </cell>
          <cell r="F734">
            <v>94.568267716535985</v>
          </cell>
          <cell r="G734">
            <v>59.922598425197314</v>
          </cell>
          <cell r="H734">
            <v>59.922598425197314</v>
          </cell>
          <cell r="I734" t="e">
            <v>#N/A</v>
          </cell>
          <cell r="J734" t="e">
            <v>#N/A</v>
          </cell>
          <cell r="K734" t="e">
            <v>#N/A</v>
          </cell>
          <cell r="L734" t="e">
            <v>#N/A</v>
          </cell>
          <cell r="M734" t="e">
            <v>#N/A</v>
          </cell>
          <cell r="N734" t="e">
            <v>#N/A</v>
          </cell>
          <cell r="O734" t="e">
            <v>#N/A</v>
          </cell>
          <cell r="P734">
            <v>71.03</v>
          </cell>
          <cell r="Q734" t="str">
            <v/>
          </cell>
          <cell r="R734" t="e">
            <v>#N/A</v>
          </cell>
        </row>
        <row r="735">
          <cell r="A735">
            <v>40532</v>
          </cell>
          <cell r="B735">
            <v>40532</v>
          </cell>
          <cell r="C735" t="str">
            <v>Future</v>
          </cell>
          <cell r="D735" t="e">
            <v>#N/A</v>
          </cell>
          <cell r="E735">
            <v>21.53271653543279</v>
          </cell>
          <cell r="F735">
            <v>94.702007874016303</v>
          </cell>
          <cell r="G735">
            <v>59.85948818897684</v>
          </cell>
          <cell r="H735">
            <v>59.85948818897684</v>
          </cell>
          <cell r="I735" t="e">
            <v>#N/A</v>
          </cell>
          <cell r="J735" t="e">
            <v>#N/A</v>
          </cell>
          <cell r="K735" t="e">
            <v>#N/A</v>
          </cell>
          <cell r="L735" t="e">
            <v>#N/A</v>
          </cell>
          <cell r="M735" t="e">
            <v>#N/A</v>
          </cell>
          <cell r="N735" t="e">
            <v>#N/A</v>
          </cell>
          <cell r="O735" t="e">
            <v>#N/A</v>
          </cell>
          <cell r="P735">
            <v>71.03</v>
          </cell>
          <cell r="Q735" t="str">
            <v/>
          </cell>
          <cell r="R735" t="e">
            <v>#N/A</v>
          </cell>
        </row>
        <row r="736">
          <cell r="A736">
            <v>40533</v>
          </cell>
          <cell r="B736">
            <v>40533</v>
          </cell>
          <cell r="C736" t="str">
            <v>Future</v>
          </cell>
          <cell r="D736" t="e">
            <v>#N/A</v>
          </cell>
          <cell r="E736">
            <v>21.253070866141453</v>
          </cell>
          <cell r="F736">
            <v>94.835748031496621</v>
          </cell>
          <cell r="G736">
            <v>59.796377952756366</v>
          </cell>
          <cell r="H736">
            <v>59.796377952756366</v>
          </cell>
          <cell r="I736" t="e">
            <v>#N/A</v>
          </cell>
          <cell r="J736" t="e">
            <v>#N/A</v>
          </cell>
          <cell r="K736" t="e">
            <v>#N/A</v>
          </cell>
          <cell r="L736" t="e">
            <v>#N/A</v>
          </cell>
          <cell r="M736" t="e">
            <v>#N/A</v>
          </cell>
          <cell r="N736" t="e">
            <v>#N/A</v>
          </cell>
          <cell r="O736" t="e">
            <v>#N/A</v>
          </cell>
          <cell r="P736">
            <v>71.03</v>
          </cell>
          <cell r="Q736" t="str">
            <v/>
          </cell>
          <cell r="R736" t="e">
            <v>#N/A</v>
          </cell>
        </row>
        <row r="737">
          <cell r="A737">
            <v>40534</v>
          </cell>
          <cell r="B737">
            <v>40534</v>
          </cell>
          <cell r="C737" t="str">
            <v>Future</v>
          </cell>
          <cell r="D737" t="e">
            <v>#N/A</v>
          </cell>
          <cell r="E737">
            <v>20.973425196850116</v>
          </cell>
          <cell r="F737">
            <v>94.969488188976939</v>
          </cell>
          <cell r="G737">
            <v>59.733267716535892</v>
          </cell>
          <cell r="H737">
            <v>59.733267716535892</v>
          </cell>
          <cell r="I737" t="e">
            <v>#N/A</v>
          </cell>
          <cell r="J737" t="e">
            <v>#N/A</v>
          </cell>
          <cell r="K737" t="e">
            <v>#N/A</v>
          </cell>
          <cell r="L737" t="e">
            <v>#N/A</v>
          </cell>
          <cell r="M737" t="e">
            <v>#N/A</v>
          </cell>
          <cell r="N737" t="e">
            <v>#N/A</v>
          </cell>
          <cell r="O737" t="e">
            <v>#N/A</v>
          </cell>
          <cell r="P737">
            <v>71.03</v>
          </cell>
          <cell r="Q737" t="str">
            <v/>
          </cell>
          <cell r="R737" t="e">
            <v>#N/A</v>
          </cell>
        </row>
        <row r="738">
          <cell r="A738">
            <v>40535</v>
          </cell>
          <cell r="B738">
            <v>40535</v>
          </cell>
          <cell r="C738" t="str">
            <v>Future</v>
          </cell>
          <cell r="D738" t="e">
            <v>#N/A</v>
          </cell>
          <cell r="E738">
            <v>20.693779527558778</v>
          </cell>
          <cell r="F738">
            <v>95.103228346457257</v>
          </cell>
          <cell r="G738">
            <v>59.670157480315417</v>
          </cell>
          <cell r="H738">
            <v>59.670157480315417</v>
          </cell>
          <cell r="I738" t="e">
            <v>#N/A</v>
          </cell>
          <cell r="J738" t="e">
            <v>#N/A</v>
          </cell>
          <cell r="K738" t="e">
            <v>#N/A</v>
          </cell>
          <cell r="L738" t="e">
            <v>#N/A</v>
          </cell>
          <cell r="M738" t="e">
            <v>#N/A</v>
          </cell>
          <cell r="N738" t="e">
            <v>#N/A</v>
          </cell>
          <cell r="O738" t="e">
            <v>#N/A</v>
          </cell>
          <cell r="P738">
            <v>71.03</v>
          </cell>
          <cell r="Q738" t="str">
            <v/>
          </cell>
          <cell r="R738" t="e">
            <v>#N/A</v>
          </cell>
        </row>
        <row r="739">
          <cell r="A739">
            <v>40539</v>
          </cell>
          <cell r="B739">
            <v>40539</v>
          </cell>
          <cell r="C739" t="str">
            <v>Future</v>
          </cell>
          <cell r="D739" t="e">
            <v>#N/A</v>
          </cell>
          <cell r="E739">
            <v>20.414133858267441</v>
          </cell>
          <cell r="F739">
            <v>95.236968503937575</v>
          </cell>
          <cell r="G739">
            <v>59.607047244094943</v>
          </cell>
          <cell r="H739">
            <v>59.607047244094943</v>
          </cell>
          <cell r="I739" t="e">
            <v>#N/A</v>
          </cell>
          <cell r="J739" t="e">
            <v>#N/A</v>
          </cell>
          <cell r="K739" t="e">
            <v>#N/A</v>
          </cell>
          <cell r="L739" t="e">
            <v>#N/A</v>
          </cell>
          <cell r="M739" t="e">
            <v>#N/A</v>
          </cell>
          <cell r="N739" t="e">
            <v>#N/A</v>
          </cell>
          <cell r="O739" t="e">
            <v>#N/A</v>
          </cell>
          <cell r="P739">
            <v>71.03</v>
          </cell>
          <cell r="Q739" t="str">
            <v/>
          </cell>
          <cell r="R739" t="e">
            <v>#N/A</v>
          </cell>
        </row>
        <row r="740">
          <cell r="A740">
            <v>40540</v>
          </cell>
          <cell r="B740">
            <v>40540</v>
          </cell>
          <cell r="C740" t="str">
            <v>Future</v>
          </cell>
          <cell r="D740" t="e">
            <v>#N/A</v>
          </cell>
          <cell r="E740">
            <v>20.134488188976103</v>
          </cell>
          <cell r="F740">
            <v>95.370708661417893</v>
          </cell>
          <cell r="G740">
            <v>59.543937007874469</v>
          </cell>
          <cell r="H740">
            <v>59.543937007874469</v>
          </cell>
          <cell r="I740" t="e">
            <v>#N/A</v>
          </cell>
          <cell r="J740" t="e">
            <v>#N/A</v>
          </cell>
          <cell r="K740" t="e">
            <v>#N/A</v>
          </cell>
          <cell r="L740" t="e">
            <v>#N/A</v>
          </cell>
          <cell r="M740" t="e">
            <v>#N/A</v>
          </cell>
          <cell r="N740" t="e">
            <v>#N/A</v>
          </cell>
          <cell r="O740" t="e">
            <v>#N/A</v>
          </cell>
          <cell r="P740">
            <v>71.03</v>
          </cell>
          <cell r="Q740" t="str">
            <v/>
          </cell>
          <cell r="R740" t="e">
            <v>#N/A</v>
          </cell>
        </row>
        <row r="741">
          <cell r="A741">
            <v>40541</v>
          </cell>
          <cell r="B741">
            <v>40541</v>
          </cell>
          <cell r="C741" t="str">
            <v>Future</v>
          </cell>
          <cell r="D741" t="e">
            <v>#N/A</v>
          </cell>
          <cell r="E741">
            <v>19.854842519684766</v>
          </cell>
          <cell r="F741">
            <v>95.504448818898211</v>
          </cell>
          <cell r="G741">
            <v>59.480826771653994</v>
          </cell>
          <cell r="H741">
            <v>59.480826771653994</v>
          </cell>
          <cell r="I741" t="e">
            <v>#N/A</v>
          </cell>
          <cell r="J741" t="e">
            <v>#N/A</v>
          </cell>
          <cell r="K741" t="e">
            <v>#N/A</v>
          </cell>
          <cell r="L741" t="e">
            <v>#N/A</v>
          </cell>
          <cell r="M741" t="e">
            <v>#N/A</v>
          </cell>
          <cell r="N741" t="e">
            <v>#N/A</v>
          </cell>
          <cell r="O741" t="e">
            <v>#N/A</v>
          </cell>
          <cell r="P741">
            <v>71.03</v>
          </cell>
          <cell r="Q741" t="str">
            <v/>
          </cell>
          <cell r="R741" t="e">
            <v>#N/A</v>
          </cell>
        </row>
        <row r="742">
          <cell r="A742">
            <v>40542</v>
          </cell>
          <cell r="B742">
            <v>40542</v>
          </cell>
          <cell r="C742" t="str">
            <v>Future</v>
          </cell>
          <cell r="D742" t="e">
            <v>#N/A</v>
          </cell>
          <cell r="E742">
            <v>19.575196850393429</v>
          </cell>
          <cell r="F742">
            <v>95.63818897637853</v>
          </cell>
          <cell r="G742">
            <v>59.41771653543352</v>
          </cell>
          <cell r="H742">
            <v>59.41771653543352</v>
          </cell>
          <cell r="I742" t="e">
            <v>#N/A</v>
          </cell>
          <cell r="J742" t="e">
            <v>#N/A</v>
          </cell>
          <cell r="K742" t="e">
            <v>#N/A</v>
          </cell>
          <cell r="L742" t="e">
            <v>#N/A</v>
          </cell>
          <cell r="M742" t="e">
            <v>#N/A</v>
          </cell>
          <cell r="N742" t="e">
            <v>#N/A</v>
          </cell>
          <cell r="O742" t="e">
            <v>#N/A</v>
          </cell>
          <cell r="P742">
            <v>71.03</v>
          </cell>
          <cell r="Q742" t="str">
            <v/>
          </cell>
          <cell r="R742" t="e">
            <v>#N/A</v>
          </cell>
        </row>
        <row r="743">
          <cell r="A743">
            <v>40543</v>
          </cell>
          <cell r="B743">
            <v>40543</v>
          </cell>
          <cell r="C743" t="str">
            <v>Future</v>
          </cell>
          <cell r="D743" t="e">
            <v>#N/A</v>
          </cell>
          <cell r="E743">
            <v>19.295551181102091</v>
          </cell>
          <cell r="F743">
            <v>95.771929133858848</v>
          </cell>
          <cell r="G743">
            <v>59.354606299213046</v>
          </cell>
          <cell r="H743">
            <v>59.354606299213046</v>
          </cell>
          <cell r="I743" t="e">
            <v>#N/A</v>
          </cell>
          <cell r="J743" t="e">
            <v>#N/A</v>
          </cell>
          <cell r="K743" t="e">
            <v>#N/A</v>
          </cell>
          <cell r="L743" t="e">
            <v>#N/A</v>
          </cell>
          <cell r="M743" t="e">
            <v>#N/A</v>
          </cell>
          <cell r="N743" t="e">
            <v>#N/A</v>
          </cell>
          <cell r="O743" t="e">
            <v>#N/A</v>
          </cell>
          <cell r="P743">
            <v>71.03</v>
          </cell>
          <cell r="Q743" t="str">
            <v/>
          </cell>
          <cell r="R743" t="e">
            <v>#N/A</v>
          </cell>
        </row>
        <row r="744">
          <cell r="A744">
            <v>40546</v>
          </cell>
          <cell r="B744">
            <v>40546</v>
          </cell>
          <cell r="C744" t="str">
            <v>Future</v>
          </cell>
          <cell r="D744" t="e">
            <v>#N/A</v>
          </cell>
          <cell r="E744">
            <v>19.015905511810754</v>
          </cell>
          <cell r="F744">
            <v>95.905669291339166</v>
          </cell>
          <cell r="G744">
            <v>59.291496062992572</v>
          </cell>
          <cell r="H744">
            <v>59.291496062992572</v>
          </cell>
          <cell r="I744" t="e">
            <v>#N/A</v>
          </cell>
          <cell r="J744" t="e">
            <v>#N/A</v>
          </cell>
          <cell r="K744" t="e">
            <v>#N/A</v>
          </cell>
          <cell r="L744" t="e">
            <v>#N/A</v>
          </cell>
          <cell r="M744" t="e">
            <v>#N/A</v>
          </cell>
          <cell r="N744" t="e">
            <v>#N/A</v>
          </cell>
          <cell r="O744" t="e">
            <v>#N/A</v>
          </cell>
          <cell r="P744">
            <v>71.03</v>
          </cell>
          <cell r="Q744" t="str">
            <v/>
          </cell>
          <cell r="R744" t="e">
            <v>#N/A</v>
          </cell>
        </row>
        <row r="745">
          <cell r="A745">
            <v>40547</v>
          </cell>
          <cell r="B745">
            <v>40547</v>
          </cell>
          <cell r="C745" t="str">
            <v>Future</v>
          </cell>
          <cell r="D745" t="e">
            <v>#N/A</v>
          </cell>
          <cell r="E745">
            <v>18.736259842519416</v>
          </cell>
          <cell r="F745">
            <v>96.039409448819484</v>
          </cell>
          <cell r="G745">
            <v>59.228385826772097</v>
          </cell>
          <cell r="H745">
            <v>59.228385826772097</v>
          </cell>
          <cell r="I745" t="e">
            <v>#N/A</v>
          </cell>
          <cell r="J745" t="e">
            <v>#N/A</v>
          </cell>
          <cell r="K745" t="e">
            <v>#N/A</v>
          </cell>
          <cell r="L745" t="e">
            <v>#N/A</v>
          </cell>
          <cell r="M745" t="e">
            <v>#N/A</v>
          </cell>
          <cell r="N745" t="e">
            <v>#N/A</v>
          </cell>
          <cell r="O745" t="e">
            <v>#N/A</v>
          </cell>
          <cell r="P745">
            <v>71.03</v>
          </cell>
          <cell r="Q745" t="str">
            <v/>
          </cell>
          <cell r="R745" t="e">
            <v>#N/A</v>
          </cell>
        </row>
        <row r="746">
          <cell r="A746">
            <v>40548</v>
          </cell>
          <cell r="B746">
            <v>40548</v>
          </cell>
          <cell r="C746" t="str">
            <v>Future</v>
          </cell>
          <cell r="D746" t="e">
            <v>#N/A</v>
          </cell>
          <cell r="E746">
            <v>18.456614173228079</v>
          </cell>
          <cell r="F746">
            <v>96.173149606299802</v>
          </cell>
          <cell r="G746">
            <v>59.165275590551623</v>
          </cell>
          <cell r="H746">
            <v>59.165275590551623</v>
          </cell>
          <cell r="I746" t="e">
            <v>#N/A</v>
          </cell>
          <cell r="J746" t="e">
            <v>#N/A</v>
          </cell>
          <cell r="K746" t="e">
            <v>#N/A</v>
          </cell>
          <cell r="L746" t="e">
            <v>#N/A</v>
          </cell>
          <cell r="M746" t="e">
            <v>#N/A</v>
          </cell>
          <cell r="N746" t="e">
            <v>#N/A</v>
          </cell>
          <cell r="O746" t="e">
            <v>#N/A</v>
          </cell>
          <cell r="P746">
            <v>71.03</v>
          </cell>
          <cell r="Q746" t="str">
            <v/>
          </cell>
          <cell r="R746" t="e">
            <v>#N/A</v>
          </cell>
        </row>
        <row r="747">
          <cell r="A747">
            <v>40549</v>
          </cell>
          <cell r="B747">
            <v>40549</v>
          </cell>
          <cell r="C747" t="str">
            <v>Future</v>
          </cell>
          <cell r="D747" t="e">
            <v>#N/A</v>
          </cell>
          <cell r="E747">
            <v>18.176968503936742</v>
          </cell>
          <cell r="F747">
            <v>96.30688976378012</v>
          </cell>
          <cell r="G747">
            <v>59.102165354331149</v>
          </cell>
          <cell r="H747">
            <v>59.102165354331149</v>
          </cell>
          <cell r="I747" t="e">
            <v>#N/A</v>
          </cell>
          <cell r="J747" t="e">
            <v>#N/A</v>
          </cell>
          <cell r="K747" t="e">
            <v>#N/A</v>
          </cell>
          <cell r="L747" t="e">
            <v>#N/A</v>
          </cell>
          <cell r="M747" t="e">
            <v>#N/A</v>
          </cell>
          <cell r="N747" t="e">
            <v>#N/A</v>
          </cell>
          <cell r="O747" t="e">
            <v>#N/A</v>
          </cell>
          <cell r="P747">
            <v>71.03</v>
          </cell>
          <cell r="Q747" t="str">
            <v/>
          </cell>
          <cell r="R747" t="e">
            <v>#N/A</v>
          </cell>
        </row>
        <row r="748">
          <cell r="A748">
            <v>40550</v>
          </cell>
          <cell r="B748">
            <v>40550</v>
          </cell>
          <cell r="C748" t="str">
            <v>Future</v>
          </cell>
          <cell r="D748" t="e">
            <v>#N/A</v>
          </cell>
          <cell r="E748">
            <v>17.897322834645404</v>
          </cell>
          <cell r="F748">
            <v>96.440629921260438</v>
          </cell>
          <cell r="G748">
            <v>59.039055118110674</v>
          </cell>
          <cell r="H748">
            <v>59.039055118110674</v>
          </cell>
          <cell r="I748" t="e">
            <v>#N/A</v>
          </cell>
          <cell r="J748" t="e">
            <v>#N/A</v>
          </cell>
          <cell r="K748" t="e">
            <v>#N/A</v>
          </cell>
          <cell r="L748" t="e">
            <v>#N/A</v>
          </cell>
          <cell r="M748" t="e">
            <v>#N/A</v>
          </cell>
          <cell r="N748" t="e">
            <v>#N/A</v>
          </cell>
          <cell r="O748" t="e">
            <v>#N/A</v>
          </cell>
          <cell r="P748">
            <v>71.03</v>
          </cell>
          <cell r="Q748" t="str">
            <v/>
          </cell>
          <cell r="R748" t="e">
            <v>#N/A</v>
          </cell>
        </row>
        <row r="749">
          <cell r="A749">
            <v>40553</v>
          </cell>
          <cell r="B749">
            <v>40553</v>
          </cell>
          <cell r="C749" t="str">
            <v>Future</v>
          </cell>
          <cell r="D749" t="e">
            <v>#N/A</v>
          </cell>
          <cell r="E749">
            <v>17.617677165354067</v>
          </cell>
          <cell r="F749">
            <v>96.574370078740756</v>
          </cell>
          <cell r="G749">
            <v>58.9759448818902</v>
          </cell>
          <cell r="H749">
            <v>58.9759448818902</v>
          </cell>
          <cell r="I749" t="e">
            <v>#N/A</v>
          </cell>
          <cell r="J749" t="e">
            <v>#N/A</v>
          </cell>
          <cell r="K749" t="e">
            <v>#N/A</v>
          </cell>
          <cell r="L749" t="e">
            <v>#N/A</v>
          </cell>
          <cell r="M749" t="e">
            <v>#N/A</v>
          </cell>
          <cell r="N749" t="e">
            <v>#N/A</v>
          </cell>
          <cell r="O749" t="e">
            <v>#N/A</v>
          </cell>
          <cell r="P749">
            <v>71.03</v>
          </cell>
          <cell r="Q749" t="str">
            <v/>
          </cell>
          <cell r="R749" t="e">
            <v>#N/A</v>
          </cell>
        </row>
        <row r="750">
          <cell r="A750">
            <v>40554</v>
          </cell>
          <cell r="B750">
            <v>40554</v>
          </cell>
          <cell r="C750" t="str">
            <v>Future</v>
          </cell>
          <cell r="D750" t="e">
            <v>#N/A</v>
          </cell>
          <cell r="E750">
            <v>17.33803149606273</v>
          </cell>
          <cell r="F750">
            <v>96.708110236221074</v>
          </cell>
          <cell r="G750">
            <v>58.912834645669726</v>
          </cell>
          <cell r="H750">
            <v>58.912834645669726</v>
          </cell>
          <cell r="I750" t="e">
            <v>#N/A</v>
          </cell>
          <cell r="J750" t="e">
            <v>#N/A</v>
          </cell>
          <cell r="K750" t="e">
            <v>#N/A</v>
          </cell>
          <cell r="L750" t="e">
            <v>#N/A</v>
          </cell>
          <cell r="M750" t="e">
            <v>#N/A</v>
          </cell>
          <cell r="N750" t="e">
            <v>#N/A</v>
          </cell>
          <cell r="O750" t="e">
            <v>#N/A</v>
          </cell>
          <cell r="P750">
            <v>71.03</v>
          </cell>
          <cell r="Q750" t="str">
            <v/>
          </cell>
          <cell r="R750" t="e">
            <v>#N/A</v>
          </cell>
        </row>
        <row r="751">
          <cell r="A751">
            <v>40555</v>
          </cell>
          <cell r="B751">
            <v>40555</v>
          </cell>
          <cell r="C751" t="str">
            <v>Future</v>
          </cell>
          <cell r="D751" t="e">
            <v>#N/A</v>
          </cell>
          <cell r="E751">
            <v>17.058385826771392</v>
          </cell>
          <cell r="F751">
            <v>96.841850393701392</v>
          </cell>
          <cell r="G751">
            <v>58.849724409449252</v>
          </cell>
          <cell r="H751">
            <v>58.849724409449252</v>
          </cell>
          <cell r="I751" t="e">
            <v>#N/A</v>
          </cell>
          <cell r="J751" t="e">
            <v>#N/A</v>
          </cell>
          <cell r="K751" t="e">
            <v>#N/A</v>
          </cell>
          <cell r="L751" t="e">
            <v>#N/A</v>
          </cell>
          <cell r="M751" t="e">
            <v>#N/A</v>
          </cell>
          <cell r="N751" t="e">
            <v>#N/A</v>
          </cell>
          <cell r="O751" t="e">
            <v>#N/A</v>
          </cell>
          <cell r="P751">
            <v>71.03</v>
          </cell>
          <cell r="Q751" t="str">
            <v/>
          </cell>
          <cell r="R751" t="e">
            <v>#N/A</v>
          </cell>
        </row>
        <row r="752">
          <cell r="A752">
            <v>40556</v>
          </cell>
          <cell r="B752">
            <v>40556</v>
          </cell>
          <cell r="C752" t="str">
            <v>Future</v>
          </cell>
          <cell r="D752" t="e">
            <v>#N/A</v>
          </cell>
          <cell r="E752">
            <v>16.778740157480055</v>
          </cell>
          <cell r="F752">
            <v>96.97559055118171</v>
          </cell>
          <cell r="G752">
            <v>58.786614173228777</v>
          </cell>
          <cell r="H752">
            <v>58.786614173228777</v>
          </cell>
          <cell r="I752" t="e">
            <v>#N/A</v>
          </cell>
          <cell r="J752" t="e">
            <v>#N/A</v>
          </cell>
          <cell r="K752" t="e">
            <v>#N/A</v>
          </cell>
          <cell r="L752" t="e">
            <v>#N/A</v>
          </cell>
          <cell r="M752" t="e">
            <v>#N/A</v>
          </cell>
          <cell r="N752" t="e">
            <v>#N/A</v>
          </cell>
          <cell r="O752" t="e">
            <v>#N/A</v>
          </cell>
          <cell r="P752">
            <v>71.03</v>
          </cell>
          <cell r="Q752" t="str">
            <v/>
          </cell>
          <cell r="R752" t="e">
            <v>#N/A</v>
          </cell>
        </row>
        <row r="753">
          <cell r="A753">
            <v>40557</v>
          </cell>
          <cell r="B753">
            <v>40557</v>
          </cell>
          <cell r="C753" t="str">
            <v>Future</v>
          </cell>
          <cell r="D753" t="e">
            <v>#N/A</v>
          </cell>
          <cell r="E753">
            <v>16.499094488188717</v>
          </cell>
          <cell r="F753">
            <v>97.109330708662029</v>
          </cell>
          <cell r="G753">
            <v>58.723503937008303</v>
          </cell>
          <cell r="H753">
            <v>58.723503937008303</v>
          </cell>
          <cell r="I753" t="e">
            <v>#N/A</v>
          </cell>
          <cell r="J753" t="e">
            <v>#N/A</v>
          </cell>
          <cell r="K753" t="e">
            <v>#N/A</v>
          </cell>
          <cell r="L753" t="e">
            <v>#N/A</v>
          </cell>
          <cell r="M753" t="e">
            <v>#N/A</v>
          </cell>
          <cell r="N753" t="e">
            <v>#N/A</v>
          </cell>
          <cell r="O753" t="e">
            <v>#N/A</v>
          </cell>
          <cell r="P753">
            <v>71.03</v>
          </cell>
          <cell r="Q753" t="str">
            <v/>
          </cell>
          <cell r="R753" t="e">
            <v>#N/A</v>
          </cell>
        </row>
        <row r="754">
          <cell r="A754">
            <v>40561</v>
          </cell>
          <cell r="B754">
            <v>40561</v>
          </cell>
          <cell r="C754" t="str">
            <v>Future</v>
          </cell>
          <cell r="D754" t="e">
            <v>#N/A</v>
          </cell>
          <cell r="E754">
            <v>16.21944881889738</v>
          </cell>
          <cell r="F754">
            <v>97.243070866142347</v>
          </cell>
          <cell r="G754">
            <v>58.660393700787829</v>
          </cell>
          <cell r="H754">
            <v>58.660393700787829</v>
          </cell>
          <cell r="I754" t="e">
            <v>#N/A</v>
          </cell>
          <cell r="J754" t="e">
            <v>#N/A</v>
          </cell>
          <cell r="K754" t="e">
            <v>#N/A</v>
          </cell>
          <cell r="L754" t="e">
            <v>#N/A</v>
          </cell>
          <cell r="M754" t="e">
            <v>#N/A</v>
          </cell>
          <cell r="N754" t="e">
            <v>#N/A</v>
          </cell>
          <cell r="O754" t="e">
            <v>#N/A</v>
          </cell>
          <cell r="P754">
            <v>71.03</v>
          </cell>
          <cell r="Q754" t="str">
            <v/>
          </cell>
          <cell r="R754" t="e">
            <v>#N/A</v>
          </cell>
        </row>
        <row r="755">
          <cell r="A755">
            <v>40562</v>
          </cell>
          <cell r="B755">
            <v>40562</v>
          </cell>
          <cell r="C755" t="str">
            <v>Future</v>
          </cell>
          <cell r="D755" t="e">
            <v>#N/A</v>
          </cell>
          <cell r="E755">
            <v>15.939803149606041</v>
          </cell>
          <cell r="F755">
            <v>97.376811023622665</v>
          </cell>
          <cell r="G755">
            <v>58.597283464567354</v>
          </cell>
          <cell r="H755">
            <v>58.597283464567354</v>
          </cell>
          <cell r="I755" t="e">
            <v>#N/A</v>
          </cell>
          <cell r="J755" t="e">
            <v>#N/A</v>
          </cell>
          <cell r="K755" t="e">
            <v>#N/A</v>
          </cell>
          <cell r="L755" t="e">
            <v>#N/A</v>
          </cell>
          <cell r="M755" t="e">
            <v>#N/A</v>
          </cell>
          <cell r="N755" t="e">
            <v>#N/A</v>
          </cell>
          <cell r="O755" t="e">
            <v>#N/A</v>
          </cell>
          <cell r="P755">
            <v>71.03</v>
          </cell>
          <cell r="Q755" t="str">
            <v/>
          </cell>
          <cell r="R755" t="e">
            <v>#N/A</v>
          </cell>
        </row>
        <row r="756">
          <cell r="A756">
            <v>40563</v>
          </cell>
          <cell r="B756">
            <v>40563</v>
          </cell>
          <cell r="C756" t="str">
            <v>Future</v>
          </cell>
          <cell r="D756" t="e">
            <v>#N/A</v>
          </cell>
          <cell r="E756">
            <v>15.660157480314702</v>
          </cell>
          <cell r="F756">
            <v>97.510551181102983</v>
          </cell>
          <cell r="G756">
            <v>58.53417322834688</v>
          </cell>
          <cell r="H756">
            <v>58.53417322834688</v>
          </cell>
          <cell r="I756" t="e">
            <v>#N/A</v>
          </cell>
          <cell r="J756" t="e">
            <v>#N/A</v>
          </cell>
          <cell r="K756" t="e">
            <v>#N/A</v>
          </cell>
          <cell r="L756" t="e">
            <v>#N/A</v>
          </cell>
          <cell r="M756" t="e">
            <v>#N/A</v>
          </cell>
          <cell r="N756" t="e">
            <v>#N/A</v>
          </cell>
          <cell r="O756" t="e">
            <v>#N/A</v>
          </cell>
          <cell r="P756">
            <v>71.03</v>
          </cell>
          <cell r="Q756" t="str">
            <v/>
          </cell>
          <cell r="R756" t="e">
            <v>#N/A</v>
          </cell>
        </row>
        <row r="757">
          <cell r="A757">
            <v>40564</v>
          </cell>
          <cell r="B757">
            <v>40564</v>
          </cell>
          <cell r="C757" t="str">
            <v>Future</v>
          </cell>
          <cell r="D757" t="e">
            <v>#N/A</v>
          </cell>
          <cell r="E757">
            <v>15.380511811023363</v>
          </cell>
          <cell r="F757">
            <v>97.644291338583301</v>
          </cell>
          <cell r="G757">
            <v>58.471062992126406</v>
          </cell>
          <cell r="H757">
            <v>58.471062992126406</v>
          </cell>
          <cell r="I757" t="e">
            <v>#N/A</v>
          </cell>
          <cell r="J757" t="e">
            <v>#N/A</v>
          </cell>
          <cell r="K757" t="e">
            <v>#N/A</v>
          </cell>
          <cell r="L757" t="e">
            <v>#N/A</v>
          </cell>
          <cell r="M757" t="e">
            <v>#N/A</v>
          </cell>
          <cell r="N757" t="e">
            <v>#N/A</v>
          </cell>
          <cell r="O757" t="e">
            <v>#N/A</v>
          </cell>
          <cell r="P757">
            <v>71.03</v>
          </cell>
          <cell r="Q757" t="str">
            <v/>
          </cell>
          <cell r="R757" t="e">
            <v>#N/A</v>
          </cell>
        </row>
        <row r="758">
          <cell r="A758">
            <v>40567</v>
          </cell>
          <cell r="B758">
            <v>40567</v>
          </cell>
          <cell r="C758" t="str">
            <v>Future</v>
          </cell>
          <cell r="D758" t="e">
            <v>#N/A</v>
          </cell>
          <cell r="E758">
            <v>15.100866141732023</v>
          </cell>
          <cell r="F758">
            <v>97.778031496063619</v>
          </cell>
          <cell r="G758">
            <v>58.407952755905931</v>
          </cell>
          <cell r="H758">
            <v>58.407952755905931</v>
          </cell>
          <cell r="I758" t="e">
            <v>#N/A</v>
          </cell>
          <cell r="J758" t="e">
            <v>#N/A</v>
          </cell>
          <cell r="K758" t="e">
            <v>#N/A</v>
          </cell>
          <cell r="L758" t="e">
            <v>#N/A</v>
          </cell>
          <cell r="M758" t="e">
            <v>#N/A</v>
          </cell>
          <cell r="N758" t="e">
            <v>#N/A</v>
          </cell>
          <cell r="O758" t="e">
            <v>#N/A</v>
          </cell>
          <cell r="P758">
            <v>71.03</v>
          </cell>
          <cell r="Q758" t="str">
            <v/>
          </cell>
          <cell r="R758" t="e">
            <v>#N/A</v>
          </cell>
        </row>
        <row r="759">
          <cell r="A759">
            <v>40568</v>
          </cell>
          <cell r="B759">
            <v>40568</v>
          </cell>
          <cell r="C759" t="str">
            <v>Future</v>
          </cell>
          <cell r="D759" t="e">
            <v>#N/A</v>
          </cell>
          <cell r="E759">
            <v>14.821220472440684</v>
          </cell>
          <cell r="F759">
            <v>97.911771653543937</v>
          </cell>
          <cell r="G759">
            <v>58.344842519685457</v>
          </cell>
          <cell r="H759">
            <v>58.344842519685457</v>
          </cell>
          <cell r="I759" t="e">
            <v>#N/A</v>
          </cell>
          <cell r="J759" t="e">
            <v>#N/A</v>
          </cell>
          <cell r="K759" t="e">
            <v>#N/A</v>
          </cell>
          <cell r="L759" t="e">
            <v>#N/A</v>
          </cell>
          <cell r="M759" t="e">
            <v>#N/A</v>
          </cell>
          <cell r="N759" t="e">
            <v>#N/A</v>
          </cell>
          <cell r="O759" t="e">
            <v>#N/A</v>
          </cell>
          <cell r="P759">
            <v>71.03</v>
          </cell>
          <cell r="Q759" t="str">
            <v/>
          </cell>
          <cell r="R759" t="e">
            <v>#N/A</v>
          </cell>
        </row>
        <row r="760">
          <cell r="A760">
            <v>40569</v>
          </cell>
          <cell r="B760">
            <v>40569</v>
          </cell>
          <cell r="C760" t="str">
            <v>Future</v>
          </cell>
          <cell r="D760" t="e">
            <v>#N/A</v>
          </cell>
          <cell r="E760">
            <v>14.541574803149345</v>
          </cell>
          <cell r="F760">
            <v>98.045511811024255</v>
          </cell>
          <cell r="G760">
            <v>58.281732283464983</v>
          </cell>
          <cell r="H760">
            <v>58.281732283464983</v>
          </cell>
          <cell r="I760" t="e">
            <v>#N/A</v>
          </cell>
          <cell r="J760" t="e">
            <v>#N/A</v>
          </cell>
          <cell r="K760" t="e">
            <v>#N/A</v>
          </cell>
          <cell r="L760" t="e">
            <v>#N/A</v>
          </cell>
          <cell r="M760" t="e">
            <v>#N/A</v>
          </cell>
          <cell r="N760" t="e">
            <v>#N/A</v>
          </cell>
          <cell r="O760" t="e">
            <v>#N/A</v>
          </cell>
          <cell r="P760">
            <v>71.03</v>
          </cell>
          <cell r="Q760" t="str">
            <v/>
          </cell>
          <cell r="R760" t="e">
            <v>#N/A</v>
          </cell>
        </row>
        <row r="761">
          <cell r="A761">
            <v>40570</v>
          </cell>
          <cell r="B761">
            <v>40570</v>
          </cell>
          <cell r="C761" t="str">
            <v>Future</v>
          </cell>
          <cell r="D761" t="e">
            <v>#N/A</v>
          </cell>
          <cell r="E761">
            <v>14.261929133858006</v>
          </cell>
          <cell r="F761">
            <v>98.179251968504573</v>
          </cell>
          <cell r="G761">
            <v>58.218622047244509</v>
          </cell>
          <cell r="H761">
            <v>58.218622047244509</v>
          </cell>
          <cell r="I761" t="e">
            <v>#N/A</v>
          </cell>
          <cell r="J761" t="e">
            <v>#N/A</v>
          </cell>
          <cell r="K761" t="e">
            <v>#N/A</v>
          </cell>
          <cell r="L761" t="e">
            <v>#N/A</v>
          </cell>
          <cell r="M761" t="e">
            <v>#N/A</v>
          </cell>
          <cell r="N761" t="e">
            <v>#N/A</v>
          </cell>
          <cell r="O761" t="e">
            <v>#N/A</v>
          </cell>
          <cell r="P761">
            <v>71.03</v>
          </cell>
          <cell r="Q761" t="str">
            <v/>
          </cell>
          <cell r="R761" t="e">
            <v>#N/A</v>
          </cell>
        </row>
        <row r="762">
          <cell r="A762">
            <v>40571</v>
          </cell>
          <cell r="B762">
            <v>40571</v>
          </cell>
          <cell r="C762" t="str">
            <v>Future</v>
          </cell>
          <cell r="D762" t="e">
            <v>#N/A</v>
          </cell>
          <cell r="E762">
            <v>13.982283464566667</v>
          </cell>
          <cell r="F762">
            <v>98.312992125984891</v>
          </cell>
          <cell r="G762">
            <v>58.155511811024034</v>
          </cell>
          <cell r="H762">
            <v>58.155511811024034</v>
          </cell>
          <cell r="I762" t="e">
            <v>#N/A</v>
          </cell>
          <cell r="J762" t="e">
            <v>#N/A</v>
          </cell>
          <cell r="K762" t="e">
            <v>#N/A</v>
          </cell>
          <cell r="L762" t="e">
            <v>#N/A</v>
          </cell>
          <cell r="M762" t="e">
            <v>#N/A</v>
          </cell>
          <cell r="N762" t="e">
            <v>#N/A</v>
          </cell>
          <cell r="O762" t="e">
            <v>#N/A</v>
          </cell>
          <cell r="P762">
            <v>71.03</v>
          </cell>
          <cell r="Q762" t="str">
            <v/>
          </cell>
          <cell r="R762" t="e">
            <v>#N/A</v>
          </cell>
        </row>
        <row r="763">
          <cell r="A763">
            <v>40574</v>
          </cell>
          <cell r="B763">
            <v>40574</v>
          </cell>
          <cell r="C763" t="str">
            <v>Future</v>
          </cell>
          <cell r="D763" t="e">
            <v>#N/A</v>
          </cell>
          <cell r="E763">
            <v>13.702637795275328</v>
          </cell>
          <cell r="F763">
            <v>98.446732283465209</v>
          </cell>
          <cell r="G763">
            <v>58.09240157480356</v>
          </cell>
          <cell r="H763">
            <v>58.09240157480356</v>
          </cell>
          <cell r="I763" t="e">
            <v>#N/A</v>
          </cell>
          <cell r="J763" t="e">
            <v>#N/A</v>
          </cell>
          <cell r="K763" t="e">
            <v>#N/A</v>
          </cell>
          <cell r="L763" t="e">
            <v>#N/A</v>
          </cell>
          <cell r="M763" t="e">
            <v>#N/A</v>
          </cell>
          <cell r="N763" t="e">
            <v>#N/A</v>
          </cell>
          <cell r="O763" t="e">
            <v>#N/A</v>
          </cell>
          <cell r="P763">
            <v>71.03</v>
          </cell>
          <cell r="Q763" t="str">
            <v/>
          </cell>
          <cell r="R763" t="e">
            <v>#N/A</v>
          </cell>
        </row>
        <row r="764">
          <cell r="A764">
            <v>40575</v>
          </cell>
          <cell r="B764">
            <v>40575</v>
          </cell>
          <cell r="C764" t="str">
            <v>Future</v>
          </cell>
          <cell r="D764" t="e">
            <v>#N/A</v>
          </cell>
          <cell r="E764">
            <v>13.422992125983988</v>
          </cell>
          <cell r="F764">
            <v>98.580472440945528</v>
          </cell>
          <cell r="G764">
            <v>58.029291338583086</v>
          </cell>
          <cell r="H764">
            <v>58.029291338583086</v>
          </cell>
          <cell r="I764" t="e">
            <v>#N/A</v>
          </cell>
          <cell r="J764" t="e">
            <v>#N/A</v>
          </cell>
          <cell r="K764" t="e">
            <v>#N/A</v>
          </cell>
          <cell r="L764" t="e">
            <v>#N/A</v>
          </cell>
          <cell r="M764" t="e">
            <v>#N/A</v>
          </cell>
          <cell r="N764" t="e">
            <v>#N/A</v>
          </cell>
          <cell r="O764" t="e">
            <v>#N/A</v>
          </cell>
          <cell r="P764">
            <v>71.03</v>
          </cell>
          <cell r="Q764" t="str">
            <v/>
          </cell>
          <cell r="R764" t="e">
            <v>#N/A</v>
          </cell>
        </row>
        <row r="765">
          <cell r="A765">
            <v>40576</v>
          </cell>
          <cell r="B765">
            <v>40576</v>
          </cell>
          <cell r="C765" t="str">
            <v>Future</v>
          </cell>
          <cell r="D765" t="e">
            <v>#N/A</v>
          </cell>
          <cell r="E765">
            <v>13.143346456692649</v>
          </cell>
          <cell r="F765">
            <v>98.714212598425846</v>
          </cell>
          <cell r="G765">
            <v>57.966181102362611</v>
          </cell>
          <cell r="H765">
            <v>57.966181102362611</v>
          </cell>
          <cell r="I765" t="e">
            <v>#N/A</v>
          </cell>
          <cell r="J765" t="e">
            <v>#N/A</v>
          </cell>
          <cell r="K765" t="e">
            <v>#N/A</v>
          </cell>
          <cell r="L765" t="e">
            <v>#N/A</v>
          </cell>
          <cell r="M765" t="e">
            <v>#N/A</v>
          </cell>
          <cell r="N765" t="e">
            <v>#N/A</v>
          </cell>
          <cell r="O765" t="e">
            <v>#N/A</v>
          </cell>
          <cell r="P765">
            <v>71.03</v>
          </cell>
          <cell r="Q765" t="str">
            <v/>
          </cell>
          <cell r="R765" t="e">
            <v>#N/A</v>
          </cell>
        </row>
        <row r="766">
          <cell r="A766">
            <v>40577</v>
          </cell>
          <cell r="B766">
            <v>40577</v>
          </cell>
          <cell r="C766" t="str">
            <v>Future</v>
          </cell>
          <cell r="D766" t="e">
            <v>#N/A</v>
          </cell>
          <cell r="E766">
            <v>12.86370078740131</v>
          </cell>
          <cell r="F766">
            <v>98.847952755906164</v>
          </cell>
          <cell r="G766">
            <v>57.903070866142137</v>
          </cell>
          <cell r="H766">
            <v>57.903070866142137</v>
          </cell>
          <cell r="I766" t="e">
            <v>#N/A</v>
          </cell>
          <cell r="J766" t="e">
            <v>#N/A</v>
          </cell>
          <cell r="K766" t="e">
            <v>#N/A</v>
          </cell>
          <cell r="L766" t="e">
            <v>#N/A</v>
          </cell>
          <cell r="M766" t="e">
            <v>#N/A</v>
          </cell>
          <cell r="N766" t="e">
            <v>#N/A</v>
          </cell>
          <cell r="O766" t="e">
            <v>#N/A</v>
          </cell>
          <cell r="P766">
            <v>71.03</v>
          </cell>
          <cell r="Q766" t="str">
            <v/>
          </cell>
          <cell r="R766" t="e">
            <v>#N/A</v>
          </cell>
        </row>
        <row r="767">
          <cell r="A767">
            <v>40578</v>
          </cell>
          <cell r="B767">
            <v>40578</v>
          </cell>
          <cell r="C767" t="str">
            <v>Future</v>
          </cell>
          <cell r="D767" t="e">
            <v>#N/A</v>
          </cell>
          <cell r="E767">
            <v>12.584055118109971</v>
          </cell>
          <cell r="F767">
            <v>98.981692913386482</v>
          </cell>
          <cell r="G767">
            <v>57.839960629921663</v>
          </cell>
          <cell r="H767">
            <v>57.839960629921663</v>
          </cell>
          <cell r="I767" t="e">
            <v>#N/A</v>
          </cell>
          <cell r="J767" t="e">
            <v>#N/A</v>
          </cell>
          <cell r="K767" t="e">
            <v>#N/A</v>
          </cell>
          <cell r="L767" t="e">
            <v>#N/A</v>
          </cell>
          <cell r="M767" t="e">
            <v>#N/A</v>
          </cell>
          <cell r="N767" t="e">
            <v>#N/A</v>
          </cell>
          <cell r="O767" t="e">
            <v>#N/A</v>
          </cell>
          <cell r="P767">
            <v>71.03</v>
          </cell>
          <cell r="Q767" t="str">
            <v/>
          </cell>
          <cell r="R767" t="e">
            <v>#N/A</v>
          </cell>
        </row>
        <row r="768">
          <cell r="A768">
            <v>40581</v>
          </cell>
          <cell r="B768">
            <v>40581</v>
          </cell>
          <cell r="C768" t="str">
            <v>Future</v>
          </cell>
          <cell r="D768" t="e">
            <v>#N/A</v>
          </cell>
          <cell r="E768">
            <v>12.304409448818632</v>
          </cell>
          <cell r="F768">
            <v>99.1154330708668</v>
          </cell>
          <cell r="G768">
            <v>57.776850393701189</v>
          </cell>
          <cell r="H768">
            <v>57.776850393701189</v>
          </cell>
          <cell r="I768" t="e">
            <v>#N/A</v>
          </cell>
          <cell r="J768" t="e">
            <v>#N/A</v>
          </cell>
          <cell r="K768" t="e">
            <v>#N/A</v>
          </cell>
          <cell r="L768" t="e">
            <v>#N/A</v>
          </cell>
          <cell r="M768" t="e">
            <v>#N/A</v>
          </cell>
          <cell r="N768" t="e">
            <v>#N/A</v>
          </cell>
          <cell r="O768" t="e">
            <v>#N/A</v>
          </cell>
          <cell r="P768">
            <v>71.03</v>
          </cell>
          <cell r="Q768" t="str">
            <v/>
          </cell>
          <cell r="R768" t="e">
            <v>#N/A</v>
          </cell>
        </row>
        <row r="769">
          <cell r="A769">
            <v>40582</v>
          </cell>
          <cell r="B769">
            <v>40582</v>
          </cell>
          <cell r="C769" t="str">
            <v>Future</v>
          </cell>
          <cell r="D769" t="e">
            <v>#N/A</v>
          </cell>
          <cell r="E769">
            <v>12.024763779527293</v>
          </cell>
          <cell r="F769">
            <v>99.249173228347118</v>
          </cell>
          <cell r="G769">
            <v>57.713740157480714</v>
          </cell>
          <cell r="H769">
            <v>57.713740157480714</v>
          </cell>
          <cell r="I769" t="e">
            <v>#N/A</v>
          </cell>
          <cell r="J769" t="e">
            <v>#N/A</v>
          </cell>
          <cell r="K769" t="e">
            <v>#N/A</v>
          </cell>
          <cell r="L769" t="e">
            <v>#N/A</v>
          </cell>
          <cell r="M769" t="e">
            <v>#N/A</v>
          </cell>
          <cell r="N769" t="e">
            <v>#N/A</v>
          </cell>
          <cell r="O769" t="e">
            <v>#N/A</v>
          </cell>
          <cell r="P769">
            <v>71.03</v>
          </cell>
          <cell r="Q769" t="str">
            <v/>
          </cell>
          <cell r="R769" t="e">
            <v>#N/A</v>
          </cell>
        </row>
        <row r="770">
          <cell r="A770">
            <v>40583</v>
          </cell>
          <cell r="B770">
            <v>40583</v>
          </cell>
          <cell r="C770" t="str">
            <v>Future</v>
          </cell>
          <cell r="D770" t="e">
            <v>#N/A</v>
          </cell>
          <cell r="E770">
            <v>11.745118110235953</v>
          </cell>
          <cell r="F770">
            <v>99.382913385827436</v>
          </cell>
          <cell r="G770">
            <v>57.65062992126024</v>
          </cell>
          <cell r="H770">
            <v>57.65062992126024</v>
          </cell>
          <cell r="I770" t="e">
            <v>#N/A</v>
          </cell>
          <cell r="J770" t="e">
            <v>#N/A</v>
          </cell>
          <cell r="K770" t="e">
            <v>#N/A</v>
          </cell>
          <cell r="L770" t="e">
            <v>#N/A</v>
          </cell>
          <cell r="M770" t="e">
            <v>#N/A</v>
          </cell>
          <cell r="N770" t="e">
            <v>#N/A</v>
          </cell>
          <cell r="O770" t="e">
            <v>#N/A</v>
          </cell>
          <cell r="P770">
            <v>71.03</v>
          </cell>
          <cell r="Q770" t="str">
            <v/>
          </cell>
          <cell r="R770" t="e">
            <v>#N/A</v>
          </cell>
        </row>
        <row r="771">
          <cell r="A771">
            <v>40584</v>
          </cell>
          <cell r="B771">
            <v>40584</v>
          </cell>
          <cell r="C771" t="str">
            <v>Future</v>
          </cell>
          <cell r="D771" t="e">
            <v>#N/A</v>
          </cell>
          <cell r="E771">
            <v>11.465472440944614</v>
          </cell>
          <cell r="F771">
            <v>99.516653543307754</v>
          </cell>
          <cell r="G771">
            <v>57.587519685039766</v>
          </cell>
          <cell r="H771">
            <v>57.587519685039766</v>
          </cell>
          <cell r="I771" t="e">
            <v>#N/A</v>
          </cell>
          <cell r="J771" t="e">
            <v>#N/A</v>
          </cell>
          <cell r="K771" t="e">
            <v>#N/A</v>
          </cell>
          <cell r="L771" t="e">
            <v>#N/A</v>
          </cell>
          <cell r="M771" t="e">
            <v>#N/A</v>
          </cell>
          <cell r="N771" t="e">
            <v>#N/A</v>
          </cell>
          <cell r="O771" t="e">
            <v>#N/A</v>
          </cell>
          <cell r="P771">
            <v>71.03</v>
          </cell>
          <cell r="Q771" t="str">
            <v/>
          </cell>
          <cell r="R771" t="e">
            <v>#N/A</v>
          </cell>
        </row>
        <row r="772">
          <cell r="A772">
            <v>40585</v>
          </cell>
          <cell r="B772">
            <v>40585</v>
          </cell>
          <cell r="C772" t="str">
            <v>Future</v>
          </cell>
          <cell r="D772" t="e">
            <v>#N/A</v>
          </cell>
          <cell r="E772">
            <v>11.185826771653275</v>
          </cell>
          <cell r="F772">
            <v>99.650393700788072</v>
          </cell>
          <cell r="G772">
            <v>57.524409448819291</v>
          </cell>
          <cell r="H772">
            <v>57.524409448819291</v>
          </cell>
          <cell r="I772" t="e">
            <v>#N/A</v>
          </cell>
          <cell r="J772" t="e">
            <v>#N/A</v>
          </cell>
          <cell r="K772" t="e">
            <v>#N/A</v>
          </cell>
          <cell r="L772" t="e">
            <v>#N/A</v>
          </cell>
          <cell r="M772" t="e">
            <v>#N/A</v>
          </cell>
          <cell r="N772" t="e">
            <v>#N/A</v>
          </cell>
          <cell r="O772" t="e">
            <v>#N/A</v>
          </cell>
          <cell r="P772">
            <v>71.03</v>
          </cell>
          <cell r="Q772" t="str">
            <v/>
          </cell>
          <cell r="R772" t="e">
            <v>#N/A</v>
          </cell>
        </row>
        <row r="773">
          <cell r="A773">
            <v>40588</v>
          </cell>
          <cell r="B773">
            <v>40588</v>
          </cell>
          <cell r="C773" t="str">
            <v>Future</v>
          </cell>
          <cell r="D773" t="e">
            <v>#N/A</v>
          </cell>
          <cell r="E773">
            <v>10.906181102361936</v>
          </cell>
          <cell r="F773">
            <v>99.78413385826839</v>
          </cell>
          <cell r="G773">
            <v>57.461299212598817</v>
          </cell>
          <cell r="H773">
            <v>57.461299212598817</v>
          </cell>
          <cell r="I773" t="e">
            <v>#N/A</v>
          </cell>
          <cell r="J773" t="e">
            <v>#N/A</v>
          </cell>
          <cell r="K773" t="e">
            <v>#N/A</v>
          </cell>
          <cell r="L773" t="e">
            <v>#N/A</v>
          </cell>
          <cell r="M773" t="e">
            <v>#N/A</v>
          </cell>
          <cell r="N773" t="e">
            <v>#N/A</v>
          </cell>
          <cell r="O773" t="e">
            <v>#N/A</v>
          </cell>
          <cell r="P773">
            <v>71.03</v>
          </cell>
          <cell r="Q773" t="str">
            <v/>
          </cell>
          <cell r="R773" t="e">
            <v>#N/A</v>
          </cell>
        </row>
        <row r="774">
          <cell r="A774">
            <v>40589</v>
          </cell>
          <cell r="B774">
            <v>40589</v>
          </cell>
          <cell r="C774" t="str">
            <v>Future</v>
          </cell>
          <cell r="D774" t="e">
            <v>#N/A</v>
          </cell>
          <cell r="E774">
            <v>10.626535433070597</v>
          </cell>
          <cell r="F774">
            <v>99.917874015748708</v>
          </cell>
          <cell r="G774">
            <v>57.398188976378343</v>
          </cell>
          <cell r="H774">
            <v>57.398188976378343</v>
          </cell>
          <cell r="I774" t="e">
            <v>#N/A</v>
          </cell>
          <cell r="J774" t="e">
            <v>#N/A</v>
          </cell>
          <cell r="K774" t="e">
            <v>#N/A</v>
          </cell>
          <cell r="L774" t="e">
            <v>#N/A</v>
          </cell>
          <cell r="M774" t="e">
            <v>#N/A</v>
          </cell>
          <cell r="N774" t="e">
            <v>#N/A</v>
          </cell>
          <cell r="O774" t="e">
            <v>#N/A</v>
          </cell>
          <cell r="P774">
            <v>71.03</v>
          </cell>
          <cell r="Q774" t="str">
            <v/>
          </cell>
          <cell r="R774" t="e">
            <v>#N/A</v>
          </cell>
        </row>
        <row r="775">
          <cell r="A775">
            <v>40590</v>
          </cell>
          <cell r="B775">
            <v>40590</v>
          </cell>
          <cell r="C775" t="str">
            <v>Future</v>
          </cell>
          <cell r="D775" t="e">
            <v>#N/A</v>
          </cell>
          <cell r="E775">
            <v>10.346889763779258</v>
          </cell>
          <cell r="F775">
            <v>100.05161417322903</v>
          </cell>
          <cell r="G775">
            <v>57.335078740157869</v>
          </cell>
          <cell r="H775">
            <v>57.335078740157869</v>
          </cell>
          <cell r="I775" t="e">
            <v>#N/A</v>
          </cell>
          <cell r="J775" t="e">
            <v>#N/A</v>
          </cell>
          <cell r="K775" t="e">
            <v>#N/A</v>
          </cell>
          <cell r="L775" t="e">
            <v>#N/A</v>
          </cell>
          <cell r="M775" t="e">
            <v>#N/A</v>
          </cell>
          <cell r="N775" t="e">
            <v>#N/A</v>
          </cell>
          <cell r="O775" t="e">
            <v>#N/A</v>
          </cell>
          <cell r="P775">
            <v>71.03</v>
          </cell>
          <cell r="Q775" t="str">
            <v/>
          </cell>
          <cell r="R775" t="e">
            <v>#N/A</v>
          </cell>
        </row>
        <row r="776">
          <cell r="A776">
            <v>40591</v>
          </cell>
          <cell r="B776">
            <v>40591</v>
          </cell>
          <cell r="C776" t="str">
            <v>Future</v>
          </cell>
          <cell r="D776" t="e">
            <v>#N/A</v>
          </cell>
          <cell r="E776">
            <v>10.067244094487918</v>
          </cell>
          <cell r="F776">
            <v>100.18535433070934</v>
          </cell>
          <cell r="G776">
            <v>57.271968503937394</v>
          </cell>
          <cell r="H776">
            <v>57.271968503937394</v>
          </cell>
          <cell r="I776" t="e">
            <v>#N/A</v>
          </cell>
          <cell r="J776" t="e">
            <v>#N/A</v>
          </cell>
          <cell r="K776" t="e">
            <v>#N/A</v>
          </cell>
          <cell r="L776" t="e">
            <v>#N/A</v>
          </cell>
          <cell r="M776" t="e">
            <v>#N/A</v>
          </cell>
          <cell r="N776" t="e">
            <v>#N/A</v>
          </cell>
          <cell r="O776" t="e">
            <v>#N/A</v>
          </cell>
          <cell r="P776">
            <v>71.03</v>
          </cell>
          <cell r="Q776" t="str">
            <v/>
          </cell>
          <cell r="R776" t="e">
            <v>#N/A</v>
          </cell>
        </row>
        <row r="777">
          <cell r="A777">
            <v>40592</v>
          </cell>
          <cell r="B777">
            <v>40592</v>
          </cell>
          <cell r="C777" t="str">
            <v>Future</v>
          </cell>
          <cell r="D777" t="e">
            <v>#N/A</v>
          </cell>
          <cell r="E777">
            <v>9.7875984251965793</v>
          </cell>
          <cell r="F777">
            <v>100.31909448818966</v>
          </cell>
          <cell r="G777">
            <v>57.20885826771692</v>
          </cell>
          <cell r="H777">
            <v>57.20885826771692</v>
          </cell>
          <cell r="I777" t="e">
            <v>#N/A</v>
          </cell>
          <cell r="J777" t="e">
            <v>#N/A</v>
          </cell>
          <cell r="K777" t="e">
            <v>#N/A</v>
          </cell>
          <cell r="L777" t="e">
            <v>#N/A</v>
          </cell>
          <cell r="M777" t="e">
            <v>#N/A</v>
          </cell>
          <cell r="N777" t="e">
            <v>#N/A</v>
          </cell>
          <cell r="O777" t="e">
            <v>#N/A</v>
          </cell>
          <cell r="P777">
            <v>71.03</v>
          </cell>
          <cell r="Q777" t="str">
            <v/>
          </cell>
          <cell r="R777" t="e">
            <v>#N/A</v>
          </cell>
        </row>
        <row r="778">
          <cell r="A778">
            <v>40596</v>
          </cell>
          <cell r="B778">
            <v>40596</v>
          </cell>
          <cell r="C778" t="str">
            <v>Future</v>
          </cell>
          <cell r="D778" t="e">
            <v>#N/A</v>
          </cell>
          <cell r="E778">
            <v>9.5079527559052401</v>
          </cell>
          <cell r="F778">
            <v>100.45283464566998</v>
          </cell>
          <cell r="G778">
            <v>57.145748031496446</v>
          </cell>
          <cell r="H778">
            <v>57.145748031496446</v>
          </cell>
          <cell r="I778" t="e">
            <v>#N/A</v>
          </cell>
          <cell r="J778" t="e">
            <v>#N/A</v>
          </cell>
          <cell r="K778" t="e">
            <v>#N/A</v>
          </cell>
          <cell r="L778" t="e">
            <v>#N/A</v>
          </cell>
          <cell r="M778" t="e">
            <v>#N/A</v>
          </cell>
          <cell r="N778" t="e">
            <v>#N/A</v>
          </cell>
          <cell r="O778" t="e">
            <v>#N/A</v>
          </cell>
          <cell r="P778">
            <v>71.03</v>
          </cell>
          <cell r="Q778" t="str">
            <v/>
          </cell>
          <cell r="R778" t="e">
            <v>#N/A</v>
          </cell>
        </row>
        <row r="779">
          <cell r="A779">
            <v>40597</v>
          </cell>
          <cell r="B779">
            <v>40597</v>
          </cell>
          <cell r="C779" t="str">
            <v>Future</v>
          </cell>
          <cell r="D779" t="e">
            <v>#N/A</v>
          </cell>
          <cell r="E779">
            <v>9.228307086613901</v>
          </cell>
          <cell r="F779">
            <v>100.5865748031503</v>
          </cell>
          <cell r="G779">
            <v>57.082637795275971</v>
          </cell>
          <cell r="H779">
            <v>57.082637795275971</v>
          </cell>
          <cell r="I779" t="e">
            <v>#N/A</v>
          </cell>
          <cell r="J779" t="e">
            <v>#N/A</v>
          </cell>
          <cell r="K779" t="e">
            <v>#N/A</v>
          </cell>
          <cell r="L779" t="e">
            <v>#N/A</v>
          </cell>
          <cell r="M779" t="e">
            <v>#N/A</v>
          </cell>
          <cell r="N779" t="e">
            <v>#N/A</v>
          </cell>
          <cell r="O779" t="e">
            <v>#N/A</v>
          </cell>
          <cell r="P779">
            <v>71.03</v>
          </cell>
          <cell r="Q779" t="str">
            <v/>
          </cell>
          <cell r="R779" t="e">
            <v>#N/A</v>
          </cell>
        </row>
        <row r="780">
          <cell r="A780">
            <v>40598</v>
          </cell>
          <cell r="B780">
            <v>40598</v>
          </cell>
          <cell r="C780" t="str">
            <v>Future</v>
          </cell>
          <cell r="D780" t="e">
            <v>#N/A</v>
          </cell>
          <cell r="E780">
            <v>8.9486614173225618</v>
          </cell>
          <cell r="F780">
            <v>100.72031496063062</v>
          </cell>
          <cell r="G780">
            <v>57.019527559055497</v>
          </cell>
          <cell r="H780">
            <v>57.019527559055497</v>
          </cell>
          <cell r="I780" t="e">
            <v>#N/A</v>
          </cell>
          <cell r="J780" t="e">
            <v>#N/A</v>
          </cell>
          <cell r="K780" t="e">
            <v>#N/A</v>
          </cell>
          <cell r="L780" t="e">
            <v>#N/A</v>
          </cell>
          <cell r="M780" t="e">
            <v>#N/A</v>
          </cell>
          <cell r="N780" t="e">
            <v>#N/A</v>
          </cell>
          <cell r="O780" t="e">
            <v>#N/A</v>
          </cell>
          <cell r="P780">
            <v>71.03</v>
          </cell>
          <cell r="Q780" t="str">
            <v/>
          </cell>
          <cell r="R780" t="e">
            <v>#N/A</v>
          </cell>
        </row>
        <row r="781">
          <cell r="A781">
            <v>40599</v>
          </cell>
          <cell r="B781">
            <v>40599</v>
          </cell>
          <cell r="C781" t="str">
            <v>Future</v>
          </cell>
          <cell r="D781" t="e">
            <v>#N/A</v>
          </cell>
          <cell r="E781">
            <v>8.6690157480312227</v>
          </cell>
          <cell r="F781">
            <v>100.85405511811094</v>
          </cell>
          <cell r="G781">
            <v>56.956417322835023</v>
          </cell>
          <cell r="H781">
            <v>56.956417322835023</v>
          </cell>
          <cell r="I781" t="e">
            <v>#N/A</v>
          </cell>
          <cell r="J781" t="e">
            <v>#N/A</v>
          </cell>
          <cell r="K781" t="e">
            <v>#N/A</v>
          </cell>
          <cell r="L781" t="e">
            <v>#N/A</v>
          </cell>
          <cell r="M781" t="e">
            <v>#N/A</v>
          </cell>
          <cell r="N781" t="e">
            <v>#N/A</v>
          </cell>
          <cell r="O781" t="e">
            <v>#N/A</v>
          </cell>
          <cell r="P781">
            <v>71.03</v>
          </cell>
          <cell r="Q781" t="str">
            <v/>
          </cell>
          <cell r="R781" t="e">
            <v>#N/A</v>
          </cell>
        </row>
        <row r="782">
          <cell r="A782">
            <v>40602</v>
          </cell>
          <cell r="B782">
            <v>40602</v>
          </cell>
          <cell r="C782" t="str">
            <v>Future</v>
          </cell>
          <cell r="D782" t="e">
            <v>#N/A</v>
          </cell>
          <cell r="E782">
            <v>8.3893700787398835</v>
          </cell>
          <cell r="F782">
            <v>100.98779527559125</v>
          </cell>
          <cell r="G782">
            <v>56.893307086614548</v>
          </cell>
          <cell r="H782">
            <v>56.893307086614548</v>
          </cell>
          <cell r="I782" t="e">
            <v>#N/A</v>
          </cell>
          <cell r="J782" t="e">
            <v>#N/A</v>
          </cell>
          <cell r="K782" t="e">
            <v>#N/A</v>
          </cell>
          <cell r="L782" t="e">
            <v>#N/A</v>
          </cell>
          <cell r="M782" t="e">
            <v>#N/A</v>
          </cell>
          <cell r="N782" t="e">
            <v>#N/A</v>
          </cell>
          <cell r="O782" t="e">
            <v>#N/A</v>
          </cell>
          <cell r="P782">
            <v>71.03</v>
          </cell>
          <cell r="Q782" t="str">
            <v/>
          </cell>
          <cell r="R782" t="e">
            <v>#N/A</v>
          </cell>
        </row>
        <row r="783">
          <cell r="A783">
            <v>40603</v>
          </cell>
          <cell r="B783">
            <v>40603</v>
          </cell>
          <cell r="C783" t="str">
            <v>Future</v>
          </cell>
          <cell r="D783" t="e">
            <v>#N/A</v>
          </cell>
          <cell r="E783">
            <v>8.1097244094485443</v>
          </cell>
          <cell r="F783">
            <v>101.12153543307157</v>
          </cell>
          <cell r="G783">
            <v>56.830196850394074</v>
          </cell>
          <cell r="H783">
            <v>56.830196850394074</v>
          </cell>
          <cell r="I783" t="e">
            <v>#N/A</v>
          </cell>
          <cell r="J783" t="e">
            <v>#N/A</v>
          </cell>
          <cell r="K783" t="e">
            <v>#N/A</v>
          </cell>
          <cell r="L783" t="e">
            <v>#N/A</v>
          </cell>
          <cell r="M783" t="e">
            <v>#N/A</v>
          </cell>
          <cell r="N783" t="e">
            <v>#N/A</v>
          </cell>
          <cell r="O783" t="e">
            <v>#N/A</v>
          </cell>
          <cell r="P783">
            <v>71.03</v>
          </cell>
          <cell r="Q783" t="str">
            <v/>
          </cell>
          <cell r="R783" t="e">
            <v>#N/A</v>
          </cell>
        </row>
        <row r="784">
          <cell r="A784">
            <v>40604</v>
          </cell>
          <cell r="B784">
            <v>40604</v>
          </cell>
          <cell r="C784" t="str">
            <v>Future</v>
          </cell>
          <cell r="D784" t="e">
            <v>#N/A</v>
          </cell>
          <cell r="E784">
            <v>7.8300787401572061</v>
          </cell>
          <cell r="F784">
            <v>101.25527559055189</v>
          </cell>
          <cell r="G784">
            <v>56.7670866141736</v>
          </cell>
          <cell r="H784">
            <v>56.7670866141736</v>
          </cell>
          <cell r="I784" t="e">
            <v>#N/A</v>
          </cell>
          <cell r="J784" t="e">
            <v>#N/A</v>
          </cell>
          <cell r="K784" t="e">
            <v>#N/A</v>
          </cell>
          <cell r="L784" t="e">
            <v>#N/A</v>
          </cell>
          <cell r="M784" t="e">
            <v>#N/A</v>
          </cell>
          <cell r="N784" t="e">
            <v>#N/A</v>
          </cell>
          <cell r="O784" t="e">
            <v>#N/A</v>
          </cell>
          <cell r="P784">
            <v>71.03</v>
          </cell>
          <cell r="Q784" t="str">
            <v/>
          </cell>
          <cell r="R784" t="e">
            <v>#N/A</v>
          </cell>
        </row>
        <row r="785">
          <cell r="A785">
            <v>40605</v>
          </cell>
          <cell r="B785">
            <v>40605</v>
          </cell>
          <cell r="C785" t="str">
            <v>Future</v>
          </cell>
          <cell r="D785" t="e">
            <v>#N/A</v>
          </cell>
          <cell r="E785">
            <v>7.5504330708658678</v>
          </cell>
          <cell r="F785">
            <v>101.38901574803221</v>
          </cell>
          <cell r="G785">
            <v>56.703976377953126</v>
          </cell>
          <cell r="H785">
            <v>56.703976377953126</v>
          </cell>
          <cell r="I785" t="e">
            <v>#N/A</v>
          </cell>
          <cell r="J785" t="e">
            <v>#N/A</v>
          </cell>
          <cell r="K785" t="e">
            <v>#N/A</v>
          </cell>
          <cell r="L785" t="e">
            <v>#N/A</v>
          </cell>
          <cell r="M785" t="e">
            <v>#N/A</v>
          </cell>
          <cell r="N785" t="e">
            <v>#N/A</v>
          </cell>
          <cell r="O785" t="e">
            <v>#N/A</v>
          </cell>
          <cell r="P785">
            <v>71.03</v>
          </cell>
          <cell r="Q785" t="str">
            <v/>
          </cell>
          <cell r="R785" t="e">
            <v>#N/A</v>
          </cell>
        </row>
        <row r="786">
          <cell r="A786">
            <v>40606</v>
          </cell>
          <cell r="B786">
            <v>40606</v>
          </cell>
          <cell r="C786" t="str">
            <v>Future</v>
          </cell>
          <cell r="D786" t="e">
            <v>#N/A</v>
          </cell>
          <cell r="E786">
            <v>7.2707874015745295</v>
          </cell>
          <cell r="F786">
            <v>101.52275590551253</v>
          </cell>
          <cell r="G786">
            <v>56.640866141732651</v>
          </cell>
          <cell r="H786">
            <v>56.640866141732651</v>
          </cell>
          <cell r="I786" t="e">
            <v>#N/A</v>
          </cell>
          <cell r="J786" t="e">
            <v>#N/A</v>
          </cell>
          <cell r="K786" t="e">
            <v>#N/A</v>
          </cell>
          <cell r="L786" t="e">
            <v>#N/A</v>
          </cell>
          <cell r="M786" t="e">
            <v>#N/A</v>
          </cell>
          <cell r="N786" t="e">
            <v>#N/A</v>
          </cell>
          <cell r="O786" t="e">
            <v>#N/A</v>
          </cell>
          <cell r="P786">
            <v>71.03</v>
          </cell>
          <cell r="Q786" t="str">
            <v/>
          </cell>
          <cell r="R786" t="e">
            <v>#N/A</v>
          </cell>
        </row>
        <row r="787">
          <cell r="A787">
            <v>40609</v>
          </cell>
          <cell r="B787">
            <v>40609</v>
          </cell>
          <cell r="C787" t="str">
            <v>Future</v>
          </cell>
          <cell r="D787" t="e">
            <v>#N/A</v>
          </cell>
          <cell r="E787">
            <v>6.9911417322831912</v>
          </cell>
          <cell r="F787">
            <v>101.65649606299284</v>
          </cell>
          <cell r="G787">
            <v>56.577755905512177</v>
          </cell>
          <cell r="H787">
            <v>56.577755905512177</v>
          </cell>
          <cell r="I787" t="e">
            <v>#N/A</v>
          </cell>
          <cell r="J787" t="e">
            <v>#N/A</v>
          </cell>
          <cell r="K787" t="e">
            <v>#N/A</v>
          </cell>
          <cell r="L787" t="e">
            <v>#N/A</v>
          </cell>
          <cell r="M787" t="e">
            <v>#N/A</v>
          </cell>
          <cell r="N787" t="e">
            <v>#N/A</v>
          </cell>
          <cell r="O787" t="e">
            <v>#N/A</v>
          </cell>
          <cell r="P787">
            <v>71.03</v>
          </cell>
          <cell r="Q787" t="str">
            <v/>
          </cell>
          <cell r="R787" t="e">
            <v>#N/A</v>
          </cell>
        </row>
        <row r="788">
          <cell r="A788">
            <v>40610</v>
          </cell>
          <cell r="B788">
            <v>40610</v>
          </cell>
          <cell r="C788" t="str">
            <v>Future</v>
          </cell>
          <cell r="D788" t="e">
            <v>#N/A</v>
          </cell>
          <cell r="E788">
            <v>6.711496062991853</v>
          </cell>
          <cell r="F788">
            <v>101.79023622047316</v>
          </cell>
          <cell r="G788">
            <v>56.514645669291703</v>
          </cell>
          <cell r="H788">
            <v>56.514645669291703</v>
          </cell>
          <cell r="I788" t="e">
            <v>#N/A</v>
          </cell>
          <cell r="J788" t="e">
            <v>#N/A</v>
          </cell>
          <cell r="K788" t="e">
            <v>#N/A</v>
          </cell>
          <cell r="L788" t="e">
            <v>#N/A</v>
          </cell>
          <cell r="M788" t="e">
            <v>#N/A</v>
          </cell>
          <cell r="N788" t="e">
            <v>#N/A</v>
          </cell>
          <cell r="O788" t="e">
            <v>#N/A</v>
          </cell>
          <cell r="P788">
            <v>71.03</v>
          </cell>
          <cell r="Q788" t="str">
            <v/>
          </cell>
          <cell r="R788" t="e">
            <v>#N/A</v>
          </cell>
        </row>
        <row r="789">
          <cell r="A789">
            <v>40611</v>
          </cell>
          <cell r="B789">
            <v>40611</v>
          </cell>
          <cell r="C789" t="str">
            <v>Future</v>
          </cell>
          <cell r="D789" t="e">
            <v>#N/A</v>
          </cell>
          <cell r="E789">
            <v>6.4318503937005147</v>
          </cell>
          <cell r="F789">
            <v>101.92397637795348</v>
          </cell>
          <cell r="G789">
            <v>56.451535433071228</v>
          </cell>
          <cell r="H789">
            <v>56.451535433071228</v>
          </cell>
          <cell r="I789" t="e">
            <v>#N/A</v>
          </cell>
          <cell r="J789" t="e">
            <v>#N/A</v>
          </cell>
          <cell r="K789" t="e">
            <v>#N/A</v>
          </cell>
          <cell r="L789" t="e">
            <v>#N/A</v>
          </cell>
          <cell r="M789" t="e">
            <v>#N/A</v>
          </cell>
          <cell r="N789" t="e">
            <v>#N/A</v>
          </cell>
          <cell r="O789" t="e">
            <v>#N/A</v>
          </cell>
          <cell r="P789">
            <v>71.03</v>
          </cell>
          <cell r="Q789" t="str">
            <v/>
          </cell>
          <cell r="R789" t="e">
            <v>#N/A</v>
          </cell>
        </row>
        <row r="790">
          <cell r="A790">
            <v>40612</v>
          </cell>
          <cell r="B790">
            <v>40612</v>
          </cell>
          <cell r="C790" t="str">
            <v>Future</v>
          </cell>
          <cell r="D790" t="e">
            <v>#N/A</v>
          </cell>
          <cell r="E790">
            <v>6.1522047244091764</v>
          </cell>
          <cell r="F790">
            <v>102.0577165354338</v>
          </cell>
          <cell r="G790">
            <v>56.388425196850754</v>
          </cell>
          <cell r="H790">
            <v>56.388425196850754</v>
          </cell>
          <cell r="I790" t="e">
            <v>#N/A</v>
          </cell>
          <cell r="J790" t="e">
            <v>#N/A</v>
          </cell>
          <cell r="K790" t="e">
            <v>#N/A</v>
          </cell>
          <cell r="L790" t="e">
            <v>#N/A</v>
          </cell>
          <cell r="M790" t="e">
            <v>#N/A</v>
          </cell>
          <cell r="N790" t="e">
            <v>#N/A</v>
          </cell>
          <cell r="O790" t="e">
            <v>#N/A</v>
          </cell>
          <cell r="P790">
            <v>71.03</v>
          </cell>
          <cell r="Q790" t="str">
            <v/>
          </cell>
          <cell r="R790" t="e">
            <v>#N/A</v>
          </cell>
        </row>
        <row r="791">
          <cell r="A791">
            <v>40613</v>
          </cell>
          <cell r="B791">
            <v>40613</v>
          </cell>
          <cell r="C791" t="str">
            <v>Future</v>
          </cell>
          <cell r="D791" t="e">
            <v>#N/A</v>
          </cell>
          <cell r="E791">
            <v>5.8725590551178382</v>
          </cell>
          <cell r="F791">
            <v>102.19145669291412</v>
          </cell>
          <cell r="G791">
            <v>56.32531496063028</v>
          </cell>
          <cell r="H791">
            <v>56.32531496063028</v>
          </cell>
          <cell r="I791" t="e">
            <v>#N/A</v>
          </cell>
          <cell r="J791" t="e">
            <v>#N/A</v>
          </cell>
          <cell r="K791" t="e">
            <v>#N/A</v>
          </cell>
          <cell r="L791" t="e">
            <v>#N/A</v>
          </cell>
          <cell r="M791" t="e">
            <v>#N/A</v>
          </cell>
          <cell r="N791" t="e">
            <v>#N/A</v>
          </cell>
          <cell r="O791" t="e">
            <v>#N/A</v>
          </cell>
          <cell r="P791">
            <v>71.03</v>
          </cell>
          <cell r="Q791" t="str">
            <v/>
          </cell>
          <cell r="R791" t="e">
            <v>#N/A</v>
          </cell>
        </row>
        <row r="792">
          <cell r="A792">
            <v>40616</v>
          </cell>
          <cell r="B792">
            <v>40616</v>
          </cell>
          <cell r="C792" t="str">
            <v>Future</v>
          </cell>
          <cell r="D792" t="e">
            <v>#N/A</v>
          </cell>
          <cell r="E792">
            <v>5.5929133858264999</v>
          </cell>
          <cell r="F792">
            <v>102.32519685039443</v>
          </cell>
          <cell r="G792">
            <v>56.262204724409806</v>
          </cell>
          <cell r="H792">
            <v>56.262204724409806</v>
          </cell>
          <cell r="I792" t="e">
            <v>#N/A</v>
          </cell>
          <cell r="J792" t="e">
            <v>#N/A</v>
          </cell>
          <cell r="K792" t="e">
            <v>#N/A</v>
          </cell>
          <cell r="L792" t="e">
            <v>#N/A</v>
          </cell>
          <cell r="M792" t="e">
            <v>#N/A</v>
          </cell>
          <cell r="N792" t="e">
            <v>#N/A</v>
          </cell>
          <cell r="O792" t="e">
            <v>#N/A</v>
          </cell>
          <cell r="P792">
            <v>71.03</v>
          </cell>
          <cell r="Q792" t="str">
            <v/>
          </cell>
          <cell r="R792" t="e">
            <v>#N/A</v>
          </cell>
        </row>
        <row r="793">
          <cell r="A793">
            <v>40617</v>
          </cell>
          <cell r="B793">
            <v>40617</v>
          </cell>
          <cell r="C793" t="str">
            <v>Future</v>
          </cell>
          <cell r="D793" t="e">
            <v>#N/A</v>
          </cell>
          <cell r="E793">
            <v>5.3132677165351616</v>
          </cell>
          <cell r="F793">
            <v>102.45893700787475</v>
          </cell>
          <cell r="G793">
            <v>56.199094488189331</v>
          </cell>
          <cell r="H793">
            <v>56.199094488189331</v>
          </cell>
          <cell r="I793" t="e">
            <v>#N/A</v>
          </cell>
          <cell r="J793" t="e">
            <v>#N/A</v>
          </cell>
          <cell r="K793" t="e">
            <v>#N/A</v>
          </cell>
          <cell r="L793" t="e">
            <v>#N/A</v>
          </cell>
          <cell r="M793" t="e">
            <v>#N/A</v>
          </cell>
          <cell r="N793" t="e">
            <v>#N/A</v>
          </cell>
          <cell r="O793" t="e">
            <v>#N/A</v>
          </cell>
          <cell r="P793">
            <v>71.03</v>
          </cell>
          <cell r="Q793" t="str">
            <v/>
          </cell>
          <cell r="R793" t="e">
            <v>#N/A</v>
          </cell>
        </row>
        <row r="794">
          <cell r="A794">
            <v>40618</v>
          </cell>
          <cell r="B794">
            <v>40618</v>
          </cell>
          <cell r="C794" t="str">
            <v>Future</v>
          </cell>
          <cell r="D794" t="e">
            <v>#N/A</v>
          </cell>
          <cell r="E794">
            <v>5.0336220472438233</v>
          </cell>
          <cell r="F794">
            <v>102.59267716535507</v>
          </cell>
          <cell r="G794">
            <v>56.135984251968857</v>
          </cell>
          <cell r="H794">
            <v>56.135984251968857</v>
          </cell>
          <cell r="I794" t="e">
            <v>#N/A</v>
          </cell>
          <cell r="J794" t="e">
            <v>#N/A</v>
          </cell>
          <cell r="K794" t="e">
            <v>#N/A</v>
          </cell>
          <cell r="L794" t="e">
            <v>#N/A</v>
          </cell>
          <cell r="M794" t="e">
            <v>#N/A</v>
          </cell>
          <cell r="N794" t="e">
            <v>#N/A</v>
          </cell>
          <cell r="O794" t="e">
            <v>#N/A</v>
          </cell>
          <cell r="P794">
            <v>71.03</v>
          </cell>
          <cell r="Q794" t="str">
            <v/>
          </cell>
          <cell r="R794" t="e">
            <v>#N/A</v>
          </cell>
        </row>
        <row r="795">
          <cell r="A795">
            <v>40619</v>
          </cell>
          <cell r="B795">
            <v>40619</v>
          </cell>
          <cell r="C795" t="str">
            <v>Future</v>
          </cell>
          <cell r="D795" t="e">
            <v>#N/A</v>
          </cell>
          <cell r="E795">
            <v>4.7539763779524851</v>
          </cell>
          <cell r="F795">
            <v>102.72641732283539</v>
          </cell>
          <cell r="G795">
            <v>56.072874015748383</v>
          </cell>
          <cell r="H795">
            <v>56.072874015748383</v>
          </cell>
          <cell r="I795" t="e">
            <v>#N/A</v>
          </cell>
          <cell r="J795" t="e">
            <v>#N/A</v>
          </cell>
          <cell r="K795" t="e">
            <v>#N/A</v>
          </cell>
          <cell r="L795" t="e">
            <v>#N/A</v>
          </cell>
          <cell r="M795" t="e">
            <v>#N/A</v>
          </cell>
          <cell r="N795" t="e">
            <v>#N/A</v>
          </cell>
          <cell r="O795" t="e">
            <v>#N/A</v>
          </cell>
          <cell r="P795">
            <v>71.03</v>
          </cell>
          <cell r="Q795" t="str">
            <v/>
          </cell>
          <cell r="R795" t="e">
            <v>#N/A</v>
          </cell>
        </row>
        <row r="796">
          <cell r="A796">
            <v>40620</v>
          </cell>
          <cell r="B796">
            <v>40620</v>
          </cell>
          <cell r="C796" t="str">
            <v>Future</v>
          </cell>
          <cell r="D796" t="e">
            <v>#N/A</v>
          </cell>
          <cell r="E796">
            <v>4.4743307086611468</v>
          </cell>
          <cell r="F796">
            <v>102.86015748031571</v>
          </cell>
          <cell r="G796">
            <v>56.009763779527908</v>
          </cell>
          <cell r="H796">
            <v>56.009763779527908</v>
          </cell>
          <cell r="I796" t="e">
            <v>#N/A</v>
          </cell>
          <cell r="J796" t="e">
            <v>#N/A</v>
          </cell>
          <cell r="K796" t="e">
            <v>#N/A</v>
          </cell>
          <cell r="L796" t="e">
            <v>#N/A</v>
          </cell>
          <cell r="M796" t="e">
            <v>#N/A</v>
          </cell>
          <cell r="N796" t="e">
            <v>#N/A</v>
          </cell>
          <cell r="O796" t="e">
            <v>#N/A</v>
          </cell>
          <cell r="P796">
            <v>71.03</v>
          </cell>
          <cell r="Q796" t="str">
            <v/>
          </cell>
          <cell r="R796" t="e">
            <v>#N/A</v>
          </cell>
        </row>
        <row r="797">
          <cell r="A797">
            <v>40623</v>
          </cell>
          <cell r="B797">
            <v>40623</v>
          </cell>
          <cell r="C797" t="str">
            <v>Future</v>
          </cell>
          <cell r="D797" t="e">
            <v>#N/A</v>
          </cell>
          <cell r="E797">
            <v>4.1946850393698085</v>
          </cell>
          <cell r="F797">
            <v>102.99389763779602</v>
          </cell>
          <cell r="G797">
            <v>55.946653543307434</v>
          </cell>
          <cell r="H797">
            <v>55.946653543307434</v>
          </cell>
          <cell r="I797" t="e">
            <v>#N/A</v>
          </cell>
          <cell r="J797" t="e">
            <v>#N/A</v>
          </cell>
          <cell r="K797" t="e">
            <v>#N/A</v>
          </cell>
          <cell r="L797" t="e">
            <v>#N/A</v>
          </cell>
          <cell r="M797" t="e">
            <v>#N/A</v>
          </cell>
          <cell r="N797" t="e">
            <v>#N/A</v>
          </cell>
          <cell r="O797" t="e">
            <v>#N/A</v>
          </cell>
          <cell r="P797">
            <v>71.03</v>
          </cell>
          <cell r="Q797" t="str">
            <v/>
          </cell>
          <cell r="R797" t="e">
            <v>#N/A</v>
          </cell>
        </row>
        <row r="798">
          <cell r="A798">
            <v>40624</v>
          </cell>
          <cell r="B798">
            <v>40624</v>
          </cell>
          <cell r="C798" t="str">
            <v>Future</v>
          </cell>
          <cell r="D798" t="e">
            <v>#N/A</v>
          </cell>
          <cell r="E798">
            <v>3.9150393700784698</v>
          </cell>
          <cell r="F798">
            <v>103.12763779527634</v>
          </cell>
          <cell r="G798">
            <v>55.88354330708696</v>
          </cell>
          <cell r="H798">
            <v>55.88354330708696</v>
          </cell>
          <cell r="I798" t="e">
            <v>#N/A</v>
          </cell>
          <cell r="J798" t="e">
            <v>#N/A</v>
          </cell>
          <cell r="K798" t="e">
            <v>#N/A</v>
          </cell>
          <cell r="L798" t="e">
            <v>#N/A</v>
          </cell>
          <cell r="M798" t="e">
            <v>#N/A</v>
          </cell>
          <cell r="N798" t="e">
            <v>#N/A</v>
          </cell>
          <cell r="O798" t="e">
            <v>#N/A</v>
          </cell>
          <cell r="P798">
            <v>71.03</v>
          </cell>
          <cell r="Q798" t="str">
            <v/>
          </cell>
          <cell r="R798" t="e">
            <v>#N/A</v>
          </cell>
        </row>
        <row r="799">
          <cell r="A799">
            <v>40625</v>
          </cell>
          <cell r="B799">
            <v>40625</v>
          </cell>
          <cell r="C799" t="str">
            <v>Future</v>
          </cell>
          <cell r="D799" t="e">
            <v>#N/A</v>
          </cell>
          <cell r="E799">
            <v>3.6353937007871311</v>
          </cell>
          <cell r="F799">
            <v>103.26137795275666</v>
          </cell>
          <cell r="G799">
            <v>55.820433070866486</v>
          </cell>
          <cell r="H799">
            <v>55.820433070866486</v>
          </cell>
          <cell r="I799" t="e">
            <v>#N/A</v>
          </cell>
          <cell r="J799" t="e">
            <v>#N/A</v>
          </cell>
          <cell r="K799" t="e">
            <v>#N/A</v>
          </cell>
          <cell r="L799" t="e">
            <v>#N/A</v>
          </cell>
          <cell r="M799" t="e">
            <v>#N/A</v>
          </cell>
          <cell r="N799" t="e">
            <v>#N/A</v>
          </cell>
          <cell r="O799" t="e">
            <v>#N/A</v>
          </cell>
          <cell r="P799">
            <v>71.03</v>
          </cell>
          <cell r="Q799" t="str">
            <v/>
          </cell>
          <cell r="R799" t="e">
            <v>#N/A</v>
          </cell>
        </row>
        <row r="800">
          <cell r="A800">
            <v>40626</v>
          </cell>
          <cell r="B800">
            <v>40626</v>
          </cell>
          <cell r="C800" t="str">
            <v>Future</v>
          </cell>
          <cell r="D800" t="e">
            <v>#N/A</v>
          </cell>
          <cell r="E800">
            <v>3.3557480314957924</v>
          </cell>
          <cell r="F800">
            <v>103.39511811023698</v>
          </cell>
          <cell r="G800">
            <v>55.757322834646011</v>
          </cell>
          <cell r="H800">
            <v>55.757322834646011</v>
          </cell>
          <cell r="I800" t="e">
            <v>#N/A</v>
          </cell>
          <cell r="J800" t="e">
            <v>#N/A</v>
          </cell>
          <cell r="K800" t="e">
            <v>#N/A</v>
          </cell>
          <cell r="L800" t="e">
            <v>#N/A</v>
          </cell>
          <cell r="M800" t="e">
            <v>#N/A</v>
          </cell>
          <cell r="N800" t="e">
            <v>#N/A</v>
          </cell>
          <cell r="O800" t="e">
            <v>#N/A</v>
          </cell>
          <cell r="P800">
            <v>71.03</v>
          </cell>
          <cell r="Q800" t="str">
            <v/>
          </cell>
          <cell r="R800" t="e">
            <v>#N/A</v>
          </cell>
        </row>
        <row r="801">
          <cell r="A801">
            <v>40627</v>
          </cell>
          <cell r="B801">
            <v>40627</v>
          </cell>
          <cell r="C801" t="str">
            <v>Future</v>
          </cell>
          <cell r="D801" t="e">
            <v>#N/A</v>
          </cell>
          <cell r="E801">
            <v>3.0761023622044537</v>
          </cell>
          <cell r="F801">
            <v>103.5288582677173</v>
          </cell>
          <cell r="G801">
            <v>55.694212598425537</v>
          </cell>
          <cell r="H801">
            <v>55.694212598425537</v>
          </cell>
          <cell r="I801" t="e">
            <v>#N/A</v>
          </cell>
          <cell r="J801" t="e">
            <v>#N/A</v>
          </cell>
          <cell r="K801" t="e">
            <v>#N/A</v>
          </cell>
          <cell r="L801" t="e">
            <v>#N/A</v>
          </cell>
          <cell r="M801" t="e">
            <v>#N/A</v>
          </cell>
          <cell r="N801" t="e">
            <v>#N/A</v>
          </cell>
          <cell r="O801" t="e">
            <v>#N/A</v>
          </cell>
          <cell r="P801">
            <v>71.03</v>
          </cell>
          <cell r="Q801" t="str">
            <v/>
          </cell>
          <cell r="R801" t="e">
            <v>#N/A</v>
          </cell>
        </row>
        <row r="802">
          <cell r="A802">
            <v>40630</v>
          </cell>
          <cell r="B802">
            <v>40630</v>
          </cell>
          <cell r="C802" t="str">
            <v>Future</v>
          </cell>
          <cell r="D802" t="e">
            <v>#N/A</v>
          </cell>
          <cell r="E802">
            <v>2.7964566929131149</v>
          </cell>
          <cell r="F802">
            <v>103.66259842519761</v>
          </cell>
          <cell r="G802">
            <v>55.631102362205063</v>
          </cell>
          <cell r="H802">
            <v>55.631102362205063</v>
          </cell>
          <cell r="I802" t="e">
            <v>#N/A</v>
          </cell>
          <cell r="J802" t="e">
            <v>#N/A</v>
          </cell>
          <cell r="K802" t="e">
            <v>#N/A</v>
          </cell>
          <cell r="L802" t="e">
            <v>#N/A</v>
          </cell>
          <cell r="M802" t="e">
            <v>#N/A</v>
          </cell>
          <cell r="N802" t="e">
            <v>#N/A</v>
          </cell>
          <cell r="O802" t="e">
            <v>#N/A</v>
          </cell>
          <cell r="P802">
            <v>71.03</v>
          </cell>
          <cell r="Q802" t="str">
            <v/>
          </cell>
          <cell r="R802" t="e">
            <v>#N/A</v>
          </cell>
        </row>
        <row r="803">
          <cell r="A803">
            <v>40631</v>
          </cell>
          <cell r="B803">
            <v>40631</v>
          </cell>
          <cell r="C803" t="str">
            <v>Future</v>
          </cell>
          <cell r="D803" t="e">
            <v>#N/A</v>
          </cell>
          <cell r="E803">
            <v>2.5168110236217762</v>
          </cell>
          <cell r="F803">
            <v>103.79633858267793</v>
          </cell>
          <cell r="G803">
            <v>55.567992125984588</v>
          </cell>
          <cell r="H803">
            <v>55.567992125984588</v>
          </cell>
          <cell r="I803" t="e">
            <v>#N/A</v>
          </cell>
          <cell r="J803" t="e">
            <v>#N/A</v>
          </cell>
          <cell r="K803" t="e">
            <v>#N/A</v>
          </cell>
          <cell r="L803" t="e">
            <v>#N/A</v>
          </cell>
          <cell r="M803" t="e">
            <v>#N/A</v>
          </cell>
          <cell r="N803" t="e">
            <v>#N/A</v>
          </cell>
          <cell r="O803" t="e">
            <v>#N/A</v>
          </cell>
          <cell r="P803">
            <v>71.03</v>
          </cell>
          <cell r="Q803" t="str">
            <v/>
          </cell>
          <cell r="R803" t="e">
            <v>#N/A</v>
          </cell>
        </row>
        <row r="804">
          <cell r="A804">
            <v>40632</v>
          </cell>
          <cell r="B804">
            <v>40632</v>
          </cell>
          <cell r="C804" t="str">
            <v>Future</v>
          </cell>
          <cell r="D804" t="e">
            <v>#N/A</v>
          </cell>
          <cell r="E804">
            <v>2.2371653543304375</v>
          </cell>
          <cell r="F804">
            <v>103.93007874015825</v>
          </cell>
          <cell r="G804">
            <v>55.504881889764114</v>
          </cell>
          <cell r="H804">
            <v>55.504881889764114</v>
          </cell>
          <cell r="I804" t="e">
            <v>#N/A</v>
          </cell>
          <cell r="J804" t="e">
            <v>#N/A</v>
          </cell>
          <cell r="K804" t="e">
            <v>#N/A</v>
          </cell>
          <cell r="L804" t="e">
            <v>#N/A</v>
          </cell>
          <cell r="M804" t="e">
            <v>#N/A</v>
          </cell>
          <cell r="N804" t="e">
            <v>#N/A</v>
          </cell>
          <cell r="O804" t="e">
            <v>#N/A</v>
          </cell>
          <cell r="P804">
            <v>71.03</v>
          </cell>
          <cell r="Q804" t="str">
            <v/>
          </cell>
          <cell r="R804" t="e">
            <v>#N/A</v>
          </cell>
        </row>
        <row r="805">
          <cell r="A805">
            <v>40633</v>
          </cell>
          <cell r="B805">
            <v>40633</v>
          </cell>
          <cell r="C805" t="str">
            <v>Future</v>
          </cell>
          <cell r="D805" t="e">
            <v>#N/A</v>
          </cell>
          <cell r="E805">
            <v>1.9575196850390988</v>
          </cell>
          <cell r="F805">
            <v>104.06381889763857</v>
          </cell>
          <cell r="G805">
            <v>55.44177165354364</v>
          </cell>
          <cell r="H805">
            <v>55.44177165354364</v>
          </cell>
          <cell r="I805" t="e">
            <v>#N/A</v>
          </cell>
          <cell r="J805" t="e">
            <v>#N/A</v>
          </cell>
          <cell r="K805" t="e">
            <v>#N/A</v>
          </cell>
          <cell r="L805" t="e">
            <v>#N/A</v>
          </cell>
          <cell r="M805" t="e">
            <v>#N/A</v>
          </cell>
          <cell r="N805" t="e">
            <v>#N/A</v>
          </cell>
          <cell r="O805" t="e">
            <v>#N/A</v>
          </cell>
          <cell r="P805">
            <v>71.03</v>
          </cell>
          <cell r="Q805" t="str">
            <v/>
          </cell>
          <cell r="R805" t="e">
            <v>#N/A</v>
          </cell>
        </row>
        <row r="806">
          <cell r="A806">
            <v>40634</v>
          </cell>
          <cell r="B806">
            <v>40634</v>
          </cell>
          <cell r="C806" t="str">
            <v>Future</v>
          </cell>
          <cell r="D806" t="e">
            <v>#N/A</v>
          </cell>
          <cell r="E806">
            <v>1.6778740157477601</v>
          </cell>
          <cell r="F806">
            <v>104.19755905511889</v>
          </cell>
          <cell r="G806">
            <v>55.378661417323165</v>
          </cell>
          <cell r="H806">
            <v>55.378661417323165</v>
          </cell>
          <cell r="I806" t="e">
            <v>#N/A</v>
          </cell>
          <cell r="J806" t="e">
            <v>#N/A</v>
          </cell>
          <cell r="K806" t="e">
            <v>#N/A</v>
          </cell>
          <cell r="L806" t="e">
            <v>#N/A</v>
          </cell>
          <cell r="M806" t="e">
            <v>#N/A</v>
          </cell>
          <cell r="N806" t="e">
            <v>#N/A</v>
          </cell>
          <cell r="O806" t="e">
            <v>#N/A</v>
          </cell>
          <cell r="P806">
            <v>71.03</v>
          </cell>
          <cell r="Q806" t="str">
            <v/>
          </cell>
          <cell r="R806" t="e">
            <v>#N/A</v>
          </cell>
        </row>
        <row r="807">
          <cell r="A807">
            <v>40637</v>
          </cell>
          <cell r="B807">
            <v>40637</v>
          </cell>
          <cell r="C807" t="str">
            <v>Future</v>
          </cell>
          <cell r="D807" t="e">
            <v>#N/A</v>
          </cell>
          <cell r="E807">
            <v>1.3982283464564214</v>
          </cell>
          <cell r="F807">
            <v>104.33129921259921</v>
          </cell>
          <cell r="G807">
            <v>55.315551181102691</v>
          </cell>
          <cell r="H807">
            <v>55.315551181102691</v>
          </cell>
          <cell r="I807" t="e">
            <v>#N/A</v>
          </cell>
          <cell r="J807" t="e">
            <v>#N/A</v>
          </cell>
          <cell r="K807" t="e">
            <v>#N/A</v>
          </cell>
          <cell r="L807" t="e">
            <v>#N/A</v>
          </cell>
          <cell r="M807" t="e">
            <v>#N/A</v>
          </cell>
          <cell r="N807" t="e">
            <v>#N/A</v>
          </cell>
          <cell r="O807" t="e">
            <v>#N/A</v>
          </cell>
          <cell r="P807">
            <v>71.03</v>
          </cell>
          <cell r="Q807" t="str">
            <v/>
          </cell>
          <cell r="R807" t="e">
            <v>#N/A</v>
          </cell>
        </row>
        <row r="808">
          <cell r="A808">
            <v>40638</v>
          </cell>
          <cell r="B808">
            <v>40638</v>
          </cell>
          <cell r="C808" t="str">
            <v>Future</v>
          </cell>
          <cell r="D808" t="e">
            <v>#N/A</v>
          </cell>
          <cell r="E808">
            <v>1.1185826771650826</v>
          </cell>
          <cell r="F808">
            <v>104.46503937007952</v>
          </cell>
          <cell r="G808">
            <v>55.252440944882217</v>
          </cell>
          <cell r="H808">
            <v>55.252440944882217</v>
          </cell>
          <cell r="I808" t="e">
            <v>#N/A</v>
          </cell>
          <cell r="J808" t="e">
            <v>#N/A</v>
          </cell>
          <cell r="K808" t="e">
            <v>#N/A</v>
          </cell>
          <cell r="L808" t="e">
            <v>#N/A</v>
          </cell>
          <cell r="M808" t="e">
            <v>#N/A</v>
          </cell>
          <cell r="N808" t="e">
            <v>#N/A</v>
          </cell>
          <cell r="O808" t="e">
            <v>#N/A</v>
          </cell>
          <cell r="P808">
            <v>71.03</v>
          </cell>
          <cell r="Q808" t="str">
            <v/>
          </cell>
          <cell r="R808" t="e">
            <v>#N/A</v>
          </cell>
        </row>
        <row r="809">
          <cell r="A809">
            <v>40639</v>
          </cell>
          <cell r="B809">
            <v>40639</v>
          </cell>
          <cell r="C809" t="str">
            <v>Future</v>
          </cell>
          <cell r="D809" t="e">
            <v>#N/A</v>
          </cell>
          <cell r="E809">
            <v>0.83893700787374403</v>
          </cell>
          <cell r="F809">
            <v>104.59877952755984</v>
          </cell>
          <cell r="G809">
            <v>55.189330708661743</v>
          </cell>
          <cell r="H809">
            <v>55.189330708661743</v>
          </cell>
          <cell r="I809" t="e">
            <v>#N/A</v>
          </cell>
          <cell r="J809" t="e">
            <v>#N/A</v>
          </cell>
          <cell r="K809" t="e">
            <v>#N/A</v>
          </cell>
          <cell r="L809" t="e">
            <v>#N/A</v>
          </cell>
          <cell r="M809" t="e">
            <v>#N/A</v>
          </cell>
          <cell r="N809" t="e">
            <v>#N/A</v>
          </cell>
          <cell r="O809" t="e">
            <v>#N/A</v>
          </cell>
          <cell r="P809">
            <v>71.03</v>
          </cell>
          <cell r="Q809" t="str">
            <v/>
          </cell>
          <cell r="R809" t="e">
            <v>#N/A</v>
          </cell>
        </row>
        <row r="810">
          <cell r="A810">
            <v>40640</v>
          </cell>
          <cell r="B810">
            <v>40640</v>
          </cell>
          <cell r="C810" t="str">
            <v>Future</v>
          </cell>
          <cell r="D810" t="e">
            <v>#N/A</v>
          </cell>
          <cell r="E810">
            <v>0.55929133858240543</v>
          </cell>
          <cell r="F810">
            <v>104.73251968504016</v>
          </cell>
          <cell r="G810">
            <v>55.126220472441268</v>
          </cell>
          <cell r="H810">
            <v>55.126220472441268</v>
          </cell>
          <cell r="I810" t="e">
            <v>#N/A</v>
          </cell>
          <cell r="J810" t="e">
            <v>#N/A</v>
          </cell>
          <cell r="K810" t="e">
            <v>#N/A</v>
          </cell>
          <cell r="L810" t="e">
            <v>#N/A</v>
          </cell>
          <cell r="M810" t="e">
            <v>#N/A</v>
          </cell>
          <cell r="N810" t="e">
            <v>#N/A</v>
          </cell>
          <cell r="O810" t="e">
            <v>#N/A</v>
          </cell>
          <cell r="P810">
            <v>71.03</v>
          </cell>
          <cell r="Q810" t="str">
            <v/>
          </cell>
          <cell r="R810" t="e">
            <v>#N/A</v>
          </cell>
        </row>
        <row r="811">
          <cell r="A811">
            <v>40641</v>
          </cell>
          <cell r="B811">
            <v>40641</v>
          </cell>
          <cell r="C811" t="str">
            <v>Future</v>
          </cell>
          <cell r="D811" t="e">
            <v>#N/A</v>
          </cell>
          <cell r="E811">
            <v>0.27964566929106682</v>
          </cell>
          <cell r="F811">
            <v>104.86625984252048</v>
          </cell>
          <cell r="G811">
            <v>55.063110236220794</v>
          </cell>
          <cell r="H811">
            <v>55.063110236220794</v>
          </cell>
          <cell r="I811" t="e">
            <v>#N/A</v>
          </cell>
          <cell r="J811" t="e">
            <v>#N/A</v>
          </cell>
          <cell r="K811">
            <v>105</v>
          </cell>
          <cell r="L811">
            <v>55</v>
          </cell>
          <cell r="M811" t="e">
            <v>#N/A</v>
          </cell>
          <cell r="N811">
            <v>90</v>
          </cell>
          <cell r="O811" t="e">
            <v>#N/A</v>
          </cell>
          <cell r="P811">
            <v>71.03</v>
          </cell>
          <cell r="Q811" t="str">
            <v/>
          </cell>
          <cell r="R811">
            <v>90</v>
          </cell>
        </row>
        <row r="812">
          <cell r="A812" t="str">
            <v/>
          </cell>
          <cell r="B812" t="str">
            <v/>
          </cell>
          <cell r="C812" t="str">
            <v>Future</v>
          </cell>
          <cell r="D812" t="e">
            <v>#N/A</v>
          </cell>
          <cell r="E812">
            <v>-2.7178259642823832E-13</v>
          </cell>
          <cell r="F812">
            <v>105.0000000000008</v>
          </cell>
          <cell r="G812">
            <v>55.00000000000032</v>
          </cell>
          <cell r="H812">
            <v>55.00000000000032</v>
          </cell>
          <cell r="I812" t="e">
            <v>#N/A</v>
          </cell>
          <cell r="J812" t="e">
            <v>#N/A</v>
          </cell>
          <cell r="K812">
            <v>105</v>
          </cell>
          <cell r="L812">
            <v>55</v>
          </cell>
          <cell r="M812" t="e">
            <v>#N/A</v>
          </cell>
          <cell r="N812">
            <v>90</v>
          </cell>
          <cell r="O812" t="e">
            <v>#N/A</v>
          </cell>
          <cell r="P812" t="str">
            <v/>
          </cell>
          <cell r="Q812" t="str">
            <v/>
          </cell>
          <cell r="R812">
            <v>90</v>
          </cell>
        </row>
        <row r="813">
          <cell r="A813" t="str">
            <v/>
          </cell>
          <cell r="B813" t="str">
            <v/>
          </cell>
          <cell r="C813" t="str">
            <v>Future</v>
          </cell>
          <cell r="D813" t="e">
            <v>#N/A</v>
          </cell>
          <cell r="E813">
            <v>-0.27964566929161039</v>
          </cell>
          <cell r="F813">
            <v>105.13374015748111</v>
          </cell>
          <cell r="G813">
            <v>54.936889763779845</v>
          </cell>
          <cell r="H813">
            <v>54.936889763779845</v>
          </cell>
          <cell r="I813" t="e">
            <v>#N/A</v>
          </cell>
          <cell r="J813" t="e">
            <v>#N/A</v>
          </cell>
          <cell r="K813">
            <v>105</v>
          </cell>
          <cell r="L813">
            <v>55</v>
          </cell>
          <cell r="M813" t="e">
            <v>#N/A</v>
          </cell>
          <cell r="N813">
            <v>90</v>
          </cell>
          <cell r="O813" t="e">
            <v>#N/A</v>
          </cell>
          <cell r="P813" t="str">
            <v/>
          </cell>
          <cell r="Q813" t="str">
            <v/>
          </cell>
          <cell r="R813">
            <v>90</v>
          </cell>
        </row>
        <row r="814">
          <cell r="A814" t="str">
            <v/>
          </cell>
          <cell r="B814" t="str">
            <v/>
          </cell>
          <cell r="C814" t="str">
            <v>Future</v>
          </cell>
          <cell r="D814" t="e">
            <v>#N/A</v>
          </cell>
          <cell r="E814">
            <v>-0.55929133858294899</v>
          </cell>
          <cell r="F814">
            <v>105.26748031496143</v>
          </cell>
          <cell r="G814">
            <v>54.873779527559371</v>
          </cell>
          <cell r="H814">
            <v>54.873779527559371</v>
          </cell>
          <cell r="I814" t="e">
            <v>#N/A</v>
          </cell>
          <cell r="J814" t="e">
            <v>#N/A</v>
          </cell>
          <cell r="K814">
            <v>105</v>
          </cell>
          <cell r="L814">
            <v>55</v>
          </cell>
          <cell r="M814" t="e">
            <v>#N/A</v>
          </cell>
          <cell r="N814">
            <v>90</v>
          </cell>
          <cell r="O814" t="e">
            <v>#N/A</v>
          </cell>
          <cell r="P814" t="str">
            <v/>
          </cell>
          <cell r="Q814" t="str">
            <v/>
          </cell>
          <cell r="R814">
            <v>90</v>
          </cell>
        </row>
        <row r="815">
          <cell r="A815" t="str">
            <v/>
          </cell>
          <cell r="B815" t="str">
            <v/>
          </cell>
          <cell r="C815" t="str">
            <v>Future</v>
          </cell>
          <cell r="D815" t="e">
            <v>#N/A</v>
          </cell>
          <cell r="E815">
            <v>-0.8389370078742876</v>
          </cell>
          <cell r="F815">
            <v>105.40122047244175</v>
          </cell>
          <cell r="G815">
            <v>54.810669291338897</v>
          </cell>
          <cell r="H815">
            <v>54.810669291338897</v>
          </cell>
          <cell r="I815" t="e">
            <v>#N/A</v>
          </cell>
          <cell r="J815" t="e">
            <v>#N/A</v>
          </cell>
          <cell r="K815">
            <v>105</v>
          </cell>
          <cell r="L815">
            <v>55</v>
          </cell>
          <cell r="M815" t="e">
            <v>#N/A</v>
          </cell>
          <cell r="N815">
            <v>90</v>
          </cell>
          <cell r="O815" t="e">
            <v>#N/A</v>
          </cell>
          <cell r="P815" t="str">
            <v/>
          </cell>
          <cell r="Q815" t="str">
            <v/>
          </cell>
          <cell r="R815">
            <v>90</v>
          </cell>
        </row>
        <row r="816">
          <cell r="A816" t="str">
            <v/>
          </cell>
          <cell r="B816" t="str">
            <v/>
          </cell>
          <cell r="C816" t="str">
            <v>Future</v>
          </cell>
          <cell r="D816" t="e">
            <v>#N/A</v>
          </cell>
          <cell r="E816">
            <v>-1.1185826771656262</v>
          </cell>
          <cell r="F816">
            <v>105.53496062992207</v>
          </cell>
          <cell r="G816">
            <v>54.747559055118423</v>
          </cell>
          <cell r="H816">
            <v>54.747559055118423</v>
          </cell>
          <cell r="I816" t="e">
            <v>#N/A</v>
          </cell>
          <cell r="J816" t="e">
            <v>#N/A</v>
          </cell>
          <cell r="K816">
            <v>105</v>
          </cell>
          <cell r="L816">
            <v>55</v>
          </cell>
          <cell r="M816" t="e">
            <v>#N/A</v>
          </cell>
          <cell r="N816">
            <v>90</v>
          </cell>
          <cell r="O816" t="e">
            <v>#N/A</v>
          </cell>
          <cell r="P816" t="str">
            <v/>
          </cell>
          <cell r="Q816" t="str">
            <v/>
          </cell>
          <cell r="R816">
            <v>90</v>
          </cell>
        </row>
        <row r="817">
          <cell r="A817" t="str">
            <v/>
          </cell>
          <cell r="B817" t="str">
            <v/>
          </cell>
          <cell r="C817" t="str">
            <v>Future</v>
          </cell>
          <cell r="D817" t="e">
            <v>#N/A</v>
          </cell>
          <cell r="E817">
            <v>-1.3982283464569649</v>
          </cell>
          <cell r="F817">
            <v>105.66870078740239</v>
          </cell>
          <cell r="G817">
            <v>54.684448818897948</v>
          </cell>
          <cell r="H817">
            <v>54.684448818897948</v>
          </cell>
          <cell r="I817" t="e">
            <v>#N/A</v>
          </cell>
          <cell r="J817" t="e">
            <v>#N/A</v>
          </cell>
          <cell r="K817">
            <v>105</v>
          </cell>
          <cell r="L817">
            <v>55</v>
          </cell>
          <cell r="M817" t="e">
            <v>#N/A</v>
          </cell>
          <cell r="N817">
            <v>90</v>
          </cell>
          <cell r="O817" t="e">
            <v>#N/A</v>
          </cell>
          <cell r="P817" t="str">
            <v/>
          </cell>
          <cell r="Q817" t="str">
            <v/>
          </cell>
          <cell r="R817">
            <v>90</v>
          </cell>
        </row>
        <row r="818">
          <cell r="A818" t="str">
            <v/>
          </cell>
          <cell r="B818" t="str">
            <v/>
          </cell>
          <cell r="C818" t="str">
            <v>Future</v>
          </cell>
          <cell r="D818" t="e">
            <v>#N/A</v>
          </cell>
          <cell r="E818">
            <v>-1.6778740157483036</v>
          </cell>
          <cell r="F818">
            <v>105.8024409448827</v>
          </cell>
          <cell r="G818">
            <v>54.621338582677474</v>
          </cell>
          <cell r="H818">
            <v>54.621338582677474</v>
          </cell>
          <cell r="I818" t="e">
            <v>#N/A</v>
          </cell>
          <cell r="J818" t="e">
            <v>#N/A</v>
          </cell>
          <cell r="K818">
            <v>105</v>
          </cell>
          <cell r="L818">
            <v>55</v>
          </cell>
          <cell r="M818" t="e">
            <v>#N/A</v>
          </cell>
          <cell r="N818">
            <v>90</v>
          </cell>
          <cell r="O818" t="e">
            <v>#N/A</v>
          </cell>
          <cell r="P818" t="str">
            <v/>
          </cell>
          <cell r="Q818" t="str">
            <v/>
          </cell>
          <cell r="R818">
            <v>90</v>
          </cell>
        </row>
        <row r="819">
          <cell r="A819" t="str">
            <v/>
          </cell>
          <cell r="B819" t="str">
            <v/>
          </cell>
          <cell r="C819" t="str">
            <v>Future</v>
          </cell>
          <cell r="D819" t="e">
            <v>#N/A</v>
          </cell>
          <cell r="E819">
            <v>-1.9575196850396424</v>
          </cell>
          <cell r="F819">
            <v>105.93618110236302</v>
          </cell>
          <cell r="G819">
            <v>54.558228346457</v>
          </cell>
          <cell r="H819">
            <v>54.558228346457</v>
          </cell>
          <cell r="I819" t="e">
            <v>#N/A</v>
          </cell>
          <cell r="J819" t="e">
            <v>#N/A</v>
          </cell>
          <cell r="K819">
            <v>105</v>
          </cell>
          <cell r="L819">
            <v>55</v>
          </cell>
          <cell r="M819" t="e">
            <v>#N/A</v>
          </cell>
          <cell r="N819">
            <v>90</v>
          </cell>
          <cell r="O819" t="e">
            <v>#N/A</v>
          </cell>
          <cell r="P819" t="str">
            <v/>
          </cell>
          <cell r="Q819" t="str">
            <v/>
          </cell>
          <cell r="R819">
            <v>90</v>
          </cell>
        </row>
        <row r="820">
          <cell r="A820" t="str">
            <v/>
          </cell>
          <cell r="B820" t="str">
            <v/>
          </cell>
          <cell r="C820" t="str">
            <v>Future</v>
          </cell>
          <cell r="D820" t="e">
            <v>#N/A</v>
          </cell>
          <cell r="E820">
            <v>-2.2371653543309811</v>
          </cell>
          <cell r="F820">
            <v>106.06992125984334</v>
          </cell>
          <cell r="G820">
            <v>54.495118110236525</v>
          </cell>
          <cell r="H820">
            <v>54.495118110236525</v>
          </cell>
          <cell r="I820" t="e">
            <v>#N/A</v>
          </cell>
          <cell r="J820" t="e">
            <v>#N/A</v>
          </cell>
          <cell r="K820">
            <v>105</v>
          </cell>
          <cell r="L820">
            <v>55</v>
          </cell>
          <cell r="M820" t="e">
            <v>#N/A</v>
          </cell>
          <cell r="N820">
            <v>90</v>
          </cell>
          <cell r="O820" t="e">
            <v>#N/A</v>
          </cell>
          <cell r="P820" t="str">
            <v/>
          </cell>
          <cell r="Q820" t="str">
            <v/>
          </cell>
          <cell r="R820">
            <v>90</v>
          </cell>
        </row>
        <row r="821">
          <cell r="A821" t="str">
            <v/>
          </cell>
          <cell r="B821" t="str">
            <v/>
          </cell>
          <cell r="C821" t="str">
            <v>Future</v>
          </cell>
          <cell r="D821" t="e">
            <v>#N/A</v>
          </cell>
          <cell r="E821">
            <v>-2.5168110236223198</v>
          </cell>
          <cell r="F821">
            <v>106.20366141732366</v>
          </cell>
          <cell r="G821">
            <v>54.432007874016051</v>
          </cell>
          <cell r="H821">
            <v>54.432007874016051</v>
          </cell>
          <cell r="I821" t="e">
            <v>#N/A</v>
          </cell>
          <cell r="J821" t="e">
            <v>#N/A</v>
          </cell>
          <cell r="K821">
            <v>105</v>
          </cell>
          <cell r="L821">
            <v>55</v>
          </cell>
          <cell r="M821" t="e">
            <v>#N/A</v>
          </cell>
          <cell r="N821">
            <v>90</v>
          </cell>
          <cell r="O821" t="e">
            <v>#N/A</v>
          </cell>
          <cell r="P821" t="str">
            <v/>
          </cell>
          <cell r="Q821" t="str">
            <v/>
          </cell>
          <cell r="R821">
            <v>90</v>
          </cell>
        </row>
        <row r="822">
          <cell r="A822" t="str">
            <v/>
          </cell>
          <cell r="B822" t="str">
            <v/>
          </cell>
          <cell r="C822" t="str">
            <v>Future</v>
          </cell>
          <cell r="D822" t="e">
            <v>#N/A</v>
          </cell>
          <cell r="E822">
            <v>-2.7964566929136585</v>
          </cell>
          <cell r="F822">
            <v>106.33740157480398</v>
          </cell>
          <cell r="G822">
            <v>54.368897637795577</v>
          </cell>
          <cell r="H822">
            <v>54.368897637795577</v>
          </cell>
          <cell r="I822" t="e">
            <v>#N/A</v>
          </cell>
          <cell r="J822" t="e">
            <v>#N/A</v>
          </cell>
          <cell r="K822">
            <v>105</v>
          </cell>
          <cell r="L822">
            <v>55</v>
          </cell>
          <cell r="M822" t="e">
            <v>#N/A</v>
          </cell>
          <cell r="N822">
            <v>90</v>
          </cell>
          <cell r="O822" t="e">
            <v>#N/A</v>
          </cell>
          <cell r="P822" t="str">
            <v/>
          </cell>
          <cell r="Q822" t="str">
            <v/>
          </cell>
          <cell r="R822">
            <v>90</v>
          </cell>
        </row>
        <row r="823">
          <cell r="A823" t="str">
            <v/>
          </cell>
          <cell r="B823" t="str">
            <v/>
          </cell>
          <cell r="C823" t="str">
            <v>Future</v>
          </cell>
          <cell r="D823" t="e">
            <v>#N/A</v>
          </cell>
          <cell r="E823">
            <v>-3.0761023622049972</v>
          </cell>
          <cell r="F823">
            <v>106.47114173228429</v>
          </cell>
          <cell r="G823">
            <v>54.305787401575103</v>
          </cell>
          <cell r="H823">
            <v>54.305787401575103</v>
          </cell>
          <cell r="I823" t="e">
            <v>#N/A</v>
          </cell>
          <cell r="J823" t="e">
            <v>#N/A</v>
          </cell>
          <cell r="K823">
            <v>105</v>
          </cell>
          <cell r="L823">
            <v>55</v>
          </cell>
          <cell r="M823" t="e">
            <v>#N/A</v>
          </cell>
          <cell r="N823">
            <v>90</v>
          </cell>
          <cell r="O823" t="e">
            <v>#N/A</v>
          </cell>
          <cell r="P823" t="str">
            <v/>
          </cell>
          <cell r="Q823" t="str">
            <v/>
          </cell>
          <cell r="R823">
            <v>90</v>
          </cell>
        </row>
        <row r="824">
          <cell r="A824" t="str">
            <v/>
          </cell>
          <cell r="B824" t="str">
            <v/>
          </cell>
          <cell r="C824" t="str">
            <v>Future</v>
          </cell>
          <cell r="D824" t="e">
            <v>#N/A</v>
          </cell>
          <cell r="E824">
            <v>-3.3557480314963359</v>
          </cell>
          <cell r="F824">
            <v>106.60488188976461</v>
          </cell>
          <cell r="G824">
            <v>54.242677165354628</v>
          </cell>
          <cell r="H824">
            <v>54.242677165354628</v>
          </cell>
          <cell r="I824" t="e">
            <v>#N/A</v>
          </cell>
          <cell r="J824" t="e">
            <v>#N/A</v>
          </cell>
          <cell r="K824">
            <v>105</v>
          </cell>
          <cell r="L824">
            <v>55</v>
          </cell>
          <cell r="M824" t="e">
            <v>#N/A</v>
          </cell>
          <cell r="N824">
            <v>90</v>
          </cell>
          <cell r="O824" t="e">
            <v>#N/A</v>
          </cell>
          <cell r="P824" t="str">
            <v/>
          </cell>
          <cell r="Q824" t="str">
            <v/>
          </cell>
          <cell r="R824">
            <v>90</v>
          </cell>
        </row>
        <row r="825">
          <cell r="A825" t="str">
            <v/>
          </cell>
          <cell r="B825" t="str">
            <v/>
          </cell>
          <cell r="C825" t="str">
            <v>Future</v>
          </cell>
          <cell r="D825" t="e">
            <v>#N/A</v>
          </cell>
          <cell r="E825">
            <v>-3.6353937007876747</v>
          </cell>
          <cell r="F825">
            <v>106.73862204724493</v>
          </cell>
          <cell r="G825">
            <v>54.179566929134154</v>
          </cell>
          <cell r="H825">
            <v>54.179566929134154</v>
          </cell>
          <cell r="I825" t="e">
            <v>#N/A</v>
          </cell>
          <cell r="J825" t="e">
            <v>#N/A</v>
          </cell>
          <cell r="K825">
            <v>105</v>
          </cell>
          <cell r="L825">
            <v>55</v>
          </cell>
          <cell r="M825" t="e">
            <v>#N/A</v>
          </cell>
          <cell r="N825">
            <v>90</v>
          </cell>
          <cell r="O825" t="e">
            <v>#N/A</v>
          </cell>
          <cell r="P825" t="str">
            <v/>
          </cell>
          <cell r="Q825" t="str">
            <v/>
          </cell>
          <cell r="R825">
            <v>90</v>
          </cell>
        </row>
        <row r="826">
          <cell r="A826" t="str">
            <v/>
          </cell>
          <cell r="B826" t="str">
            <v/>
          </cell>
          <cell r="C826" t="str">
            <v>Future</v>
          </cell>
          <cell r="D826" t="e">
            <v>#N/A</v>
          </cell>
          <cell r="E826">
            <v>-3.9150393700790134</v>
          </cell>
          <cell r="F826">
            <v>106.87236220472525</v>
          </cell>
          <cell r="G826">
            <v>54.11645669291368</v>
          </cell>
          <cell r="H826">
            <v>54.11645669291368</v>
          </cell>
          <cell r="I826" t="e">
            <v>#N/A</v>
          </cell>
          <cell r="J826" t="e">
            <v>#N/A</v>
          </cell>
          <cell r="K826">
            <v>105</v>
          </cell>
          <cell r="L826">
            <v>55</v>
          </cell>
          <cell r="M826" t="e">
            <v>#N/A</v>
          </cell>
          <cell r="N826">
            <v>90</v>
          </cell>
          <cell r="O826" t="e">
            <v>#N/A</v>
          </cell>
          <cell r="P826" t="str">
            <v/>
          </cell>
          <cell r="Q826" t="str">
            <v/>
          </cell>
          <cell r="R826">
            <v>90</v>
          </cell>
        </row>
        <row r="827">
          <cell r="A827" t="str">
            <v/>
          </cell>
          <cell r="B827" t="str">
            <v/>
          </cell>
          <cell r="C827" t="str">
            <v>Future</v>
          </cell>
          <cell r="D827" t="e">
            <v>#N/A</v>
          </cell>
          <cell r="E827">
            <v>-4.1946850393703521</v>
          </cell>
          <cell r="F827">
            <v>107.00610236220557</v>
          </cell>
          <cell r="G827">
            <v>54.053346456693205</v>
          </cell>
          <cell r="H827">
            <v>54.053346456693205</v>
          </cell>
          <cell r="I827" t="e">
            <v>#N/A</v>
          </cell>
          <cell r="J827" t="e">
            <v>#N/A</v>
          </cell>
          <cell r="K827">
            <v>105</v>
          </cell>
          <cell r="L827">
            <v>55</v>
          </cell>
          <cell r="M827" t="e">
            <v>#N/A</v>
          </cell>
          <cell r="N827">
            <v>90</v>
          </cell>
          <cell r="O827" t="e">
            <v>#N/A</v>
          </cell>
          <cell r="P827" t="str">
            <v/>
          </cell>
          <cell r="Q827" t="str">
            <v/>
          </cell>
          <cell r="R827">
            <v>90</v>
          </cell>
        </row>
        <row r="828">
          <cell r="A828" t="str">
            <v/>
          </cell>
          <cell r="B828" t="str">
            <v/>
          </cell>
          <cell r="C828" t="str">
            <v>Future</v>
          </cell>
          <cell r="D828" t="e">
            <v>#N/A</v>
          </cell>
          <cell r="E828">
            <v>-4.4743307086616904</v>
          </cell>
          <cell r="F828">
            <v>107.13984251968589</v>
          </cell>
          <cell r="G828">
            <v>53.990236220472731</v>
          </cell>
          <cell r="H828">
            <v>53.990236220472731</v>
          </cell>
          <cell r="I828" t="e">
            <v>#N/A</v>
          </cell>
          <cell r="J828" t="e">
            <v>#N/A</v>
          </cell>
          <cell r="K828">
            <v>105</v>
          </cell>
          <cell r="L828">
            <v>55</v>
          </cell>
          <cell r="M828" t="e">
            <v>#N/A</v>
          </cell>
          <cell r="N828">
            <v>90</v>
          </cell>
          <cell r="O828" t="e">
            <v>#N/A</v>
          </cell>
          <cell r="P828" t="str">
            <v/>
          </cell>
          <cell r="Q828" t="str">
            <v/>
          </cell>
          <cell r="R828">
            <v>90</v>
          </cell>
        </row>
        <row r="829">
          <cell r="A829" t="str">
            <v/>
          </cell>
          <cell r="B829" t="str">
            <v/>
          </cell>
          <cell r="C829" t="str">
            <v>Future</v>
          </cell>
          <cell r="D829" t="e">
            <v>#N/A</v>
          </cell>
          <cell r="E829">
            <v>-4.7539763779530286</v>
          </cell>
          <cell r="F829">
            <v>107.2735826771662</v>
          </cell>
          <cell r="G829">
            <v>53.927125984252257</v>
          </cell>
          <cell r="H829">
            <v>53.927125984252257</v>
          </cell>
          <cell r="I829" t="e">
            <v>#N/A</v>
          </cell>
          <cell r="J829" t="e">
            <v>#N/A</v>
          </cell>
          <cell r="K829">
            <v>105</v>
          </cell>
          <cell r="L829">
            <v>55</v>
          </cell>
          <cell r="M829" t="e">
            <v>#N/A</v>
          </cell>
          <cell r="N829">
            <v>90</v>
          </cell>
          <cell r="O829" t="e">
            <v>#N/A</v>
          </cell>
          <cell r="P829" t="str">
            <v/>
          </cell>
          <cell r="Q829" t="str">
            <v/>
          </cell>
          <cell r="R829">
            <v>90</v>
          </cell>
        </row>
        <row r="830">
          <cell r="A830" t="str">
            <v/>
          </cell>
          <cell r="B830" t="str">
            <v/>
          </cell>
          <cell r="C830" t="str">
            <v>Future</v>
          </cell>
          <cell r="D830" t="e">
            <v>#N/A</v>
          </cell>
          <cell r="E830">
            <v>-5.0336220472443669</v>
          </cell>
          <cell r="F830">
            <v>107.40732283464652</v>
          </cell>
          <cell r="G830">
            <v>53.864015748031782</v>
          </cell>
          <cell r="H830">
            <v>53.864015748031782</v>
          </cell>
          <cell r="I830" t="e">
            <v>#N/A</v>
          </cell>
          <cell r="J830" t="e">
            <v>#N/A</v>
          </cell>
          <cell r="K830">
            <v>105</v>
          </cell>
          <cell r="L830">
            <v>55</v>
          </cell>
          <cell r="M830" t="e">
            <v>#N/A</v>
          </cell>
          <cell r="N830">
            <v>90</v>
          </cell>
          <cell r="O830" t="e">
            <v>#N/A</v>
          </cell>
          <cell r="P830" t="str">
            <v/>
          </cell>
          <cell r="Q830" t="str">
            <v/>
          </cell>
          <cell r="R830">
            <v>90</v>
          </cell>
        </row>
        <row r="831">
          <cell r="A831" t="str">
            <v/>
          </cell>
          <cell r="B831" t="str">
            <v/>
          </cell>
          <cell r="C831" t="str">
            <v>Future</v>
          </cell>
          <cell r="D831" t="e">
            <v>#N/A</v>
          </cell>
          <cell r="E831">
            <v>-5.3132677165357052</v>
          </cell>
          <cell r="F831">
            <v>107.54106299212684</v>
          </cell>
          <cell r="G831">
            <v>53.800905511811308</v>
          </cell>
          <cell r="H831">
            <v>53.800905511811308</v>
          </cell>
          <cell r="I831" t="e">
            <v>#N/A</v>
          </cell>
          <cell r="J831" t="e">
            <v>#N/A</v>
          </cell>
          <cell r="K831">
            <v>105</v>
          </cell>
          <cell r="L831">
            <v>55</v>
          </cell>
          <cell r="M831" t="e">
            <v>#N/A</v>
          </cell>
          <cell r="N831">
            <v>90</v>
          </cell>
          <cell r="O831" t="e">
            <v>#N/A</v>
          </cell>
          <cell r="P831" t="str">
            <v/>
          </cell>
          <cell r="Q831" t="str">
            <v/>
          </cell>
          <cell r="R831">
            <v>90</v>
          </cell>
        </row>
        <row r="832">
          <cell r="A832" t="str">
            <v/>
          </cell>
          <cell r="B832" t="str">
            <v/>
          </cell>
          <cell r="C832" t="str">
            <v>Future</v>
          </cell>
          <cell r="D832" t="e">
            <v>#N/A</v>
          </cell>
          <cell r="E832">
            <v>-5.5929133858270434</v>
          </cell>
          <cell r="F832">
            <v>107.67480314960716</v>
          </cell>
          <cell r="G832">
            <v>53.737795275590834</v>
          </cell>
          <cell r="H832">
            <v>53.737795275590834</v>
          </cell>
          <cell r="I832" t="e">
            <v>#N/A</v>
          </cell>
          <cell r="J832" t="e">
            <v>#N/A</v>
          </cell>
          <cell r="K832">
            <v>105</v>
          </cell>
          <cell r="L832">
            <v>55</v>
          </cell>
          <cell r="M832" t="e">
            <v>#N/A</v>
          </cell>
          <cell r="N832">
            <v>90</v>
          </cell>
          <cell r="O832" t="e">
            <v>#N/A</v>
          </cell>
          <cell r="P832" t="str">
            <v/>
          </cell>
          <cell r="Q832" t="str">
            <v/>
          </cell>
          <cell r="R832">
            <v>90</v>
          </cell>
        </row>
        <row r="833">
          <cell r="A833" t="str">
            <v/>
          </cell>
          <cell r="B833" t="str">
            <v/>
          </cell>
          <cell r="C833" t="str">
            <v>Future</v>
          </cell>
          <cell r="D833" t="e">
            <v>#N/A</v>
          </cell>
          <cell r="E833">
            <v>-5.8725590551183817</v>
          </cell>
          <cell r="F833">
            <v>107.80854330708748</v>
          </cell>
          <cell r="G833">
            <v>53.67468503937036</v>
          </cell>
          <cell r="H833">
            <v>53.67468503937036</v>
          </cell>
          <cell r="I833" t="e">
            <v>#N/A</v>
          </cell>
          <cell r="J833" t="e">
            <v>#N/A</v>
          </cell>
          <cell r="K833">
            <v>105</v>
          </cell>
          <cell r="L833">
            <v>55</v>
          </cell>
          <cell r="M833" t="e">
            <v>#N/A</v>
          </cell>
          <cell r="N833">
            <v>90</v>
          </cell>
          <cell r="O833" t="e">
            <v>#N/A</v>
          </cell>
          <cell r="P833" t="str">
            <v/>
          </cell>
          <cell r="Q833" t="str">
            <v/>
          </cell>
          <cell r="R833">
            <v>90</v>
          </cell>
        </row>
        <row r="834">
          <cell r="A834" t="str">
            <v/>
          </cell>
          <cell r="B834" t="str">
            <v/>
          </cell>
          <cell r="C834" t="str">
            <v>Future</v>
          </cell>
          <cell r="D834" t="e">
            <v>#N/A</v>
          </cell>
          <cell r="E834">
            <v>-6.15220472440972</v>
          </cell>
          <cell r="F834">
            <v>107.94228346456779</v>
          </cell>
          <cell r="G834">
            <v>53.611574803149885</v>
          </cell>
          <cell r="H834">
            <v>53.611574803149885</v>
          </cell>
          <cell r="I834" t="e">
            <v>#N/A</v>
          </cell>
          <cell r="J834" t="e">
            <v>#N/A</v>
          </cell>
          <cell r="K834">
            <v>105</v>
          </cell>
          <cell r="L834">
            <v>55</v>
          </cell>
          <cell r="M834" t="e">
            <v>#N/A</v>
          </cell>
          <cell r="N834">
            <v>90</v>
          </cell>
          <cell r="O834" t="e">
            <v>#N/A</v>
          </cell>
          <cell r="P834" t="str">
            <v/>
          </cell>
          <cell r="Q834" t="str">
            <v/>
          </cell>
          <cell r="R834">
            <v>90</v>
          </cell>
        </row>
        <row r="835">
          <cell r="A835" t="str">
            <v/>
          </cell>
          <cell r="B835" t="str">
            <v/>
          </cell>
          <cell r="C835" t="str">
            <v>Future</v>
          </cell>
          <cell r="D835" t="e">
            <v>#N/A</v>
          </cell>
          <cell r="E835">
            <v>-6.4318503937010583</v>
          </cell>
          <cell r="F835">
            <v>108.07602362204811</v>
          </cell>
          <cell r="G835">
            <v>53.548464566929411</v>
          </cell>
          <cell r="H835">
            <v>53.548464566929411</v>
          </cell>
          <cell r="I835" t="e">
            <v>#N/A</v>
          </cell>
          <cell r="J835" t="e">
            <v>#N/A</v>
          </cell>
          <cell r="K835">
            <v>105</v>
          </cell>
          <cell r="L835">
            <v>55</v>
          </cell>
          <cell r="M835" t="e">
            <v>#N/A</v>
          </cell>
          <cell r="N835">
            <v>90</v>
          </cell>
          <cell r="O835" t="e">
            <v>#N/A</v>
          </cell>
          <cell r="P835" t="str">
            <v/>
          </cell>
          <cell r="Q835" t="str">
            <v/>
          </cell>
          <cell r="R835">
            <v>90</v>
          </cell>
        </row>
        <row r="836">
          <cell r="A836" t="str">
            <v/>
          </cell>
          <cell r="B836" t="str">
            <v/>
          </cell>
          <cell r="C836" t="str">
            <v>Future</v>
          </cell>
          <cell r="D836" t="e">
            <v>#N/A</v>
          </cell>
          <cell r="E836">
            <v>-6.7114960629923965</v>
          </cell>
          <cell r="F836">
            <v>108.20976377952843</v>
          </cell>
          <cell r="G836">
            <v>53.485354330708937</v>
          </cell>
          <cell r="H836">
            <v>53.485354330708937</v>
          </cell>
          <cell r="I836" t="e">
            <v>#N/A</v>
          </cell>
          <cell r="J836" t="e">
            <v>#N/A</v>
          </cell>
          <cell r="K836">
            <v>105</v>
          </cell>
          <cell r="L836">
            <v>55</v>
          </cell>
          <cell r="M836" t="e">
            <v>#N/A</v>
          </cell>
          <cell r="N836">
            <v>90</v>
          </cell>
          <cell r="O836" t="e">
            <v>#N/A</v>
          </cell>
          <cell r="P836" t="str">
            <v/>
          </cell>
          <cell r="Q836" t="str">
            <v/>
          </cell>
          <cell r="R836">
            <v>90</v>
          </cell>
        </row>
        <row r="837">
          <cell r="A837" t="str">
            <v/>
          </cell>
          <cell r="B837" t="str">
            <v/>
          </cell>
          <cell r="C837" t="str">
            <v>Future</v>
          </cell>
          <cell r="D837" t="e">
            <v>#N/A</v>
          </cell>
          <cell r="E837">
            <v>-6.9911417322837348</v>
          </cell>
          <cell r="F837">
            <v>108.34350393700875</v>
          </cell>
          <cell r="G837">
            <v>53.422244094488462</v>
          </cell>
          <cell r="H837">
            <v>53.422244094488462</v>
          </cell>
          <cell r="I837" t="e">
            <v>#N/A</v>
          </cell>
          <cell r="J837" t="e">
            <v>#N/A</v>
          </cell>
          <cell r="K837">
            <v>105</v>
          </cell>
          <cell r="L837">
            <v>55</v>
          </cell>
          <cell r="M837" t="e">
            <v>#N/A</v>
          </cell>
          <cell r="N837">
            <v>90</v>
          </cell>
          <cell r="O837" t="e">
            <v>#N/A</v>
          </cell>
          <cell r="P837" t="str">
            <v/>
          </cell>
          <cell r="Q837" t="str">
            <v/>
          </cell>
          <cell r="R837">
            <v>90</v>
          </cell>
        </row>
        <row r="838">
          <cell r="A838" t="str">
            <v/>
          </cell>
          <cell r="B838" t="str">
            <v/>
          </cell>
          <cell r="C838" t="str">
            <v>Future</v>
          </cell>
          <cell r="D838" t="e">
            <v>#N/A</v>
          </cell>
          <cell r="E838">
            <v>-7.2707874015750731</v>
          </cell>
          <cell r="F838">
            <v>108.47724409448907</v>
          </cell>
          <cell r="G838">
            <v>53.359133858267988</v>
          </cell>
          <cell r="H838">
            <v>53.359133858267988</v>
          </cell>
          <cell r="I838" t="e">
            <v>#N/A</v>
          </cell>
          <cell r="J838" t="e">
            <v>#N/A</v>
          </cell>
          <cell r="K838">
            <v>105</v>
          </cell>
          <cell r="L838">
            <v>55</v>
          </cell>
          <cell r="M838" t="e">
            <v>#N/A</v>
          </cell>
          <cell r="N838">
            <v>90</v>
          </cell>
          <cell r="O838" t="e">
            <v>#N/A</v>
          </cell>
          <cell r="P838" t="str">
            <v/>
          </cell>
          <cell r="Q838" t="str">
            <v/>
          </cell>
          <cell r="R838">
            <v>90</v>
          </cell>
        </row>
        <row r="839">
          <cell r="A839" t="str">
            <v/>
          </cell>
          <cell r="B839" t="str">
            <v/>
          </cell>
          <cell r="C839" t="str">
            <v>Future</v>
          </cell>
          <cell r="D839" t="e">
            <v>#N/A</v>
          </cell>
          <cell r="E839">
            <v>-7.5504330708664114</v>
          </cell>
          <cell r="F839">
            <v>108.61098425196938</v>
          </cell>
          <cell r="G839">
            <v>53.296023622047514</v>
          </cell>
          <cell r="H839">
            <v>53.296023622047514</v>
          </cell>
          <cell r="I839" t="e">
            <v>#N/A</v>
          </cell>
          <cell r="J839" t="e">
            <v>#N/A</v>
          </cell>
          <cell r="K839">
            <v>105</v>
          </cell>
          <cell r="L839">
            <v>55</v>
          </cell>
          <cell r="M839" t="e">
            <v>#N/A</v>
          </cell>
          <cell r="N839">
            <v>90</v>
          </cell>
          <cell r="O839" t="e">
            <v>#N/A</v>
          </cell>
          <cell r="P839" t="str">
            <v/>
          </cell>
          <cell r="Q839" t="str">
            <v/>
          </cell>
          <cell r="R839">
            <v>90</v>
          </cell>
        </row>
        <row r="840">
          <cell r="A840" t="str">
            <v/>
          </cell>
          <cell r="B840" t="str">
            <v/>
          </cell>
          <cell r="C840" t="str">
            <v>Future</v>
          </cell>
          <cell r="D840" t="e">
            <v>#N/A</v>
          </cell>
          <cell r="E840">
            <v>-7.8300787401577496</v>
          </cell>
          <cell r="F840">
            <v>108.7447244094497</v>
          </cell>
          <cell r="G840">
            <v>53.23291338582704</v>
          </cell>
          <cell r="H840">
            <v>53.23291338582704</v>
          </cell>
          <cell r="I840" t="e">
            <v>#N/A</v>
          </cell>
          <cell r="J840" t="e">
            <v>#N/A</v>
          </cell>
          <cell r="K840">
            <v>105</v>
          </cell>
          <cell r="L840">
            <v>55</v>
          </cell>
          <cell r="M840" t="e">
            <v>#N/A</v>
          </cell>
          <cell r="N840">
            <v>90</v>
          </cell>
          <cell r="O840" t="e">
            <v>#N/A</v>
          </cell>
          <cell r="P840" t="str">
            <v/>
          </cell>
          <cell r="Q840" t="str">
            <v/>
          </cell>
          <cell r="R840">
            <v>90</v>
          </cell>
        </row>
        <row r="841">
          <cell r="A841" t="str">
            <v/>
          </cell>
          <cell r="B841" t="str">
            <v/>
          </cell>
          <cell r="C841" t="str">
            <v>Future</v>
          </cell>
          <cell r="D841" t="e">
            <v>#N/A</v>
          </cell>
          <cell r="E841">
            <v>-8.1097244094490879</v>
          </cell>
          <cell r="F841">
            <v>108.87846456693002</v>
          </cell>
          <cell r="G841">
            <v>53.169803149606565</v>
          </cell>
          <cell r="H841">
            <v>53.169803149606565</v>
          </cell>
          <cell r="I841" t="e">
            <v>#N/A</v>
          </cell>
          <cell r="J841" t="e">
            <v>#N/A</v>
          </cell>
          <cell r="K841">
            <v>105</v>
          </cell>
          <cell r="L841">
            <v>55</v>
          </cell>
          <cell r="M841" t="e">
            <v>#N/A</v>
          </cell>
          <cell r="N841">
            <v>90</v>
          </cell>
          <cell r="O841" t="e">
            <v>#N/A</v>
          </cell>
          <cell r="P841" t="str">
            <v/>
          </cell>
          <cell r="Q841" t="str">
            <v/>
          </cell>
          <cell r="R841">
            <v>90</v>
          </cell>
        </row>
        <row r="842">
          <cell r="A842" t="str">
            <v/>
          </cell>
          <cell r="B842" t="str">
            <v/>
          </cell>
          <cell r="C842" t="str">
            <v>Future</v>
          </cell>
          <cell r="D842" t="e">
            <v>#N/A</v>
          </cell>
          <cell r="E842">
            <v>-8.3893700787404271</v>
          </cell>
          <cell r="F842">
            <v>109.01220472441034</v>
          </cell>
          <cell r="G842">
            <v>53.106692913386091</v>
          </cell>
          <cell r="H842">
            <v>53.106692913386091</v>
          </cell>
          <cell r="I842" t="e">
            <v>#N/A</v>
          </cell>
          <cell r="J842" t="e">
            <v>#N/A</v>
          </cell>
          <cell r="K842">
            <v>105</v>
          </cell>
          <cell r="L842">
            <v>55</v>
          </cell>
          <cell r="M842" t="e">
            <v>#N/A</v>
          </cell>
          <cell r="N842">
            <v>90</v>
          </cell>
          <cell r="O842" t="e">
            <v>#N/A</v>
          </cell>
          <cell r="P842" t="str">
            <v/>
          </cell>
          <cell r="Q842" t="str">
            <v/>
          </cell>
          <cell r="R842">
            <v>90</v>
          </cell>
        </row>
        <row r="843">
          <cell r="A843" t="str">
            <v/>
          </cell>
          <cell r="B843" t="str">
            <v/>
          </cell>
          <cell r="C843" t="str">
            <v>Future</v>
          </cell>
          <cell r="D843" t="e">
            <v>#N/A</v>
          </cell>
          <cell r="E843">
            <v>-8.6690157480317662</v>
          </cell>
          <cell r="F843">
            <v>109.14594488189066</v>
          </cell>
          <cell r="G843">
            <v>53.043582677165617</v>
          </cell>
          <cell r="H843">
            <v>53.043582677165617</v>
          </cell>
          <cell r="I843" t="e">
            <v>#N/A</v>
          </cell>
          <cell r="J843" t="e">
            <v>#N/A</v>
          </cell>
          <cell r="K843">
            <v>105</v>
          </cell>
          <cell r="L843">
            <v>55</v>
          </cell>
          <cell r="M843" t="e">
            <v>#N/A</v>
          </cell>
          <cell r="N843">
            <v>90</v>
          </cell>
          <cell r="O843" t="e">
            <v>#N/A</v>
          </cell>
          <cell r="P843" t="str">
            <v/>
          </cell>
          <cell r="Q843" t="str">
            <v/>
          </cell>
          <cell r="R843">
            <v>90</v>
          </cell>
        </row>
        <row r="844">
          <cell r="A844" t="str">
            <v/>
          </cell>
          <cell r="B844" t="str">
            <v/>
          </cell>
          <cell r="C844" t="str">
            <v>Future</v>
          </cell>
          <cell r="D844" t="e">
            <v>#N/A</v>
          </cell>
          <cell r="E844">
            <v>-8.9486614173231054</v>
          </cell>
          <cell r="F844">
            <v>109.27968503937097</v>
          </cell>
          <cell r="G844">
            <v>52.980472440945142</v>
          </cell>
          <cell r="H844">
            <v>52.980472440945142</v>
          </cell>
          <cell r="I844" t="e">
            <v>#N/A</v>
          </cell>
          <cell r="J844" t="e">
            <v>#N/A</v>
          </cell>
          <cell r="K844">
            <v>105</v>
          </cell>
          <cell r="L844">
            <v>55</v>
          </cell>
          <cell r="M844" t="e">
            <v>#N/A</v>
          </cell>
          <cell r="N844">
            <v>90</v>
          </cell>
          <cell r="O844" t="e">
            <v>#N/A</v>
          </cell>
          <cell r="P844" t="str">
            <v/>
          </cell>
          <cell r="Q844" t="str">
            <v/>
          </cell>
          <cell r="R844">
            <v>90</v>
          </cell>
        </row>
        <row r="845">
          <cell r="A845" t="str">
            <v/>
          </cell>
          <cell r="B845" t="str">
            <v/>
          </cell>
          <cell r="C845" t="str">
            <v>Future</v>
          </cell>
          <cell r="D845" t="e">
            <v>#N/A</v>
          </cell>
          <cell r="E845">
            <v>-9.2283070866144445</v>
          </cell>
          <cell r="F845">
            <v>109.41342519685129</v>
          </cell>
          <cell r="G845">
            <v>52.917362204724668</v>
          </cell>
          <cell r="H845">
            <v>52.917362204724668</v>
          </cell>
          <cell r="I845" t="e">
            <v>#N/A</v>
          </cell>
          <cell r="J845" t="e">
            <v>#N/A</v>
          </cell>
          <cell r="K845">
            <v>105</v>
          </cell>
          <cell r="L845">
            <v>55</v>
          </cell>
          <cell r="M845" t="e">
            <v>#N/A</v>
          </cell>
          <cell r="N845">
            <v>90</v>
          </cell>
          <cell r="O845" t="e">
            <v>#N/A</v>
          </cell>
          <cell r="P845" t="str">
            <v/>
          </cell>
          <cell r="Q845" t="str">
            <v/>
          </cell>
          <cell r="R845">
            <v>90</v>
          </cell>
        </row>
        <row r="846">
          <cell r="A846" t="str">
            <v/>
          </cell>
          <cell r="B846" t="str">
            <v/>
          </cell>
          <cell r="C846" t="str">
            <v>Future</v>
          </cell>
          <cell r="D846" t="e">
            <v>#N/A</v>
          </cell>
          <cell r="E846">
            <v>-9.5079527559057837</v>
          </cell>
          <cell r="F846">
            <v>109.54716535433161</v>
          </cell>
          <cell r="G846">
            <v>52.854251968504194</v>
          </cell>
          <cell r="H846">
            <v>52.854251968504194</v>
          </cell>
          <cell r="I846" t="e">
            <v>#N/A</v>
          </cell>
          <cell r="J846" t="e">
            <v>#N/A</v>
          </cell>
          <cell r="K846">
            <v>105</v>
          </cell>
          <cell r="L846">
            <v>55</v>
          </cell>
          <cell r="M846" t="e">
            <v>#N/A</v>
          </cell>
          <cell r="N846">
            <v>90</v>
          </cell>
          <cell r="O846" t="e">
            <v>#N/A</v>
          </cell>
          <cell r="P846" t="str">
            <v/>
          </cell>
          <cell r="Q846" t="str">
            <v/>
          </cell>
          <cell r="R846">
            <v>90</v>
          </cell>
        </row>
        <row r="847">
          <cell r="A847" t="str">
            <v/>
          </cell>
          <cell r="B847" t="str">
            <v/>
          </cell>
          <cell r="C847" t="str">
            <v>Future</v>
          </cell>
          <cell r="D847" t="e">
            <v>#N/A</v>
          </cell>
          <cell r="E847">
            <v>-9.7875984251971229</v>
          </cell>
          <cell r="F847">
            <v>109.68090551181193</v>
          </cell>
          <cell r="G847">
            <v>52.79114173228372</v>
          </cell>
          <cell r="H847">
            <v>52.79114173228372</v>
          </cell>
          <cell r="I847" t="e">
            <v>#N/A</v>
          </cell>
          <cell r="J847" t="e">
            <v>#N/A</v>
          </cell>
          <cell r="K847">
            <v>105</v>
          </cell>
          <cell r="L847">
            <v>55</v>
          </cell>
          <cell r="M847" t="e">
            <v>#N/A</v>
          </cell>
          <cell r="N847">
            <v>90</v>
          </cell>
          <cell r="O847" t="e">
            <v>#N/A</v>
          </cell>
          <cell r="P847" t="str">
            <v/>
          </cell>
          <cell r="Q847" t="str">
            <v/>
          </cell>
          <cell r="R847">
            <v>90</v>
          </cell>
        </row>
        <row r="848">
          <cell r="A848" t="str">
            <v/>
          </cell>
          <cell r="B848" t="str">
            <v/>
          </cell>
          <cell r="C848" t="str">
            <v>Future</v>
          </cell>
          <cell r="D848" t="e">
            <v>#N/A</v>
          </cell>
          <cell r="E848">
            <v>-10.067244094488462</v>
          </cell>
          <cell r="F848">
            <v>109.81464566929225</v>
          </cell>
          <cell r="G848">
            <v>52.728031496063245</v>
          </cell>
          <cell r="H848">
            <v>52.728031496063245</v>
          </cell>
          <cell r="I848" t="e">
            <v>#N/A</v>
          </cell>
          <cell r="J848" t="e">
            <v>#N/A</v>
          </cell>
          <cell r="K848">
            <v>105</v>
          </cell>
          <cell r="L848">
            <v>55</v>
          </cell>
          <cell r="M848" t="e">
            <v>#N/A</v>
          </cell>
          <cell r="N848">
            <v>90</v>
          </cell>
          <cell r="O848" t="e">
            <v>#N/A</v>
          </cell>
          <cell r="P848" t="str">
            <v/>
          </cell>
          <cell r="Q848" t="str">
            <v/>
          </cell>
          <cell r="R848">
            <v>90</v>
          </cell>
        </row>
        <row r="849">
          <cell r="A849" t="str">
            <v/>
          </cell>
          <cell r="B849" t="str">
            <v/>
          </cell>
          <cell r="C849" t="str">
            <v>Future</v>
          </cell>
          <cell r="D849" t="e">
            <v>#N/A</v>
          </cell>
          <cell r="E849">
            <v>-10.346889763779801</v>
          </cell>
          <cell r="F849">
            <v>109.94838582677257</v>
          </cell>
          <cell r="G849">
            <v>52.664921259842771</v>
          </cell>
          <cell r="H849">
            <v>52.664921259842771</v>
          </cell>
          <cell r="I849" t="e">
            <v>#N/A</v>
          </cell>
          <cell r="J849" t="e">
            <v>#N/A</v>
          </cell>
          <cell r="K849">
            <v>105</v>
          </cell>
          <cell r="L849">
            <v>55</v>
          </cell>
          <cell r="M849" t="e">
            <v>#N/A</v>
          </cell>
          <cell r="N849">
            <v>90</v>
          </cell>
          <cell r="O849" t="e">
            <v>#N/A</v>
          </cell>
          <cell r="P849" t="str">
            <v/>
          </cell>
          <cell r="Q849" t="str">
            <v/>
          </cell>
          <cell r="R849">
            <v>90</v>
          </cell>
        </row>
        <row r="850">
          <cell r="A850" t="str">
            <v/>
          </cell>
          <cell r="B850" t="str">
            <v/>
          </cell>
          <cell r="C850" t="str">
            <v>Future</v>
          </cell>
          <cell r="D850" t="e">
            <v>#N/A</v>
          </cell>
          <cell r="E850">
            <v>-10.62653543307114</v>
          </cell>
          <cell r="F850">
            <v>110.08212598425288</v>
          </cell>
          <cell r="G850">
            <v>52.601811023622297</v>
          </cell>
          <cell r="H850">
            <v>52.601811023622297</v>
          </cell>
          <cell r="I850" t="e">
            <v>#N/A</v>
          </cell>
          <cell r="J850" t="e">
            <v>#N/A</v>
          </cell>
          <cell r="K850">
            <v>105</v>
          </cell>
          <cell r="L850">
            <v>55</v>
          </cell>
          <cell r="M850" t="e">
            <v>#N/A</v>
          </cell>
          <cell r="N850">
            <v>90</v>
          </cell>
          <cell r="O850" t="e">
            <v>#N/A</v>
          </cell>
          <cell r="P850" t="str">
            <v/>
          </cell>
          <cell r="Q850" t="str">
            <v/>
          </cell>
          <cell r="R850">
            <v>90</v>
          </cell>
        </row>
        <row r="851">
          <cell r="A851" t="str">
            <v/>
          </cell>
          <cell r="B851" t="str">
            <v/>
          </cell>
          <cell r="C851" t="str">
            <v>Future</v>
          </cell>
          <cell r="D851" t="e">
            <v>#N/A</v>
          </cell>
          <cell r="E851">
            <v>-10.90618110236248</v>
          </cell>
          <cell r="F851">
            <v>110.2158661417332</v>
          </cell>
          <cell r="G851">
            <v>52.538700787401822</v>
          </cell>
          <cell r="H851">
            <v>52.538700787401822</v>
          </cell>
          <cell r="I851" t="e">
            <v>#N/A</v>
          </cell>
          <cell r="J851" t="e">
            <v>#N/A</v>
          </cell>
          <cell r="K851">
            <v>105</v>
          </cell>
          <cell r="L851">
            <v>55</v>
          </cell>
          <cell r="M851" t="e">
            <v>#N/A</v>
          </cell>
          <cell r="N851">
            <v>90</v>
          </cell>
          <cell r="O851" t="e">
            <v>#N/A</v>
          </cell>
          <cell r="P851" t="str">
            <v/>
          </cell>
          <cell r="Q851" t="str">
            <v/>
          </cell>
          <cell r="R851">
            <v>90</v>
          </cell>
        </row>
        <row r="852">
          <cell r="A852" t="str">
            <v/>
          </cell>
          <cell r="B852" t="str">
            <v/>
          </cell>
          <cell r="C852" t="str">
            <v>Future</v>
          </cell>
          <cell r="D852" t="e">
            <v>#N/A</v>
          </cell>
          <cell r="E852">
            <v>-11.185826771653819</v>
          </cell>
          <cell r="F852">
            <v>110.34960629921352</v>
          </cell>
          <cell r="G852">
            <v>52.475590551181348</v>
          </cell>
          <cell r="H852">
            <v>52.475590551181348</v>
          </cell>
          <cell r="I852" t="e">
            <v>#N/A</v>
          </cell>
          <cell r="J852" t="e">
            <v>#N/A</v>
          </cell>
          <cell r="K852">
            <v>105</v>
          </cell>
          <cell r="L852">
            <v>55</v>
          </cell>
          <cell r="M852" t="e">
            <v>#N/A</v>
          </cell>
          <cell r="N852">
            <v>90</v>
          </cell>
          <cell r="O852" t="e">
            <v>#N/A</v>
          </cell>
          <cell r="P852" t="str">
            <v/>
          </cell>
          <cell r="Q852" t="str">
            <v/>
          </cell>
          <cell r="R852">
            <v>90</v>
          </cell>
        </row>
        <row r="853">
          <cell r="A853" t="str">
            <v/>
          </cell>
          <cell r="B853" t="str">
            <v/>
          </cell>
          <cell r="C853" t="str">
            <v>Future</v>
          </cell>
          <cell r="D853" t="e">
            <v>#N/A</v>
          </cell>
          <cell r="E853">
            <v>-11.465472440945158</v>
          </cell>
          <cell r="F853">
            <v>110.48334645669384</v>
          </cell>
          <cell r="G853">
            <v>52.412480314960874</v>
          </cell>
          <cell r="H853">
            <v>52.412480314960874</v>
          </cell>
          <cell r="I853" t="e">
            <v>#N/A</v>
          </cell>
          <cell r="J853" t="e">
            <v>#N/A</v>
          </cell>
          <cell r="K853">
            <v>105</v>
          </cell>
          <cell r="L853">
            <v>55</v>
          </cell>
          <cell r="M853" t="e">
            <v>#N/A</v>
          </cell>
          <cell r="N853">
            <v>90</v>
          </cell>
          <cell r="O853" t="e">
            <v>#N/A</v>
          </cell>
          <cell r="P853" t="str">
            <v/>
          </cell>
          <cell r="Q853" t="str">
            <v/>
          </cell>
          <cell r="R853">
            <v>90</v>
          </cell>
        </row>
        <row r="854">
          <cell r="A854" t="str">
            <v/>
          </cell>
          <cell r="B854" t="str">
            <v/>
          </cell>
          <cell r="C854" t="str">
            <v>Future</v>
          </cell>
          <cell r="D854" t="e">
            <v>#N/A</v>
          </cell>
          <cell r="E854">
            <v>-11.745118110236497</v>
          </cell>
          <cell r="F854">
            <v>110.61708661417416</v>
          </cell>
          <cell r="G854">
            <v>52.349370078740399</v>
          </cell>
          <cell r="H854">
            <v>52.349370078740399</v>
          </cell>
          <cell r="I854" t="e">
            <v>#N/A</v>
          </cell>
          <cell r="J854" t="e">
            <v>#N/A</v>
          </cell>
          <cell r="K854">
            <v>105</v>
          </cell>
          <cell r="L854">
            <v>55</v>
          </cell>
          <cell r="M854" t="e">
            <v>#N/A</v>
          </cell>
          <cell r="N854">
            <v>90</v>
          </cell>
          <cell r="O854" t="e">
            <v>#N/A</v>
          </cell>
          <cell r="P854" t="str">
            <v/>
          </cell>
          <cell r="Q854" t="str">
            <v/>
          </cell>
          <cell r="R854">
            <v>90</v>
          </cell>
        </row>
        <row r="855">
          <cell r="A855" t="str">
            <v/>
          </cell>
          <cell r="B855" t="str">
            <v/>
          </cell>
          <cell r="C855" t="str">
            <v>Future</v>
          </cell>
          <cell r="D855" t="e">
            <v>#N/A</v>
          </cell>
          <cell r="E855">
            <v>-12.024763779527836</v>
          </cell>
          <cell r="F855">
            <v>110.75082677165447</v>
          </cell>
          <cell r="G855">
            <v>52.286259842519925</v>
          </cell>
          <cell r="H855">
            <v>52.286259842519925</v>
          </cell>
          <cell r="I855" t="e">
            <v>#N/A</v>
          </cell>
          <cell r="J855" t="e">
            <v>#N/A</v>
          </cell>
          <cell r="K855">
            <v>105</v>
          </cell>
          <cell r="L855">
            <v>55</v>
          </cell>
          <cell r="M855" t="e">
            <v>#N/A</v>
          </cell>
          <cell r="N855">
            <v>90</v>
          </cell>
          <cell r="O855" t="e">
            <v>#N/A</v>
          </cell>
          <cell r="P855" t="str">
            <v/>
          </cell>
          <cell r="Q855" t="str">
            <v/>
          </cell>
          <cell r="R855">
            <v>90</v>
          </cell>
        </row>
        <row r="856">
          <cell r="A856" t="str">
            <v/>
          </cell>
          <cell r="B856" t="str">
            <v/>
          </cell>
          <cell r="C856" t="str">
            <v>Future</v>
          </cell>
          <cell r="D856" t="e">
            <v>#N/A</v>
          </cell>
          <cell r="E856">
            <v>-12.304409448819175</v>
          </cell>
          <cell r="F856">
            <v>110.88456692913479</v>
          </cell>
          <cell r="G856">
            <v>52.223149606299451</v>
          </cell>
          <cell r="H856">
            <v>52.223149606299451</v>
          </cell>
          <cell r="I856" t="e">
            <v>#N/A</v>
          </cell>
          <cell r="J856" t="e">
            <v>#N/A</v>
          </cell>
          <cell r="K856">
            <v>105</v>
          </cell>
          <cell r="L856">
            <v>55</v>
          </cell>
          <cell r="M856" t="e">
            <v>#N/A</v>
          </cell>
          <cell r="N856">
            <v>90</v>
          </cell>
          <cell r="O856" t="e">
            <v>#N/A</v>
          </cell>
          <cell r="P856" t="str">
            <v/>
          </cell>
          <cell r="Q856" t="str">
            <v/>
          </cell>
          <cell r="R856">
            <v>90</v>
          </cell>
        </row>
        <row r="857">
          <cell r="A857" t="str">
            <v/>
          </cell>
          <cell r="B857" t="str">
            <v/>
          </cell>
          <cell r="C857" t="str">
            <v>Future</v>
          </cell>
          <cell r="D857" t="e">
            <v>#N/A</v>
          </cell>
          <cell r="E857">
            <v>-12.584055118110514</v>
          </cell>
          <cell r="F857">
            <v>111.01830708661511</v>
          </cell>
          <cell r="G857">
            <v>52.160039370078977</v>
          </cell>
          <cell r="H857">
            <v>52.160039370078977</v>
          </cell>
          <cell r="I857" t="e">
            <v>#N/A</v>
          </cell>
          <cell r="J857" t="e">
            <v>#N/A</v>
          </cell>
          <cell r="K857">
            <v>105</v>
          </cell>
          <cell r="L857">
            <v>55</v>
          </cell>
          <cell r="M857" t="e">
            <v>#N/A</v>
          </cell>
          <cell r="N857">
            <v>90</v>
          </cell>
          <cell r="O857" t="e">
            <v>#N/A</v>
          </cell>
          <cell r="P857" t="str">
            <v/>
          </cell>
          <cell r="Q857" t="str">
            <v/>
          </cell>
          <cell r="R857">
            <v>90</v>
          </cell>
        </row>
        <row r="858">
          <cell r="A858" t="str">
            <v/>
          </cell>
          <cell r="B858" t="str">
            <v/>
          </cell>
          <cell r="C858" t="str">
            <v>Future</v>
          </cell>
          <cell r="D858" t="e">
            <v>#N/A</v>
          </cell>
          <cell r="E858">
            <v>-12.863700787401854</v>
          </cell>
          <cell r="F858">
            <v>111.15204724409543</v>
          </cell>
          <cell r="G858">
            <v>52.096929133858502</v>
          </cell>
          <cell r="H858">
            <v>52.096929133858502</v>
          </cell>
          <cell r="I858" t="e">
            <v>#N/A</v>
          </cell>
          <cell r="J858" t="e">
            <v>#N/A</v>
          </cell>
          <cell r="K858">
            <v>105</v>
          </cell>
          <cell r="L858">
            <v>55</v>
          </cell>
          <cell r="M858" t="e">
            <v>#N/A</v>
          </cell>
          <cell r="N858">
            <v>90</v>
          </cell>
          <cell r="O858" t="e">
            <v>#N/A</v>
          </cell>
          <cell r="P858" t="str">
            <v/>
          </cell>
          <cell r="Q858" t="str">
            <v/>
          </cell>
          <cell r="R858">
            <v>90</v>
          </cell>
        </row>
        <row r="859">
          <cell r="A859" t="str">
            <v/>
          </cell>
          <cell r="B859" t="str">
            <v/>
          </cell>
          <cell r="C859" t="str">
            <v>Future</v>
          </cell>
          <cell r="D859" t="e">
            <v>#N/A</v>
          </cell>
          <cell r="E859">
            <v>-13.143346456693193</v>
          </cell>
          <cell r="F859">
            <v>111.28578740157575</v>
          </cell>
          <cell r="G859">
            <v>52.033818897638028</v>
          </cell>
          <cell r="H859">
            <v>52.033818897638028</v>
          </cell>
          <cell r="I859" t="e">
            <v>#N/A</v>
          </cell>
          <cell r="J859" t="e">
            <v>#N/A</v>
          </cell>
          <cell r="K859">
            <v>105</v>
          </cell>
          <cell r="L859">
            <v>55</v>
          </cell>
          <cell r="M859" t="e">
            <v>#N/A</v>
          </cell>
          <cell r="N859">
            <v>90</v>
          </cell>
          <cell r="O859" t="e">
            <v>#N/A</v>
          </cell>
          <cell r="P859" t="str">
            <v/>
          </cell>
          <cell r="Q859" t="str">
            <v/>
          </cell>
          <cell r="R859">
            <v>90</v>
          </cell>
        </row>
        <row r="860">
          <cell r="A860" t="str">
            <v/>
          </cell>
          <cell r="B860" t="str">
            <v/>
          </cell>
          <cell r="C860" t="str">
            <v>Future</v>
          </cell>
          <cell r="D860" t="e">
            <v>#N/A</v>
          </cell>
          <cell r="E860">
            <v>-13.422992125984532</v>
          </cell>
          <cell r="F860">
            <v>111.41952755905606</v>
          </cell>
          <cell r="G860">
            <v>51.970708661417554</v>
          </cell>
          <cell r="H860">
            <v>51.970708661417554</v>
          </cell>
          <cell r="I860" t="e">
            <v>#N/A</v>
          </cell>
          <cell r="J860" t="e">
            <v>#N/A</v>
          </cell>
          <cell r="K860">
            <v>105</v>
          </cell>
          <cell r="L860">
            <v>55</v>
          </cell>
          <cell r="M860" t="e">
            <v>#N/A</v>
          </cell>
          <cell r="N860">
            <v>90</v>
          </cell>
          <cell r="O860" t="e">
            <v>#N/A</v>
          </cell>
          <cell r="P860" t="str">
            <v/>
          </cell>
          <cell r="Q860" t="str">
            <v/>
          </cell>
          <cell r="R860">
            <v>90</v>
          </cell>
        </row>
        <row r="861">
          <cell r="A861" t="str">
            <v/>
          </cell>
          <cell r="B861" t="str">
            <v/>
          </cell>
          <cell r="C861" t="str">
            <v>Future</v>
          </cell>
          <cell r="D861" t="e">
            <v>#N/A</v>
          </cell>
          <cell r="E861">
            <v>-13.702637795275871</v>
          </cell>
          <cell r="F861">
            <v>111.55326771653638</v>
          </cell>
          <cell r="G861">
            <v>51.907598425197079</v>
          </cell>
          <cell r="H861">
            <v>51.907598425197079</v>
          </cell>
          <cell r="I861" t="e">
            <v>#N/A</v>
          </cell>
          <cell r="J861" t="e">
            <v>#N/A</v>
          </cell>
          <cell r="K861">
            <v>105</v>
          </cell>
          <cell r="L861">
            <v>55</v>
          </cell>
          <cell r="M861" t="e">
            <v>#N/A</v>
          </cell>
          <cell r="N861">
            <v>90</v>
          </cell>
          <cell r="O861" t="e">
            <v>#N/A</v>
          </cell>
          <cell r="P861" t="str">
            <v/>
          </cell>
          <cell r="Q861" t="str">
            <v/>
          </cell>
          <cell r="R861">
            <v>90</v>
          </cell>
        </row>
        <row r="862">
          <cell r="A862" t="str">
            <v/>
          </cell>
          <cell r="B862" t="str">
            <v/>
          </cell>
          <cell r="C862" t="str">
            <v>Future</v>
          </cell>
          <cell r="D862" t="e">
            <v>#N/A</v>
          </cell>
          <cell r="E862">
            <v>-13.98228346456721</v>
          </cell>
          <cell r="F862">
            <v>111.6870078740167</v>
          </cell>
          <cell r="G862">
            <v>51.844488188976605</v>
          </cell>
          <cell r="H862">
            <v>51.844488188976605</v>
          </cell>
          <cell r="I862" t="e">
            <v>#N/A</v>
          </cell>
          <cell r="J862" t="e">
            <v>#N/A</v>
          </cell>
          <cell r="K862">
            <v>105</v>
          </cell>
          <cell r="L862">
            <v>55</v>
          </cell>
          <cell r="M862" t="e">
            <v>#N/A</v>
          </cell>
          <cell r="N862">
            <v>90</v>
          </cell>
          <cell r="O862" t="e">
            <v>#N/A</v>
          </cell>
          <cell r="P862" t="str">
            <v/>
          </cell>
          <cell r="Q862" t="str">
            <v/>
          </cell>
          <cell r="R862">
            <v>90</v>
          </cell>
        </row>
        <row r="863">
          <cell r="A863" t="str">
            <v/>
          </cell>
          <cell r="B863" t="str">
            <v/>
          </cell>
          <cell r="C863" t="str">
            <v>Future</v>
          </cell>
          <cell r="D863" t="e">
            <v>#N/A</v>
          </cell>
          <cell r="E863">
            <v>-14.261929133858549</v>
          </cell>
          <cell r="F863">
            <v>111.82074803149702</v>
          </cell>
          <cell r="G863">
            <v>51.781377952756131</v>
          </cell>
          <cell r="H863">
            <v>51.781377952756131</v>
          </cell>
          <cell r="I863" t="e">
            <v>#N/A</v>
          </cell>
          <cell r="J863" t="e">
            <v>#N/A</v>
          </cell>
          <cell r="K863">
            <v>105</v>
          </cell>
          <cell r="L863">
            <v>55</v>
          </cell>
          <cell r="M863" t="e">
            <v>#N/A</v>
          </cell>
          <cell r="N863">
            <v>90</v>
          </cell>
          <cell r="O863" t="e">
            <v>#N/A</v>
          </cell>
          <cell r="P863" t="str">
            <v/>
          </cell>
          <cell r="Q863" t="str">
            <v/>
          </cell>
          <cell r="R863">
            <v>90</v>
          </cell>
        </row>
        <row r="864">
          <cell r="A864" t="str">
            <v/>
          </cell>
          <cell r="B864" t="str">
            <v/>
          </cell>
          <cell r="C864" t="str">
            <v>Future</v>
          </cell>
          <cell r="D864" t="e">
            <v>#N/A</v>
          </cell>
          <cell r="E864">
            <v>-14.541574803149889</v>
          </cell>
          <cell r="F864">
            <v>111.95448818897734</v>
          </cell>
          <cell r="G864">
            <v>51.718267716535657</v>
          </cell>
          <cell r="H864">
            <v>51.718267716535657</v>
          </cell>
          <cell r="I864" t="e">
            <v>#N/A</v>
          </cell>
          <cell r="J864" t="e">
            <v>#N/A</v>
          </cell>
          <cell r="K864">
            <v>105</v>
          </cell>
          <cell r="L864">
            <v>55</v>
          </cell>
          <cell r="M864" t="e">
            <v>#N/A</v>
          </cell>
          <cell r="N864">
            <v>90</v>
          </cell>
          <cell r="O864" t="e">
            <v>#N/A</v>
          </cell>
          <cell r="P864" t="str">
            <v/>
          </cell>
          <cell r="Q864" t="str">
            <v/>
          </cell>
          <cell r="R864">
            <v>90</v>
          </cell>
        </row>
        <row r="865">
          <cell r="A865" t="str">
            <v/>
          </cell>
          <cell r="B865" t="str">
            <v/>
          </cell>
          <cell r="C865" t="str">
            <v>Future</v>
          </cell>
          <cell r="D865" t="e">
            <v>#N/A</v>
          </cell>
          <cell r="E865">
            <v>-14.821220472441228</v>
          </cell>
          <cell r="F865">
            <v>112.08822834645765</v>
          </cell>
          <cell r="G865">
            <v>51.655157480315182</v>
          </cell>
          <cell r="H865">
            <v>51.655157480315182</v>
          </cell>
          <cell r="I865" t="e">
            <v>#N/A</v>
          </cell>
          <cell r="J865" t="e">
            <v>#N/A</v>
          </cell>
          <cell r="K865">
            <v>105</v>
          </cell>
          <cell r="L865">
            <v>55</v>
          </cell>
          <cell r="M865" t="e">
            <v>#N/A</v>
          </cell>
          <cell r="N865">
            <v>90</v>
          </cell>
          <cell r="O865" t="e">
            <v>#N/A</v>
          </cell>
          <cell r="P865" t="str">
            <v/>
          </cell>
          <cell r="Q865" t="str">
            <v/>
          </cell>
          <cell r="R865">
            <v>90</v>
          </cell>
        </row>
        <row r="866">
          <cell r="A866" t="str">
            <v/>
          </cell>
          <cell r="B866" t="str">
            <v/>
          </cell>
          <cell r="C866" t="str">
            <v>Future</v>
          </cell>
          <cell r="D866" t="e">
            <v>#N/A</v>
          </cell>
          <cell r="E866">
            <v>-15.100866141732567</v>
          </cell>
          <cell r="F866">
            <v>112.22196850393797</v>
          </cell>
          <cell r="G866">
            <v>51.592047244094708</v>
          </cell>
          <cell r="H866">
            <v>51.592047244094708</v>
          </cell>
          <cell r="I866" t="e">
            <v>#N/A</v>
          </cell>
          <cell r="J866" t="e">
            <v>#N/A</v>
          </cell>
          <cell r="K866">
            <v>105</v>
          </cell>
          <cell r="L866">
            <v>55</v>
          </cell>
          <cell r="M866" t="e">
            <v>#N/A</v>
          </cell>
          <cell r="N866">
            <v>90</v>
          </cell>
          <cell r="O866" t="e">
            <v>#N/A</v>
          </cell>
          <cell r="P866" t="str">
            <v/>
          </cell>
          <cell r="Q866" t="str">
            <v/>
          </cell>
          <cell r="R866">
            <v>90</v>
          </cell>
        </row>
        <row r="867">
          <cell r="A867" t="str">
            <v/>
          </cell>
          <cell r="B867" t="str">
            <v/>
          </cell>
          <cell r="C867" t="str">
            <v>Future</v>
          </cell>
          <cell r="D867" t="e">
            <v>#N/A</v>
          </cell>
          <cell r="E867">
            <v>-15.380511811023906</v>
          </cell>
          <cell r="F867">
            <v>112.35570866141829</v>
          </cell>
          <cell r="G867">
            <v>51.528937007874234</v>
          </cell>
          <cell r="H867">
            <v>51.528937007874234</v>
          </cell>
          <cell r="I867" t="e">
            <v>#N/A</v>
          </cell>
          <cell r="J867" t="e">
            <v>#N/A</v>
          </cell>
          <cell r="K867">
            <v>105</v>
          </cell>
          <cell r="L867">
            <v>55</v>
          </cell>
          <cell r="M867" t="e">
            <v>#N/A</v>
          </cell>
          <cell r="N867">
            <v>90</v>
          </cell>
          <cell r="O867" t="e">
            <v>#N/A</v>
          </cell>
          <cell r="P867" t="str">
            <v/>
          </cell>
          <cell r="Q867" t="str">
            <v/>
          </cell>
          <cell r="R867">
            <v>90</v>
          </cell>
        </row>
        <row r="868">
          <cell r="A868" t="str">
            <v/>
          </cell>
          <cell r="B868" t="str">
            <v/>
          </cell>
          <cell r="C868" t="str">
            <v>Future</v>
          </cell>
          <cell r="D868" t="e">
            <v>#N/A</v>
          </cell>
          <cell r="E868">
            <v>-15.660157480315245</v>
          </cell>
          <cell r="F868">
            <v>112.48944881889861</v>
          </cell>
          <cell r="G868">
            <v>51.465826771653759</v>
          </cell>
          <cell r="H868">
            <v>51.465826771653759</v>
          </cell>
          <cell r="I868" t="e">
            <v>#N/A</v>
          </cell>
          <cell r="J868" t="e">
            <v>#N/A</v>
          </cell>
          <cell r="K868">
            <v>105</v>
          </cell>
          <cell r="L868">
            <v>55</v>
          </cell>
          <cell r="M868" t="e">
            <v>#N/A</v>
          </cell>
          <cell r="N868">
            <v>90</v>
          </cell>
          <cell r="O868" t="e">
            <v>#N/A</v>
          </cell>
          <cell r="P868" t="str">
            <v/>
          </cell>
          <cell r="Q868" t="str">
            <v/>
          </cell>
          <cell r="R868">
            <v>90</v>
          </cell>
        </row>
        <row r="869">
          <cell r="A869" t="str">
            <v/>
          </cell>
          <cell r="B869" t="str">
            <v/>
          </cell>
          <cell r="C869" t="str">
            <v>Future</v>
          </cell>
          <cell r="D869" t="e">
            <v>#N/A</v>
          </cell>
          <cell r="E869">
            <v>-15.939803149606584</v>
          </cell>
          <cell r="F869">
            <v>112.62318897637893</v>
          </cell>
          <cell r="G869">
            <v>51.402716535433285</v>
          </cell>
          <cell r="H869">
            <v>51.402716535433285</v>
          </cell>
          <cell r="I869" t="e">
            <v>#N/A</v>
          </cell>
          <cell r="J869" t="e">
            <v>#N/A</v>
          </cell>
          <cell r="K869">
            <v>105</v>
          </cell>
          <cell r="L869">
            <v>55</v>
          </cell>
          <cell r="M869" t="e">
            <v>#N/A</v>
          </cell>
          <cell r="N869">
            <v>90</v>
          </cell>
          <cell r="O869" t="e">
            <v>#N/A</v>
          </cell>
          <cell r="P869" t="str">
            <v/>
          </cell>
          <cell r="Q869" t="str">
            <v/>
          </cell>
          <cell r="R869">
            <v>90</v>
          </cell>
        </row>
        <row r="870">
          <cell r="A870" t="str">
            <v/>
          </cell>
          <cell r="B870" t="str">
            <v/>
          </cell>
          <cell r="C870" t="str">
            <v>Future</v>
          </cell>
          <cell r="D870" t="e">
            <v>#N/A</v>
          </cell>
          <cell r="E870">
            <v>-16.219448818897924</v>
          </cell>
          <cell r="F870">
            <v>112.75692913385924</v>
          </cell>
          <cell r="G870">
            <v>51.339606299212811</v>
          </cell>
          <cell r="H870">
            <v>51.339606299212811</v>
          </cell>
          <cell r="I870" t="e">
            <v>#N/A</v>
          </cell>
          <cell r="J870" t="e">
            <v>#N/A</v>
          </cell>
          <cell r="K870">
            <v>105</v>
          </cell>
          <cell r="L870">
            <v>55</v>
          </cell>
          <cell r="M870" t="e">
            <v>#N/A</v>
          </cell>
          <cell r="N870">
            <v>90</v>
          </cell>
          <cell r="O870" t="e">
            <v>#N/A</v>
          </cell>
          <cell r="P870" t="str">
            <v/>
          </cell>
          <cell r="Q870" t="str">
            <v/>
          </cell>
          <cell r="R870">
            <v>90</v>
          </cell>
        </row>
        <row r="871">
          <cell r="A871" t="str">
            <v/>
          </cell>
          <cell r="B871" t="str">
            <v/>
          </cell>
          <cell r="C871" t="str">
            <v>Future</v>
          </cell>
          <cell r="D871" t="e">
            <v>#N/A</v>
          </cell>
          <cell r="E871">
            <v>-16.499094488189261</v>
          </cell>
          <cell r="F871">
            <v>112.89066929133956</v>
          </cell>
          <cell r="G871">
            <v>51.276496062992337</v>
          </cell>
          <cell r="H871">
            <v>51.276496062992337</v>
          </cell>
          <cell r="I871" t="e">
            <v>#N/A</v>
          </cell>
          <cell r="J871" t="e">
            <v>#N/A</v>
          </cell>
          <cell r="K871">
            <v>105</v>
          </cell>
          <cell r="L871">
            <v>55</v>
          </cell>
          <cell r="M871" t="e">
            <v>#N/A</v>
          </cell>
          <cell r="N871">
            <v>90</v>
          </cell>
          <cell r="O871" t="e">
            <v>#N/A</v>
          </cell>
          <cell r="P871" t="str">
            <v/>
          </cell>
          <cell r="Q871" t="str">
            <v/>
          </cell>
          <cell r="R871">
            <v>90</v>
          </cell>
        </row>
        <row r="872">
          <cell r="A872" t="str">
            <v/>
          </cell>
          <cell r="B872" t="str">
            <v/>
          </cell>
          <cell r="C872" t="str">
            <v>Future</v>
          </cell>
          <cell r="D872" t="e">
            <v>#N/A</v>
          </cell>
          <cell r="E872">
            <v>-16.778740157480598</v>
          </cell>
          <cell r="F872">
            <v>113.02440944881988</v>
          </cell>
          <cell r="G872">
            <v>51.213385826771862</v>
          </cell>
          <cell r="H872">
            <v>51.213385826771862</v>
          </cell>
          <cell r="I872" t="e">
            <v>#N/A</v>
          </cell>
          <cell r="J872" t="e">
            <v>#N/A</v>
          </cell>
          <cell r="K872">
            <v>105</v>
          </cell>
          <cell r="L872">
            <v>55</v>
          </cell>
          <cell r="M872" t="e">
            <v>#N/A</v>
          </cell>
          <cell r="N872">
            <v>90</v>
          </cell>
          <cell r="O872" t="e">
            <v>#N/A</v>
          </cell>
          <cell r="P872" t="str">
            <v/>
          </cell>
          <cell r="Q872" t="str">
            <v/>
          </cell>
          <cell r="R872">
            <v>90</v>
          </cell>
        </row>
        <row r="873">
          <cell r="A873" t="str">
            <v/>
          </cell>
          <cell r="B873" t="str">
            <v/>
          </cell>
          <cell r="C873" t="str">
            <v>Future</v>
          </cell>
          <cell r="D873" t="e">
            <v>#N/A</v>
          </cell>
          <cell r="E873">
            <v>-17.058385826771936</v>
          </cell>
          <cell r="F873">
            <v>113.1581496063002</v>
          </cell>
          <cell r="G873">
            <v>51.150275590551388</v>
          </cell>
          <cell r="H873">
            <v>51.150275590551388</v>
          </cell>
          <cell r="I873" t="e">
            <v>#N/A</v>
          </cell>
          <cell r="J873" t="e">
            <v>#N/A</v>
          </cell>
          <cell r="K873">
            <v>105</v>
          </cell>
          <cell r="L873">
            <v>55</v>
          </cell>
          <cell r="M873" t="e">
            <v>#N/A</v>
          </cell>
          <cell r="N873">
            <v>90</v>
          </cell>
          <cell r="O873" t="e">
            <v>#N/A</v>
          </cell>
          <cell r="P873" t="str">
            <v/>
          </cell>
          <cell r="Q873" t="str">
            <v/>
          </cell>
          <cell r="R873">
            <v>90</v>
          </cell>
        </row>
        <row r="874">
          <cell r="A874" t="str">
            <v/>
          </cell>
          <cell r="B874" t="str">
            <v/>
          </cell>
          <cell r="C874" t="str">
            <v>Future</v>
          </cell>
          <cell r="D874" t="e">
            <v>#N/A</v>
          </cell>
          <cell r="E874">
            <v>-17.338031496063273</v>
          </cell>
          <cell r="F874">
            <v>113.29188976378052</v>
          </cell>
          <cell r="G874">
            <v>51.087165354330914</v>
          </cell>
          <cell r="H874">
            <v>51.087165354330914</v>
          </cell>
          <cell r="I874" t="e">
            <v>#N/A</v>
          </cell>
          <cell r="J874" t="e">
            <v>#N/A</v>
          </cell>
          <cell r="K874">
            <v>105</v>
          </cell>
          <cell r="L874">
            <v>55</v>
          </cell>
          <cell r="M874" t="e">
            <v>#N/A</v>
          </cell>
          <cell r="N874">
            <v>90</v>
          </cell>
          <cell r="O874" t="e">
            <v>#N/A</v>
          </cell>
          <cell r="P874" t="str">
            <v/>
          </cell>
          <cell r="Q874" t="str">
            <v/>
          </cell>
          <cell r="R874">
            <v>90</v>
          </cell>
        </row>
        <row r="875">
          <cell r="A875" t="str">
            <v/>
          </cell>
          <cell r="B875" t="str">
            <v/>
          </cell>
          <cell r="C875" t="str">
            <v>Future</v>
          </cell>
          <cell r="D875" t="e">
            <v>#N/A</v>
          </cell>
          <cell r="E875">
            <v>-17.61767716535461</v>
          </cell>
          <cell r="F875">
            <v>113.42562992126084</v>
          </cell>
          <cell r="G875">
            <v>51.024055118110439</v>
          </cell>
          <cell r="H875">
            <v>51.024055118110439</v>
          </cell>
          <cell r="I875" t="e">
            <v>#N/A</v>
          </cell>
          <cell r="J875" t="e">
            <v>#N/A</v>
          </cell>
          <cell r="K875">
            <v>105</v>
          </cell>
          <cell r="L875">
            <v>55</v>
          </cell>
          <cell r="M875" t="e">
            <v>#N/A</v>
          </cell>
          <cell r="N875">
            <v>90</v>
          </cell>
          <cell r="O875" t="e">
            <v>#N/A</v>
          </cell>
          <cell r="P875" t="str">
            <v/>
          </cell>
          <cell r="Q875" t="str">
            <v/>
          </cell>
          <cell r="R875">
            <v>90</v>
          </cell>
        </row>
        <row r="876">
          <cell r="A876" t="str">
            <v/>
          </cell>
          <cell r="B876" t="str">
            <v/>
          </cell>
          <cell r="C876" t="str">
            <v>Future</v>
          </cell>
          <cell r="D876" t="e">
            <v>#N/A</v>
          </cell>
          <cell r="E876">
            <v>-17.897322834645948</v>
          </cell>
          <cell r="F876">
            <v>113.55937007874115</v>
          </cell>
          <cell r="G876">
            <v>50.960944881889965</v>
          </cell>
          <cell r="H876">
            <v>50.960944881889965</v>
          </cell>
          <cell r="I876" t="e">
            <v>#N/A</v>
          </cell>
          <cell r="J876" t="e">
            <v>#N/A</v>
          </cell>
          <cell r="K876">
            <v>105</v>
          </cell>
          <cell r="L876">
            <v>55</v>
          </cell>
          <cell r="M876" t="e">
            <v>#N/A</v>
          </cell>
          <cell r="N876">
            <v>90</v>
          </cell>
          <cell r="O876" t="e">
            <v>#N/A</v>
          </cell>
          <cell r="P876" t="str">
            <v/>
          </cell>
          <cell r="Q876" t="str">
            <v/>
          </cell>
          <cell r="R876">
            <v>90</v>
          </cell>
        </row>
        <row r="877">
          <cell r="A877" t="str">
            <v/>
          </cell>
          <cell r="B877" t="str">
            <v/>
          </cell>
          <cell r="C877" t="str">
            <v>Future</v>
          </cell>
          <cell r="D877" t="e">
            <v>#N/A</v>
          </cell>
          <cell r="E877">
            <v>-18.176968503937285</v>
          </cell>
          <cell r="F877">
            <v>113.69311023622147</v>
          </cell>
          <cell r="G877">
            <v>50.897834645669491</v>
          </cell>
          <cell r="H877">
            <v>50.897834645669491</v>
          </cell>
          <cell r="I877" t="e">
            <v>#N/A</v>
          </cell>
          <cell r="J877" t="e">
            <v>#N/A</v>
          </cell>
          <cell r="K877">
            <v>105</v>
          </cell>
          <cell r="L877">
            <v>55</v>
          </cell>
          <cell r="M877" t="e">
            <v>#N/A</v>
          </cell>
          <cell r="N877">
            <v>90</v>
          </cell>
          <cell r="O877" t="e">
            <v>#N/A</v>
          </cell>
          <cell r="P877" t="str">
            <v/>
          </cell>
          <cell r="Q877" t="str">
            <v/>
          </cell>
          <cell r="R877">
            <v>90</v>
          </cell>
        </row>
        <row r="878">
          <cell r="A878" t="str">
            <v/>
          </cell>
          <cell r="B878" t="str">
            <v/>
          </cell>
          <cell r="C878" t="str">
            <v>Future</v>
          </cell>
          <cell r="D878" t="e">
            <v>#N/A</v>
          </cell>
          <cell r="E878">
            <v>-18.456614173228623</v>
          </cell>
          <cell r="F878">
            <v>113.82685039370179</v>
          </cell>
          <cell r="G878">
            <v>50.834724409449016</v>
          </cell>
          <cell r="H878">
            <v>50.834724409449016</v>
          </cell>
          <cell r="I878" t="e">
            <v>#N/A</v>
          </cell>
          <cell r="J878" t="e">
            <v>#N/A</v>
          </cell>
          <cell r="K878">
            <v>105</v>
          </cell>
          <cell r="L878">
            <v>55</v>
          </cell>
          <cell r="M878" t="e">
            <v>#N/A</v>
          </cell>
          <cell r="N878">
            <v>90</v>
          </cell>
          <cell r="O878" t="e">
            <v>#N/A</v>
          </cell>
          <cell r="P878" t="str">
            <v/>
          </cell>
          <cell r="Q878" t="str">
            <v/>
          </cell>
          <cell r="R878">
            <v>90</v>
          </cell>
        </row>
        <row r="879">
          <cell r="A879" t="str">
            <v/>
          </cell>
          <cell r="B879" t="str">
            <v/>
          </cell>
          <cell r="C879" t="str">
            <v>Future</v>
          </cell>
          <cell r="D879" t="e">
            <v>#N/A</v>
          </cell>
          <cell r="E879">
            <v>-18.73625984251996</v>
          </cell>
          <cell r="F879">
            <v>113.96059055118211</v>
          </cell>
          <cell r="G879">
            <v>50.771614173228542</v>
          </cell>
          <cell r="H879">
            <v>50.771614173228542</v>
          </cell>
          <cell r="I879" t="e">
            <v>#N/A</v>
          </cell>
          <cell r="J879" t="e">
            <v>#N/A</v>
          </cell>
          <cell r="K879">
            <v>105</v>
          </cell>
          <cell r="L879">
            <v>55</v>
          </cell>
          <cell r="M879" t="e">
            <v>#N/A</v>
          </cell>
          <cell r="N879">
            <v>90</v>
          </cell>
          <cell r="O879" t="e">
            <v>#N/A</v>
          </cell>
          <cell r="P879" t="str">
            <v/>
          </cell>
          <cell r="Q879" t="str">
            <v/>
          </cell>
          <cell r="R879">
            <v>90</v>
          </cell>
        </row>
        <row r="880">
          <cell r="A880" t="str">
            <v/>
          </cell>
          <cell r="B880" t="str">
            <v/>
          </cell>
          <cell r="C880" t="str">
            <v>Future</v>
          </cell>
          <cell r="D880" t="e">
            <v>#N/A</v>
          </cell>
          <cell r="E880">
            <v>-19.015905511811297</v>
          </cell>
          <cell r="F880">
            <v>114.09433070866243</v>
          </cell>
          <cell r="G880">
            <v>50.708503937008068</v>
          </cell>
          <cell r="H880">
            <v>50.708503937008068</v>
          </cell>
          <cell r="I880" t="e">
            <v>#N/A</v>
          </cell>
          <cell r="J880" t="e">
            <v>#N/A</v>
          </cell>
          <cell r="K880">
            <v>105</v>
          </cell>
          <cell r="L880">
            <v>55</v>
          </cell>
          <cell r="M880" t="e">
            <v>#N/A</v>
          </cell>
          <cell r="N880">
            <v>90</v>
          </cell>
          <cell r="O880" t="e">
            <v>#N/A</v>
          </cell>
          <cell r="P880" t="str">
            <v/>
          </cell>
          <cell r="Q880" t="str">
            <v/>
          </cell>
          <cell r="R880">
            <v>90</v>
          </cell>
        </row>
        <row r="881">
          <cell r="A881" t="str">
            <v/>
          </cell>
          <cell r="B881" t="str">
            <v/>
          </cell>
          <cell r="C881" t="str">
            <v>Future</v>
          </cell>
          <cell r="D881" t="e">
            <v>#N/A</v>
          </cell>
          <cell r="E881">
            <v>-19.295551181102635</v>
          </cell>
          <cell r="F881">
            <v>114.22807086614274</v>
          </cell>
          <cell r="G881">
            <v>50.645393700787594</v>
          </cell>
          <cell r="H881">
            <v>50.645393700787594</v>
          </cell>
          <cell r="I881" t="e">
            <v>#N/A</v>
          </cell>
          <cell r="J881" t="e">
            <v>#N/A</v>
          </cell>
          <cell r="K881">
            <v>105</v>
          </cell>
          <cell r="L881">
            <v>55</v>
          </cell>
          <cell r="M881" t="e">
            <v>#N/A</v>
          </cell>
          <cell r="N881">
            <v>90</v>
          </cell>
          <cell r="O881" t="e">
            <v>#N/A</v>
          </cell>
          <cell r="P881" t="str">
            <v/>
          </cell>
          <cell r="Q881" t="str">
            <v/>
          </cell>
          <cell r="R881">
            <v>90</v>
          </cell>
        </row>
        <row r="882">
          <cell r="A882" t="str">
            <v/>
          </cell>
          <cell r="B882" t="str">
            <v/>
          </cell>
          <cell r="C882" t="str">
            <v>Future</v>
          </cell>
          <cell r="D882" t="e">
            <v>#N/A</v>
          </cell>
          <cell r="E882">
            <v>-19.575196850393972</v>
          </cell>
          <cell r="F882">
            <v>114.36181102362306</v>
          </cell>
          <cell r="G882">
            <v>50.582283464567119</v>
          </cell>
          <cell r="H882">
            <v>50.582283464567119</v>
          </cell>
          <cell r="I882" t="e">
            <v>#N/A</v>
          </cell>
          <cell r="J882" t="e">
            <v>#N/A</v>
          </cell>
          <cell r="K882">
            <v>105</v>
          </cell>
          <cell r="L882">
            <v>55</v>
          </cell>
          <cell r="M882" t="e">
            <v>#N/A</v>
          </cell>
          <cell r="N882">
            <v>90</v>
          </cell>
          <cell r="O882" t="e">
            <v>#N/A</v>
          </cell>
          <cell r="P882" t="str">
            <v/>
          </cell>
          <cell r="Q882" t="str">
            <v/>
          </cell>
          <cell r="R882">
            <v>90</v>
          </cell>
        </row>
        <row r="883">
          <cell r="A883" t="str">
            <v/>
          </cell>
          <cell r="B883" t="str">
            <v/>
          </cell>
          <cell r="C883" t="str">
            <v>Future</v>
          </cell>
          <cell r="D883" t="e">
            <v>#N/A</v>
          </cell>
          <cell r="E883">
            <v>-19.85484251968531</v>
          </cell>
          <cell r="F883">
            <v>114.49555118110338</v>
          </cell>
          <cell r="G883">
            <v>50.519173228346645</v>
          </cell>
          <cell r="H883">
            <v>50.519173228346645</v>
          </cell>
          <cell r="I883" t="e">
            <v>#N/A</v>
          </cell>
          <cell r="J883" t="e">
            <v>#N/A</v>
          </cell>
          <cell r="K883">
            <v>105</v>
          </cell>
          <cell r="L883">
            <v>55</v>
          </cell>
          <cell r="M883" t="e">
            <v>#N/A</v>
          </cell>
          <cell r="N883">
            <v>90</v>
          </cell>
          <cell r="O883" t="e">
            <v>#N/A</v>
          </cell>
          <cell r="P883" t="str">
            <v/>
          </cell>
          <cell r="Q883" t="str">
            <v/>
          </cell>
          <cell r="R883">
            <v>90</v>
          </cell>
        </row>
        <row r="884">
          <cell r="A884" t="str">
            <v/>
          </cell>
          <cell r="B884" t="str">
            <v/>
          </cell>
          <cell r="C884" t="str">
            <v>Future</v>
          </cell>
          <cell r="D884" t="e">
            <v>#N/A</v>
          </cell>
          <cell r="E884">
            <v>-20.134488188976647</v>
          </cell>
          <cell r="F884">
            <v>114.6292913385837</v>
          </cell>
          <cell r="G884">
            <v>50.456062992126171</v>
          </cell>
          <cell r="H884">
            <v>50.456062992126171</v>
          </cell>
          <cell r="I884" t="e">
            <v>#N/A</v>
          </cell>
          <cell r="J884" t="e">
            <v>#N/A</v>
          </cell>
          <cell r="K884">
            <v>105</v>
          </cell>
          <cell r="L884">
            <v>55</v>
          </cell>
          <cell r="M884" t="e">
            <v>#N/A</v>
          </cell>
          <cell r="N884">
            <v>90</v>
          </cell>
          <cell r="O884" t="e">
            <v>#N/A</v>
          </cell>
          <cell r="P884" t="str">
            <v/>
          </cell>
          <cell r="Q884" t="str">
            <v/>
          </cell>
          <cell r="R884">
            <v>90</v>
          </cell>
        </row>
        <row r="885">
          <cell r="A885" t="str">
            <v/>
          </cell>
          <cell r="B885" t="str">
            <v/>
          </cell>
          <cell r="C885" t="str">
            <v>Future</v>
          </cell>
          <cell r="D885" t="e">
            <v>#N/A</v>
          </cell>
          <cell r="E885">
            <v>-20.414133858267984</v>
          </cell>
          <cell r="F885">
            <v>114.76303149606402</v>
          </cell>
          <cell r="G885">
            <v>50.392952755905696</v>
          </cell>
          <cell r="H885">
            <v>50.392952755905696</v>
          </cell>
          <cell r="I885" t="e">
            <v>#N/A</v>
          </cell>
          <cell r="J885" t="e">
            <v>#N/A</v>
          </cell>
          <cell r="K885">
            <v>105</v>
          </cell>
          <cell r="L885">
            <v>55</v>
          </cell>
          <cell r="M885" t="e">
            <v>#N/A</v>
          </cell>
          <cell r="N885">
            <v>90</v>
          </cell>
          <cell r="O885" t="e">
            <v>#N/A</v>
          </cell>
          <cell r="P885" t="str">
            <v/>
          </cell>
          <cell r="Q885" t="str">
            <v/>
          </cell>
          <cell r="R885">
            <v>90</v>
          </cell>
        </row>
        <row r="886">
          <cell r="A886" t="str">
            <v/>
          </cell>
          <cell r="B886" t="str">
            <v/>
          </cell>
          <cell r="C886" t="str">
            <v>Future</v>
          </cell>
          <cell r="D886" t="e">
            <v>#N/A</v>
          </cell>
          <cell r="E886">
            <v>-20.693779527559322</v>
          </cell>
          <cell r="F886">
            <v>114.89677165354433</v>
          </cell>
          <cell r="G886">
            <v>50.329842519685222</v>
          </cell>
          <cell r="H886">
            <v>50.329842519685222</v>
          </cell>
          <cell r="I886" t="e">
            <v>#N/A</v>
          </cell>
          <cell r="J886" t="e">
            <v>#N/A</v>
          </cell>
          <cell r="K886">
            <v>105</v>
          </cell>
          <cell r="L886">
            <v>55</v>
          </cell>
          <cell r="M886" t="e">
            <v>#N/A</v>
          </cell>
          <cell r="N886">
            <v>90</v>
          </cell>
          <cell r="O886" t="e">
            <v>#N/A</v>
          </cell>
          <cell r="P886" t="str">
            <v/>
          </cell>
          <cell r="Q886" t="str">
            <v/>
          </cell>
          <cell r="R886">
            <v>90</v>
          </cell>
        </row>
        <row r="887">
          <cell r="A887" t="str">
            <v/>
          </cell>
          <cell r="B887" t="str">
            <v/>
          </cell>
          <cell r="C887" t="str">
            <v>Future</v>
          </cell>
          <cell r="D887" t="e">
            <v>#N/A</v>
          </cell>
          <cell r="E887">
            <v>-20.973425196850659</v>
          </cell>
          <cell r="F887">
            <v>115.03051181102465</v>
          </cell>
          <cell r="G887">
            <v>50.266732283464748</v>
          </cell>
          <cell r="H887">
            <v>50.266732283464748</v>
          </cell>
          <cell r="I887" t="e">
            <v>#N/A</v>
          </cell>
          <cell r="J887" t="e">
            <v>#N/A</v>
          </cell>
          <cell r="K887">
            <v>105</v>
          </cell>
          <cell r="L887">
            <v>55</v>
          </cell>
          <cell r="M887" t="e">
            <v>#N/A</v>
          </cell>
          <cell r="N887">
            <v>90</v>
          </cell>
          <cell r="O887" t="e">
            <v>#N/A</v>
          </cell>
          <cell r="P887" t="str">
            <v/>
          </cell>
          <cell r="Q887" t="str">
            <v/>
          </cell>
          <cell r="R887">
            <v>90</v>
          </cell>
        </row>
        <row r="888">
          <cell r="A888" t="str">
            <v/>
          </cell>
          <cell r="B888" t="str">
            <v/>
          </cell>
          <cell r="C888" t="str">
            <v>Future</v>
          </cell>
          <cell r="D888" t="e">
            <v>#N/A</v>
          </cell>
          <cell r="E888">
            <v>-21.253070866141996</v>
          </cell>
          <cell r="F888">
            <v>115.16425196850497</v>
          </cell>
          <cell r="G888">
            <v>50.203622047244274</v>
          </cell>
          <cell r="H888">
            <v>50.203622047244274</v>
          </cell>
          <cell r="I888" t="e">
            <v>#N/A</v>
          </cell>
          <cell r="J888" t="e">
            <v>#N/A</v>
          </cell>
          <cell r="K888">
            <v>105</v>
          </cell>
          <cell r="L888">
            <v>55</v>
          </cell>
          <cell r="M888" t="e">
            <v>#N/A</v>
          </cell>
          <cell r="N888">
            <v>90</v>
          </cell>
          <cell r="O888" t="e">
            <v>#N/A</v>
          </cell>
          <cell r="P888" t="str">
            <v/>
          </cell>
          <cell r="Q888" t="str">
            <v/>
          </cell>
          <cell r="R888">
            <v>90</v>
          </cell>
        </row>
        <row r="889">
          <cell r="A889" t="str">
            <v/>
          </cell>
          <cell r="B889" t="str">
            <v/>
          </cell>
          <cell r="C889" t="str">
            <v>Future</v>
          </cell>
          <cell r="D889" t="e">
            <v>#N/A</v>
          </cell>
          <cell r="E889">
            <v>-21.532716535433334</v>
          </cell>
          <cell r="F889">
            <v>115.29799212598529</v>
          </cell>
          <cell r="G889">
            <v>50.140511811023799</v>
          </cell>
          <cell r="H889">
            <v>50.140511811023799</v>
          </cell>
          <cell r="I889" t="e">
            <v>#N/A</v>
          </cell>
          <cell r="J889" t="e">
            <v>#N/A</v>
          </cell>
          <cell r="K889">
            <v>105</v>
          </cell>
          <cell r="L889">
            <v>55</v>
          </cell>
          <cell r="M889" t="e">
            <v>#N/A</v>
          </cell>
          <cell r="N889">
            <v>90</v>
          </cell>
          <cell r="O889" t="e">
            <v>#N/A</v>
          </cell>
          <cell r="P889" t="str">
            <v/>
          </cell>
          <cell r="Q889" t="str">
            <v/>
          </cell>
          <cell r="R889">
            <v>90</v>
          </cell>
        </row>
        <row r="890">
          <cell r="A890" t="str">
            <v/>
          </cell>
          <cell r="B890" t="str">
            <v/>
          </cell>
          <cell r="C890" t="str">
            <v>Future</v>
          </cell>
          <cell r="D890" t="e">
            <v>#N/A</v>
          </cell>
          <cell r="E890">
            <v>-21.812362204724671</v>
          </cell>
          <cell r="F890">
            <v>115.43173228346561</v>
          </cell>
          <cell r="G890">
            <v>50.077401574803325</v>
          </cell>
          <cell r="H890">
            <v>50.077401574803325</v>
          </cell>
          <cell r="I890" t="e">
            <v>#N/A</v>
          </cell>
          <cell r="J890" t="e">
            <v>#N/A</v>
          </cell>
          <cell r="K890">
            <v>105</v>
          </cell>
          <cell r="L890">
            <v>55</v>
          </cell>
          <cell r="M890" t="e">
            <v>#N/A</v>
          </cell>
          <cell r="N890">
            <v>90</v>
          </cell>
          <cell r="O890" t="e">
            <v>#N/A</v>
          </cell>
          <cell r="P890" t="str">
            <v/>
          </cell>
          <cell r="Q890" t="str">
            <v/>
          </cell>
          <cell r="R890">
            <v>90</v>
          </cell>
        </row>
        <row r="891">
          <cell r="A891" t="str">
            <v/>
          </cell>
          <cell r="B891" t="str">
            <v/>
          </cell>
          <cell r="C891" t="str">
            <v>Future</v>
          </cell>
          <cell r="D891" t="e">
            <v>#N/A</v>
          </cell>
          <cell r="E891">
            <v>-22.092007874016009</v>
          </cell>
          <cell r="F891">
            <v>115.56547244094592</v>
          </cell>
          <cell r="G891">
            <v>50.014291338582851</v>
          </cell>
          <cell r="H891">
            <v>50.014291338582851</v>
          </cell>
          <cell r="I891" t="e">
            <v>#N/A</v>
          </cell>
          <cell r="J891" t="e">
            <v>#N/A</v>
          </cell>
          <cell r="K891">
            <v>105</v>
          </cell>
          <cell r="L891">
            <v>55</v>
          </cell>
          <cell r="M891" t="e">
            <v>#N/A</v>
          </cell>
          <cell r="N891">
            <v>90</v>
          </cell>
          <cell r="O891" t="e">
            <v>#N/A</v>
          </cell>
          <cell r="P891" t="str">
            <v/>
          </cell>
          <cell r="Q891" t="str">
            <v/>
          </cell>
          <cell r="R891">
            <v>90</v>
          </cell>
        </row>
        <row r="892">
          <cell r="A892" t="str">
            <v/>
          </cell>
          <cell r="B892" t="str">
            <v/>
          </cell>
          <cell r="C892" t="str">
            <v>Future</v>
          </cell>
          <cell r="D892" t="e">
            <v>#N/A</v>
          </cell>
          <cell r="E892">
            <v>-22.371653543307346</v>
          </cell>
          <cell r="F892">
            <v>115.69921259842624</v>
          </cell>
          <cell r="G892">
            <v>49.951181102362376</v>
          </cell>
          <cell r="H892">
            <v>49.951181102362376</v>
          </cell>
          <cell r="I892" t="e">
            <v>#N/A</v>
          </cell>
          <cell r="J892" t="e">
            <v>#N/A</v>
          </cell>
          <cell r="K892">
            <v>105</v>
          </cell>
          <cell r="L892">
            <v>55</v>
          </cell>
          <cell r="M892" t="e">
            <v>#N/A</v>
          </cell>
          <cell r="N892">
            <v>90</v>
          </cell>
          <cell r="O892" t="e">
            <v>#N/A</v>
          </cell>
          <cell r="P892" t="str">
            <v/>
          </cell>
          <cell r="Q892" t="str">
            <v/>
          </cell>
          <cell r="R892">
            <v>90</v>
          </cell>
        </row>
        <row r="893">
          <cell r="A893" t="str">
            <v/>
          </cell>
          <cell r="B893" t="str">
            <v/>
          </cell>
          <cell r="C893" t="str">
            <v>Future</v>
          </cell>
          <cell r="D893" t="e">
            <v>#N/A</v>
          </cell>
          <cell r="E893">
            <v>-22.651299212598683</v>
          </cell>
          <cell r="F893">
            <v>115.83295275590656</v>
          </cell>
          <cell r="G893">
            <v>49.888070866141902</v>
          </cell>
          <cell r="H893">
            <v>49.888070866141902</v>
          </cell>
          <cell r="I893" t="e">
            <v>#N/A</v>
          </cell>
          <cell r="J893" t="e">
            <v>#N/A</v>
          </cell>
          <cell r="K893">
            <v>105</v>
          </cell>
          <cell r="L893">
            <v>55</v>
          </cell>
          <cell r="M893" t="e">
            <v>#N/A</v>
          </cell>
          <cell r="N893">
            <v>90</v>
          </cell>
          <cell r="O893" t="e">
            <v>#N/A</v>
          </cell>
          <cell r="P893" t="str">
            <v/>
          </cell>
          <cell r="Q893" t="str">
            <v/>
          </cell>
          <cell r="R893">
            <v>90</v>
          </cell>
        </row>
        <row r="894">
          <cell r="A894" t="str">
            <v/>
          </cell>
          <cell r="B894" t="str">
            <v/>
          </cell>
          <cell r="C894" t="str">
            <v>Future</v>
          </cell>
          <cell r="D894" t="e">
            <v>#N/A</v>
          </cell>
          <cell r="E894">
            <v>-22.930944881890021</v>
          </cell>
          <cell r="F894">
            <v>115.96669291338688</v>
          </cell>
          <cell r="G894">
            <v>49.824960629921428</v>
          </cell>
          <cell r="H894">
            <v>49.824960629921428</v>
          </cell>
          <cell r="I894" t="e">
            <v>#N/A</v>
          </cell>
          <cell r="J894" t="e">
            <v>#N/A</v>
          </cell>
          <cell r="K894">
            <v>105</v>
          </cell>
          <cell r="L894">
            <v>55</v>
          </cell>
          <cell r="M894" t="e">
            <v>#N/A</v>
          </cell>
          <cell r="N894">
            <v>90</v>
          </cell>
          <cell r="O894" t="e">
            <v>#N/A</v>
          </cell>
          <cell r="P894" t="str">
            <v/>
          </cell>
          <cell r="Q894" t="str">
            <v/>
          </cell>
          <cell r="R894">
            <v>90</v>
          </cell>
        </row>
        <row r="895">
          <cell r="A895" t="str">
            <v/>
          </cell>
          <cell r="B895" t="str">
            <v/>
          </cell>
          <cell r="C895" t="str">
            <v>Future</v>
          </cell>
          <cell r="D895" t="e">
            <v>#N/A</v>
          </cell>
          <cell r="E895">
            <v>-23.210590551181358</v>
          </cell>
          <cell r="F895">
            <v>116.1004330708672</v>
          </cell>
          <cell r="G895">
            <v>49.761850393700954</v>
          </cell>
          <cell r="H895">
            <v>49.761850393700954</v>
          </cell>
          <cell r="I895" t="e">
            <v>#N/A</v>
          </cell>
          <cell r="J895" t="e">
            <v>#N/A</v>
          </cell>
          <cell r="K895">
            <v>105</v>
          </cell>
          <cell r="L895">
            <v>55</v>
          </cell>
          <cell r="M895" t="e">
            <v>#N/A</v>
          </cell>
          <cell r="N895">
            <v>90</v>
          </cell>
          <cell r="O895" t="e">
            <v>#N/A</v>
          </cell>
          <cell r="P895" t="str">
            <v/>
          </cell>
          <cell r="Q895" t="str">
            <v/>
          </cell>
          <cell r="R895">
            <v>90</v>
          </cell>
        </row>
        <row r="896">
          <cell r="A896" t="str">
            <v/>
          </cell>
          <cell r="B896" t="str">
            <v/>
          </cell>
          <cell r="C896" t="str">
            <v>Future</v>
          </cell>
          <cell r="D896" t="e">
            <v>#N/A</v>
          </cell>
          <cell r="E896">
            <v>-23.490236220472696</v>
          </cell>
          <cell r="F896">
            <v>116.23417322834752</v>
          </cell>
          <cell r="G896">
            <v>49.698740157480479</v>
          </cell>
          <cell r="H896">
            <v>49.698740157480479</v>
          </cell>
          <cell r="I896" t="e">
            <v>#N/A</v>
          </cell>
          <cell r="J896" t="e">
            <v>#N/A</v>
          </cell>
          <cell r="K896">
            <v>105</v>
          </cell>
          <cell r="L896">
            <v>55</v>
          </cell>
          <cell r="M896" t="e">
            <v>#N/A</v>
          </cell>
          <cell r="N896">
            <v>90</v>
          </cell>
          <cell r="O896" t="e">
            <v>#N/A</v>
          </cell>
          <cell r="P896" t="str">
            <v/>
          </cell>
          <cell r="Q896" t="str">
            <v/>
          </cell>
          <cell r="R896">
            <v>90</v>
          </cell>
        </row>
        <row r="897">
          <cell r="A897" t="str">
            <v/>
          </cell>
          <cell r="B897" t="str">
            <v/>
          </cell>
          <cell r="C897" t="str">
            <v>Future</v>
          </cell>
          <cell r="D897" t="e">
            <v>#N/A</v>
          </cell>
          <cell r="E897">
            <v>-23.769881889764033</v>
          </cell>
          <cell r="F897">
            <v>116.36791338582783</v>
          </cell>
          <cell r="G897">
            <v>49.635629921260005</v>
          </cell>
          <cell r="H897">
            <v>49.635629921260005</v>
          </cell>
          <cell r="I897" t="e">
            <v>#N/A</v>
          </cell>
          <cell r="J897" t="e">
            <v>#N/A</v>
          </cell>
          <cell r="K897">
            <v>105</v>
          </cell>
          <cell r="L897">
            <v>55</v>
          </cell>
          <cell r="M897" t="e">
            <v>#N/A</v>
          </cell>
          <cell r="N897">
            <v>90</v>
          </cell>
          <cell r="O897" t="e">
            <v>#N/A</v>
          </cell>
          <cell r="P897" t="str">
            <v/>
          </cell>
          <cell r="Q897" t="str">
            <v/>
          </cell>
          <cell r="R897">
            <v>90</v>
          </cell>
        </row>
        <row r="898">
          <cell r="A898" t="str">
            <v/>
          </cell>
          <cell r="B898" t="str">
            <v/>
          </cell>
          <cell r="C898" t="str">
            <v>Future</v>
          </cell>
          <cell r="D898" t="e">
            <v>#N/A</v>
          </cell>
          <cell r="E898">
            <v>-24.04952755905537</v>
          </cell>
          <cell r="F898">
            <v>116.50165354330815</v>
          </cell>
          <cell r="G898">
            <v>49.572519685039531</v>
          </cell>
          <cell r="H898">
            <v>49.572519685039531</v>
          </cell>
          <cell r="I898" t="e">
            <v>#N/A</v>
          </cell>
          <cell r="J898" t="e">
            <v>#N/A</v>
          </cell>
          <cell r="K898">
            <v>105</v>
          </cell>
          <cell r="L898">
            <v>55</v>
          </cell>
          <cell r="M898" t="e">
            <v>#N/A</v>
          </cell>
          <cell r="N898">
            <v>90</v>
          </cell>
          <cell r="O898" t="e">
            <v>#N/A</v>
          </cell>
          <cell r="P898" t="str">
            <v/>
          </cell>
          <cell r="Q898" t="str">
            <v/>
          </cell>
          <cell r="R898">
            <v>90</v>
          </cell>
        </row>
        <row r="899">
          <cell r="A899" t="str">
            <v/>
          </cell>
          <cell r="B899" t="str">
            <v/>
          </cell>
          <cell r="C899" t="str">
            <v>Future</v>
          </cell>
          <cell r="D899" t="e">
            <v>#N/A</v>
          </cell>
          <cell r="E899">
            <v>-24.329173228346708</v>
          </cell>
          <cell r="F899">
            <v>116.63539370078847</v>
          </cell>
          <cell r="G899">
            <v>49.509409448819056</v>
          </cell>
          <cell r="H899">
            <v>49.509409448819056</v>
          </cell>
          <cell r="I899" t="e">
            <v>#N/A</v>
          </cell>
          <cell r="J899" t="e">
            <v>#N/A</v>
          </cell>
          <cell r="K899">
            <v>105</v>
          </cell>
          <cell r="L899">
            <v>55</v>
          </cell>
          <cell r="M899" t="e">
            <v>#N/A</v>
          </cell>
          <cell r="N899">
            <v>90</v>
          </cell>
          <cell r="O899" t="e">
            <v>#N/A</v>
          </cell>
          <cell r="P899" t="str">
            <v/>
          </cell>
          <cell r="Q899" t="str">
            <v/>
          </cell>
          <cell r="R899">
            <v>90</v>
          </cell>
        </row>
        <row r="900">
          <cell r="A900" t="str">
            <v/>
          </cell>
          <cell r="B900" t="str">
            <v/>
          </cell>
          <cell r="C900" t="str">
            <v>Future</v>
          </cell>
          <cell r="D900" t="e">
            <v>#N/A</v>
          </cell>
          <cell r="E900">
            <v>-24.608818897638045</v>
          </cell>
          <cell r="F900">
            <v>116.76913385826879</v>
          </cell>
          <cell r="G900">
            <v>49.446299212598582</v>
          </cell>
          <cell r="H900">
            <v>49.446299212598582</v>
          </cell>
          <cell r="I900" t="e">
            <v>#N/A</v>
          </cell>
          <cell r="J900" t="e">
            <v>#N/A</v>
          </cell>
          <cell r="K900">
            <v>105</v>
          </cell>
          <cell r="L900">
            <v>55</v>
          </cell>
          <cell r="M900" t="e">
            <v>#N/A</v>
          </cell>
          <cell r="N900">
            <v>90</v>
          </cell>
          <cell r="O900" t="e">
            <v>#N/A</v>
          </cell>
          <cell r="P900" t="str">
            <v/>
          </cell>
          <cell r="Q900" t="str">
            <v/>
          </cell>
          <cell r="R900">
            <v>90</v>
          </cell>
        </row>
        <row r="901">
          <cell r="A901" t="str">
            <v/>
          </cell>
          <cell r="B901" t="str">
            <v/>
          </cell>
          <cell r="C901" t="str">
            <v>Future</v>
          </cell>
          <cell r="D901" t="e">
            <v>#N/A</v>
          </cell>
          <cell r="E901">
            <v>-24.888464566929382</v>
          </cell>
          <cell r="F901">
            <v>116.90287401574911</v>
          </cell>
          <cell r="G901">
            <v>49.383188976378108</v>
          </cell>
          <cell r="H901">
            <v>49.383188976378108</v>
          </cell>
          <cell r="I901" t="e">
            <v>#N/A</v>
          </cell>
          <cell r="J901" t="e">
            <v>#N/A</v>
          </cell>
          <cell r="K901">
            <v>105</v>
          </cell>
          <cell r="L901">
            <v>55</v>
          </cell>
          <cell r="M901" t="e">
            <v>#N/A</v>
          </cell>
          <cell r="N901">
            <v>90</v>
          </cell>
          <cell r="O901" t="e">
            <v>#N/A</v>
          </cell>
          <cell r="P901" t="str">
            <v/>
          </cell>
          <cell r="Q901" t="str">
            <v/>
          </cell>
          <cell r="R901">
            <v>90</v>
          </cell>
        </row>
        <row r="902">
          <cell r="A902" t="str">
            <v/>
          </cell>
          <cell r="B902" t="str">
            <v/>
          </cell>
          <cell r="C902" t="str">
            <v>Future</v>
          </cell>
          <cell r="D902" t="e">
            <v>#N/A</v>
          </cell>
          <cell r="E902">
            <v>-25.16811023622072</v>
          </cell>
          <cell r="F902">
            <v>117.03661417322942</v>
          </cell>
          <cell r="G902">
            <v>49.320078740157633</v>
          </cell>
          <cell r="H902">
            <v>49.320078740157633</v>
          </cell>
          <cell r="I902" t="e">
            <v>#N/A</v>
          </cell>
          <cell r="J902" t="e">
            <v>#N/A</v>
          </cell>
          <cell r="K902">
            <v>105</v>
          </cell>
          <cell r="L902">
            <v>55</v>
          </cell>
          <cell r="M902" t="e">
            <v>#N/A</v>
          </cell>
          <cell r="N902">
            <v>90</v>
          </cell>
          <cell r="O902" t="e">
            <v>#N/A</v>
          </cell>
          <cell r="P902" t="str">
            <v/>
          </cell>
          <cell r="Q902" t="str">
            <v/>
          </cell>
          <cell r="R902">
            <v>90</v>
          </cell>
        </row>
        <row r="903">
          <cell r="A903" t="str">
            <v/>
          </cell>
          <cell r="B903" t="str">
            <v/>
          </cell>
          <cell r="C903" t="str">
            <v>Future</v>
          </cell>
          <cell r="D903" t="e">
            <v>#N/A</v>
          </cell>
          <cell r="E903">
            <v>-25.447755905512057</v>
          </cell>
          <cell r="F903">
            <v>117.17035433070974</v>
          </cell>
          <cell r="G903">
            <v>49.256968503937159</v>
          </cell>
          <cell r="H903">
            <v>49.256968503937159</v>
          </cell>
          <cell r="I903" t="e">
            <v>#N/A</v>
          </cell>
          <cell r="J903" t="e">
            <v>#N/A</v>
          </cell>
          <cell r="K903">
            <v>105</v>
          </cell>
          <cell r="L903">
            <v>55</v>
          </cell>
          <cell r="M903" t="e">
            <v>#N/A</v>
          </cell>
          <cell r="N903">
            <v>90</v>
          </cell>
          <cell r="O903" t="e">
            <v>#N/A</v>
          </cell>
          <cell r="P903" t="str">
            <v/>
          </cell>
          <cell r="Q903" t="str">
            <v/>
          </cell>
          <cell r="R903">
            <v>90</v>
          </cell>
        </row>
        <row r="904">
          <cell r="A904" t="str">
            <v/>
          </cell>
          <cell r="B904" t="str">
            <v/>
          </cell>
          <cell r="C904" t="str">
            <v>Future</v>
          </cell>
          <cell r="D904" t="e">
            <v>#N/A</v>
          </cell>
          <cell r="E904">
            <v>-25.727401574803395</v>
          </cell>
          <cell r="F904">
            <v>117.30409448819006</v>
          </cell>
          <cell r="G904">
            <v>49.193858267716685</v>
          </cell>
          <cell r="H904">
            <v>49.193858267716685</v>
          </cell>
          <cell r="I904" t="e">
            <v>#N/A</v>
          </cell>
          <cell r="J904" t="e">
            <v>#N/A</v>
          </cell>
          <cell r="K904">
            <v>105</v>
          </cell>
          <cell r="L904">
            <v>55</v>
          </cell>
          <cell r="M904" t="e">
            <v>#N/A</v>
          </cell>
          <cell r="N904">
            <v>90</v>
          </cell>
          <cell r="O904" t="e">
            <v>#N/A</v>
          </cell>
          <cell r="P904" t="str">
            <v/>
          </cell>
          <cell r="Q904" t="str">
            <v/>
          </cell>
          <cell r="R904">
            <v>90</v>
          </cell>
        </row>
        <row r="905">
          <cell r="A905" t="str">
            <v/>
          </cell>
          <cell r="B905" t="str">
            <v/>
          </cell>
          <cell r="C905" t="str">
            <v>Future</v>
          </cell>
          <cell r="D905" t="e">
            <v>#N/A</v>
          </cell>
          <cell r="E905">
            <v>-26.007047244094732</v>
          </cell>
          <cell r="F905">
            <v>117.43783464567038</v>
          </cell>
          <cell r="G905">
            <v>49.130748031496211</v>
          </cell>
          <cell r="H905">
            <v>49.130748031496211</v>
          </cell>
          <cell r="I905" t="e">
            <v>#N/A</v>
          </cell>
          <cell r="J905" t="e">
            <v>#N/A</v>
          </cell>
          <cell r="K905">
            <v>105</v>
          </cell>
          <cell r="L905">
            <v>55</v>
          </cell>
          <cell r="M905" t="e">
            <v>#N/A</v>
          </cell>
          <cell r="N905">
            <v>90</v>
          </cell>
          <cell r="O905" t="e">
            <v>#N/A</v>
          </cell>
          <cell r="P905" t="str">
            <v/>
          </cell>
          <cell r="Q905" t="str">
            <v/>
          </cell>
          <cell r="R905">
            <v>90</v>
          </cell>
        </row>
        <row r="906">
          <cell r="A906" t="str">
            <v/>
          </cell>
          <cell r="B906" t="str">
            <v/>
          </cell>
          <cell r="C906" t="str">
            <v>Future</v>
          </cell>
          <cell r="D906" t="e">
            <v>#N/A</v>
          </cell>
          <cell r="E906">
            <v>-26.286692913386069</v>
          </cell>
          <cell r="F906">
            <v>117.5715748031507</v>
          </cell>
          <cell r="G906">
            <v>49.067637795275736</v>
          </cell>
          <cell r="H906">
            <v>49.067637795275736</v>
          </cell>
          <cell r="I906" t="e">
            <v>#N/A</v>
          </cell>
          <cell r="J906" t="e">
            <v>#N/A</v>
          </cell>
          <cell r="K906">
            <v>105</v>
          </cell>
          <cell r="L906">
            <v>55</v>
          </cell>
          <cell r="M906" t="e">
            <v>#N/A</v>
          </cell>
          <cell r="N906">
            <v>90</v>
          </cell>
          <cell r="O906" t="e">
            <v>#N/A</v>
          </cell>
          <cell r="P906" t="str">
            <v/>
          </cell>
          <cell r="Q906" t="str">
            <v/>
          </cell>
          <cell r="R906">
            <v>90</v>
          </cell>
        </row>
        <row r="907">
          <cell r="A907" t="str">
            <v/>
          </cell>
          <cell r="B907" t="str">
            <v/>
          </cell>
          <cell r="C907" t="str">
            <v>Future</v>
          </cell>
          <cell r="D907" t="e">
            <v>#N/A</v>
          </cell>
          <cell r="E907">
            <v>-26.566338582677407</v>
          </cell>
          <cell r="F907">
            <v>117.70531496063101</v>
          </cell>
          <cell r="G907">
            <v>49.004527559055262</v>
          </cell>
          <cell r="H907">
            <v>49.004527559055262</v>
          </cell>
          <cell r="I907" t="e">
            <v>#N/A</v>
          </cell>
          <cell r="J907" t="e">
            <v>#N/A</v>
          </cell>
          <cell r="K907">
            <v>105</v>
          </cell>
          <cell r="L907">
            <v>55</v>
          </cell>
          <cell r="M907" t="e">
            <v>#N/A</v>
          </cell>
          <cell r="N907">
            <v>90</v>
          </cell>
          <cell r="O907" t="e">
            <v>#N/A</v>
          </cell>
          <cell r="P907" t="str">
            <v/>
          </cell>
          <cell r="Q907" t="str">
            <v/>
          </cell>
          <cell r="R907">
            <v>90</v>
          </cell>
        </row>
        <row r="908">
          <cell r="A908" t="str">
            <v/>
          </cell>
          <cell r="B908" t="str">
            <v/>
          </cell>
          <cell r="C908" t="str">
            <v>Future</v>
          </cell>
          <cell r="D908" t="e">
            <v>#N/A</v>
          </cell>
          <cell r="E908">
            <v>-26.845984251968744</v>
          </cell>
          <cell r="F908">
            <v>117.83905511811133</v>
          </cell>
          <cell r="G908">
            <v>48.941417322834788</v>
          </cell>
          <cell r="H908">
            <v>48.941417322834788</v>
          </cell>
          <cell r="I908" t="e">
            <v>#N/A</v>
          </cell>
          <cell r="J908" t="e">
            <v>#N/A</v>
          </cell>
          <cell r="K908">
            <v>105</v>
          </cell>
          <cell r="L908">
            <v>55</v>
          </cell>
          <cell r="M908" t="e">
            <v>#N/A</v>
          </cell>
          <cell r="N908">
            <v>90</v>
          </cell>
          <cell r="O908" t="e">
            <v>#N/A</v>
          </cell>
          <cell r="P908" t="str">
            <v/>
          </cell>
          <cell r="Q908" t="str">
            <v/>
          </cell>
          <cell r="R908">
            <v>90</v>
          </cell>
        </row>
        <row r="909">
          <cell r="A909" t="str">
            <v/>
          </cell>
          <cell r="B909" t="str">
            <v/>
          </cell>
          <cell r="C909" t="str">
            <v>Future</v>
          </cell>
          <cell r="D909" t="e">
            <v>#N/A</v>
          </cell>
          <cell r="E909">
            <v>-27.125629921260082</v>
          </cell>
          <cell r="F909">
            <v>117.97279527559165</v>
          </cell>
          <cell r="G909">
            <v>48.878307086614313</v>
          </cell>
          <cell r="H909">
            <v>48.878307086614313</v>
          </cell>
          <cell r="I909" t="e">
            <v>#N/A</v>
          </cell>
          <cell r="J909" t="e">
            <v>#N/A</v>
          </cell>
          <cell r="K909">
            <v>105</v>
          </cell>
          <cell r="L909">
            <v>55</v>
          </cell>
          <cell r="M909" t="e">
            <v>#N/A</v>
          </cell>
          <cell r="N909">
            <v>90</v>
          </cell>
          <cell r="O909" t="e">
            <v>#N/A</v>
          </cell>
          <cell r="P909" t="str">
            <v/>
          </cell>
          <cell r="Q909" t="str">
            <v/>
          </cell>
          <cell r="R909">
            <v>90</v>
          </cell>
        </row>
        <row r="910">
          <cell r="A910" t="str">
            <v/>
          </cell>
          <cell r="B910" t="str">
            <v/>
          </cell>
          <cell r="C910" t="str">
            <v>Future</v>
          </cell>
          <cell r="D910" t="e">
            <v>#N/A</v>
          </cell>
          <cell r="E910">
            <v>-27.405275590551419</v>
          </cell>
          <cell r="F910">
            <v>118.10653543307197</v>
          </cell>
          <cell r="G910">
            <v>48.815196850393839</v>
          </cell>
          <cell r="H910">
            <v>48.815196850393839</v>
          </cell>
          <cell r="I910" t="e">
            <v>#N/A</v>
          </cell>
          <cell r="J910" t="e">
            <v>#N/A</v>
          </cell>
          <cell r="K910">
            <v>105</v>
          </cell>
          <cell r="L910">
            <v>55</v>
          </cell>
          <cell r="M910" t="e">
            <v>#N/A</v>
          </cell>
          <cell r="N910">
            <v>90</v>
          </cell>
          <cell r="O910" t="e">
            <v>#N/A</v>
          </cell>
          <cell r="P910" t="str">
            <v/>
          </cell>
          <cell r="Q910" t="str">
            <v/>
          </cell>
          <cell r="R910">
            <v>90</v>
          </cell>
        </row>
        <row r="911">
          <cell r="A911" t="str">
            <v/>
          </cell>
          <cell r="B911" t="str">
            <v/>
          </cell>
          <cell r="C911" t="str">
            <v>Future</v>
          </cell>
          <cell r="D911" t="e">
            <v>#N/A</v>
          </cell>
          <cell r="E911">
            <v>-27.684921259842756</v>
          </cell>
          <cell r="F911">
            <v>118.24027559055229</v>
          </cell>
          <cell r="G911">
            <v>48.752086614173365</v>
          </cell>
          <cell r="H911">
            <v>48.752086614173365</v>
          </cell>
          <cell r="I911" t="e">
            <v>#N/A</v>
          </cell>
          <cell r="J911" t="e">
            <v>#N/A</v>
          </cell>
          <cell r="K911">
            <v>105</v>
          </cell>
          <cell r="L911">
            <v>55</v>
          </cell>
          <cell r="M911" t="e">
            <v>#N/A</v>
          </cell>
          <cell r="N911">
            <v>90</v>
          </cell>
          <cell r="O911" t="e">
            <v>#N/A</v>
          </cell>
          <cell r="P911" t="str">
            <v/>
          </cell>
          <cell r="Q911" t="str">
            <v/>
          </cell>
          <cell r="R911">
            <v>90</v>
          </cell>
        </row>
        <row r="912">
          <cell r="A912" t="str">
            <v/>
          </cell>
          <cell r="B912" t="str">
            <v/>
          </cell>
          <cell r="C912" t="str">
            <v>Future</v>
          </cell>
          <cell r="D912" t="e">
            <v>#N/A</v>
          </cell>
          <cell r="E912">
            <v>-27.964566929134094</v>
          </cell>
          <cell r="F912">
            <v>118.3740157480326</v>
          </cell>
          <cell r="G912">
            <v>48.688976377952891</v>
          </cell>
          <cell r="H912">
            <v>48.688976377952891</v>
          </cell>
          <cell r="I912" t="e">
            <v>#N/A</v>
          </cell>
          <cell r="J912" t="e">
            <v>#N/A</v>
          </cell>
          <cell r="K912">
            <v>105</v>
          </cell>
          <cell r="L912">
            <v>55</v>
          </cell>
          <cell r="M912" t="e">
            <v>#N/A</v>
          </cell>
          <cell r="N912">
            <v>90</v>
          </cell>
          <cell r="O912" t="e">
            <v>#N/A</v>
          </cell>
          <cell r="P912" t="str">
            <v/>
          </cell>
          <cell r="Q912" t="str">
            <v/>
          </cell>
          <cell r="R912">
            <v>90</v>
          </cell>
        </row>
        <row r="913">
          <cell r="A913" t="str">
            <v/>
          </cell>
          <cell r="B913" t="str">
            <v/>
          </cell>
          <cell r="C913" t="str">
            <v>Future</v>
          </cell>
          <cell r="D913" t="e">
            <v>#N/A</v>
          </cell>
          <cell r="E913">
            <v>-28.244212598425431</v>
          </cell>
          <cell r="F913">
            <v>118.50775590551292</v>
          </cell>
          <cell r="G913">
            <v>48.625866141732416</v>
          </cell>
          <cell r="H913">
            <v>48.625866141732416</v>
          </cell>
          <cell r="I913" t="e">
            <v>#N/A</v>
          </cell>
          <cell r="J913" t="e">
            <v>#N/A</v>
          </cell>
          <cell r="K913">
            <v>105</v>
          </cell>
          <cell r="L913">
            <v>55</v>
          </cell>
          <cell r="M913" t="e">
            <v>#N/A</v>
          </cell>
          <cell r="N913">
            <v>90</v>
          </cell>
          <cell r="O913" t="e">
            <v>#N/A</v>
          </cell>
          <cell r="P913" t="str">
            <v/>
          </cell>
          <cell r="Q913" t="str">
            <v/>
          </cell>
          <cell r="R913">
            <v>90</v>
          </cell>
        </row>
        <row r="914">
          <cell r="A914" t="str">
            <v/>
          </cell>
          <cell r="B914" t="str">
            <v/>
          </cell>
          <cell r="C914" t="str">
            <v>Future</v>
          </cell>
          <cell r="D914" t="e">
            <v>#N/A</v>
          </cell>
          <cell r="E914">
            <v>-28.523858267716768</v>
          </cell>
          <cell r="F914">
            <v>118.64149606299324</v>
          </cell>
          <cell r="G914">
            <v>48.562755905511942</v>
          </cell>
          <cell r="H914">
            <v>48.562755905511942</v>
          </cell>
          <cell r="I914" t="e">
            <v>#N/A</v>
          </cell>
          <cell r="J914" t="e">
            <v>#N/A</v>
          </cell>
          <cell r="K914">
            <v>105</v>
          </cell>
          <cell r="L914">
            <v>55</v>
          </cell>
          <cell r="M914" t="e">
            <v>#N/A</v>
          </cell>
          <cell r="N914">
            <v>90</v>
          </cell>
          <cell r="O914" t="e">
            <v>#N/A</v>
          </cell>
          <cell r="P914" t="str">
            <v/>
          </cell>
          <cell r="Q914" t="str">
            <v/>
          </cell>
          <cell r="R914">
            <v>90</v>
          </cell>
        </row>
        <row r="915">
          <cell r="A915" t="str">
            <v/>
          </cell>
          <cell r="B915" t="str">
            <v/>
          </cell>
          <cell r="C915" t="str">
            <v>Future</v>
          </cell>
          <cell r="D915" t="e">
            <v>#N/A</v>
          </cell>
          <cell r="E915">
            <v>-28.803503937008106</v>
          </cell>
          <cell r="F915">
            <v>118.77523622047356</v>
          </cell>
          <cell r="G915">
            <v>48.499645669291468</v>
          </cell>
          <cell r="H915">
            <v>48.499645669291468</v>
          </cell>
          <cell r="I915" t="e">
            <v>#N/A</v>
          </cell>
          <cell r="J915" t="e">
            <v>#N/A</v>
          </cell>
          <cell r="K915">
            <v>105</v>
          </cell>
          <cell r="L915">
            <v>55</v>
          </cell>
          <cell r="M915" t="e">
            <v>#N/A</v>
          </cell>
          <cell r="N915">
            <v>90</v>
          </cell>
          <cell r="O915" t="e">
            <v>#N/A</v>
          </cell>
          <cell r="P915" t="str">
            <v/>
          </cell>
          <cell r="Q915" t="str">
            <v/>
          </cell>
          <cell r="R915">
            <v>90</v>
          </cell>
        </row>
        <row r="916">
          <cell r="A916" t="str">
            <v/>
          </cell>
          <cell r="B916" t="str">
            <v/>
          </cell>
          <cell r="C916" t="str">
            <v>Future</v>
          </cell>
          <cell r="D916" t="e">
            <v>#N/A</v>
          </cell>
          <cell r="E916">
            <v>-29.083149606299443</v>
          </cell>
          <cell r="F916">
            <v>118.90897637795388</v>
          </cell>
          <cell r="G916">
            <v>48.436535433070993</v>
          </cell>
          <cell r="H916">
            <v>48.436535433070993</v>
          </cell>
          <cell r="I916" t="e">
            <v>#N/A</v>
          </cell>
          <cell r="J916" t="e">
            <v>#N/A</v>
          </cell>
          <cell r="K916">
            <v>105</v>
          </cell>
          <cell r="L916">
            <v>55</v>
          </cell>
          <cell r="M916" t="e">
            <v>#N/A</v>
          </cell>
          <cell r="N916">
            <v>90</v>
          </cell>
          <cell r="O916" t="e">
            <v>#N/A</v>
          </cell>
          <cell r="P916" t="str">
            <v/>
          </cell>
          <cell r="Q916" t="str">
            <v/>
          </cell>
          <cell r="R916">
            <v>90</v>
          </cell>
        </row>
        <row r="917">
          <cell r="A917" t="str">
            <v/>
          </cell>
          <cell r="B917" t="str">
            <v/>
          </cell>
          <cell r="C917" t="str">
            <v>Future</v>
          </cell>
          <cell r="D917" t="e">
            <v>#N/A</v>
          </cell>
          <cell r="E917">
            <v>-29.362795275590781</v>
          </cell>
          <cell r="F917">
            <v>119.0427165354342</v>
          </cell>
          <cell r="G917">
            <v>48.373425196850519</v>
          </cell>
          <cell r="H917">
            <v>48.373425196850519</v>
          </cell>
          <cell r="I917" t="e">
            <v>#N/A</v>
          </cell>
          <cell r="J917" t="e">
            <v>#N/A</v>
          </cell>
          <cell r="K917">
            <v>105</v>
          </cell>
          <cell r="L917">
            <v>55</v>
          </cell>
          <cell r="M917" t="e">
            <v>#N/A</v>
          </cell>
          <cell r="N917">
            <v>90</v>
          </cell>
          <cell r="O917" t="e">
            <v>#N/A</v>
          </cell>
          <cell r="P917" t="str">
            <v/>
          </cell>
          <cell r="Q917" t="str">
            <v/>
          </cell>
          <cell r="R917">
            <v>90</v>
          </cell>
        </row>
        <row r="918">
          <cell r="A918" t="str">
            <v/>
          </cell>
          <cell r="B918" t="str">
            <v/>
          </cell>
          <cell r="C918" t="str">
            <v>Future</v>
          </cell>
          <cell r="D918" t="e">
            <v>#N/A</v>
          </cell>
          <cell r="E918">
            <v>-29.642440944882118</v>
          </cell>
          <cell r="F918">
            <v>119.17645669291451</v>
          </cell>
          <cell r="G918">
            <v>48.310314960630045</v>
          </cell>
          <cell r="H918">
            <v>48.310314960630045</v>
          </cell>
          <cell r="I918" t="e">
            <v>#N/A</v>
          </cell>
          <cell r="J918" t="e">
            <v>#N/A</v>
          </cell>
          <cell r="K918">
            <v>105</v>
          </cell>
          <cell r="L918">
            <v>55</v>
          </cell>
          <cell r="M918" t="e">
            <v>#N/A</v>
          </cell>
          <cell r="N918">
            <v>90</v>
          </cell>
          <cell r="O918" t="e">
            <v>#N/A</v>
          </cell>
          <cell r="P918" t="str">
            <v/>
          </cell>
          <cell r="Q918" t="str">
            <v/>
          </cell>
          <cell r="R918">
            <v>90</v>
          </cell>
        </row>
        <row r="919">
          <cell r="A919" t="str">
            <v/>
          </cell>
          <cell r="B919" t="str">
            <v/>
          </cell>
          <cell r="C919" t="str">
            <v>Future</v>
          </cell>
          <cell r="D919" t="e">
            <v>#N/A</v>
          </cell>
          <cell r="E919">
            <v>-29.922086614173455</v>
          </cell>
          <cell r="F919">
            <v>119.31019685039483</v>
          </cell>
          <cell r="G919">
            <v>48.247204724409571</v>
          </cell>
          <cell r="H919">
            <v>48.247204724409571</v>
          </cell>
          <cell r="I919" t="e">
            <v>#N/A</v>
          </cell>
          <cell r="J919" t="e">
            <v>#N/A</v>
          </cell>
          <cell r="K919">
            <v>105</v>
          </cell>
          <cell r="L919">
            <v>55</v>
          </cell>
          <cell r="M919" t="e">
            <v>#N/A</v>
          </cell>
          <cell r="N919">
            <v>90</v>
          </cell>
          <cell r="O919" t="e">
            <v>#N/A</v>
          </cell>
          <cell r="P919" t="str">
            <v/>
          </cell>
          <cell r="Q919" t="str">
            <v/>
          </cell>
          <cell r="R919">
            <v>90</v>
          </cell>
        </row>
        <row r="920">
          <cell r="A920" t="str">
            <v/>
          </cell>
          <cell r="B920" t="str">
            <v/>
          </cell>
          <cell r="C920" t="str">
            <v>Future</v>
          </cell>
          <cell r="D920" t="e">
            <v>#N/A</v>
          </cell>
          <cell r="E920">
            <v>-30.201732283464793</v>
          </cell>
          <cell r="F920">
            <v>119.44393700787515</v>
          </cell>
          <cell r="G920">
            <v>48.184094488189096</v>
          </cell>
          <cell r="H920">
            <v>48.184094488189096</v>
          </cell>
          <cell r="I920" t="e">
            <v>#N/A</v>
          </cell>
          <cell r="J920" t="e">
            <v>#N/A</v>
          </cell>
          <cell r="K920">
            <v>105</v>
          </cell>
          <cell r="L920">
            <v>55</v>
          </cell>
          <cell r="M920" t="e">
            <v>#N/A</v>
          </cell>
          <cell r="N920">
            <v>90</v>
          </cell>
          <cell r="O920" t="e">
            <v>#N/A</v>
          </cell>
          <cell r="P920" t="str">
            <v/>
          </cell>
          <cell r="Q920" t="str">
            <v/>
          </cell>
          <cell r="R920">
            <v>90</v>
          </cell>
        </row>
        <row r="921">
          <cell r="A921" t="str">
            <v/>
          </cell>
          <cell r="B921" t="str">
            <v/>
          </cell>
          <cell r="C921" t="str">
            <v>Future</v>
          </cell>
          <cell r="D921" t="e">
            <v>#N/A</v>
          </cell>
          <cell r="E921">
            <v>-30.48137795275613</v>
          </cell>
          <cell r="F921">
            <v>119.57767716535547</v>
          </cell>
          <cell r="G921">
            <v>48.120984251968622</v>
          </cell>
          <cell r="H921">
            <v>48.120984251968622</v>
          </cell>
          <cell r="I921" t="e">
            <v>#N/A</v>
          </cell>
          <cell r="J921" t="e">
            <v>#N/A</v>
          </cell>
          <cell r="K921">
            <v>105</v>
          </cell>
          <cell r="L921">
            <v>55</v>
          </cell>
          <cell r="M921" t="e">
            <v>#N/A</v>
          </cell>
          <cell r="N921">
            <v>90</v>
          </cell>
          <cell r="O921" t="e">
            <v>#N/A</v>
          </cell>
          <cell r="P921" t="str">
            <v/>
          </cell>
          <cell r="Q921" t="str">
            <v/>
          </cell>
          <cell r="R921">
            <v>90</v>
          </cell>
        </row>
        <row r="922">
          <cell r="A922" t="str">
            <v/>
          </cell>
          <cell r="B922" t="str">
            <v/>
          </cell>
          <cell r="C922" t="str">
            <v>Future</v>
          </cell>
          <cell r="D922" t="e">
            <v>#N/A</v>
          </cell>
          <cell r="E922">
            <v>-30.761023622047468</v>
          </cell>
          <cell r="F922">
            <v>119.71141732283579</v>
          </cell>
          <cell r="G922">
            <v>48.057874015748148</v>
          </cell>
          <cell r="H922">
            <v>48.057874015748148</v>
          </cell>
          <cell r="I922" t="e">
            <v>#N/A</v>
          </cell>
          <cell r="J922" t="e">
            <v>#N/A</v>
          </cell>
          <cell r="K922">
            <v>105</v>
          </cell>
          <cell r="L922">
            <v>55</v>
          </cell>
          <cell r="M922" t="e">
            <v>#N/A</v>
          </cell>
          <cell r="N922">
            <v>90</v>
          </cell>
          <cell r="O922" t="e">
            <v>#N/A</v>
          </cell>
          <cell r="P922" t="str">
            <v/>
          </cell>
          <cell r="Q922" t="str">
            <v/>
          </cell>
          <cell r="R922">
            <v>90</v>
          </cell>
        </row>
        <row r="923">
          <cell r="A923" t="str">
            <v/>
          </cell>
          <cell r="B923" t="str">
            <v/>
          </cell>
          <cell r="C923" t="str">
            <v>Future</v>
          </cell>
          <cell r="D923" t="e">
            <v>#N/A</v>
          </cell>
          <cell r="E923">
            <v>-31.040669291338805</v>
          </cell>
          <cell r="F923">
            <v>119.8451574803161</v>
          </cell>
          <cell r="G923">
            <v>47.994763779527673</v>
          </cell>
          <cell r="H923">
            <v>47.994763779527673</v>
          </cell>
          <cell r="I923" t="e">
            <v>#N/A</v>
          </cell>
          <cell r="J923" t="e">
            <v>#N/A</v>
          </cell>
          <cell r="K923">
            <v>105</v>
          </cell>
          <cell r="L923">
            <v>55</v>
          </cell>
          <cell r="M923" t="e">
            <v>#N/A</v>
          </cell>
          <cell r="N923">
            <v>90</v>
          </cell>
          <cell r="O923" t="e">
            <v>#N/A</v>
          </cell>
          <cell r="P923" t="str">
            <v/>
          </cell>
          <cell r="Q923" t="str">
            <v/>
          </cell>
          <cell r="R923">
            <v>90</v>
          </cell>
        </row>
        <row r="924">
          <cell r="A924" t="str">
            <v/>
          </cell>
          <cell r="B924" t="str">
            <v/>
          </cell>
          <cell r="C924" t="str">
            <v>Future</v>
          </cell>
          <cell r="D924" t="e">
            <v>#N/A</v>
          </cell>
          <cell r="E924">
            <v>-31.320314960630142</v>
          </cell>
          <cell r="F924">
            <v>119.97889763779642</v>
          </cell>
          <cell r="G924">
            <v>47.931653543307199</v>
          </cell>
          <cell r="H924">
            <v>47.931653543307199</v>
          </cell>
          <cell r="I924" t="e">
            <v>#N/A</v>
          </cell>
          <cell r="J924" t="e">
            <v>#N/A</v>
          </cell>
          <cell r="K924">
            <v>105</v>
          </cell>
          <cell r="L924">
            <v>55</v>
          </cell>
          <cell r="M924" t="e">
            <v>#N/A</v>
          </cell>
          <cell r="N924">
            <v>90</v>
          </cell>
          <cell r="O924" t="e">
            <v>#N/A</v>
          </cell>
          <cell r="P924" t="str">
            <v/>
          </cell>
          <cell r="Q924" t="str">
            <v/>
          </cell>
          <cell r="R924">
            <v>90</v>
          </cell>
        </row>
        <row r="925">
          <cell r="A925" t="str">
            <v/>
          </cell>
          <cell r="B925" t="str">
            <v/>
          </cell>
          <cell r="C925" t="str">
            <v>Future</v>
          </cell>
          <cell r="D925" t="e">
            <v>#N/A</v>
          </cell>
          <cell r="E925">
            <v>-31.59996062992148</v>
          </cell>
          <cell r="F925">
            <v>120.11263779527674</v>
          </cell>
          <cell r="G925">
            <v>47.868543307086725</v>
          </cell>
          <cell r="H925">
            <v>47.868543307086725</v>
          </cell>
          <cell r="I925" t="e">
            <v>#N/A</v>
          </cell>
          <cell r="J925" t="e">
            <v>#N/A</v>
          </cell>
          <cell r="K925">
            <v>105</v>
          </cell>
          <cell r="L925">
            <v>55</v>
          </cell>
          <cell r="M925" t="e">
            <v>#N/A</v>
          </cell>
          <cell r="N925">
            <v>90</v>
          </cell>
          <cell r="O925" t="e">
            <v>#N/A</v>
          </cell>
          <cell r="P925" t="str">
            <v/>
          </cell>
          <cell r="Q925" t="str">
            <v/>
          </cell>
          <cell r="R925">
            <v>90</v>
          </cell>
        </row>
        <row r="926">
          <cell r="A926" t="str">
            <v/>
          </cell>
          <cell r="B926" t="str">
            <v/>
          </cell>
          <cell r="C926" t="str">
            <v>Future</v>
          </cell>
          <cell r="D926" t="e">
            <v>#N/A</v>
          </cell>
          <cell r="E926">
            <v>-31.879606299212817</v>
          </cell>
          <cell r="F926">
            <v>120.24637795275706</v>
          </cell>
          <cell r="G926">
            <v>47.80543307086625</v>
          </cell>
          <cell r="H926">
            <v>47.80543307086625</v>
          </cell>
          <cell r="I926" t="e">
            <v>#N/A</v>
          </cell>
          <cell r="J926" t="e">
            <v>#N/A</v>
          </cell>
          <cell r="K926">
            <v>105</v>
          </cell>
          <cell r="L926">
            <v>55</v>
          </cell>
          <cell r="M926" t="e">
            <v>#N/A</v>
          </cell>
          <cell r="N926">
            <v>90</v>
          </cell>
          <cell r="O926" t="e">
            <v>#N/A</v>
          </cell>
          <cell r="P926" t="str">
            <v/>
          </cell>
          <cell r="Q926" t="str">
            <v/>
          </cell>
          <cell r="R926">
            <v>90</v>
          </cell>
        </row>
        <row r="927">
          <cell r="A927" t="str">
            <v/>
          </cell>
          <cell r="B927" t="str">
            <v/>
          </cell>
          <cell r="C927" t="str">
            <v>Future</v>
          </cell>
          <cell r="D927" t="e">
            <v>#N/A</v>
          </cell>
          <cell r="E927">
            <v>-32.159251968504158</v>
          </cell>
          <cell r="F927">
            <v>120.38011811023738</v>
          </cell>
          <cell r="G927">
            <v>47.742322834645776</v>
          </cell>
          <cell r="H927">
            <v>47.742322834645776</v>
          </cell>
          <cell r="I927" t="e">
            <v>#N/A</v>
          </cell>
          <cell r="J927" t="e">
            <v>#N/A</v>
          </cell>
          <cell r="K927">
            <v>105</v>
          </cell>
          <cell r="L927">
            <v>55</v>
          </cell>
          <cell r="M927" t="e">
            <v>#N/A</v>
          </cell>
          <cell r="N927">
            <v>90</v>
          </cell>
          <cell r="O927" t="e">
            <v>#N/A</v>
          </cell>
          <cell r="P927" t="str">
            <v/>
          </cell>
          <cell r="Q927" t="str">
            <v/>
          </cell>
          <cell r="R927">
            <v>90</v>
          </cell>
        </row>
        <row r="928">
          <cell r="A928" t="str">
            <v/>
          </cell>
          <cell r="B928" t="str">
            <v/>
          </cell>
          <cell r="C928" t="str">
            <v>Future</v>
          </cell>
          <cell r="D928" t="e">
            <v>#N/A</v>
          </cell>
          <cell r="E928">
            <v>-32.438897637795499</v>
          </cell>
          <cell r="F928">
            <v>120.51385826771769</v>
          </cell>
          <cell r="G928">
            <v>47.679212598425302</v>
          </cell>
          <cell r="H928">
            <v>47.679212598425302</v>
          </cell>
          <cell r="I928" t="e">
            <v>#N/A</v>
          </cell>
          <cell r="J928" t="e">
            <v>#N/A</v>
          </cell>
          <cell r="K928">
            <v>105</v>
          </cell>
          <cell r="L928">
            <v>55</v>
          </cell>
          <cell r="M928" t="e">
            <v>#N/A</v>
          </cell>
          <cell r="N928">
            <v>90</v>
          </cell>
          <cell r="O928" t="e">
            <v>#N/A</v>
          </cell>
          <cell r="P928" t="str">
            <v/>
          </cell>
          <cell r="Q928" t="str">
            <v/>
          </cell>
          <cell r="R928">
            <v>90</v>
          </cell>
        </row>
        <row r="929">
          <cell r="A929" t="str">
            <v/>
          </cell>
          <cell r="B929" t="str">
            <v/>
          </cell>
          <cell r="C929" t="str">
            <v>Future</v>
          </cell>
          <cell r="D929" t="e">
            <v>#N/A</v>
          </cell>
          <cell r="E929">
            <v>-32.71854330708684</v>
          </cell>
          <cell r="F929">
            <v>120.64759842519801</v>
          </cell>
          <cell r="G929">
            <v>47.616102362204828</v>
          </cell>
          <cell r="H929">
            <v>47.616102362204828</v>
          </cell>
          <cell r="I929" t="e">
            <v>#N/A</v>
          </cell>
          <cell r="J929" t="e">
            <v>#N/A</v>
          </cell>
          <cell r="K929">
            <v>105</v>
          </cell>
          <cell r="L929">
            <v>55</v>
          </cell>
          <cell r="M929" t="e">
            <v>#N/A</v>
          </cell>
          <cell r="N929">
            <v>90</v>
          </cell>
          <cell r="O929" t="e">
            <v>#N/A</v>
          </cell>
          <cell r="P929" t="str">
            <v/>
          </cell>
          <cell r="Q929" t="str">
            <v/>
          </cell>
          <cell r="R929">
            <v>90</v>
          </cell>
        </row>
        <row r="930">
          <cell r="A930" t="str">
            <v/>
          </cell>
          <cell r="B930" t="str">
            <v/>
          </cell>
          <cell r="C930" t="str">
            <v>Future</v>
          </cell>
          <cell r="D930" t="e">
            <v>#N/A</v>
          </cell>
          <cell r="E930">
            <v>-32.998188976378181</v>
          </cell>
          <cell r="F930">
            <v>120.78133858267833</v>
          </cell>
          <cell r="G930">
            <v>47.552992125984353</v>
          </cell>
          <cell r="H930">
            <v>47.552992125984353</v>
          </cell>
          <cell r="I930" t="e">
            <v>#N/A</v>
          </cell>
          <cell r="J930" t="e">
            <v>#N/A</v>
          </cell>
          <cell r="K930">
            <v>105</v>
          </cell>
          <cell r="L930">
            <v>55</v>
          </cell>
          <cell r="M930" t="e">
            <v>#N/A</v>
          </cell>
          <cell r="N930">
            <v>90</v>
          </cell>
          <cell r="O930" t="e">
            <v>#N/A</v>
          </cell>
          <cell r="P930" t="str">
            <v/>
          </cell>
          <cell r="Q930" t="str">
            <v/>
          </cell>
          <cell r="R930">
            <v>90</v>
          </cell>
        </row>
        <row r="931">
          <cell r="A931" t="str">
            <v/>
          </cell>
          <cell r="B931" t="str">
            <v/>
          </cell>
          <cell r="C931" t="str">
            <v>Future</v>
          </cell>
          <cell r="D931" t="e">
            <v>#N/A</v>
          </cell>
          <cell r="E931">
            <v>-33.277834645669522</v>
          </cell>
          <cell r="F931">
            <v>120.91507874015865</v>
          </cell>
          <cell r="G931">
            <v>47.489881889763879</v>
          </cell>
          <cell r="H931">
            <v>47.489881889763879</v>
          </cell>
          <cell r="I931" t="e">
            <v>#N/A</v>
          </cell>
          <cell r="J931" t="e">
            <v>#N/A</v>
          </cell>
          <cell r="K931">
            <v>105</v>
          </cell>
          <cell r="L931">
            <v>55</v>
          </cell>
          <cell r="M931" t="e">
            <v>#N/A</v>
          </cell>
          <cell r="N931">
            <v>90</v>
          </cell>
          <cell r="O931" t="e">
            <v>#N/A</v>
          </cell>
          <cell r="P931" t="str">
            <v/>
          </cell>
          <cell r="Q931" t="str">
            <v/>
          </cell>
          <cell r="R931">
            <v>90</v>
          </cell>
        </row>
        <row r="932">
          <cell r="A932" t="str">
            <v/>
          </cell>
          <cell r="B932" t="str">
            <v/>
          </cell>
          <cell r="C932" t="str">
            <v>Future</v>
          </cell>
          <cell r="D932" t="e">
            <v>#N/A</v>
          </cell>
          <cell r="E932">
            <v>-33.557480314960863</v>
          </cell>
          <cell r="F932">
            <v>121.04881889763897</v>
          </cell>
          <cell r="G932">
            <v>47.426771653543405</v>
          </cell>
          <cell r="H932">
            <v>47.426771653543405</v>
          </cell>
          <cell r="I932" t="e">
            <v>#N/A</v>
          </cell>
          <cell r="J932" t="e">
            <v>#N/A</v>
          </cell>
          <cell r="K932">
            <v>105</v>
          </cell>
          <cell r="L932">
            <v>55</v>
          </cell>
          <cell r="M932" t="e">
            <v>#N/A</v>
          </cell>
          <cell r="N932">
            <v>90</v>
          </cell>
          <cell r="O932" t="e">
            <v>#N/A</v>
          </cell>
          <cell r="P932" t="str">
            <v/>
          </cell>
          <cell r="Q932" t="str">
            <v/>
          </cell>
          <cell r="R932">
            <v>90</v>
          </cell>
        </row>
        <row r="933">
          <cell r="A933" t="str">
            <v/>
          </cell>
          <cell r="B933" t="str">
            <v/>
          </cell>
          <cell r="C933" t="str">
            <v>Future</v>
          </cell>
          <cell r="D933" t="e">
            <v>#N/A</v>
          </cell>
          <cell r="E933">
            <v>-33.837125984252204</v>
          </cell>
          <cell r="F933">
            <v>121.18255905511928</v>
          </cell>
          <cell r="G933">
            <v>47.36366141732293</v>
          </cell>
          <cell r="H933">
            <v>47.36366141732293</v>
          </cell>
          <cell r="I933" t="e">
            <v>#N/A</v>
          </cell>
          <cell r="J933" t="e">
            <v>#N/A</v>
          </cell>
          <cell r="K933">
            <v>105</v>
          </cell>
          <cell r="L933">
            <v>55</v>
          </cell>
          <cell r="M933" t="e">
            <v>#N/A</v>
          </cell>
          <cell r="N933">
            <v>90</v>
          </cell>
          <cell r="O933" t="e">
            <v>#N/A</v>
          </cell>
          <cell r="P933" t="str">
            <v/>
          </cell>
          <cell r="Q933" t="str">
            <v/>
          </cell>
          <cell r="R933">
            <v>90</v>
          </cell>
        </row>
        <row r="934">
          <cell r="A934" t="str">
            <v/>
          </cell>
          <cell r="B934" t="str">
            <v/>
          </cell>
          <cell r="C934" t="str">
            <v>Future</v>
          </cell>
          <cell r="D934" t="e">
            <v>#N/A</v>
          </cell>
          <cell r="E934">
            <v>-34.116771653543545</v>
          </cell>
          <cell r="F934">
            <v>121.3162992125996</v>
          </cell>
          <cell r="G934">
            <v>47.300551181102456</v>
          </cell>
          <cell r="H934">
            <v>47.300551181102456</v>
          </cell>
          <cell r="I934" t="e">
            <v>#N/A</v>
          </cell>
          <cell r="J934" t="e">
            <v>#N/A</v>
          </cell>
          <cell r="K934">
            <v>105</v>
          </cell>
          <cell r="L934">
            <v>55</v>
          </cell>
          <cell r="M934" t="e">
            <v>#N/A</v>
          </cell>
          <cell r="N934">
            <v>90</v>
          </cell>
          <cell r="O934" t="e">
            <v>#N/A</v>
          </cell>
          <cell r="P934" t="str">
            <v/>
          </cell>
          <cell r="Q934" t="str">
            <v/>
          </cell>
          <cell r="R934">
            <v>90</v>
          </cell>
        </row>
        <row r="935">
          <cell r="A935" t="str">
            <v/>
          </cell>
          <cell r="B935" t="str">
            <v/>
          </cell>
          <cell r="C935" t="str">
            <v>Future</v>
          </cell>
          <cell r="D935" t="e">
            <v>#N/A</v>
          </cell>
          <cell r="E935">
            <v>-34.396417322834886</v>
          </cell>
          <cell r="F935">
            <v>121.45003937007992</v>
          </cell>
          <cell r="G935">
            <v>47.237440944881982</v>
          </cell>
          <cell r="H935">
            <v>47.237440944881982</v>
          </cell>
          <cell r="I935" t="e">
            <v>#N/A</v>
          </cell>
          <cell r="J935" t="e">
            <v>#N/A</v>
          </cell>
          <cell r="K935">
            <v>105</v>
          </cell>
          <cell r="L935">
            <v>55</v>
          </cell>
          <cell r="M935" t="e">
            <v>#N/A</v>
          </cell>
          <cell r="N935">
            <v>90</v>
          </cell>
          <cell r="O935" t="e">
            <v>#N/A</v>
          </cell>
          <cell r="P935" t="str">
            <v/>
          </cell>
          <cell r="Q935" t="str">
            <v/>
          </cell>
          <cell r="R935">
            <v>90</v>
          </cell>
        </row>
        <row r="936">
          <cell r="A936" t="str">
            <v/>
          </cell>
          <cell r="B936" t="str">
            <v/>
          </cell>
          <cell r="C936" t="str">
            <v>Future</v>
          </cell>
          <cell r="D936" t="e">
            <v>#N/A</v>
          </cell>
          <cell r="E936">
            <v>-34.676062992126226</v>
          </cell>
          <cell r="F936">
            <v>121.58377952756024</v>
          </cell>
          <cell r="G936">
            <v>47.174330708661508</v>
          </cell>
          <cell r="H936">
            <v>47.174330708661508</v>
          </cell>
          <cell r="I936" t="e">
            <v>#N/A</v>
          </cell>
          <cell r="J936" t="e">
            <v>#N/A</v>
          </cell>
          <cell r="K936">
            <v>105</v>
          </cell>
          <cell r="L936">
            <v>55</v>
          </cell>
          <cell r="M936" t="e">
            <v>#N/A</v>
          </cell>
          <cell r="N936">
            <v>90</v>
          </cell>
          <cell r="O936" t="e">
            <v>#N/A</v>
          </cell>
          <cell r="P936" t="str">
            <v/>
          </cell>
          <cell r="Q936" t="str">
            <v/>
          </cell>
          <cell r="R936">
            <v>90</v>
          </cell>
        </row>
        <row r="937">
          <cell r="A937" t="str">
            <v/>
          </cell>
          <cell r="B937" t="str">
            <v/>
          </cell>
          <cell r="C937" t="str">
            <v>Future</v>
          </cell>
          <cell r="D937" t="e">
            <v>#N/A</v>
          </cell>
          <cell r="E937">
            <v>-34.955708661417567</v>
          </cell>
          <cell r="F937">
            <v>121.71751968504056</v>
          </cell>
          <cell r="G937">
            <v>47.111220472441033</v>
          </cell>
          <cell r="H937">
            <v>47.111220472441033</v>
          </cell>
          <cell r="I937" t="e">
            <v>#N/A</v>
          </cell>
          <cell r="J937" t="e">
            <v>#N/A</v>
          </cell>
          <cell r="K937">
            <v>105</v>
          </cell>
          <cell r="L937">
            <v>55</v>
          </cell>
          <cell r="M937" t="e">
            <v>#N/A</v>
          </cell>
          <cell r="N937">
            <v>90</v>
          </cell>
          <cell r="O937" t="e">
            <v>#N/A</v>
          </cell>
          <cell r="P937" t="str">
            <v/>
          </cell>
          <cell r="Q937" t="str">
            <v/>
          </cell>
          <cell r="R937">
            <v>90</v>
          </cell>
        </row>
        <row r="938">
          <cell r="A938" t="str">
            <v/>
          </cell>
          <cell r="B938" t="str">
            <v/>
          </cell>
          <cell r="C938" t="str">
            <v>Future</v>
          </cell>
          <cell r="D938" t="e">
            <v>#N/A</v>
          </cell>
          <cell r="E938">
            <v>-35.235354330708908</v>
          </cell>
          <cell r="F938">
            <v>121.85125984252088</v>
          </cell>
          <cell r="G938">
            <v>47.048110236220559</v>
          </cell>
          <cell r="H938">
            <v>47.048110236220559</v>
          </cell>
          <cell r="I938" t="e">
            <v>#N/A</v>
          </cell>
          <cell r="J938" t="e">
            <v>#N/A</v>
          </cell>
          <cell r="K938">
            <v>105</v>
          </cell>
          <cell r="L938">
            <v>55</v>
          </cell>
          <cell r="M938" t="e">
            <v>#N/A</v>
          </cell>
          <cell r="N938">
            <v>90</v>
          </cell>
          <cell r="O938" t="e">
            <v>#N/A</v>
          </cell>
          <cell r="P938" t="str">
            <v/>
          </cell>
          <cell r="Q938" t="str">
            <v/>
          </cell>
          <cell r="R938">
            <v>90</v>
          </cell>
        </row>
        <row r="939">
          <cell r="A939" t="str">
            <v/>
          </cell>
          <cell r="B939" t="str">
            <v/>
          </cell>
          <cell r="C939" t="str">
            <v>Future</v>
          </cell>
          <cell r="D939" t="e">
            <v>#N/A</v>
          </cell>
          <cell r="E939">
            <v>-35.515000000000249</v>
          </cell>
          <cell r="F939">
            <v>121.98500000000119</v>
          </cell>
          <cell r="G939">
            <v>46.985000000000085</v>
          </cell>
          <cell r="H939">
            <v>46.985000000000085</v>
          </cell>
          <cell r="I939" t="e">
            <v>#N/A</v>
          </cell>
          <cell r="J939" t="e">
            <v>#N/A</v>
          </cell>
          <cell r="K939">
            <v>105</v>
          </cell>
          <cell r="L939">
            <v>55</v>
          </cell>
          <cell r="M939" t="e">
            <v>#N/A</v>
          </cell>
          <cell r="N939">
            <v>90</v>
          </cell>
          <cell r="O939" t="e">
            <v>#N/A</v>
          </cell>
          <cell r="P939" t="str">
            <v/>
          </cell>
          <cell r="Q939" t="str">
            <v/>
          </cell>
          <cell r="R939">
            <v>90</v>
          </cell>
        </row>
        <row r="940">
          <cell r="A940" t="str">
            <v/>
          </cell>
          <cell r="B940" t="str">
            <v/>
          </cell>
          <cell r="C940" t="str">
            <v>Future</v>
          </cell>
          <cell r="D940" t="e">
            <v>#N/A</v>
          </cell>
          <cell r="E940">
            <v>-35.79464566929159</v>
          </cell>
          <cell r="F940">
            <v>122.11874015748151</v>
          </cell>
          <cell r="G940">
            <v>46.92188976377961</v>
          </cell>
          <cell r="H940">
            <v>46.92188976377961</v>
          </cell>
          <cell r="I940" t="e">
            <v>#N/A</v>
          </cell>
          <cell r="J940" t="e">
            <v>#N/A</v>
          </cell>
          <cell r="K940">
            <v>105</v>
          </cell>
          <cell r="L940">
            <v>55</v>
          </cell>
          <cell r="M940" t="e">
            <v>#N/A</v>
          </cell>
          <cell r="N940">
            <v>90</v>
          </cell>
          <cell r="O940" t="e">
            <v>#N/A</v>
          </cell>
          <cell r="P940" t="str">
            <v/>
          </cell>
          <cell r="Q940" t="str">
            <v/>
          </cell>
          <cell r="R940">
            <v>90</v>
          </cell>
        </row>
        <row r="941">
          <cell r="A941" t="str">
            <v/>
          </cell>
          <cell r="B941" t="str">
            <v/>
          </cell>
          <cell r="C941" t="str">
            <v>Future</v>
          </cell>
          <cell r="D941" t="e">
            <v>#N/A</v>
          </cell>
          <cell r="E941">
            <v>-36.074291338582931</v>
          </cell>
          <cell r="F941">
            <v>122.25248031496183</v>
          </cell>
          <cell r="G941">
            <v>46.858779527559136</v>
          </cell>
          <cell r="H941">
            <v>46.858779527559136</v>
          </cell>
          <cell r="I941" t="e">
            <v>#N/A</v>
          </cell>
          <cell r="J941" t="e">
            <v>#N/A</v>
          </cell>
          <cell r="K941">
            <v>105</v>
          </cell>
          <cell r="L941">
            <v>55</v>
          </cell>
          <cell r="M941" t="e">
            <v>#N/A</v>
          </cell>
          <cell r="N941">
            <v>90</v>
          </cell>
          <cell r="O941" t="e">
            <v>#N/A</v>
          </cell>
          <cell r="P941" t="str">
            <v/>
          </cell>
          <cell r="Q941" t="str">
            <v/>
          </cell>
          <cell r="R941">
            <v>90</v>
          </cell>
        </row>
        <row r="942">
          <cell r="A942" t="str">
            <v/>
          </cell>
          <cell r="B942" t="str">
            <v/>
          </cell>
          <cell r="C942" t="str">
            <v>Future</v>
          </cell>
          <cell r="D942" t="e">
            <v>#N/A</v>
          </cell>
          <cell r="E942">
            <v>-36.353937007874272</v>
          </cell>
          <cell r="F942">
            <v>122.38622047244215</v>
          </cell>
          <cell r="G942">
            <v>46.795669291338662</v>
          </cell>
          <cell r="H942">
            <v>46.795669291338662</v>
          </cell>
          <cell r="I942" t="e">
            <v>#N/A</v>
          </cell>
          <cell r="J942" t="e">
            <v>#N/A</v>
          </cell>
          <cell r="K942">
            <v>105</v>
          </cell>
          <cell r="L942">
            <v>55</v>
          </cell>
          <cell r="M942" t="e">
            <v>#N/A</v>
          </cell>
          <cell r="N942">
            <v>90</v>
          </cell>
          <cell r="O942" t="e">
            <v>#N/A</v>
          </cell>
          <cell r="P942" t="str">
            <v/>
          </cell>
          <cell r="Q942" t="str">
            <v/>
          </cell>
          <cell r="R942">
            <v>90</v>
          </cell>
        </row>
        <row r="943">
          <cell r="A943" t="str">
            <v/>
          </cell>
          <cell r="B943" t="str">
            <v/>
          </cell>
          <cell r="C943" t="str">
            <v>Future</v>
          </cell>
          <cell r="D943" t="e">
            <v>#N/A</v>
          </cell>
          <cell r="E943">
            <v>-36.633582677165613</v>
          </cell>
          <cell r="F943">
            <v>122.51996062992247</v>
          </cell>
          <cell r="G943">
            <v>46.732559055118188</v>
          </cell>
          <cell r="H943">
            <v>46.732559055118188</v>
          </cell>
          <cell r="I943" t="e">
            <v>#N/A</v>
          </cell>
          <cell r="J943" t="e">
            <v>#N/A</v>
          </cell>
          <cell r="K943">
            <v>105</v>
          </cell>
          <cell r="L943">
            <v>55</v>
          </cell>
          <cell r="M943" t="e">
            <v>#N/A</v>
          </cell>
          <cell r="N943">
            <v>90</v>
          </cell>
          <cell r="O943" t="e">
            <v>#N/A</v>
          </cell>
          <cell r="P943" t="str">
            <v/>
          </cell>
          <cell r="Q943" t="str">
            <v/>
          </cell>
          <cell r="R943">
            <v>90</v>
          </cell>
        </row>
        <row r="944">
          <cell r="A944" t="str">
            <v/>
          </cell>
          <cell r="B944" t="str">
            <v/>
          </cell>
          <cell r="C944" t="str">
            <v>Future</v>
          </cell>
          <cell r="D944" t="e">
            <v>#N/A</v>
          </cell>
          <cell r="E944">
            <v>-36.913228346456954</v>
          </cell>
          <cell r="F944">
            <v>122.65370078740278</v>
          </cell>
          <cell r="G944">
            <v>46.669448818897713</v>
          </cell>
          <cell r="H944">
            <v>46.669448818897713</v>
          </cell>
          <cell r="I944" t="e">
            <v>#N/A</v>
          </cell>
          <cell r="J944" t="e">
            <v>#N/A</v>
          </cell>
          <cell r="K944">
            <v>105</v>
          </cell>
          <cell r="L944">
            <v>55</v>
          </cell>
          <cell r="M944" t="e">
            <v>#N/A</v>
          </cell>
          <cell r="N944">
            <v>90</v>
          </cell>
          <cell r="O944" t="e">
            <v>#N/A</v>
          </cell>
          <cell r="P944" t="str">
            <v/>
          </cell>
          <cell r="Q944" t="str">
            <v/>
          </cell>
          <cell r="R944">
            <v>90</v>
          </cell>
        </row>
        <row r="945">
          <cell r="A945" t="str">
            <v/>
          </cell>
          <cell r="B945" t="str">
            <v/>
          </cell>
          <cell r="C945" t="str">
            <v>Future</v>
          </cell>
          <cell r="D945" t="e">
            <v>#N/A</v>
          </cell>
          <cell r="E945">
            <v>-37.192874015748295</v>
          </cell>
          <cell r="F945">
            <v>122.7874409448831</v>
          </cell>
          <cell r="G945">
            <v>46.606338582677239</v>
          </cell>
          <cell r="H945">
            <v>46.606338582677239</v>
          </cell>
          <cell r="I945" t="e">
            <v>#N/A</v>
          </cell>
          <cell r="J945" t="e">
            <v>#N/A</v>
          </cell>
          <cell r="K945">
            <v>105</v>
          </cell>
          <cell r="L945">
            <v>55</v>
          </cell>
          <cell r="M945" t="e">
            <v>#N/A</v>
          </cell>
          <cell r="N945">
            <v>90</v>
          </cell>
          <cell r="O945" t="e">
            <v>#N/A</v>
          </cell>
          <cell r="P945" t="str">
            <v/>
          </cell>
          <cell r="Q945" t="str">
            <v/>
          </cell>
          <cell r="R945">
            <v>90</v>
          </cell>
        </row>
        <row r="946">
          <cell r="A946" t="str">
            <v/>
          </cell>
          <cell r="B946" t="str">
            <v/>
          </cell>
          <cell r="C946" t="str">
            <v>Future</v>
          </cell>
          <cell r="D946" t="e">
            <v>#N/A</v>
          </cell>
          <cell r="E946">
            <v>-37.472519685039636</v>
          </cell>
          <cell r="F946">
            <v>122.92118110236342</v>
          </cell>
          <cell r="G946">
            <v>46.543228346456765</v>
          </cell>
          <cell r="H946">
            <v>46.543228346456765</v>
          </cell>
          <cell r="I946" t="e">
            <v>#N/A</v>
          </cell>
          <cell r="J946" t="e">
            <v>#N/A</v>
          </cell>
          <cell r="K946">
            <v>105</v>
          </cell>
          <cell r="L946">
            <v>55</v>
          </cell>
          <cell r="M946" t="e">
            <v>#N/A</v>
          </cell>
          <cell r="N946">
            <v>90</v>
          </cell>
          <cell r="O946" t="e">
            <v>#N/A</v>
          </cell>
          <cell r="P946" t="str">
            <v/>
          </cell>
          <cell r="Q946" t="str">
            <v/>
          </cell>
          <cell r="R946">
            <v>90</v>
          </cell>
        </row>
        <row r="947">
          <cell r="A947" t="str">
            <v/>
          </cell>
          <cell r="B947" t="str">
            <v/>
          </cell>
          <cell r="C947" t="str">
            <v>Future</v>
          </cell>
          <cell r="D947" t="e">
            <v>#N/A</v>
          </cell>
          <cell r="E947">
            <v>-37.752165354330977</v>
          </cell>
          <cell r="F947">
            <v>123.05492125984374</v>
          </cell>
          <cell r="G947">
            <v>46.48011811023629</v>
          </cell>
          <cell r="H947">
            <v>46.48011811023629</v>
          </cell>
          <cell r="I947" t="e">
            <v>#N/A</v>
          </cell>
          <cell r="J947" t="e">
            <v>#N/A</v>
          </cell>
          <cell r="K947">
            <v>105</v>
          </cell>
          <cell r="L947">
            <v>55</v>
          </cell>
          <cell r="M947" t="e">
            <v>#N/A</v>
          </cell>
          <cell r="N947">
            <v>90</v>
          </cell>
          <cell r="O947" t="e">
            <v>#N/A</v>
          </cell>
          <cell r="P947" t="str">
            <v/>
          </cell>
          <cell r="Q947" t="str">
            <v/>
          </cell>
          <cell r="R947">
            <v>90</v>
          </cell>
        </row>
        <row r="948">
          <cell r="A948" t="str">
            <v/>
          </cell>
          <cell r="B948" t="str">
            <v/>
          </cell>
          <cell r="C948" t="str">
            <v>Future</v>
          </cell>
          <cell r="D948" t="e">
            <v>#N/A</v>
          </cell>
          <cell r="E948">
            <v>-38.031811023622318</v>
          </cell>
          <cell r="F948">
            <v>123.18866141732406</v>
          </cell>
          <cell r="G948">
            <v>46.417007874015816</v>
          </cell>
          <cell r="H948">
            <v>46.417007874015816</v>
          </cell>
          <cell r="I948" t="e">
            <v>#N/A</v>
          </cell>
          <cell r="J948" t="e">
            <v>#N/A</v>
          </cell>
          <cell r="K948">
            <v>105</v>
          </cell>
          <cell r="L948">
            <v>55</v>
          </cell>
          <cell r="M948" t="e">
            <v>#N/A</v>
          </cell>
          <cell r="N948">
            <v>90</v>
          </cell>
          <cell r="O948" t="e">
            <v>#N/A</v>
          </cell>
          <cell r="P948" t="str">
            <v/>
          </cell>
          <cell r="Q948" t="str">
            <v/>
          </cell>
          <cell r="R948">
            <v>90</v>
          </cell>
        </row>
        <row r="949">
          <cell r="A949" t="str">
            <v/>
          </cell>
          <cell r="B949" t="str">
            <v/>
          </cell>
          <cell r="C949" t="str">
            <v>Future</v>
          </cell>
          <cell r="D949" t="e">
            <v>#N/A</v>
          </cell>
          <cell r="E949">
            <v>-38.311456692913659</v>
          </cell>
          <cell r="F949">
            <v>123.32240157480437</v>
          </cell>
          <cell r="G949">
            <v>46.353897637795342</v>
          </cell>
          <cell r="H949">
            <v>46.353897637795342</v>
          </cell>
          <cell r="I949" t="e">
            <v>#N/A</v>
          </cell>
          <cell r="J949" t="e">
            <v>#N/A</v>
          </cell>
          <cell r="K949">
            <v>105</v>
          </cell>
          <cell r="L949">
            <v>55</v>
          </cell>
          <cell r="M949" t="e">
            <v>#N/A</v>
          </cell>
          <cell r="N949">
            <v>90</v>
          </cell>
          <cell r="O949" t="e">
            <v>#N/A</v>
          </cell>
          <cell r="P949" t="str">
            <v/>
          </cell>
          <cell r="Q949" t="str">
            <v/>
          </cell>
          <cell r="R949">
            <v>90</v>
          </cell>
        </row>
        <row r="950">
          <cell r="A950" t="str">
            <v/>
          </cell>
          <cell r="B950" t="str">
            <v/>
          </cell>
          <cell r="C950" t="str">
            <v>Future</v>
          </cell>
          <cell r="D950" t="e">
            <v>#N/A</v>
          </cell>
          <cell r="E950">
            <v>-38.591102362205</v>
          </cell>
          <cell r="F950">
            <v>123.45614173228469</v>
          </cell>
          <cell r="G950">
            <v>46.290787401574867</v>
          </cell>
          <cell r="H950">
            <v>46.290787401574867</v>
          </cell>
          <cell r="I950" t="e">
            <v>#N/A</v>
          </cell>
          <cell r="J950" t="e">
            <v>#N/A</v>
          </cell>
          <cell r="K950">
            <v>105</v>
          </cell>
          <cell r="L950">
            <v>55</v>
          </cell>
          <cell r="M950" t="e">
            <v>#N/A</v>
          </cell>
          <cell r="N950">
            <v>90</v>
          </cell>
          <cell r="O950" t="e">
            <v>#N/A</v>
          </cell>
          <cell r="P950" t="str">
            <v/>
          </cell>
          <cell r="Q950" t="str">
            <v/>
          </cell>
          <cell r="R950">
            <v>90</v>
          </cell>
        </row>
        <row r="951">
          <cell r="A951" t="str">
            <v/>
          </cell>
          <cell r="B951" t="str">
            <v/>
          </cell>
          <cell r="C951" t="str">
            <v>Future</v>
          </cell>
          <cell r="D951" t="e">
            <v>#N/A</v>
          </cell>
          <cell r="E951">
            <v>-38.870748031496341</v>
          </cell>
          <cell r="F951">
            <v>123.58988188976501</v>
          </cell>
          <cell r="G951">
            <v>46.227677165354393</v>
          </cell>
          <cell r="H951">
            <v>46.227677165354393</v>
          </cell>
          <cell r="I951" t="e">
            <v>#N/A</v>
          </cell>
          <cell r="J951" t="e">
            <v>#N/A</v>
          </cell>
          <cell r="K951">
            <v>105</v>
          </cell>
          <cell r="L951">
            <v>55</v>
          </cell>
          <cell r="M951" t="e">
            <v>#N/A</v>
          </cell>
          <cell r="N951">
            <v>90</v>
          </cell>
          <cell r="O951" t="e">
            <v>#N/A</v>
          </cell>
          <cell r="P951" t="str">
            <v/>
          </cell>
          <cell r="Q951" t="str">
            <v/>
          </cell>
          <cell r="R951">
            <v>90</v>
          </cell>
        </row>
        <row r="952">
          <cell r="A952" t="str">
            <v/>
          </cell>
          <cell r="B952" t="str">
            <v/>
          </cell>
          <cell r="C952" t="str">
            <v>Future</v>
          </cell>
          <cell r="D952" t="e">
            <v>#N/A</v>
          </cell>
          <cell r="E952">
            <v>-39.150393700787681</v>
          </cell>
          <cell r="F952">
            <v>123.72362204724533</v>
          </cell>
          <cell r="G952">
            <v>46.164566929133919</v>
          </cell>
          <cell r="H952">
            <v>46.164566929133919</v>
          </cell>
          <cell r="I952" t="e">
            <v>#N/A</v>
          </cell>
          <cell r="J952" t="e">
            <v>#N/A</v>
          </cell>
          <cell r="K952">
            <v>105</v>
          </cell>
          <cell r="L952">
            <v>55</v>
          </cell>
          <cell r="M952" t="e">
            <v>#N/A</v>
          </cell>
          <cell r="N952">
            <v>90</v>
          </cell>
          <cell r="O952" t="e">
            <v>#N/A</v>
          </cell>
          <cell r="P952" t="str">
            <v/>
          </cell>
          <cell r="Q952" t="str">
            <v/>
          </cell>
          <cell r="R952">
            <v>90</v>
          </cell>
        </row>
        <row r="953">
          <cell r="A953" t="str">
            <v/>
          </cell>
          <cell r="B953" t="str">
            <v/>
          </cell>
          <cell r="C953" t="str">
            <v>Future</v>
          </cell>
          <cell r="D953" t="e">
            <v>#N/A</v>
          </cell>
          <cell r="E953">
            <v>-39.430039370079022</v>
          </cell>
          <cell r="F953">
            <v>123.85736220472565</v>
          </cell>
          <cell r="G953">
            <v>46.101456692913445</v>
          </cell>
          <cell r="H953">
            <v>46.101456692913445</v>
          </cell>
          <cell r="I953" t="e">
            <v>#N/A</v>
          </cell>
          <cell r="J953" t="e">
            <v>#N/A</v>
          </cell>
          <cell r="K953">
            <v>105</v>
          </cell>
          <cell r="L953">
            <v>55</v>
          </cell>
          <cell r="M953" t="e">
            <v>#N/A</v>
          </cell>
          <cell r="N953">
            <v>90</v>
          </cell>
          <cell r="O953" t="e">
            <v>#N/A</v>
          </cell>
          <cell r="P953" t="str">
            <v/>
          </cell>
          <cell r="Q953" t="str">
            <v/>
          </cell>
          <cell r="R953">
            <v>90</v>
          </cell>
        </row>
        <row r="954">
          <cell r="A954" t="str">
            <v/>
          </cell>
          <cell r="B954" t="str">
            <v/>
          </cell>
          <cell r="C954" t="str">
            <v>Future</v>
          </cell>
          <cell r="D954" t="e">
            <v>#N/A</v>
          </cell>
          <cell r="E954">
            <v>-39.709685039370363</v>
          </cell>
          <cell r="F954">
            <v>123.99110236220596</v>
          </cell>
          <cell r="G954">
            <v>46.03834645669297</v>
          </cell>
          <cell r="H954">
            <v>46.03834645669297</v>
          </cell>
          <cell r="I954" t="e">
            <v>#N/A</v>
          </cell>
          <cell r="J954" t="e">
            <v>#N/A</v>
          </cell>
          <cell r="K954">
            <v>105</v>
          </cell>
          <cell r="L954">
            <v>55</v>
          </cell>
          <cell r="M954" t="e">
            <v>#N/A</v>
          </cell>
          <cell r="N954">
            <v>90</v>
          </cell>
          <cell r="O954" t="e">
            <v>#N/A</v>
          </cell>
          <cell r="P954" t="str">
            <v/>
          </cell>
          <cell r="Q954" t="str">
            <v/>
          </cell>
          <cell r="R954">
            <v>90</v>
          </cell>
        </row>
        <row r="955">
          <cell r="A955" t="str">
            <v/>
          </cell>
          <cell r="B955" t="str">
            <v/>
          </cell>
          <cell r="C955" t="str">
            <v>Future</v>
          </cell>
          <cell r="D955" t="e">
            <v>#N/A</v>
          </cell>
          <cell r="E955">
            <v>-39.989330708661704</v>
          </cell>
          <cell r="F955">
            <v>124.12484251968628</v>
          </cell>
          <cell r="G955">
            <v>45.975236220472496</v>
          </cell>
          <cell r="H955">
            <v>45.975236220472496</v>
          </cell>
          <cell r="I955" t="e">
            <v>#N/A</v>
          </cell>
          <cell r="J955" t="e">
            <v>#N/A</v>
          </cell>
          <cell r="K955">
            <v>105</v>
          </cell>
          <cell r="L955">
            <v>55</v>
          </cell>
          <cell r="M955" t="e">
            <v>#N/A</v>
          </cell>
          <cell r="N955">
            <v>90</v>
          </cell>
          <cell r="O955" t="e">
            <v>#N/A</v>
          </cell>
          <cell r="P955" t="str">
            <v/>
          </cell>
          <cell r="Q955" t="str">
            <v/>
          </cell>
          <cell r="R955">
            <v>90</v>
          </cell>
        </row>
        <row r="956">
          <cell r="A956" t="str">
            <v/>
          </cell>
          <cell r="B956" t="str">
            <v/>
          </cell>
          <cell r="C956" t="str">
            <v>Future</v>
          </cell>
          <cell r="D956" t="e">
            <v>#N/A</v>
          </cell>
          <cell r="E956">
            <v>-40.268976377953045</v>
          </cell>
          <cell r="F956">
            <v>124.2585826771666</v>
          </cell>
          <cell r="G956">
            <v>45.912125984252022</v>
          </cell>
          <cell r="H956">
            <v>45.912125984252022</v>
          </cell>
          <cell r="I956" t="e">
            <v>#N/A</v>
          </cell>
          <cell r="J956" t="e">
            <v>#N/A</v>
          </cell>
          <cell r="K956">
            <v>105</v>
          </cell>
          <cell r="L956">
            <v>55</v>
          </cell>
          <cell r="M956" t="e">
            <v>#N/A</v>
          </cell>
          <cell r="N956">
            <v>90</v>
          </cell>
          <cell r="O956" t="e">
            <v>#N/A</v>
          </cell>
          <cell r="P956" t="str">
            <v/>
          </cell>
          <cell r="Q956" t="str">
            <v/>
          </cell>
          <cell r="R956">
            <v>90</v>
          </cell>
        </row>
        <row r="957">
          <cell r="A957" t="str">
            <v/>
          </cell>
          <cell r="B957" t="str">
            <v/>
          </cell>
          <cell r="C957" t="str">
            <v>Future</v>
          </cell>
          <cell r="D957" t="e">
            <v>#N/A</v>
          </cell>
          <cell r="E957">
            <v>-40.548622047244386</v>
          </cell>
          <cell r="F957">
            <v>124.39232283464692</v>
          </cell>
          <cell r="G957">
            <v>45.849015748031547</v>
          </cell>
          <cell r="H957">
            <v>45.849015748031547</v>
          </cell>
          <cell r="I957" t="e">
            <v>#N/A</v>
          </cell>
          <cell r="J957" t="e">
            <v>#N/A</v>
          </cell>
          <cell r="K957">
            <v>105</v>
          </cell>
          <cell r="L957">
            <v>55</v>
          </cell>
          <cell r="M957" t="e">
            <v>#N/A</v>
          </cell>
          <cell r="N957">
            <v>90</v>
          </cell>
          <cell r="O957" t="e">
            <v>#N/A</v>
          </cell>
          <cell r="P957" t="str">
            <v/>
          </cell>
          <cell r="Q957" t="str">
            <v/>
          </cell>
          <cell r="R957">
            <v>90</v>
          </cell>
        </row>
        <row r="958">
          <cell r="A958" t="str">
            <v/>
          </cell>
          <cell r="B958" t="str">
            <v/>
          </cell>
          <cell r="C958" t="str">
            <v>Future</v>
          </cell>
          <cell r="D958" t="e">
            <v>#N/A</v>
          </cell>
          <cell r="E958">
            <v>-40.828267716535727</v>
          </cell>
          <cell r="F958">
            <v>124.52606299212724</v>
          </cell>
          <cell r="G958">
            <v>45.785905511811073</v>
          </cell>
          <cell r="H958">
            <v>45.785905511811073</v>
          </cell>
          <cell r="I958" t="e">
            <v>#N/A</v>
          </cell>
          <cell r="J958" t="e">
            <v>#N/A</v>
          </cell>
          <cell r="K958">
            <v>105</v>
          </cell>
          <cell r="L958">
            <v>55</v>
          </cell>
          <cell r="M958" t="e">
            <v>#N/A</v>
          </cell>
          <cell r="N958">
            <v>90</v>
          </cell>
          <cell r="O958" t="e">
            <v>#N/A</v>
          </cell>
          <cell r="P958" t="str">
            <v/>
          </cell>
          <cell r="Q958" t="str">
            <v/>
          </cell>
          <cell r="R958">
            <v>90</v>
          </cell>
        </row>
        <row r="959">
          <cell r="A959" t="str">
            <v/>
          </cell>
          <cell r="B959" t="str">
            <v/>
          </cell>
          <cell r="C959" t="str">
            <v>Future</v>
          </cell>
          <cell r="D959" t="e">
            <v>#N/A</v>
          </cell>
          <cell r="E959">
            <v>-41.107913385827068</v>
          </cell>
          <cell r="F959">
            <v>124.65980314960755</v>
          </cell>
          <cell r="G959">
            <v>45.722795275590599</v>
          </cell>
          <cell r="H959">
            <v>45.722795275590599</v>
          </cell>
          <cell r="I959" t="e">
            <v>#N/A</v>
          </cell>
          <cell r="J959" t="e">
            <v>#N/A</v>
          </cell>
          <cell r="K959">
            <v>105</v>
          </cell>
          <cell r="L959">
            <v>55</v>
          </cell>
          <cell r="M959" t="e">
            <v>#N/A</v>
          </cell>
          <cell r="N959">
            <v>90</v>
          </cell>
          <cell r="O959" t="e">
            <v>#N/A</v>
          </cell>
          <cell r="P959" t="str">
            <v/>
          </cell>
          <cell r="Q959" t="str">
            <v/>
          </cell>
          <cell r="R959">
            <v>90</v>
          </cell>
        </row>
        <row r="960">
          <cell r="A960" t="str">
            <v/>
          </cell>
          <cell r="B960" t="str">
            <v/>
          </cell>
          <cell r="C960" t="str">
            <v>Future</v>
          </cell>
          <cell r="D960" t="e">
            <v>#N/A</v>
          </cell>
          <cell r="E960">
            <v>-41.387559055118409</v>
          </cell>
          <cell r="F960">
            <v>124.79354330708787</v>
          </cell>
          <cell r="G960">
            <v>45.659685039370125</v>
          </cell>
          <cell r="H960">
            <v>45.659685039370125</v>
          </cell>
          <cell r="I960" t="e">
            <v>#N/A</v>
          </cell>
          <cell r="J960" t="e">
            <v>#N/A</v>
          </cell>
          <cell r="K960">
            <v>105</v>
          </cell>
          <cell r="L960">
            <v>55</v>
          </cell>
          <cell r="M960" t="e">
            <v>#N/A</v>
          </cell>
          <cell r="N960">
            <v>90</v>
          </cell>
          <cell r="O960" t="e">
            <v>#N/A</v>
          </cell>
          <cell r="P960" t="str">
            <v/>
          </cell>
          <cell r="Q960" t="str">
            <v/>
          </cell>
          <cell r="R960">
            <v>90</v>
          </cell>
        </row>
        <row r="961">
          <cell r="A961" t="str">
            <v/>
          </cell>
          <cell r="B961" t="str">
            <v/>
          </cell>
          <cell r="C961" t="str">
            <v>Future</v>
          </cell>
          <cell r="D961" t="e">
            <v>#N/A</v>
          </cell>
          <cell r="E961">
            <v>-41.66720472440975</v>
          </cell>
          <cell r="F961">
            <v>124.92728346456819</v>
          </cell>
          <cell r="G961">
            <v>45.59657480314965</v>
          </cell>
          <cell r="H961">
            <v>45.59657480314965</v>
          </cell>
          <cell r="I961" t="e">
            <v>#N/A</v>
          </cell>
          <cell r="J961" t="e">
            <v>#N/A</v>
          </cell>
          <cell r="K961">
            <v>105</v>
          </cell>
          <cell r="L961">
            <v>55</v>
          </cell>
          <cell r="M961" t="e">
            <v>#N/A</v>
          </cell>
          <cell r="N961">
            <v>90</v>
          </cell>
          <cell r="O961" t="e">
            <v>#N/A</v>
          </cell>
          <cell r="P961" t="str">
            <v/>
          </cell>
          <cell r="Q961" t="str">
            <v/>
          </cell>
          <cell r="R961">
            <v>90</v>
          </cell>
        </row>
        <row r="962">
          <cell r="A962" t="str">
            <v/>
          </cell>
          <cell r="B962" t="str">
            <v/>
          </cell>
          <cell r="C962" t="str">
            <v>Future</v>
          </cell>
          <cell r="D962" t="e">
            <v>#N/A</v>
          </cell>
          <cell r="E962">
            <v>-41.946850393701091</v>
          </cell>
          <cell r="F962">
            <v>125.06102362204851</v>
          </cell>
          <cell r="G962">
            <v>45.533464566929176</v>
          </cell>
          <cell r="H962">
            <v>45.533464566929176</v>
          </cell>
          <cell r="I962" t="e">
            <v>#N/A</v>
          </cell>
          <cell r="J962" t="e">
            <v>#N/A</v>
          </cell>
          <cell r="K962">
            <v>105</v>
          </cell>
          <cell r="L962">
            <v>55</v>
          </cell>
          <cell r="M962" t="e">
            <v>#N/A</v>
          </cell>
          <cell r="N962">
            <v>90</v>
          </cell>
          <cell r="O962" t="e">
            <v>#N/A</v>
          </cell>
          <cell r="P962" t="str">
            <v/>
          </cell>
          <cell r="Q962" t="str">
            <v/>
          </cell>
          <cell r="R962">
            <v>90</v>
          </cell>
        </row>
        <row r="963">
          <cell r="A963" t="str">
            <v/>
          </cell>
          <cell r="B963" t="str">
            <v/>
          </cell>
          <cell r="C963" t="str">
            <v>Future</v>
          </cell>
          <cell r="D963" t="e">
            <v>#N/A</v>
          </cell>
          <cell r="E963">
            <v>-42.226496062992432</v>
          </cell>
          <cell r="F963">
            <v>125.19476377952883</v>
          </cell>
          <cell r="G963">
            <v>45.470354330708702</v>
          </cell>
          <cell r="H963">
            <v>45.470354330708702</v>
          </cell>
          <cell r="I963" t="e">
            <v>#N/A</v>
          </cell>
          <cell r="J963" t="e">
            <v>#N/A</v>
          </cell>
          <cell r="K963">
            <v>105</v>
          </cell>
          <cell r="L963">
            <v>55</v>
          </cell>
          <cell r="M963" t="e">
            <v>#N/A</v>
          </cell>
          <cell r="N963">
            <v>90</v>
          </cell>
          <cell r="O963" t="e">
            <v>#N/A</v>
          </cell>
          <cell r="P963" t="str">
            <v/>
          </cell>
          <cell r="Q963" t="str">
            <v/>
          </cell>
          <cell r="R963">
            <v>90</v>
          </cell>
        </row>
        <row r="964">
          <cell r="A964" t="str">
            <v/>
          </cell>
          <cell r="B964" t="str">
            <v/>
          </cell>
          <cell r="C964" t="str">
            <v>Future</v>
          </cell>
          <cell r="D964" t="e">
            <v>#N/A</v>
          </cell>
          <cell r="E964">
            <v>-42.506141732283773</v>
          </cell>
          <cell r="F964">
            <v>125.32850393700915</v>
          </cell>
          <cell r="G964">
            <v>45.407244094488227</v>
          </cell>
          <cell r="H964">
            <v>45.407244094488227</v>
          </cell>
          <cell r="I964" t="e">
            <v>#N/A</v>
          </cell>
          <cell r="J964" t="e">
            <v>#N/A</v>
          </cell>
          <cell r="K964">
            <v>105</v>
          </cell>
          <cell r="L964">
            <v>55</v>
          </cell>
          <cell r="M964" t="e">
            <v>#N/A</v>
          </cell>
          <cell r="N964">
            <v>90</v>
          </cell>
          <cell r="O964" t="e">
            <v>#N/A</v>
          </cell>
          <cell r="P964" t="str">
            <v/>
          </cell>
          <cell r="Q964" t="str">
            <v/>
          </cell>
          <cell r="R964">
            <v>90</v>
          </cell>
        </row>
        <row r="965">
          <cell r="A965" t="str">
            <v/>
          </cell>
          <cell r="B965" t="str">
            <v/>
          </cell>
          <cell r="C965" t="str">
            <v>Future</v>
          </cell>
          <cell r="D965" t="e">
            <v>#N/A</v>
          </cell>
          <cell r="E965">
            <v>-42.785787401575114</v>
          </cell>
          <cell r="F965">
            <v>125.46224409448946</v>
          </cell>
          <cell r="G965">
            <v>45.344133858267753</v>
          </cell>
          <cell r="H965">
            <v>45.344133858267753</v>
          </cell>
          <cell r="I965" t="e">
            <v>#N/A</v>
          </cell>
          <cell r="J965" t="e">
            <v>#N/A</v>
          </cell>
          <cell r="K965">
            <v>105</v>
          </cell>
          <cell r="L965">
            <v>55</v>
          </cell>
          <cell r="M965" t="e">
            <v>#N/A</v>
          </cell>
          <cell r="N965">
            <v>90</v>
          </cell>
          <cell r="O965" t="e">
            <v>#N/A</v>
          </cell>
          <cell r="P965" t="str">
            <v/>
          </cell>
          <cell r="Q965" t="str">
            <v/>
          </cell>
          <cell r="R965">
            <v>90</v>
          </cell>
        </row>
        <row r="966">
          <cell r="A966" t="str">
            <v/>
          </cell>
          <cell r="B966" t="str">
            <v/>
          </cell>
          <cell r="C966" t="str">
            <v>Future</v>
          </cell>
          <cell r="D966" t="e">
            <v>#N/A</v>
          </cell>
          <cell r="E966">
            <v>-43.065433070866455</v>
          </cell>
          <cell r="F966">
            <v>125.59598425196978</v>
          </cell>
          <cell r="G966">
            <v>45.281023622047279</v>
          </cell>
          <cell r="H966">
            <v>45.281023622047279</v>
          </cell>
          <cell r="I966" t="e">
            <v>#N/A</v>
          </cell>
          <cell r="J966" t="e">
            <v>#N/A</v>
          </cell>
          <cell r="K966">
            <v>105</v>
          </cell>
          <cell r="L966">
            <v>55</v>
          </cell>
          <cell r="M966" t="e">
            <v>#N/A</v>
          </cell>
          <cell r="N966">
            <v>90</v>
          </cell>
          <cell r="O966" t="e">
            <v>#N/A</v>
          </cell>
          <cell r="P966" t="str">
            <v/>
          </cell>
          <cell r="Q966" t="str">
            <v/>
          </cell>
          <cell r="R966">
            <v>90</v>
          </cell>
        </row>
        <row r="967">
          <cell r="A967" t="str">
            <v/>
          </cell>
          <cell r="B967" t="str">
            <v/>
          </cell>
          <cell r="C967" t="str">
            <v>Future</v>
          </cell>
          <cell r="D967" t="e">
            <v>#N/A</v>
          </cell>
          <cell r="E967">
            <v>-43.345078740157795</v>
          </cell>
          <cell r="F967">
            <v>125.7297244094501</v>
          </cell>
          <cell r="G967">
            <v>45.217913385826805</v>
          </cell>
          <cell r="H967">
            <v>45.217913385826805</v>
          </cell>
          <cell r="I967" t="e">
            <v>#N/A</v>
          </cell>
          <cell r="J967" t="e">
            <v>#N/A</v>
          </cell>
          <cell r="K967">
            <v>105</v>
          </cell>
          <cell r="L967">
            <v>55</v>
          </cell>
          <cell r="M967" t="e">
            <v>#N/A</v>
          </cell>
          <cell r="N967">
            <v>90</v>
          </cell>
          <cell r="O967" t="e">
            <v>#N/A</v>
          </cell>
          <cell r="P967" t="str">
            <v/>
          </cell>
          <cell r="Q967" t="str">
            <v/>
          </cell>
          <cell r="R967">
            <v>90</v>
          </cell>
        </row>
        <row r="968">
          <cell r="A968" t="str">
            <v/>
          </cell>
          <cell r="B968" t="str">
            <v/>
          </cell>
          <cell r="C968" t="str">
            <v>Future</v>
          </cell>
          <cell r="D968" t="e">
            <v>#N/A</v>
          </cell>
          <cell r="E968">
            <v>-43.624724409449136</v>
          </cell>
          <cell r="F968">
            <v>125.86346456693042</v>
          </cell>
          <cell r="G968">
            <v>45.15480314960633</v>
          </cell>
          <cell r="H968">
            <v>45.15480314960633</v>
          </cell>
          <cell r="I968" t="e">
            <v>#N/A</v>
          </cell>
          <cell r="J968" t="e">
            <v>#N/A</v>
          </cell>
          <cell r="K968">
            <v>105</v>
          </cell>
          <cell r="L968">
            <v>55</v>
          </cell>
          <cell r="M968" t="e">
            <v>#N/A</v>
          </cell>
          <cell r="N968">
            <v>90</v>
          </cell>
          <cell r="O968" t="e">
            <v>#N/A</v>
          </cell>
          <cell r="P968" t="str">
            <v/>
          </cell>
          <cell r="Q968" t="str">
            <v/>
          </cell>
          <cell r="R968">
            <v>90</v>
          </cell>
        </row>
        <row r="969">
          <cell r="A969" t="str">
            <v/>
          </cell>
          <cell r="B969" t="str">
            <v/>
          </cell>
          <cell r="C969" t="str">
            <v>Future</v>
          </cell>
          <cell r="D969" t="e">
            <v>#N/A</v>
          </cell>
          <cell r="E969">
            <v>-43.904370078740477</v>
          </cell>
          <cell r="F969">
            <v>125.99720472441074</v>
          </cell>
          <cell r="G969">
            <v>45.091692913385856</v>
          </cell>
          <cell r="H969">
            <v>45.091692913385856</v>
          </cell>
          <cell r="I969" t="e">
            <v>#N/A</v>
          </cell>
          <cell r="J969" t="e">
            <v>#N/A</v>
          </cell>
          <cell r="K969">
            <v>105</v>
          </cell>
          <cell r="L969">
            <v>55</v>
          </cell>
          <cell r="M969" t="e">
            <v>#N/A</v>
          </cell>
          <cell r="N969">
            <v>90</v>
          </cell>
          <cell r="O969" t="e">
            <v>#N/A</v>
          </cell>
          <cell r="P969" t="str">
            <v/>
          </cell>
          <cell r="Q969" t="str">
            <v/>
          </cell>
          <cell r="R969">
            <v>90</v>
          </cell>
        </row>
        <row r="970">
          <cell r="A970" t="str">
            <v/>
          </cell>
          <cell r="B970" t="str">
            <v/>
          </cell>
          <cell r="C970" t="str">
            <v>Future</v>
          </cell>
          <cell r="D970" t="e">
            <v>#N/A</v>
          </cell>
          <cell r="E970">
            <v>-44.184015748031818</v>
          </cell>
          <cell r="F970">
            <v>126.13094488189105</v>
          </cell>
          <cell r="G970">
            <v>45.028582677165382</v>
          </cell>
          <cell r="H970">
            <v>45.028582677165382</v>
          </cell>
          <cell r="I970" t="e">
            <v>#N/A</v>
          </cell>
          <cell r="J970" t="e">
            <v>#N/A</v>
          </cell>
          <cell r="K970">
            <v>105</v>
          </cell>
          <cell r="L970">
            <v>55</v>
          </cell>
          <cell r="M970" t="e">
            <v>#N/A</v>
          </cell>
          <cell r="N970">
            <v>90</v>
          </cell>
          <cell r="O970" t="e">
            <v>#N/A</v>
          </cell>
          <cell r="P970" t="str">
            <v/>
          </cell>
          <cell r="Q970" t="str">
            <v/>
          </cell>
          <cell r="R970">
            <v>90</v>
          </cell>
        </row>
        <row r="971">
          <cell r="A971" t="str">
            <v/>
          </cell>
          <cell r="B971" t="str">
            <v/>
          </cell>
          <cell r="C971" t="str">
            <v>Future</v>
          </cell>
          <cell r="D971" t="e">
            <v>#N/A</v>
          </cell>
          <cell r="E971">
            <v>-44.463661417323159</v>
          </cell>
          <cell r="F971">
            <v>126.26468503937137</v>
          </cell>
          <cell r="G971">
            <v>44.965472440944907</v>
          </cell>
          <cell r="H971">
            <v>44.965472440944907</v>
          </cell>
          <cell r="I971" t="e">
            <v>#N/A</v>
          </cell>
          <cell r="J971" t="e">
            <v>#N/A</v>
          </cell>
          <cell r="K971">
            <v>105</v>
          </cell>
          <cell r="L971">
            <v>55</v>
          </cell>
          <cell r="M971" t="e">
            <v>#N/A</v>
          </cell>
          <cell r="N971">
            <v>90</v>
          </cell>
          <cell r="O971" t="e">
            <v>#N/A</v>
          </cell>
          <cell r="P971" t="str">
            <v/>
          </cell>
          <cell r="Q971" t="str">
            <v/>
          </cell>
          <cell r="R971">
            <v>90</v>
          </cell>
        </row>
        <row r="972">
          <cell r="A972" t="str">
            <v/>
          </cell>
          <cell r="B972" t="str">
            <v/>
          </cell>
          <cell r="C972" t="str">
            <v>Future</v>
          </cell>
          <cell r="D972" t="e">
            <v>#N/A</v>
          </cell>
          <cell r="E972">
            <v>-44.7433070866145</v>
          </cell>
          <cell r="F972">
            <v>126.39842519685169</v>
          </cell>
          <cell r="G972">
            <v>44.902362204724433</v>
          </cell>
          <cell r="H972">
            <v>44.902362204724433</v>
          </cell>
          <cell r="I972" t="e">
            <v>#N/A</v>
          </cell>
          <cell r="J972" t="e">
            <v>#N/A</v>
          </cell>
          <cell r="K972">
            <v>105</v>
          </cell>
          <cell r="L972">
            <v>55</v>
          </cell>
          <cell r="M972" t="e">
            <v>#N/A</v>
          </cell>
          <cell r="N972">
            <v>90</v>
          </cell>
          <cell r="O972" t="e">
            <v>#N/A</v>
          </cell>
          <cell r="P972" t="str">
            <v/>
          </cell>
          <cell r="Q972" t="str">
            <v/>
          </cell>
          <cell r="R972">
            <v>90</v>
          </cell>
        </row>
        <row r="973">
          <cell r="A973" t="str">
            <v/>
          </cell>
          <cell r="B973" t="str">
            <v/>
          </cell>
          <cell r="C973" t="str">
            <v>Future</v>
          </cell>
          <cell r="D973" t="e">
            <v>#N/A</v>
          </cell>
          <cell r="E973">
            <v>-45.022952755905841</v>
          </cell>
          <cell r="F973">
            <v>126.53216535433201</v>
          </cell>
          <cell r="G973">
            <v>44.839251968503959</v>
          </cell>
          <cell r="H973">
            <v>44.839251968503959</v>
          </cell>
          <cell r="I973" t="e">
            <v>#N/A</v>
          </cell>
          <cell r="J973" t="e">
            <v>#N/A</v>
          </cell>
          <cell r="K973">
            <v>105</v>
          </cell>
          <cell r="L973">
            <v>55</v>
          </cell>
          <cell r="M973" t="e">
            <v>#N/A</v>
          </cell>
          <cell r="N973">
            <v>90</v>
          </cell>
          <cell r="O973" t="e">
            <v>#N/A</v>
          </cell>
          <cell r="P973" t="str">
            <v/>
          </cell>
          <cell r="Q973" t="str">
            <v/>
          </cell>
          <cell r="R973">
            <v>90</v>
          </cell>
        </row>
        <row r="974">
          <cell r="A974" t="str">
            <v/>
          </cell>
          <cell r="B974" t="str">
            <v/>
          </cell>
          <cell r="C974" t="str">
            <v>Future</v>
          </cell>
          <cell r="D974" t="e">
            <v>#N/A</v>
          </cell>
          <cell r="E974">
            <v>-45.302598425197182</v>
          </cell>
          <cell r="F974">
            <v>126.66590551181233</v>
          </cell>
          <cell r="G974">
            <v>44.776141732283484</v>
          </cell>
          <cell r="H974">
            <v>44.776141732283484</v>
          </cell>
          <cell r="I974" t="e">
            <v>#N/A</v>
          </cell>
          <cell r="J974" t="e">
            <v>#N/A</v>
          </cell>
          <cell r="K974">
            <v>105</v>
          </cell>
          <cell r="L974">
            <v>55</v>
          </cell>
          <cell r="M974" t="e">
            <v>#N/A</v>
          </cell>
          <cell r="N974">
            <v>90</v>
          </cell>
          <cell r="O974" t="e">
            <v>#N/A</v>
          </cell>
          <cell r="P974" t="str">
            <v/>
          </cell>
          <cell r="Q974" t="str">
            <v/>
          </cell>
          <cell r="R974">
            <v>90</v>
          </cell>
        </row>
        <row r="975">
          <cell r="A975" t="str">
            <v/>
          </cell>
          <cell r="B975" t="str">
            <v/>
          </cell>
          <cell r="C975" t="str">
            <v>Future</v>
          </cell>
          <cell r="D975" t="e">
            <v>#N/A</v>
          </cell>
          <cell r="E975">
            <v>-45.582244094488523</v>
          </cell>
          <cell r="F975">
            <v>126.79964566929264</v>
          </cell>
          <cell r="G975">
            <v>44.71303149606301</v>
          </cell>
          <cell r="H975">
            <v>44.71303149606301</v>
          </cell>
          <cell r="I975" t="e">
            <v>#N/A</v>
          </cell>
          <cell r="J975" t="e">
            <v>#N/A</v>
          </cell>
          <cell r="K975">
            <v>105</v>
          </cell>
          <cell r="L975">
            <v>55</v>
          </cell>
          <cell r="M975" t="e">
            <v>#N/A</v>
          </cell>
          <cell r="N975">
            <v>90</v>
          </cell>
          <cell r="O975" t="e">
            <v>#N/A</v>
          </cell>
          <cell r="P975" t="str">
            <v/>
          </cell>
          <cell r="Q975" t="str">
            <v/>
          </cell>
          <cell r="R975">
            <v>90</v>
          </cell>
        </row>
        <row r="976">
          <cell r="A976" t="str">
            <v/>
          </cell>
          <cell r="B976" t="str">
            <v/>
          </cell>
          <cell r="C976" t="str">
            <v>Future</v>
          </cell>
          <cell r="D976" t="e">
            <v>#N/A</v>
          </cell>
          <cell r="E976">
            <v>-45.861889763779864</v>
          </cell>
          <cell r="F976">
            <v>126.93338582677296</v>
          </cell>
          <cell r="G976">
            <v>44.649921259842536</v>
          </cell>
          <cell r="H976">
            <v>44.649921259842536</v>
          </cell>
          <cell r="I976" t="e">
            <v>#N/A</v>
          </cell>
          <cell r="J976" t="e">
            <v>#N/A</v>
          </cell>
          <cell r="K976">
            <v>105</v>
          </cell>
          <cell r="L976">
            <v>55</v>
          </cell>
          <cell r="M976" t="e">
            <v>#N/A</v>
          </cell>
          <cell r="N976">
            <v>90</v>
          </cell>
          <cell r="O976" t="e">
            <v>#N/A</v>
          </cell>
          <cell r="P976" t="str">
            <v/>
          </cell>
          <cell r="Q976" t="str">
            <v/>
          </cell>
          <cell r="R976">
            <v>90</v>
          </cell>
        </row>
        <row r="977">
          <cell r="A977" t="str">
            <v/>
          </cell>
          <cell r="B977" t="str">
            <v/>
          </cell>
          <cell r="C977" t="str">
            <v>Future</v>
          </cell>
          <cell r="D977" t="e">
            <v>#N/A</v>
          </cell>
          <cell r="E977">
            <v>-46.141535433071205</v>
          </cell>
          <cell r="F977">
            <v>127.06712598425328</v>
          </cell>
          <cell r="G977">
            <v>44.586811023622062</v>
          </cell>
          <cell r="H977">
            <v>44.586811023622062</v>
          </cell>
          <cell r="I977" t="e">
            <v>#N/A</v>
          </cell>
          <cell r="J977" t="e">
            <v>#N/A</v>
          </cell>
          <cell r="K977">
            <v>105</v>
          </cell>
          <cell r="L977">
            <v>55</v>
          </cell>
          <cell r="M977" t="e">
            <v>#N/A</v>
          </cell>
          <cell r="N977">
            <v>90</v>
          </cell>
          <cell r="O977" t="e">
            <v>#N/A</v>
          </cell>
          <cell r="P977" t="str">
            <v/>
          </cell>
          <cell r="Q977" t="str">
            <v/>
          </cell>
          <cell r="R977">
            <v>90</v>
          </cell>
        </row>
        <row r="978">
          <cell r="A978" t="str">
            <v/>
          </cell>
          <cell r="B978" t="str">
            <v/>
          </cell>
          <cell r="C978" t="str">
            <v>Future</v>
          </cell>
          <cell r="D978" t="e">
            <v>#N/A</v>
          </cell>
          <cell r="E978">
            <v>-46.421181102362546</v>
          </cell>
          <cell r="F978">
            <v>127.2008661417336</v>
          </cell>
          <cell r="G978">
            <v>44.523700787401587</v>
          </cell>
          <cell r="H978">
            <v>44.523700787401587</v>
          </cell>
          <cell r="I978" t="e">
            <v>#N/A</v>
          </cell>
          <cell r="J978" t="e">
            <v>#N/A</v>
          </cell>
          <cell r="K978">
            <v>105</v>
          </cell>
          <cell r="L978">
            <v>55</v>
          </cell>
          <cell r="M978" t="e">
            <v>#N/A</v>
          </cell>
          <cell r="N978">
            <v>90</v>
          </cell>
          <cell r="O978" t="e">
            <v>#N/A</v>
          </cell>
          <cell r="P978" t="str">
            <v/>
          </cell>
          <cell r="Q978" t="str">
            <v/>
          </cell>
          <cell r="R978">
            <v>90</v>
          </cell>
        </row>
        <row r="979">
          <cell r="A979" t="str">
            <v/>
          </cell>
          <cell r="B979" t="str">
            <v/>
          </cell>
          <cell r="C979" t="str">
            <v>Future</v>
          </cell>
          <cell r="D979" t="e">
            <v>#N/A</v>
          </cell>
          <cell r="E979">
            <v>-46.700826771653887</v>
          </cell>
          <cell r="F979">
            <v>127.33460629921392</v>
          </cell>
          <cell r="G979">
            <v>44.460590551181113</v>
          </cell>
          <cell r="H979">
            <v>44.460590551181113</v>
          </cell>
          <cell r="I979" t="e">
            <v>#N/A</v>
          </cell>
          <cell r="J979" t="e">
            <v>#N/A</v>
          </cell>
          <cell r="K979">
            <v>105</v>
          </cell>
          <cell r="L979">
            <v>55</v>
          </cell>
          <cell r="M979" t="e">
            <v>#N/A</v>
          </cell>
          <cell r="N979">
            <v>90</v>
          </cell>
          <cell r="O979" t="e">
            <v>#N/A</v>
          </cell>
          <cell r="P979" t="str">
            <v/>
          </cell>
          <cell r="Q979" t="str">
            <v/>
          </cell>
          <cell r="R979">
            <v>90</v>
          </cell>
        </row>
        <row r="980">
          <cell r="A980" t="str">
            <v/>
          </cell>
          <cell r="B980" t="str">
            <v/>
          </cell>
          <cell r="C980" t="str">
            <v>Future</v>
          </cell>
          <cell r="D980" t="e">
            <v>#N/A</v>
          </cell>
          <cell r="E980">
            <v>-46.980472440945228</v>
          </cell>
          <cell r="F980">
            <v>127.46834645669423</v>
          </cell>
          <cell r="G980">
            <v>44.397480314960639</v>
          </cell>
          <cell r="H980">
            <v>44.397480314960639</v>
          </cell>
          <cell r="I980" t="e">
            <v>#N/A</v>
          </cell>
          <cell r="J980" t="e">
            <v>#N/A</v>
          </cell>
          <cell r="K980">
            <v>105</v>
          </cell>
          <cell r="L980">
            <v>55</v>
          </cell>
          <cell r="M980" t="e">
            <v>#N/A</v>
          </cell>
          <cell r="N980">
            <v>90</v>
          </cell>
          <cell r="O980" t="e">
            <v>#N/A</v>
          </cell>
          <cell r="P980" t="str">
            <v/>
          </cell>
          <cell r="Q980" t="str">
            <v/>
          </cell>
          <cell r="R980">
            <v>90</v>
          </cell>
        </row>
        <row r="981">
          <cell r="A981" t="str">
            <v/>
          </cell>
          <cell r="B981" t="str">
            <v/>
          </cell>
          <cell r="C981" t="str">
            <v>Future</v>
          </cell>
          <cell r="D981" t="e">
            <v>#N/A</v>
          </cell>
          <cell r="E981">
            <v>-47.260118110236569</v>
          </cell>
          <cell r="F981">
            <v>127.60208661417455</v>
          </cell>
          <cell r="G981">
            <v>44.334370078740164</v>
          </cell>
          <cell r="H981">
            <v>44.334370078740164</v>
          </cell>
          <cell r="I981" t="e">
            <v>#N/A</v>
          </cell>
          <cell r="J981" t="e">
            <v>#N/A</v>
          </cell>
          <cell r="K981">
            <v>105</v>
          </cell>
          <cell r="L981">
            <v>55</v>
          </cell>
          <cell r="M981" t="e">
            <v>#N/A</v>
          </cell>
          <cell r="N981">
            <v>90</v>
          </cell>
          <cell r="O981" t="e">
            <v>#N/A</v>
          </cell>
          <cell r="P981" t="str">
            <v/>
          </cell>
          <cell r="Q981" t="str">
            <v/>
          </cell>
          <cell r="R981">
            <v>90</v>
          </cell>
        </row>
        <row r="982">
          <cell r="A982" t="str">
            <v/>
          </cell>
          <cell r="B982" t="str">
            <v/>
          </cell>
          <cell r="C982" t="str">
            <v>Future</v>
          </cell>
          <cell r="D982" t="e">
            <v>#N/A</v>
          </cell>
          <cell r="E982">
            <v>-47.53976377952791</v>
          </cell>
          <cell r="F982">
            <v>127.73582677165487</v>
          </cell>
          <cell r="G982">
            <v>44.27125984251969</v>
          </cell>
          <cell r="H982">
            <v>44.27125984251969</v>
          </cell>
          <cell r="I982" t="e">
            <v>#N/A</v>
          </cell>
          <cell r="J982" t="e">
            <v>#N/A</v>
          </cell>
          <cell r="K982">
            <v>105</v>
          </cell>
          <cell r="L982">
            <v>55</v>
          </cell>
          <cell r="M982" t="e">
            <v>#N/A</v>
          </cell>
          <cell r="N982">
            <v>90</v>
          </cell>
          <cell r="O982" t="e">
            <v>#N/A</v>
          </cell>
          <cell r="P982" t="str">
            <v/>
          </cell>
          <cell r="Q982" t="str">
            <v/>
          </cell>
          <cell r="R982">
            <v>90</v>
          </cell>
        </row>
        <row r="983">
          <cell r="A983" t="str">
            <v/>
          </cell>
          <cell r="B983" t="str">
            <v/>
          </cell>
          <cell r="C983" t="str">
            <v>Future</v>
          </cell>
          <cell r="D983" t="e">
            <v>#N/A</v>
          </cell>
          <cell r="E983">
            <v>-47.81940944881925</v>
          </cell>
          <cell r="F983">
            <v>127.86956692913519</v>
          </cell>
          <cell r="G983">
            <v>44.208149606299216</v>
          </cell>
          <cell r="H983">
            <v>44.208149606299216</v>
          </cell>
          <cell r="I983" t="e">
            <v>#N/A</v>
          </cell>
          <cell r="J983" t="e">
            <v>#N/A</v>
          </cell>
          <cell r="K983">
            <v>105</v>
          </cell>
          <cell r="L983">
            <v>55</v>
          </cell>
          <cell r="M983" t="e">
            <v>#N/A</v>
          </cell>
          <cell r="N983">
            <v>90</v>
          </cell>
          <cell r="O983" t="e">
            <v>#N/A</v>
          </cell>
          <cell r="P983" t="str">
            <v/>
          </cell>
          <cell r="Q983" t="str">
            <v/>
          </cell>
          <cell r="R983">
            <v>90</v>
          </cell>
        </row>
        <row r="984">
          <cell r="A984" t="str">
            <v/>
          </cell>
          <cell r="B984" t="str">
            <v/>
          </cell>
          <cell r="C984" t="str">
            <v>Future</v>
          </cell>
          <cell r="D984" t="e">
            <v>#N/A</v>
          </cell>
          <cell r="E984">
            <v>-48.099055118110591</v>
          </cell>
          <cell r="F984">
            <v>128.00330708661551</v>
          </cell>
          <cell r="G984">
            <v>44.145039370078742</v>
          </cell>
          <cell r="H984">
            <v>44.145039370078742</v>
          </cell>
          <cell r="I984" t="e">
            <v>#N/A</v>
          </cell>
          <cell r="J984" t="e">
            <v>#N/A</v>
          </cell>
          <cell r="K984">
            <v>105</v>
          </cell>
          <cell r="L984">
            <v>55</v>
          </cell>
          <cell r="M984" t="e">
            <v>#N/A</v>
          </cell>
          <cell r="N984">
            <v>90</v>
          </cell>
          <cell r="O984" t="e">
            <v>#N/A</v>
          </cell>
          <cell r="P984" t="str">
            <v/>
          </cell>
          <cell r="Q984" t="str">
            <v/>
          </cell>
          <cell r="R984">
            <v>90</v>
          </cell>
        </row>
        <row r="985">
          <cell r="A985" t="str">
            <v/>
          </cell>
          <cell r="B985" t="str">
            <v/>
          </cell>
          <cell r="C985" t="str">
            <v>Future</v>
          </cell>
          <cell r="D985" t="e">
            <v>#N/A</v>
          </cell>
          <cell r="E985">
            <v>-48.378700787401932</v>
          </cell>
          <cell r="F985">
            <v>128.13704724409581</v>
          </cell>
          <cell r="G985">
            <v>44.081929133858267</v>
          </cell>
          <cell r="H985">
            <v>44.081929133858267</v>
          </cell>
          <cell r="I985" t="e">
            <v>#N/A</v>
          </cell>
          <cell r="J985" t="e">
            <v>#N/A</v>
          </cell>
          <cell r="K985">
            <v>105</v>
          </cell>
          <cell r="L985">
            <v>55</v>
          </cell>
          <cell r="M985" t="e">
            <v>#N/A</v>
          </cell>
          <cell r="N985">
            <v>90</v>
          </cell>
          <cell r="O985" t="e">
            <v>#N/A</v>
          </cell>
          <cell r="P985" t="str">
            <v/>
          </cell>
          <cell r="Q985" t="str">
            <v/>
          </cell>
          <cell r="R985">
            <v>90</v>
          </cell>
        </row>
        <row r="986">
          <cell r="A986" t="str">
            <v/>
          </cell>
          <cell r="B986" t="str">
            <v/>
          </cell>
          <cell r="C986" t="str">
            <v>Future</v>
          </cell>
          <cell r="D986" t="e">
            <v>#N/A</v>
          </cell>
          <cell r="E986">
            <v>-48.658346456693273</v>
          </cell>
          <cell r="F986">
            <v>128.27078740157611</v>
          </cell>
          <cell r="G986">
            <v>44.018818897637793</v>
          </cell>
          <cell r="H986">
            <v>44.018818897637793</v>
          </cell>
          <cell r="I986" t="e">
            <v>#N/A</v>
          </cell>
          <cell r="J986" t="e">
            <v>#N/A</v>
          </cell>
          <cell r="K986">
            <v>105</v>
          </cell>
          <cell r="L986">
            <v>55</v>
          </cell>
          <cell r="M986" t="e">
            <v>#N/A</v>
          </cell>
          <cell r="N986">
            <v>90</v>
          </cell>
          <cell r="O986" t="e">
            <v>#N/A</v>
          </cell>
          <cell r="P986" t="str">
            <v/>
          </cell>
          <cell r="Q986" t="str">
            <v/>
          </cell>
          <cell r="R986">
            <v>90</v>
          </cell>
        </row>
        <row r="987">
          <cell r="A987" t="str">
            <v/>
          </cell>
          <cell r="B987" t="str">
            <v/>
          </cell>
          <cell r="C987" t="str">
            <v>Future</v>
          </cell>
          <cell r="D987" t="e">
            <v>#N/A</v>
          </cell>
          <cell r="E987">
            <v>-48.937992125984614</v>
          </cell>
          <cell r="F987">
            <v>128.40452755905642</v>
          </cell>
          <cell r="G987">
            <v>43.955708661417319</v>
          </cell>
          <cell r="H987">
            <v>43.955708661417319</v>
          </cell>
          <cell r="I987" t="e">
            <v>#N/A</v>
          </cell>
          <cell r="J987" t="e">
            <v>#N/A</v>
          </cell>
          <cell r="K987">
            <v>105</v>
          </cell>
          <cell r="L987">
            <v>55</v>
          </cell>
          <cell r="M987" t="e">
            <v>#N/A</v>
          </cell>
          <cell r="N987">
            <v>90</v>
          </cell>
          <cell r="O987" t="e">
            <v>#N/A</v>
          </cell>
          <cell r="P987" t="str">
            <v/>
          </cell>
          <cell r="Q987" t="str">
            <v/>
          </cell>
          <cell r="R987">
            <v>90</v>
          </cell>
        </row>
        <row r="988">
          <cell r="A988" t="str">
            <v/>
          </cell>
          <cell r="B988" t="str">
            <v/>
          </cell>
          <cell r="C988" t="str">
            <v>Future</v>
          </cell>
          <cell r="D988" t="e">
            <v>#N/A</v>
          </cell>
          <cell r="E988">
            <v>-49.217637795275955</v>
          </cell>
          <cell r="F988">
            <v>128.53826771653672</v>
          </cell>
          <cell r="G988">
            <v>43.892598425196844</v>
          </cell>
          <cell r="H988">
            <v>43.892598425196844</v>
          </cell>
          <cell r="I988" t="e">
            <v>#N/A</v>
          </cell>
          <cell r="J988" t="e">
            <v>#N/A</v>
          </cell>
          <cell r="K988">
            <v>105</v>
          </cell>
          <cell r="L988">
            <v>55</v>
          </cell>
          <cell r="M988" t="e">
            <v>#N/A</v>
          </cell>
          <cell r="N988">
            <v>90</v>
          </cell>
          <cell r="O988" t="e">
            <v>#N/A</v>
          </cell>
          <cell r="P988" t="str">
            <v/>
          </cell>
          <cell r="Q988" t="str">
            <v/>
          </cell>
          <cell r="R988">
            <v>90</v>
          </cell>
        </row>
        <row r="989">
          <cell r="A989" t="str">
            <v/>
          </cell>
          <cell r="B989" t="str">
            <v/>
          </cell>
          <cell r="C989" t="str">
            <v>Future</v>
          </cell>
          <cell r="D989" t="e">
            <v>#N/A</v>
          </cell>
          <cell r="E989">
            <v>-49.497283464567296</v>
          </cell>
          <cell r="F989">
            <v>128.67200787401703</v>
          </cell>
          <cell r="G989">
            <v>43.82948818897637</v>
          </cell>
          <cell r="H989">
            <v>43.82948818897637</v>
          </cell>
          <cell r="I989" t="e">
            <v>#N/A</v>
          </cell>
          <cell r="J989" t="e">
            <v>#N/A</v>
          </cell>
          <cell r="K989">
            <v>105</v>
          </cell>
          <cell r="L989">
            <v>55</v>
          </cell>
          <cell r="M989" t="e">
            <v>#N/A</v>
          </cell>
          <cell r="N989">
            <v>90</v>
          </cell>
          <cell r="O989" t="e">
            <v>#N/A</v>
          </cell>
          <cell r="P989" t="str">
            <v/>
          </cell>
          <cell r="Q989" t="str">
            <v/>
          </cell>
          <cell r="R989">
            <v>90</v>
          </cell>
        </row>
        <row r="990">
          <cell r="A990" t="str">
            <v/>
          </cell>
          <cell r="B990" t="str">
            <v/>
          </cell>
          <cell r="C990" t="str">
            <v>Future</v>
          </cell>
          <cell r="D990" t="e">
            <v>#N/A</v>
          </cell>
          <cell r="E990">
            <v>-49.776929133858637</v>
          </cell>
          <cell r="F990">
            <v>128.80574803149733</v>
          </cell>
          <cell r="G990">
            <v>43.766377952755896</v>
          </cell>
          <cell r="H990">
            <v>43.766377952755896</v>
          </cell>
          <cell r="I990" t="e">
            <v>#N/A</v>
          </cell>
          <cell r="J990" t="e">
            <v>#N/A</v>
          </cell>
          <cell r="K990">
            <v>105</v>
          </cell>
          <cell r="L990">
            <v>55</v>
          </cell>
          <cell r="M990" t="e">
            <v>#N/A</v>
          </cell>
          <cell r="N990">
            <v>90</v>
          </cell>
          <cell r="O990" t="e">
            <v>#N/A</v>
          </cell>
          <cell r="P990" t="str">
            <v/>
          </cell>
          <cell r="Q990" t="str">
            <v/>
          </cell>
          <cell r="R990">
            <v>90</v>
          </cell>
        </row>
        <row r="991">
          <cell r="A991" t="str">
            <v/>
          </cell>
          <cell r="B991" t="str">
            <v/>
          </cell>
          <cell r="C991" t="str">
            <v>Future</v>
          </cell>
          <cell r="D991" t="e">
            <v>#N/A</v>
          </cell>
          <cell r="E991">
            <v>-50.056574803149978</v>
          </cell>
          <cell r="F991">
            <v>128.93948818897763</v>
          </cell>
          <cell r="G991">
            <v>43.703267716535422</v>
          </cell>
          <cell r="H991">
            <v>43.703267716535422</v>
          </cell>
          <cell r="I991" t="e">
            <v>#N/A</v>
          </cell>
          <cell r="J991" t="e">
            <v>#N/A</v>
          </cell>
          <cell r="K991">
            <v>105</v>
          </cell>
          <cell r="L991">
            <v>55</v>
          </cell>
          <cell r="M991" t="e">
            <v>#N/A</v>
          </cell>
          <cell r="N991">
            <v>90</v>
          </cell>
          <cell r="O991" t="e">
            <v>#N/A</v>
          </cell>
          <cell r="P991" t="str">
            <v/>
          </cell>
          <cell r="Q991" t="str">
            <v/>
          </cell>
          <cell r="R991">
            <v>90</v>
          </cell>
        </row>
        <row r="992">
          <cell r="A992" t="str">
            <v/>
          </cell>
          <cell r="B992" t="str">
            <v/>
          </cell>
          <cell r="C992" t="str">
            <v>Future</v>
          </cell>
          <cell r="D992" t="e">
            <v>#N/A</v>
          </cell>
          <cell r="E992">
            <v>-50.336220472441319</v>
          </cell>
          <cell r="F992">
            <v>129.07322834645794</v>
          </cell>
          <cell r="G992">
            <v>43.640157480314947</v>
          </cell>
          <cell r="H992">
            <v>43.640157480314947</v>
          </cell>
          <cell r="I992" t="e">
            <v>#N/A</v>
          </cell>
          <cell r="J992" t="e">
            <v>#N/A</v>
          </cell>
          <cell r="K992">
            <v>105</v>
          </cell>
          <cell r="L992">
            <v>55</v>
          </cell>
          <cell r="M992" t="e">
            <v>#N/A</v>
          </cell>
          <cell r="N992">
            <v>90</v>
          </cell>
          <cell r="O992" t="e">
            <v>#N/A</v>
          </cell>
          <cell r="P992" t="str">
            <v/>
          </cell>
          <cell r="Q992" t="str">
            <v/>
          </cell>
          <cell r="R992">
            <v>90</v>
          </cell>
        </row>
        <row r="993">
          <cell r="A993" t="str">
            <v/>
          </cell>
          <cell r="B993" t="str">
            <v/>
          </cell>
          <cell r="C993" t="str">
            <v>Future</v>
          </cell>
          <cell r="D993" t="e">
            <v>#N/A</v>
          </cell>
          <cell r="E993">
            <v>-50.61586614173266</v>
          </cell>
          <cell r="F993">
            <v>129.20696850393824</v>
          </cell>
          <cell r="G993">
            <v>43.577047244094473</v>
          </cell>
          <cell r="H993">
            <v>43.577047244094473</v>
          </cell>
          <cell r="I993" t="e">
            <v>#N/A</v>
          </cell>
          <cell r="J993" t="e">
            <v>#N/A</v>
          </cell>
          <cell r="K993">
            <v>105</v>
          </cell>
          <cell r="L993">
            <v>55</v>
          </cell>
          <cell r="M993" t="e">
            <v>#N/A</v>
          </cell>
          <cell r="N993">
            <v>90</v>
          </cell>
          <cell r="O993" t="e">
            <v>#N/A</v>
          </cell>
          <cell r="P993" t="str">
            <v/>
          </cell>
          <cell r="Q993" t="str">
            <v/>
          </cell>
          <cell r="R993">
            <v>90</v>
          </cell>
        </row>
        <row r="994">
          <cell r="A994" t="str">
            <v/>
          </cell>
          <cell r="B994" t="str">
            <v/>
          </cell>
          <cell r="C994" t="str">
            <v>Future</v>
          </cell>
          <cell r="D994" t="e">
            <v>#N/A</v>
          </cell>
          <cell r="E994">
            <v>-50.895511811024001</v>
          </cell>
          <cell r="F994">
            <v>129.34070866141855</v>
          </cell>
          <cell r="G994">
            <v>43.513937007873999</v>
          </cell>
          <cell r="H994">
            <v>43.513937007873999</v>
          </cell>
          <cell r="I994" t="e">
            <v>#N/A</v>
          </cell>
          <cell r="J994" t="e">
            <v>#N/A</v>
          </cell>
          <cell r="K994">
            <v>105</v>
          </cell>
          <cell r="L994">
            <v>55</v>
          </cell>
          <cell r="M994" t="e">
            <v>#N/A</v>
          </cell>
          <cell r="N994">
            <v>90</v>
          </cell>
          <cell r="O994" t="e">
            <v>#N/A</v>
          </cell>
          <cell r="P994" t="str">
            <v/>
          </cell>
          <cell r="Q994" t="str">
            <v/>
          </cell>
          <cell r="R994">
            <v>90</v>
          </cell>
        </row>
        <row r="995">
          <cell r="A995" t="str">
            <v/>
          </cell>
          <cell r="B995" t="str">
            <v/>
          </cell>
          <cell r="C995" t="str">
            <v>Future</v>
          </cell>
          <cell r="D995" t="e">
            <v>#N/A</v>
          </cell>
          <cell r="E995">
            <v>-51.175157480315342</v>
          </cell>
          <cell r="F995">
            <v>129.47444881889885</v>
          </cell>
          <cell r="G995">
            <v>43.450826771653524</v>
          </cell>
          <cell r="H995">
            <v>43.450826771653524</v>
          </cell>
          <cell r="I995" t="e">
            <v>#N/A</v>
          </cell>
          <cell r="J995" t="e">
            <v>#N/A</v>
          </cell>
          <cell r="K995">
            <v>105</v>
          </cell>
          <cell r="L995">
            <v>55</v>
          </cell>
          <cell r="M995" t="e">
            <v>#N/A</v>
          </cell>
          <cell r="N995">
            <v>90</v>
          </cell>
          <cell r="O995" t="e">
            <v>#N/A</v>
          </cell>
          <cell r="P995" t="str">
            <v/>
          </cell>
          <cell r="Q995" t="str">
            <v/>
          </cell>
          <cell r="R995">
            <v>90</v>
          </cell>
        </row>
        <row r="996">
          <cell r="A996" t="str">
            <v/>
          </cell>
          <cell r="B996" t="str">
            <v/>
          </cell>
          <cell r="C996" t="str">
            <v>Future</v>
          </cell>
          <cell r="D996" t="e">
            <v>#N/A</v>
          </cell>
          <cell r="E996">
            <v>-51.454803149606683</v>
          </cell>
          <cell r="F996">
            <v>129.60818897637915</v>
          </cell>
          <cell r="G996">
            <v>43.38771653543305</v>
          </cell>
          <cell r="H996">
            <v>43.38771653543305</v>
          </cell>
          <cell r="I996" t="e">
            <v>#N/A</v>
          </cell>
          <cell r="J996" t="e">
            <v>#N/A</v>
          </cell>
          <cell r="K996">
            <v>105</v>
          </cell>
          <cell r="L996">
            <v>55</v>
          </cell>
          <cell r="M996" t="e">
            <v>#N/A</v>
          </cell>
          <cell r="N996">
            <v>90</v>
          </cell>
          <cell r="O996" t="e">
            <v>#N/A</v>
          </cell>
          <cell r="P996" t="str">
            <v/>
          </cell>
          <cell r="Q996" t="str">
            <v/>
          </cell>
          <cell r="R996">
            <v>90</v>
          </cell>
        </row>
        <row r="997">
          <cell r="A997" t="str">
            <v/>
          </cell>
          <cell r="B997" t="str">
            <v/>
          </cell>
          <cell r="C997" t="str">
            <v>Future</v>
          </cell>
          <cell r="D997" t="e">
            <v>#N/A</v>
          </cell>
          <cell r="E997">
            <v>-51.734448818898024</v>
          </cell>
          <cell r="F997">
            <v>129.74192913385946</v>
          </cell>
          <cell r="G997">
            <v>43.324606299212576</v>
          </cell>
          <cell r="H997">
            <v>43.324606299212576</v>
          </cell>
          <cell r="I997" t="e">
            <v>#N/A</v>
          </cell>
          <cell r="J997" t="e">
            <v>#N/A</v>
          </cell>
          <cell r="K997">
            <v>105</v>
          </cell>
          <cell r="L997">
            <v>55</v>
          </cell>
          <cell r="M997" t="e">
            <v>#N/A</v>
          </cell>
          <cell r="N997">
            <v>90</v>
          </cell>
          <cell r="O997" t="e">
            <v>#N/A</v>
          </cell>
          <cell r="P997" t="str">
            <v/>
          </cell>
          <cell r="Q997" t="str">
            <v/>
          </cell>
          <cell r="R997">
            <v>90</v>
          </cell>
        </row>
        <row r="998">
          <cell r="A998" t="str">
            <v/>
          </cell>
          <cell r="B998" t="str">
            <v/>
          </cell>
          <cell r="C998" t="str">
            <v>Future</v>
          </cell>
          <cell r="D998" t="e">
            <v>#N/A</v>
          </cell>
          <cell r="E998">
            <v>-52.014094488189365</v>
          </cell>
          <cell r="F998">
            <v>129.87566929133976</v>
          </cell>
          <cell r="G998">
            <v>43.261496062992101</v>
          </cell>
          <cell r="H998">
            <v>43.261496062992101</v>
          </cell>
          <cell r="I998" t="e">
            <v>#N/A</v>
          </cell>
          <cell r="J998" t="e">
            <v>#N/A</v>
          </cell>
          <cell r="K998">
            <v>105</v>
          </cell>
          <cell r="L998">
            <v>55</v>
          </cell>
          <cell r="M998" t="e">
            <v>#N/A</v>
          </cell>
          <cell r="N998">
            <v>90</v>
          </cell>
          <cell r="O998" t="e">
            <v>#N/A</v>
          </cell>
          <cell r="P998" t="str">
            <v/>
          </cell>
          <cell r="Q998" t="str">
            <v/>
          </cell>
          <cell r="R998">
            <v>90</v>
          </cell>
        </row>
        <row r="999">
          <cell r="A999" t="str">
            <v/>
          </cell>
          <cell r="B999" t="str">
            <v/>
          </cell>
          <cell r="C999" t="str">
            <v>Future</v>
          </cell>
          <cell r="D999" t="e">
            <v>#N/A</v>
          </cell>
          <cell r="E999">
            <v>-52.293740157480705</v>
          </cell>
          <cell r="F999">
            <v>130.00940944882007</v>
          </cell>
          <cell r="G999">
            <v>43.198385826771627</v>
          </cell>
          <cell r="H999">
            <v>43.198385826771627</v>
          </cell>
          <cell r="I999" t="e">
            <v>#N/A</v>
          </cell>
          <cell r="J999" t="e">
            <v>#N/A</v>
          </cell>
          <cell r="K999">
            <v>105</v>
          </cell>
          <cell r="L999">
            <v>55</v>
          </cell>
          <cell r="M999" t="e">
            <v>#N/A</v>
          </cell>
          <cell r="N999">
            <v>90</v>
          </cell>
          <cell r="O999" t="e">
            <v>#N/A</v>
          </cell>
          <cell r="P999" t="str">
            <v/>
          </cell>
          <cell r="Q999" t="str">
            <v/>
          </cell>
          <cell r="R999">
            <v>90</v>
          </cell>
        </row>
        <row r="1000">
          <cell r="A1000" t="str">
            <v/>
          </cell>
          <cell r="B1000" t="str">
            <v/>
          </cell>
          <cell r="C1000" t="str">
            <v>Future</v>
          </cell>
          <cell r="D1000" t="e">
            <v>#N/A</v>
          </cell>
          <cell r="E1000">
            <v>-52.573385826772046</v>
          </cell>
          <cell r="F1000">
            <v>130.14314960630037</v>
          </cell>
          <cell r="G1000">
            <v>43.135275590551153</v>
          </cell>
          <cell r="H1000">
            <v>43.135275590551153</v>
          </cell>
          <cell r="I1000" t="e">
            <v>#N/A</v>
          </cell>
          <cell r="J1000" t="e">
            <v>#N/A</v>
          </cell>
          <cell r="K1000">
            <v>105</v>
          </cell>
          <cell r="L1000">
            <v>55</v>
          </cell>
          <cell r="M1000" t="e">
            <v>#N/A</v>
          </cell>
          <cell r="N1000">
            <v>90</v>
          </cell>
          <cell r="O1000" t="e">
            <v>#N/A</v>
          </cell>
          <cell r="P1000" t="str">
            <v/>
          </cell>
          <cell r="Q1000" t="str">
            <v/>
          </cell>
          <cell r="R1000">
            <v>90</v>
          </cell>
        </row>
        <row r="1001">
          <cell r="A1001" t="str">
            <v/>
          </cell>
          <cell r="B1001" t="str">
            <v/>
          </cell>
          <cell r="C1001" t="str">
            <v>Future</v>
          </cell>
          <cell r="D1001" t="e">
            <v>#N/A</v>
          </cell>
          <cell r="E1001">
            <v>-52.853031496063387</v>
          </cell>
          <cell r="F1001">
            <v>130.27688976378067</v>
          </cell>
          <cell r="G1001">
            <v>43.072165354330679</v>
          </cell>
          <cell r="H1001">
            <v>43.072165354330679</v>
          </cell>
          <cell r="I1001" t="e">
            <v>#N/A</v>
          </cell>
          <cell r="J1001" t="e">
            <v>#N/A</v>
          </cell>
          <cell r="K1001">
            <v>105</v>
          </cell>
          <cell r="L1001">
            <v>55</v>
          </cell>
          <cell r="M1001" t="e">
            <v>#N/A</v>
          </cell>
          <cell r="N1001">
            <v>90</v>
          </cell>
          <cell r="O1001" t="e">
            <v>#N/A</v>
          </cell>
          <cell r="P1001" t="str">
            <v/>
          </cell>
          <cell r="Q1001" t="str">
            <v/>
          </cell>
          <cell r="R1001">
            <v>90</v>
          </cell>
        </row>
        <row r="1002">
          <cell r="A1002" t="str">
            <v/>
          </cell>
          <cell r="B1002" t="str">
            <v/>
          </cell>
          <cell r="C1002" t="str">
            <v>Future</v>
          </cell>
          <cell r="D1002" t="e">
            <v>#N/A</v>
          </cell>
          <cell r="E1002">
            <v>-53.132677165354728</v>
          </cell>
          <cell r="F1002">
            <v>130.41062992126098</v>
          </cell>
          <cell r="G1002">
            <v>43.009055118110204</v>
          </cell>
          <cell r="H1002">
            <v>43.009055118110204</v>
          </cell>
          <cell r="I1002" t="e">
            <v>#N/A</v>
          </cell>
          <cell r="J1002" t="e">
            <v>#N/A</v>
          </cell>
          <cell r="K1002">
            <v>105</v>
          </cell>
          <cell r="L1002">
            <v>55</v>
          </cell>
          <cell r="M1002" t="e">
            <v>#N/A</v>
          </cell>
          <cell r="N1002">
            <v>90</v>
          </cell>
          <cell r="O1002" t="e">
            <v>#N/A</v>
          </cell>
          <cell r="P1002" t="str">
            <v/>
          </cell>
          <cell r="Q1002" t="str">
            <v/>
          </cell>
          <cell r="R1002">
            <v>90</v>
          </cell>
        </row>
        <row r="1003">
          <cell r="A1003" t="str">
            <v/>
          </cell>
          <cell r="B1003" t="str">
            <v/>
          </cell>
          <cell r="C1003" t="str">
            <v>Future</v>
          </cell>
          <cell r="D1003" t="e">
            <v>#N/A</v>
          </cell>
          <cell r="E1003">
            <v>-53.412322834646069</v>
          </cell>
          <cell r="F1003">
            <v>130.54437007874128</v>
          </cell>
          <cell r="G1003">
            <v>42.94594488188973</v>
          </cell>
          <cell r="H1003">
            <v>42.94594488188973</v>
          </cell>
          <cell r="I1003" t="e">
            <v>#N/A</v>
          </cell>
          <cell r="J1003" t="e">
            <v>#N/A</v>
          </cell>
          <cell r="K1003">
            <v>105</v>
          </cell>
          <cell r="L1003">
            <v>55</v>
          </cell>
          <cell r="M1003" t="e">
            <v>#N/A</v>
          </cell>
          <cell r="N1003">
            <v>90</v>
          </cell>
          <cell r="O1003" t="e">
            <v>#N/A</v>
          </cell>
          <cell r="P1003" t="str">
            <v/>
          </cell>
          <cell r="Q1003" t="str">
            <v/>
          </cell>
          <cell r="R1003">
            <v>90</v>
          </cell>
        </row>
        <row r="1004">
          <cell r="A1004" t="str">
            <v/>
          </cell>
          <cell r="B1004" t="str">
            <v/>
          </cell>
          <cell r="C1004" t="str">
            <v>Future</v>
          </cell>
          <cell r="D1004" t="e">
            <v>#N/A</v>
          </cell>
          <cell r="E1004">
            <v>-53.69196850393741</v>
          </cell>
          <cell r="F1004">
            <v>130.67811023622158</v>
          </cell>
          <cell r="G1004">
            <v>42.882834645669256</v>
          </cell>
          <cell r="H1004">
            <v>42.882834645669256</v>
          </cell>
          <cell r="I1004" t="e">
            <v>#N/A</v>
          </cell>
          <cell r="J1004" t="e">
            <v>#N/A</v>
          </cell>
          <cell r="K1004">
            <v>105</v>
          </cell>
          <cell r="L1004">
            <v>55</v>
          </cell>
          <cell r="M1004" t="e">
            <v>#N/A</v>
          </cell>
          <cell r="N1004">
            <v>90</v>
          </cell>
          <cell r="O1004" t="e">
            <v>#N/A</v>
          </cell>
          <cell r="P1004" t="str">
            <v/>
          </cell>
          <cell r="Q1004" t="str">
            <v/>
          </cell>
          <cell r="R1004">
            <v>90</v>
          </cell>
        </row>
        <row r="1005">
          <cell r="A1005" t="str">
            <v/>
          </cell>
          <cell r="B1005" t="str">
            <v/>
          </cell>
          <cell r="C1005" t="str">
            <v>Future</v>
          </cell>
          <cell r="D1005" t="e">
            <v>#N/A</v>
          </cell>
          <cell r="E1005">
            <v>-53.971614173228751</v>
          </cell>
          <cell r="F1005">
            <v>130.81185039370189</v>
          </cell>
          <cell r="G1005">
            <v>42.819724409448781</v>
          </cell>
          <cell r="H1005">
            <v>42.819724409448781</v>
          </cell>
          <cell r="I1005" t="e">
            <v>#N/A</v>
          </cell>
          <cell r="J1005" t="e">
            <v>#N/A</v>
          </cell>
          <cell r="K1005">
            <v>105</v>
          </cell>
          <cell r="L1005">
            <v>55</v>
          </cell>
          <cell r="M1005" t="e">
            <v>#N/A</v>
          </cell>
          <cell r="N1005">
            <v>90</v>
          </cell>
          <cell r="O1005" t="e">
            <v>#N/A</v>
          </cell>
          <cell r="P1005" t="str">
            <v/>
          </cell>
          <cell r="Q1005" t="str">
            <v/>
          </cell>
          <cell r="R1005">
            <v>90</v>
          </cell>
        </row>
        <row r="1006">
          <cell r="A1006" t="str">
            <v/>
          </cell>
          <cell r="B1006" t="str">
            <v/>
          </cell>
          <cell r="C1006" t="str">
            <v>Future</v>
          </cell>
          <cell r="D1006" t="e">
            <v>#N/A</v>
          </cell>
          <cell r="E1006">
            <v>-54.251259842520092</v>
          </cell>
          <cell r="F1006">
            <v>130.94559055118219</v>
          </cell>
          <cell r="G1006">
            <v>42.756614173228307</v>
          </cell>
          <cell r="H1006">
            <v>42.756614173228307</v>
          </cell>
          <cell r="I1006" t="e">
            <v>#N/A</v>
          </cell>
          <cell r="J1006" t="e">
            <v>#N/A</v>
          </cell>
          <cell r="K1006">
            <v>105</v>
          </cell>
          <cell r="L1006">
            <v>55</v>
          </cell>
          <cell r="M1006" t="e">
            <v>#N/A</v>
          </cell>
          <cell r="N1006">
            <v>90</v>
          </cell>
          <cell r="O1006" t="e">
            <v>#N/A</v>
          </cell>
          <cell r="P1006" t="str">
            <v/>
          </cell>
          <cell r="Q1006" t="str">
            <v/>
          </cell>
          <cell r="R1006">
            <v>90</v>
          </cell>
        </row>
        <row r="1007">
          <cell r="A1007" t="str">
            <v/>
          </cell>
          <cell r="B1007" t="str">
            <v/>
          </cell>
          <cell r="C1007" t="str">
            <v>Future</v>
          </cell>
          <cell r="D1007" t="e">
            <v>#N/A</v>
          </cell>
          <cell r="E1007">
            <v>-54.530905511811433</v>
          </cell>
          <cell r="F1007">
            <v>131.0793307086625</v>
          </cell>
          <cell r="G1007">
            <v>42.693503937007833</v>
          </cell>
          <cell r="H1007">
            <v>42.693503937007833</v>
          </cell>
          <cell r="I1007" t="e">
            <v>#N/A</v>
          </cell>
          <cell r="J1007" t="e">
            <v>#N/A</v>
          </cell>
          <cell r="K1007">
            <v>105</v>
          </cell>
          <cell r="L1007">
            <v>55</v>
          </cell>
          <cell r="M1007" t="e">
            <v>#N/A</v>
          </cell>
          <cell r="N1007">
            <v>90</v>
          </cell>
          <cell r="O1007" t="e">
            <v>#N/A</v>
          </cell>
          <cell r="P1007" t="str">
            <v/>
          </cell>
          <cell r="Q1007" t="str">
            <v/>
          </cell>
          <cell r="R1007">
            <v>90</v>
          </cell>
        </row>
        <row r="1008">
          <cell r="A1008" t="str">
            <v/>
          </cell>
          <cell r="B1008" t="str">
            <v/>
          </cell>
          <cell r="C1008" t="str">
            <v>Future</v>
          </cell>
          <cell r="D1008" t="e">
            <v>#N/A</v>
          </cell>
          <cell r="E1008">
            <v>-54.810551181102774</v>
          </cell>
          <cell r="F1008">
            <v>131.2130708661428</v>
          </cell>
          <cell r="G1008">
            <v>42.630393700787359</v>
          </cell>
          <cell r="H1008">
            <v>42.630393700787359</v>
          </cell>
          <cell r="I1008" t="e">
            <v>#N/A</v>
          </cell>
          <cell r="J1008" t="e">
            <v>#N/A</v>
          </cell>
          <cell r="K1008">
            <v>105</v>
          </cell>
          <cell r="L1008">
            <v>55</v>
          </cell>
          <cell r="M1008" t="e">
            <v>#N/A</v>
          </cell>
          <cell r="N1008">
            <v>90</v>
          </cell>
          <cell r="O1008" t="e">
            <v>#N/A</v>
          </cell>
          <cell r="P1008" t="str">
            <v/>
          </cell>
          <cell r="Q1008" t="str">
            <v/>
          </cell>
          <cell r="R1008">
            <v>90</v>
          </cell>
        </row>
        <row r="1009">
          <cell r="A1009" t="str">
            <v/>
          </cell>
          <cell r="B1009" t="str">
            <v/>
          </cell>
          <cell r="C1009" t="str">
            <v>Future</v>
          </cell>
          <cell r="D1009" t="e">
            <v>#N/A</v>
          </cell>
          <cell r="E1009">
            <v>-55.090196850394115</v>
          </cell>
          <cell r="F1009">
            <v>131.3468110236231</v>
          </cell>
          <cell r="G1009">
            <v>42.567283464566884</v>
          </cell>
          <cell r="H1009">
            <v>42.567283464566884</v>
          </cell>
          <cell r="I1009" t="e">
            <v>#N/A</v>
          </cell>
          <cell r="J1009" t="e">
            <v>#N/A</v>
          </cell>
          <cell r="K1009">
            <v>105</v>
          </cell>
          <cell r="L1009">
            <v>55</v>
          </cell>
          <cell r="M1009" t="e">
            <v>#N/A</v>
          </cell>
          <cell r="N1009">
            <v>90</v>
          </cell>
          <cell r="O1009" t="e">
            <v>#N/A</v>
          </cell>
          <cell r="P1009" t="str">
            <v/>
          </cell>
          <cell r="Q1009" t="str">
            <v/>
          </cell>
          <cell r="R1009">
            <v>90</v>
          </cell>
        </row>
        <row r="1010">
          <cell r="A1010" t="str">
            <v/>
          </cell>
          <cell r="B1010" t="str">
            <v/>
          </cell>
          <cell r="C1010" t="str">
            <v>Future</v>
          </cell>
          <cell r="D1010" t="e">
            <v>#N/A</v>
          </cell>
          <cell r="E1010">
            <v>-55.369842519685456</v>
          </cell>
          <cell r="F1010">
            <v>131.48055118110341</v>
          </cell>
          <cell r="G1010">
            <v>42.50417322834641</v>
          </cell>
          <cell r="H1010">
            <v>42.50417322834641</v>
          </cell>
          <cell r="I1010" t="e">
            <v>#N/A</v>
          </cell>
          <cell r="J1010" t="e">
            <v>#N/A</v>
          </cell>
          <cell r="K1010">
            <v>105</v>
          </cell>
          <cell r="L1010">
            <v>55</v>
          </cell>
          <cell r="M1010" t="e">
            <v>#N/A</v>
          </cell>
          <cell r="N1010">
            <v>90</v>
          </cell>
          <cell r="O1010" t="e">
            <v>#N/A</v>
          </cell>
          <cell r="P1010" t="str">
            <v/>
          </cell>
          <cell r="Q1010" t="str">
            <v/>
          </cell>
          <cell r="R1010">
            <v>90</v>
          </cell>
        </row>
        <row r="1011">
          <cell r="A1011" t="str">
            <v/>
          </cell>
          <cell r="B1011" t="str">
            <v/>
          </cell>
          <cell r="C1011" t="str">
            <v>Future</v>
          </cell>
          <cell r="D1011" t="e">
            <v>#N/A</v>
          </cell>
          <cell r="E1011">
            <v>-55.649488188976797</v>
          </cell>
          <cell r="F1011">
            <v>131.61429133858371</v>
          </cell>
          <cell r="G1011">
            <v>42.441062992125936</v>
          </cell>
          <cell r="H1011">
            <v>42.441062992125936</v>
          </cell>
          <cell r="I1011" t="e">
            <v>#N/A</v>
          </cell>
          <cell r="J1011" t="e">
            <v>#N/A</v>
          </cell>
          <cell r="K1011">
            <v>105</v>
          </cell>
          <cell r="L1011">
            <v>55</v>
          </cell>
          <cell r="M1011" t="e">
            <v>#N/A</v>
          </cell>
          <cell r="N1011">
            <v>90</v>
          </cell>
          <cell r="O1011" t="e">
            <v>#N/A</v>
          </cell>
          <cell r="P1011" t="str">
            <v/>
          </cell>
          <cell r="Q1011" t="str">
            <v/>
          </cell>
          <cell r="R1011">
            <v>90</v>
          </cell>
        </row>
        <row r="1012">
          <cell r="A1012" t="str">
            <v/>
          </cell>
          <cell r="B1012" t="str">
            <v/>
          </cell>
          <cell r="C1012" t="str">
            <v>Future</v>
          </cell>
          <cell r="D1012" t="e">
            <v>#N/A</v>
          </cell>
          <cell r="E1012">
            <v>-55.929133858268138</v>
          </cell>
          <cell r="F1012">
            <v>131.74803149606402</v>
          </cell>
          <cell r="G1012">
            <v>42.377952755905461</v>
          </cell>
          <cell r="H1012">
            <v>42.377952755905461</v>
          </cell>
          <cell r="I1012" t="e">
            <v>#N/A</v>
          </cell>
          <cell r="J1012" t="e">
            <v>#N/A</v>
          </cell>
          <cell r="K1012">
            <v>105</v>
          </cell>
          <cell r="L1012">
            <v>55</v>
          </cell>
          <cell r="M1012" t="e">
            <v>#N/A</v>
          </cell>
          <cell r="N1012">
            <v>90</v>
          </cell>
          <cell r="O1012" t="e">
            <v>#N/A</v>
          </cell>
          <cell r="P1012" t="str">
            <v/>
          </cell>
          <cell r="Q1012" t="str">
            <v/>
          </cell>
          <cell r="R1012">
            <v>90</v>
          </cell>
        </row>
        <row r="1013">
          <cell r="A1013" t="str">
            <v/>
          </cell>
          <cell r="B1013" t="str">
            <v/>
          </cell>
          <cell r="C1013" t="str">
            <v>Future</v>
          </cell>
          <cell r="D1013" t="e">
            <v>#N/A</v>
          </cell>
          <cell r="E1013">
            <v>-56.208779527559479</v>
          </cell>
          <cell r="F1013">
            <v>131.88177165354432</v>
          </cell>
          <cell r="G1013">
            <v>42.314842519684987</v>
          </cell>
          <cell r="H1013">
            <v>42.314842519684987</v>
          </cell>
          <cell r="I1013" t="e">
            <v>#N/A</v>
          </cell>
          <cell r="J1013" t="e">
            <v>#N/A</v>
          </cell>
          <cell r="K1013">
            <v>105</v>
          </cell>
          <cell r="L1013">
            <v>55</v>
          </cell>
          <cell r="M1013" t="e">
            <v>#N/A</v>
          </cell>
          <cell r="N1013">
            <v>90</v>
          </cell>
          <cell r="O1013" t="e">
            <v>#N/A</v>
          </cell>
          <cell r="P1013" t="str">
            <v/>
          </cell>
          <cell r="Q1013" t="str">
            <v/>
          </cell>
          <cell r="R1013">
            <v>90</v>
          </cell>
        </row>
        <row r="1014">
          <cell r="A1014" t="str">
            <v/>
          </cell>
          <cell r="B1014" t="str">
            <v/>
          </cell>
          <cell r="C1014" t="str">
            <v>Future</v>
          </cell>
          <cell r="D1014" t="e">
            <v>#N/A</v>
          </cell>
          <cell r="E1014">
            <v>-56.48842519685082</v>
          </cell>
          <cell r="F1014">
            <v>132.01551181102462</v>
          </cell>
          <cell r="G1014">
            <v>42.251732283464513</v>
          </cell>
          <cell r="H1014">
            <v>42.251732283464513</v>
          </cell>
          <cell r="I1014" t="e">
            <v>#N/A</v>
          </cell>
          <cell r="J1014" t="e">
            <v>#N/A</v>
          </cell>
          <cell r="K1014">
            <v>105</v>
          </cell>
          <cell r="L1014">
            <v>55</v>
          </cell>
          <cell r="M1014" t="e">
            <v>#N/A</v>
          </cell>
          <cell r="N1014">
            <v>90</v>
          </cell>
          <cell r="O1014" t="e">
            <v>#N/A</v>
          </cell>
          <cell r="P1014" t="str">
            <v/>
          </cell>
          <cell r="Q1014" t="str">
            <v/>
          </cell>
          <cell r="R1014">
            <v>90</v>
          </cell>
        </row>
        <row r="1015">
          <cell r="A1015" t="str">
            <v/>
          </cell>
          <cell r="B1015" t="str">
            <v/>
          </cell>
          <cell r="C1015" t="str">
            <v>Future</v>
          </cell>
          <cell r="D1015" t="e">
            <v>#N/A</v>
          </cell>
          <cell r="E1015">
            <v>-56.76807086614216</v>
          </cell>
          <cell r="F1015">
            <v>132.14925196850493</v>
          </cell>
          <cell r="G1015">
            <v>42.188622047244039</v>
          </cell>
          <cell r="H1015">
            <v>42.188622047244039</v>
          </cell>
          <cell r="I1015" t="e">
            <v>#N/A</v>
          </cell>
          <cell r="J1015" t="e">
            <v>#N/A</v>
          </cell>
          <cell r="K1015">
            <v>105</v>
          </cell>
          <cell r="L1015">
            <v>55</v>
          </cell>
          <cell r="M1015" t="e">
            <v>#N/A</v>
          </cell>
          <cell r="N1015">
            <v>90</v>
          </cell>
          <cell r="O1015" t="e">
            <v>#N/A</v>
          </cell>
          <cell r="P1015" t="str">
            <v/>
          </cell>
          <cell r="Q1015" t="str">
            <v/>
          </cell>
          <cell r="R1015">
            <v>90</v>
          </cell>
        </row>
        <row r="1016">
          <cell r="A1016" t="str">
            <v/>
          </cell>
          <cell r="B1016" t="str">
            <v/>
          </cell>
          <cell r="C1016" t="str">
            <v>Future</v>
          </cell>
          <cell r="D1016" t="e">
            <v>#N/A</v>
          </cell>
          <cell r="E1016">
            <v>-57.047716535433501</v>
          </cell>
          <cell r="F1016">
            <v>132.28299212598523</v>
          </cell>
          <cell r="G1016">
            <v>42.125511811023564</v>
          </cell>
          <cell r="H1016">
            <v>42.125511811023564</v>
          </cell>
          <cell r="I1016" t="e">
            <v>#N/A</v>
          </cell>
          <cell r="J1016" t="e">
            <v>#N/A</v>
          </cell>
          <cell r="K1016">
            <v>105</v>
          </cell>
          <cell r="L1016">
            <v>55</v>
          </cell>
          <cell r="M1016" t="e">
            <v>#N/A</v>
          </cell>
          <cell r="N1016">
            <v>90</v>
          </cell>
          <cell r="O1016" t="e">
            <v>#N/A</v>
          </cell>
          <cell r="P1016" t="str">
            <v/>
          </cell>
          <cell r="Q1016" t="str">
            <v/>
          </cell>
          <cell r="R1016">
            <v>90</v>
          </cell>
        </row>
        <row r="1017">
          <cell r="A1017" t="str">
            <v/>
          </cell>
          <cell r="B1017" t="str">
            <v/>
          </cell>
          <cell r="C1017" t="str">
            <v>Future</v>
          </cell>
          <cell r="D1017" t="e">
            <v>#N/A</v>
          </cell>
          <cell r="E1017">
            <v>-57.327362204724842</v>
          </cell>
          <cell r="F1017">
            <v>132.41673228346554</v>
          </cell>
          <cell r="G1017">
            <v>42.06240157480309</v>
          </cell>
          <cell r="H1017">
            <v>42.06240157480309</v>
          </cell>
          <cell r="I1017" t="e">
            <v>#N/A</v>
          </cell>
          <cell r="J1017" t="e">
            <v>#N/A</v>
          </cell>
          <cell r="K1017">
            <v>105</v>
          </cell>
          <cell r="L1017">
            <v>55</v>
          </cell>
          <cell r="M1017" t="e">
            <v>#N/A</v>
          </cell>
          <cell r="N1017">
            <v>90</v>
          </cell>
          <cell r="O1017" t="e">
            <v>#N/A</v>
          </cell>
          <cell r="P1017" t="str">
            <v/>
          </cell>
          <cell r="Q1017" t="str">
            <v/>
          </cell>
          <cell r="R1017">
            <v>90</v>
          </cell>
        </row>
        <row r="1018">
          <cell r="A1018" t="str">
            <v/>
          </cell>
          <cell r="B1018" t="str">
            <v/>
          </cell>
          <cell r="C1018" t="str">
            <v>Future</v>
          </cell>
          <cell r="D1018" t="e">
            <v>#N/A</v>
          </cell>
          <cell r="E1018">
            <v>-57.607007874016183</v>
          </cell>
          <cell r="F1018">
            <v>132.55047244094584</v>
          </cell>
          <cell r="G1018">
            <v>41.999291338582616</v>
          </cell>
          <cell r="H1018">
            <v>41.999291338582616</v>
          </cell>
          <cell r="I1018" t="e">
            <v>#N/A</v>
          </cell>
          <cell r="J1018" t="e">
            <v>#N/A</v>
          </cell>
          <cell r="K1018">
            <v>105</v>
          </cell>
          <cell r="L1018">
            <v>55</v>
          </cell>
          <cell r="M1018" t="e">
            <v>#N/A</v>
          </cell>
          <cell r="N1018">
            <v>90</v>
          </cell>
          <cell r="O1018" t="e">
            <v>#N/A</v>
          </cell>
          <cell r="P1018" t="str">
            <v/>
          </cell>
          <cell r="Q1018" t="str">
            <v/>
          </cell>
          <cell r="R1018">
            <v>90</v>
          </cell>
        </row>
        <row r="1019">
          <cell r="A1019" t="str">
            <v/>
          </cell>
          <cell r="B1019" t="str">
            <v/>
          </cell>
          <cell r="C1019" t="str">
            <v>Future</v>
          </cell>
          <cell r="D1019" t="e">
            <v>#N/A</v>
          </cell>
          <cell r="E1019">
            <v>-57.886653543307524</v>
          </cell>
          <cell r="F1019">
            <v>132.68421259842614</v>
          </cell>
          <cell r="G1019">
            <v>41.936181102362141</v>
          </cell>
          <cell r="H1019">
            <v>41.936181102362141</v>
          </cell>
          <cell r="I1019" t="e">
            <v>#N/A</v>
          </cell>
          <cell r="J1019" t="e">
            <v>#N/A</v>
          </cell>
          <cell r="K1019">
            <v>105</v>
          </cell>
          <cell r="L1019">
            <v>55</v>
          </cell>
          <cell r="M1019" t="e">
            <v>#N/A</v>
          </cell>
          <cell r="N1019">
            <v>90</v>
          </cell>
          <cell r="O1019" t="e">
            <v>#N/A</v>
          </cell>
          <cell r="P1019" t="str">
            <v/>
          </cell>
          <cell r="Q1019" t="str">
            <v/>
          </cell>
          <cell r="R1019">
            <v>90</v>
          </cell>
        </row>
        <row r="1020">
          <cell r="A1020" t="str">
            <v/>
          </cell>
          <cell r="B1020" t="str">
            <v/>
          </cell>
          <cell r="C1020" t="str">
            <v>Future</v>
          </cell>
          <cell r="D1020" t="e">
            <v>#N/A</v>
          </cell>
          <cell r="E1020">
            <v>-58.166299212598865</v>
          </cell>
          <cell r="F1020">
            <v>132.81795275590645</v>
          </cell>
          <cell r="G1020">
            <v>41.873070866141667</v>
          </cell>
          <cell r="H1020">
            <v>41.873070866141667</v>
          </cell>
          <cell r="I1020" t="e">
            <v>#N/A</v>
          </cell>
          <cell r="J1020" t="e">
            <v>#N/A</v>
          </cell>
          <cell r="K1020">
            <v>105</v>
          </cell>
          <cell r="L1020">
            <v>55</v>
          </cell>
          <cell r="M1020" t="e">
            <v>#N/A</v>
          </cell>
          <cell r="N1020">
            <v>90</v>
          </cell>
          <cell r="O1020" t="e">
            <v>#N/A</v>
          </cell>
          <cell r="P1020" t="str">
            <v/>
          </cell>
          <cell r="Q1020" t="str">
            <v/>
          </cell>
          <cell r="R1020">
            <v>90</v>
          </cell>
        </row>
        <row r="1021">
          <cell r="A1021" t="str">
            <v/>
          </cell>
          <cell r="B1021" t="str">
            <v/>
          </cell>
          <cell r="C1021" t="str">
            <v>Future</v>
          </cell>
          <cell r="D1021" t="e">
            <v>#N/A</v>
          </cell>
          <cell r="E1021">
            <v>-58.445944881890206</v>
          </cell>
          <cell r="F1021">
            <v>132.95169291338675</v>
          </cell>
          <cell r="G1021">
            <v>41.809960629921193</v>
          </cell>
          <cell r="H1021">
            <v>41.809960629921193</v>
          </cell>
          <cell r="I1021" t="e">
            <v>#N/A</v>
          </cell>
          <cell r="J1021" t="e">
            <v>#N/A</v>
          </cell>
          <cell r="K1021">
            <v>105</v>
          </cell>
          <cell r="L1021">
            <v>55</v>
          </cell>
          <cell r="M1021" t="e">
            <v>#N/A</v>
          </cell>
          <cell r="N1021">
            <v>90</v>
          </cell>
          <cell r="O1021" t="e">
            <v>#N/A</v>
          </cell>
          <cell r="P1021" t="str">
            <v/>
          </cell>
          <cell r="Q1021" t="str">
            <v/>
          </cell>
          <cell r="R1021">
            <v>90</v>
          </cell>
        </row>
        <row r="1022">
          <cell r="A1022" t="str">
            <v/>
          </cell>
          <cell r="B1022" t="str">
            <v/>
          </cell>
          <cell r="C1022" t="str">
            <v>Future</v>
          </cell>
          <cell r="D1022" t="e">
            <v>#N/A</v>
          </cell>
          <cell r="E1022">
            <v>-58.725590551181547</v>
          </cell>
          <cell r="F1022">
            <v>133.08543307086705</v>
          </cell>
          <cell r="G1022">
            <v>41.746850393700718</v>
          </cell>
          <cell r="H1022">
            <v>41.746850393700718</v>
          </cell>
          <cell r="I1022" t="e">
            <v>#N/A</v>
          </cell>
          <cell r="J1022" t="e">
            <v>#N/A</v>
          </cell>
          <cell r="K1022">
            <v>105</v>
          </cell>
          <cell r="L1022">
            <v>55</v>
          </cell>
          <cell r="M1022" t="e">
            <v>#N/A</v>
          </cell>
          <cell r="N1022">
            <v>90</v>
          </cell>
          <cell r="O1022" t="e">
            <v>#N/A</v>
          </cell>
          <cell r="P1022" t="str">
            <v/>
          </cell>
          <cell r="Q1022" t="str">
            <v/>
          </cell>
          <cell r="R1022">
            <v>90</v>
          </cell>
        </row>
        <row r="1023">
          <cell r="A1023" t="str">
            <v/>
          </cell>
          <cell r="B1023" t="str">
            <v/>
          </cell>
          <cell r="C1023" t="str">
            <v>Future</v>
          </cell>
          <cell r="D1023" t="e">
            <v>#N/A</v>
          </cell>
          <cell r="E1023">
            <v>-59.005236220472888</v>
          </cell>
          <cell r="F1023">
            <v>133.21917322834736</v>
          </cell>
          <cell r="G1023">
            <v>41.683740157480244</v>
          </cell>
          <cell r="H1023">
            <v>41.683740157480244</v>
          </cell>
          <cell r="I1023" t="e">
            <v>#N/A</v>
          </cell>
          <cell r="J1023" t="e">
            <v>#N/A</v>
          </cell>
          <cell r="K1023">
            <v>105</v>
          </cell>
          <cell r="L1023">
            <v>55</v>
          </cell>
          <cell r="M1023" t="e">
            <v>#N/A</v>
          </cell>
          <cell r="N1023">
            <v>90</v>
          </cell>
          <cell r="O1023" t="e">
            <v>#N/A</v>
          </cell>
          <cell r="P1023" t="str">
            <v/>
          </cell>
          <cell r="Q1023" t="str">
            <v/>
          </cell>
          <cell r="R1023">
            <v>90</v>
          </cell>
        </row>
        <row r="1024">
          <cell r="A1024" t="str">
            <v/>
          </cell>
          <cell r="B1024" t="str">
            <v/>
          </cell>
          <cell r="C1024" t="str">
            <v>Future</v>
          </cell>
          <cell r="D1024" t="e">
            <v>#N/A</v>
          </cell>
          <cell r="E1024">
            <v>-59.284881889764229</v>
          </cell>
          <cell r="F1024">
            <v>133.35291338582766</v>
          </cell>
          <cell r="G1024">
            <v>41.62062992125977</v>
          </cell>
          <cell r="H1024">
            <v>41.62062992125977</v>
          </cell>
          <cell r="I1024" t="e">
            <v>#N/A</v>
          </cell>
          <cell r="J1024" t="e">
            <v>#N/A</v>
          </cell>
          <cell r="K1024">
            <v>105</v>
          </cell>
          <cell r="L1024">
            <v>55</v>
          </cell>
          <cell r="M1024" t="e">
            <v>#N/A</v>
          </cell>
          <cell r="N1024">
            <v>90</v>
          </cell>
          <cell r="O1024" t="e">
            <v>#N/A</v>
          </cell>
          <cell r="P1024" t="str">
            <v/>
          </cell>
          <cell r="Q1024" t="str">
            <v/>
          </cell>
          <cell r="R1024">
            <v>90</v>
          </cell>
        </row>
        <row r="1025">
          <cell r="A1025" t="str">
            <v/>
          </cell>
          <cell r="B1025" t="str">
            <v/>
          </cell>
          <cell r="C1025" t="str">
            <v>Future</v>
          </cell>
          <cell r="D1025" t="e">
            <v>#N/A</v>
          </cell>
          <cell r="E1025">
            <v>-59.56452755905557</v>
          </cell>
          <cell r="F1025">
            <v>133.48665354330797</v>
          </cell>
          <cell r="G1025">
            <v>41.557519685039296</v>
          </cell>
          <cell r="H1025">
            <v>41.557519685039296</v>
          </cell>
          <cell r="I1025" t="e">
            <v>#N/A</v>
          </cell>
          <cell r="J1025" t="e">
            <v>#N/A</v>
          </cell>
          <cell r="K1025">
            <v>105</v>
          </cell>
          <cell r="L1025">
            <v>55</v>
          </cell>
          <cell r="M1025" t="e">
            <v>#N/A</v>
          </cell>
          <cell r="N1025">
            <v>90</v>
          </cell>
          <cell r="O1025" t="e">
            <v>#N/A</v>
          </cell>
          <cell r="P1025" t="str">
            <v/>
          </cell>
          <cell r="Q1025" t="str">
            <v/>
          </cell>
          <cell r="R1025">
            <v>90</v>
          </cell>
        </row>
        <row r="1026">
          <cell r="A1026" t="str">
            <v/>
          </cell>
          <cell r="B1026" t="str">
            <v/>
          </cell>
          <cell r="C1026" t="str">
            <v>Future</v>
          </cell>
          <cell r="D1026" t="e">
            <v>#N/A</v>
          </cell>
          <cell r="E1026">
            <v>-59.844173228346911</v>
          </cell>
          <cell r="F1026">
            <v>133.62039370078827</v>
          </cell>
          <cell r="G1026">
            <v>41.494409448818821</v>
          </cell>
          <cell r="H1026">
            <v>41.494409448818821</v>
          </cell>
          <cell r="I1026" t="e">
            <v>#N/A</v>
          </cell>
          <cell r="J1026" t="e">
            <v>#N/A</v>
          </cell>
          <cell r="K1026">
            <v>105</v>
          </cell>
          <cell r="L1026">
            <v>55</v>
          </cell>
          <cell r="M1026" t="e">
            <v>#N/A</v>
          </cell>
          <cell r="N1026">
            <v>90</v>
          </cell>
          <cell r="O1026" t="e">
            <v>#N/A</v>
          </cell>
          <cell r="P1026" t="str">
            <v/>
          </cell>
          <cell r="Q1026" t="str">
            <v/>
          </cell>
          <cell r="R1026">
            <v>90</v>
          </cell>
        </row>
        <row r="1027">
          <cell r="A1027" t="str">
            <v/>
          </cell>
          <cell r="B1027" t="str">
            <v/>
          </cell>
          <cell r="C1027" t="str">
            <v>Future</v>
          </cell>
          <cell r="D1027" t="e">
            <v>#N/A</v>
          </cell>
          <cell r="E1027">
            <v>-60.123818897638252</v>
          </cell>
          <cell r="F1027">
            <v>133.75413385826857</v>
          </cell>
          <cell r="G1027">
            <v>41.431299212598347</v>
          </cell>
          <cell r="H1027">
            <v>41.431299212598347</v>
          </cell>
          <cell r="I1027" t="e">
            <v>#N/A</v>
          </cell>
          <cell r="J1027" t="e">
            <v>#N/A</v>
          </cell>
          <cell r="K1027">
            <v>105</v>
          </cell>
          <cell r="L1027">
            <v>55</v>
          </cell>
          <cell r="M1027" t="e">
            <v>#N/A</v>
          </cell>
          <cell r="N1027">
            <v>90</v>
          </cell>
          <cell r="O1027" t="e">
            <v>#N/A</v>
          </cell>
          <cell r="P1027" t="str">
            <v/>
          </cell>
          <cell r="Q1027" t="str">
            <v/>
          </cell>
          <cell r="R1027">
            <v>90</v>
          </cell>
        </row>
        <row r="1028">
          <cell r="A1028" t="str">
            <v/>
          </cell>
          <cell r="B1028" t="str">
            <v/>
          </cell>
          <cell r="C1028" t="str">
            <v>Future</v>
          </cell>
          <cell r="D1028" t="e">
            <v>#N/A</v>
          </cell>
          <cell r="E1028">
            <v>-60.403464566929593</v>
          </cell>
          <cell r="F1028">
            <v>133.88787401574888</v>
          </cell>
          <cell r="G1028">
            <v>41.368188976377873</v>
          </cell>
          <cell r="H1028">
            <v>41.368188976377873</v>
          </cell>
          <cell r="I1028" t="e">
            <v>#N/A</v>
          </cell>
          <cell r="J1028" t="e">
            <v>#N/A</v>
          </cell>
          <cell r="K1028">
            <v>105</v>
          </cell>
          <cell r="L1028">
            <v>55</v>
          </cell>
          <cell r="M1028" t="e">
            <v>#N/A</v>
          </cell>
          <cell r="N1028">
            <v>90</v>
          </cell>
          <cell r="O1028" t="e">
            <v>#N/A</v>
          </cell>
          <cell r="P1028" t="str">
            <v/>
          </cell>
          <cell r="Q1028" t="str">
            <v/>
          </cell>
          <cell r="R1028">
            <v>90</v>
          </cell>
        </row>
        <row r="1029">
          <cell r="A1029" t="str">
            <v/>
          </cell>
          <cell r="B1029" t="str">
            <v/>
          </cell>
          <cell r="C1029" t="str">
            <v>Future</v>
          </cell>
          <cell r="D1029" t="e">
            <v>#N/A</v>
          </cell>
          <cell r="E1029">
            <v>-60.683110236220934</v>
          </cell>
          <cell r="F1029">
            <v>134.02161417322918</v>
          </cell>
          <cell r="G1029">
            <v>41.305078740157398</v>
          </cell>
          <cell r="H1029">
            <v>41.305078740157398</v>
          </cell>
          <cell r="I1029" t="e">
            <v>#N/A</v>
          </cell>
          <cell r="J1029" t="e">
            <v>#N/A</v>
          </cell>
          <cell r="K1029">
            <v>105</v>
          </cell>
          <cell r="L1029">
            <v>55</v>
          </cell>
          <cell r="M1029" t="e">
            <v>#N/A</v>
          </cell>
          <cell r="N1029">
            <v>90</v>
          </cell>
          <cell r="O1029" t="e">
            <v>#N/A</v>
          </cell>
          <cell r="P1029" t="str">
            <v/>
          </cell>
          <cell r="Q1029" t="str">
            <v/>
          </cell>
          <cell r="R1029">
            <v>90</v>
          </cell>
        </row>
        <row r="1030">
          <cell r="A1030" t="str">
            <v/>
          </cell>
          <cell r="B1030" t="str">
            <v/>
          </cell>
          <cell r="C1030" t="str">
            <v>Future</v>
          </cell>
          <cell r="D1030" t="e">
            <v>#N/A</v>
          </cell>
          <cell r="E1030">
            <v>-60.962755905512275</v>
          </cell>
          <cell r="F1030">
            <v>134.15535433070949</v>
          </cell>
          <cell r="G1030">
            <v>41.241968503936924</v>
          </cell>
          <cell r="H1030">
            <v>41.241968503936924</v>
          </cell>
          <cell r="I1030" t="e">
            <v>#N/A</v>
          </cell>
          <cell r="J1030" t="e">
            <v>#N/A</v>
          </cell>
          <cell r="K1030">
            <v>105</v>
          </cell>
          <cell r="L1030">
            <v>55</v>
          </cell>
          <cell r="M1030" t="e">
            <v>#N/A</v>
          </cell>
          <cell r="N1030">
            <v>90</v>
          </cell>
          <cell r="O1030" t="e">
            <v>#N/A</v>
          </cell>
          <cell r="P1030" t="str">
            <v/>
          </cell>
          <cell r="Q1030" t="str">
            <v/>
          </cell>
          <cell r="R1030">
            <v>90</v>
          </cell>
        </row>
        <row r="1031">
          <cell r="A1031" t="str">
            <v/>
          </cell>
          <cell r="B1031" t="str">
            <v/>
          </cell>
          <cell r="C1031" t="str">
            <v>Future</v>
          </cell>
          <cell r="D1031" t="e">
            <v>#N/A</v>
          </cell>
          <cell r="E1031">
            <v>-61.242401574803615</v>
          </cell>
          <cell r="F1031">
            <v>134.28909448818979</v>
          </cell>
          <cell r="G1031">
            <v>41.17885826771645</v>
          </cell>
          <cell r="H1031">
            <v>41.17885826771645</v>
          </cell>
          <cell r="I1031" t="e">
            <v>#N/A</v>
          </cell>
          <cell r="J1031" t="e">
            <v>#N/A</v>
          </cell>
          <cell r="K1031">
            <v>105</v>
          </cell>
          <cell r="L1031">
            <v>55</v>
          </cell>
          <cell r="M1031" t="e">
            <v>#N/A</v>
          </cell>
          <cell r="N1031">
            <v>90</v>
          </cell>
          <cell r="O1031" t="e">
            <v>#N/A</v>
          </cell>
          <cell r="P1031" t="str">
            <v/>
          </cell>
          <cell r="Q1031" t="str">
            <v/>
          </cell>
          <cell r="R1031">
            <v>90</v>
          </cell>
        </row>
        <row r="1032">
          <cell r="A1032" t="str">
            <v/>
          </cell>
          <cell r="B1032" t="str">
            <v/>
          </cell>
          <cell r="C1032" t="str">
            <v>Future</v>
          </cell>
          <cell r="D1032" t="e">
            <v>#N/A</v>
          </cell>
          <cell r="E1032">
            <v>-61.522047244094956</v>
          </cell>
          <cell r="F1032">
            <v>134.42283464567009</v>
          </cell>
          <cell r="G1032">
            <v>41.115748031495976</v>
          </cell>
          <cell r="H1032">
            <v>41.115748031495976</v>
          </cell>
          <cell r="I1032" t="e">
            <v>#N/A</v>
          </cell>
          <cell r="J1032" t="e">
            <v>#N/A</v>
          </cell>
          <cell r="K1032">
            <v>105</v>
          </cell>
          <cell r="L1032">
            <v>55</v>
          </cell>
          <cell r="M1032" t="e">
            <v>#N/A</v>
          </cell>
          <cell r="N1032">
            <v>90</v>
          </cell>
          <cell r="O1032" t="e">
            <v>#N/A</v>
          </cell>
          <cell r="P1032" t="str">
            <v/>
          </cell>
          <cell r="Q1032" t="str">
            <v/>
          </cell>
          <cell r="R1032">
            <v>90</v>
          </cell>
        </row>
        <row r="1033">
          <cell r="A1033" t="str">
            <v/>
          </cell>
          <cell r="B1033" t="str">
            <v/>
          </cell>
          <cell r="C1033" t="str">
            <v>Future</v>
          </cell>
          <cell r="D1033" t="e">
            <v>#N/A</v>
          </cell>
          <cell r="E1033">
            <v>-61.801692913386297</v>
          </cell>
          <cell r="F1033">
            <v>134.5565748031504</v>
          </cell>
          <cell r="G1033">
            <v>41.052637795275501</v>
          </cell>
          <cell r="H1033">
            <v>41.052637795275501</v>
          </cell>
          <cell r="I1033" t="e">
            <v>#N/A</v>
          </cell>
          <cell r="J1033" t="e">
            <v>#N/A</v>
          </cell>
          <cell r="K1033">
            <v>105</v>
          </cell>
          <cell r="L1033">
            <v>55</v>
          </cell>
          <cell r="M1033" t="e">
            <v>#N/A</v>
          </cell>
          <cell r="N1033">
            <v>90</v>
          </cell>
          <cell r="O1033" t="e">
            <v>#N/A</v>
          </cell>
          <cell r="P1033" t="str">
            <v/>
          </cell>
          <cell r="Q1033" t="str">
            <v/>
          </cell>
          <cell r="R1033">
            <v>90</v>
          </cell>
        </row>
        <row r="1034">
          <cell r="A1034" t="str">
            <v/>
          </cell>
          <cell r="B1034" t="str">
            <v/>
          </cell>
          <cell r="C1034" t="str">
            <v>Future</v>
          </cell>
          <cell r="D1034" t="e">
            <v>#N/A</v>
          </cell>
          <cell r="E1034">
            <v>-62.081338582677638</v>
          </cell>
          <cell r="F1034">
            <v>134.6903149606307</v>
          </cell>
          <cell r="G1034">
            <v>40.989527559055027</v>
          </cell>
          <cell r="H1034">
            <v>40.989527559055027</v>
          </cell>
          <cell r="I1034" t="e">
            <v>#N/A</v>
          </cell>
          <cell r="J1034" t="e">
            <v>#N/A</v>
          </cell>
          <cell r="K1034">
            <v>105</v>
          </cell>
          <cell r="L1034">
            <v>55</v>
          </cell>
          <cell r="M1034" t="e">
            <v>#N/A</v>
          </cell>
          <cell r="N1034">
            <v>90</v>
          </cell>
          <cell r="O1034" t="e">
            <v>#N/A</v>
          </cell>
          <cell r="P1034" t="str">
            <v/>
          </cell>
          <cell r="Q1034" t="str">
            <v/>
          </cell>
          <cell r="R1034">
            <v>90</v>
          </cell>
        </row>
        <row r="1035">
          <cell r="A1035" t="str">
            <v/>
          </cell>
          <cell r="B1035" t="str">
            <v/>
          </cell>
          <cell r="C1035" t="str">
            <v>Future</v>
          </cell>
          <cell r="D1035" t="e">
            <v>#N/A</v>
          </cell>
          <cell r="E1035">
            <v>-62.360984251968979</v>
          </cell>
          <cell r="F1035">
            <v>134.824055118111</v>
          </cell>
          <cell r="G1035">
            <v>40.926417322834553</v>
          </cell>
          <cell r="H1035">
            <v>40.926417322834553</v>
          </cell>
          <cell r="I1035" t="e">
            <v>#N/A</v>
          </cell>
          <cell r="J1035" t="e">
            <v>#N/A</v>
          </cell>
          <cell r="K1035">
            <v>105</v>
          </cell>
          <cell r="L1035">
            <v>55</v>
          </cell>
          <cell r="M1035" t="e">
            <v>#N/A</v>
          </cell>
          <cell r="N1035">
            <v>90</v>
          </cell>
          <cell r="O1035" t="e">
            <v>#N/A</v>
          </cell>
          <cell r="P1035" t="str">
            <v/>
          </cell>
          <cell r="Q1035" t="str">
            <v/>
          </cell>
          <cell r="R1035">
            <v>90</v>
          </cell>
        </row>
        <row r="1036">
          <cell r="A1036" t="str">
            <v/>
          </cell>
          <cell r="B1036" t="str">
            <v/>
          </cell>
          <cell r="C1036" t="str">
            <v>Future</v>
          </cell>
          <cell r="D1036" t="e">
            <v>#N/A</v>
          </cell>
          <cell r="E1036">
            <v>-62.64062992126032</v>
          </cell>
          <cell r="F1036">
            <v>134.95779527559131</v>
          </cell>
          <cell r="G1036">
            <v>40.863307086614078</v>
          </cell>
          <cell r="H1036">
            <v>40.863307086614078</v>
          </cell>
          <cell r="I1036" t="e">
            <v>#N/A</v>
          </cell>
          <cell r="J1036" t="e">
            <v>#N/A</v>
          </cell>
          <cell r="K1036">
            <v>105</v>
          </cell>
          <cell r="L1036">
            <v>55</v>
          </cell>
          <cell r="M1036" t="e">
            <v>#N/A</v>
          </cell>
          <cell r="N1036">
            <v>90</v>
          </cell>
          <cell r="O1036" t="e">
            <v>#N/A</v>
          </cell>
          <cell r="P1036" t="str">
            <v/>
          </cell>
          <cell r="Q1036" t="str">
            <v/>
          </cell>
          <cell r="R1036">
            <v>90</v>
          </cell>
        </row>
        <row r="1037">
          <cell r="A1037" t="str">
            <v/>
          </cell>
          <cell r="B1037" t="str">
            <v/>
          </cell>
          <cell r="C1037" t="str">
            <v>Future</v>
          </cell>
          <cell r="D1037" t="e">
            <v>#N/A</v>
          </cell>
          <cell r="E1037">
            <v>-62.920275590551661</v>
          </cell>
          <cell r="F1037">
            <v>135.09153543307161</v>
          </cell>
          <cell r="G1037">
            <v>40.800196850393604</v>
          </cell>
          <cell r="H1037">
            <v>40.800196850393604</v>
          </cell>
          <cell r="I1037" t="e">
            <v>#N/A</v>
          </cell>
          <cell r="J1037" t="e">
            <v>#N/A</v>
          </cell>
          <cell r="K1037">
            <v>105</v>
          </cell>
          <cell r="L1037">
            <v>55</v>
          </cell>
          <cell r="M1037" t="e">
            <v>#N/A</v>
          </cell>
          <cell r="N1037">
            <v>90</v>
          </cell>
          <cell r="O1037" t="e">
            <v>#N/A</v>
          </cell>
          <cell r="P1037" t="str">
            <v/>
          </cell>
          <cell r="Q1037" t="str">
            <v/>
          </cell>
          <cell r="R1037">
            <v>90</v>
          </cell>
        </row>
        <row r="1038">
          <cell r="A1038" t="str">
            <v/>
          </cell>
          <cell r="B1038" t="str">
            <v/>
          </cell>
          <cell r="C1038" t="str">
            <v>Future</v>
          </cell>
          <cell r="D1038" t="e">
            <v>#N/A</v>
          </cell>
          <cell r="E1038">
            <v>-63.199921259843002</v>
          </cell>
          <cell r="F1038">
            <v>135.22527559055192</v>
          </cell>
          <cell r="G1038">
            <v>40.73708661417313</v>
          </cell>
          <cell r="H1038">
            <v>40.73708661417313</v>
          </cell>
          <cell r="I1038" t="e">
            <v>#N/A</v>
          </cell>
          <cell r="J1038" t="e">
            <v>#N/A</v>
          </cell>
          <cell r="K1038">
            <v>105</v>
          </cell>
          <cell r="L1038">
            <v>55</v>
          </cell>
          <cell r="M1038" t="e">
            <v>#N/A</v>
          </cell>
          <cell r="N1038">
            <v>90</v>
          </cell>
          <cell r="O1038" t="e">
            <v>#N/A</v>
          </cell>
          <cell r="P1038" t="str">
            <v/>
          </cell>
          <cell r="Q1038" t="str">
            <v/>
          </cell>
          <cell r="R1038">
            <v>90</v>
          </cell>
        </row>
        <row r="1039">
          <cell r="A1039" t="str">
            <v/>
          </cell>
          <cell r="B1039" t="str">
            <v/>
          </cell>
          <cell r="C1039" t="str">
            <v>Future</v>
          </cell>
          <cell r="D1039" t="e">
            <v>#N/A</v>
          </cell>
          <cell r="E1039">
            <v>-63.479566929134343</v>
          </cell>
          <cell r="F1039">
            <v>135.35901574803222</v>
          </cell>
          <cell r="G1039">
            <v>40.673976377952656</v>
          </cell>
          <cell r="H1039">
            <v>40.673976377952656</v>
          </cell>
          <cell r="I1039" t="e">
            <v>#N/A</v>
          </cell>
          <cell r="J1039" t="e">
            <v>#N/A</v>
          </cell>
          <cell r="K1039">
            <v>105</v>
          </cell>
          <cell r="L1039">
            <v>55</v>
          </cell>
          <cell r="M1039" t="e">
            <v>#N/A</v>
          </cell>
          <cell r="N1039">
            <v>90</v>
          </cell>
          <cell r="O1039" t="e">
            <v>#N/A</v>
          </cell>
          <cell r="P1039" t="str">
            <v/>
          </cell>
          <cell r="Q1039" t="str">
            <v/>
          </cell>
          <cell r="R1039">
            <v>90</v>
          </cell>
        </row>
        <row r="1040">
          <cell r="A1040" t="str">
            <v/>
          </cell>
          <cell r="B1040" t="str">
            <v/>
          </cell>
          <cell r="C1040" t="str">
            <v>Future</v>
          </cell>
          <cell r="D1040" t="e">
            <v>#N/A</v>
          </cell>
          <cell r="E1040">
            <v>-63.759212598425684</v>
          </cell>
          <cell r="F1040">
            <v>135.49275590551252</v>
          </cell>
          <cell r="G1040">
            <v>40.610866141732181</v>
          </cell>
          <cell r="H1040">
            <v>40.610866141732181</v>
          </cell>
          <cell r="I1040" t="e">
            <v>#N/A</v>
          </cell>
          <cell r="J1040" t="e">
            <v>#N/A</v>
          </cell>
          <cell r="K1040">
            <v>105</v>
          </cell>
          <cell r="L1040">
            <v>55</v>
          </cell>
          <cell r="M1040" t="e">
            <v>#N/A</v>
          </cell>
          <cell r="N1040">
            <v>90</v>
          </cell>
          <cell r="O1040" t="e">
            <v>#N/A</v>
          </cell>
          <cell r="P1040" t="str">
            <v/>
          </cell>
          <cell r="Q1040" t="str">
            <v/>
          </cell>
          <cell r="R1040">
            <v>90</v>
          </cell>
        </row>
        <row r="1041">
          <cell r="A1041" t="str">
            <v/>
          </cell>
          <cell r="B1041" t="str">
            <v/>
          </cell>
          <cell r="C1041" t="str">
            <v>Future</v>
          </cell>
          <cell r="D1041" t="e">
            <v>#N/A</v>
          </cell>
          <cell r="E1041">
            <v>-64.038858267717018</v>
          </cell>
          <cell r="F1041">
            <v>135.62649606299283</v>
          </cell>
          <cell r="G1041">
            <v>40.547755905511707</v>
          </cell>
          <cell r="H1041">
            <v>40.547755905511707</v>
          </cell>
          <cell r="I1041" t="e">
            <v>#N/A</v>
          </cell>
          <cell r="J1041" t="e">
            <v>#N/A</v>
          </cell>
          <cell r="K1041">
            <v>105</v>
          </cell>
          <cell r="L1041">
            <v>55</v>
          </cell>
          <cell r="M1041" t="e">
            <v>#N/A</v>
          </cell>
          <cell r="N1041">
            <v>90</v>
          </cell>
          <cell r="O1041" t="e">
            <v>#N/A</v>
          </cell>
          <cell r="P1041" t="str">
            <v/>
          </cell>
          <cell r="Q1041" t="str">
            <v/>
          </cell>
          <cell r="R1041">
            <v>90</v>
          </cell>
        </row>
        <row r="1042">
          <cell r="A1042" t="str">
            <v/>
          </cell>
          <cell r="B1042" t="str">
            <v/>
          </cell>
          <cell r="C1042" t="str">
            <v>Future</v>
          </cell>
          <cell r="D1042" t="e">
            <v>#N/A</v>
          </cell>
          <cell r="E1042">
            <v>-64.318503937008359</v>
          </cell>
          <cell r="F1042">
            <v>135.76023622047313</v>
          </cell>
          <cell r="G1042">
            <v>40.484645669291233</v>
          </cell>
          <cell r="H1042">
            <v>40.484645669291233</v>
          </cell>
          <cell r="I1042" t="e">
            <v>#N/A</v>
          </cell>
          <cell r="J1042" t="e">
            <v>#N/A</v>
          </cell>
          <cell r="K1042">
            <v>105</v>
          </cell>
          <cell r="L1042">
            <v>55</v>
          </cell>
          <cell r="M1042" t="e">
            <v>#N/A</v>
          </cell>
          <cell r="N1042">
            <v>90</v>
          </cell>
          <cell r="O1042" t="e">
            <v>#N/A</v>
          </cell>
          <cell r="P1042" t="str">
            <v/>
          </cell>
          <cell r="Q1042" t="str">
            <v/>
          </cell>
          <cell r="R1042">
            <v>90</v>
          </cell>
        </row>
        <row r="1043">
          <cell r="A1043" t="str">
            <v/>
          </cell>
          <cell r="B1043" t="str">
            <v/>
          </cell>
          <cell r="C1043" t="str">
            <v>Future</v>
          </cell>
          <cell r="D1043" t="e">
            <v>#N/A</v>
          </cell>
          <cell r="E1043">
            <v>-64.5981496062997</v>
          </cell>
          <cell r="F1043">
            <v>135.89397637795344</v>
          </cell>
          <cell r="G1043">
            <v>40.421535433070758</v>
          </cell>
          <cell r="H1043">
            <v>40.421535433070758</v>
          </cell>
          <cell r="I1043" t="e">
            <v>#N/A</v>
          </cell>
          <cell r="J1043" t="e">
            <v>#N/A</v>
          </cell>
          <cell r="K1043">
            <v>105</v>
          </cell>
          <cell r="L1043">
            <v>55</v>
          </cell>
          <cell r="M1043" t="e">
            <v>#N/A</v>
          </cell>
          <cell r="N1043">
            <v>90</v>
          </cell>
          <cell r="O1043" t="e">
            <v>#N/A</v>
          </cell>
          <cell r="P1043" t="str">
            <v/>
          </cell>
          <cell r="Q1043" t="str">
            <v/>
          </cell>
          <cell r="R1043">
            <v>90</v>
          </cell>
        </row>
        <row r="1044">
          <cell r="A1044" t="str">
            <v/>
          </cell>
          <cell r="B1044" t="str">
            <v/>
          </cell>
          <cell r="C1044" t="str">
            <v>Future</v>
          </cell>
          <cell r="D1044" t="e">
            <v>#N/A</v>
          </cell>
          <cell r="E1044">
            <v>-64.877795275591041</v>
          </cell>
          <cell r="F1044">
            <v>136.02771653543374</v>
          </cell>
          <cell r="G1044">
            <v>40.358425196850284</v>
          </cell>
          <cell r="H1044">
            <v>40.358425196850284</v>
          </cell>
          <cell r="I1044" t="e">
            <v>#N/A</v>
          </cell>
          <cell r="J1044" t="e">
            <v>#N/A</v>
          </cell>
          <cell r="K1044">
            <v>105</v>
          </cell>
          <cell r="L1044">
            <v>55</v>
          </cell>
          <cell r="M1044" t="e">
            <v>#N/A</v>
          </cell>
          <cell r="N1044">
            <v>90</v>
          </cell>
          <cell r="O1044" t="e">
            <v>#N/A</v>
          </cell>
          <cell r="P1044" t="str">
            <v/>
          </cell>
          <cell r="Q1044" t="str">
            <v/>
          </cell>
          <cell r="R1044">
            <v>90</v>
          </cell>
        </row>
        <row r="1045">
          <cell r="A1045" t="str">
            <v/>
          </cell>
          <cell r="B1045" t="str">
            <v/>
          </cell>
          <cell r="C1045" t="str">
            <v>Future</v>
          </cell>
          <cell r="D1045" t="e">
            <v>#N/A</v>
          </cell>
          <cell r="E1045">
            <v>-65.157440944882381</v>
          </cell>
          <cell r="F1045">
            <v>136.16145669291404</v>
          </cell>
          <cell r="G1045">
            <v>40.29531496062981</v>
          </cell>
          <cell r="H1045">
            <v>40.29531496062981</v>
          </cell>
          <cell r="I1045" t="e">
            <v>#N/A</v>
          </cell>
          <cell r="J1045" t="e">
            <v>#N/A</v>
          </cell>
          <cell r="K1045">
            <v>105</v>
          </cell>
          <cell r="L1045">
            <v>55</v>
          </cell>
          <cell r="M1045" t="e">
            <v>#N/A</v>
          </cell>
          <cell r="N1045">
            <v>90</v>
          </cell>
          <cell r="O1045" t="e">
            <v>#N/A</v>
          </cell>
          <cell r="P1045" t="str">
            <v/>
          </cell>
          <cell r="Q1045" t="str">
            <v/>
          </cell>
          <cell r="R1045">
            <v>90</v>
          </cell>
        </row>
        <row r="1046">
          <cell r="A1046" t="str">
            <v/>
          </cell>
          <cell r="B1046" t="str">
            <v/>
          </cell>
          <cell r="C1046" t="str">
            <v>Future</v>
          </cell>
          <cell r="D1046" t="e">
            <v>#N/A</v>
          </cell>
          <cell r="E1046">
            <v>-65.437086614173722</v>
          </cell>
          <cell r="F1046">
            <v>136.29519685039435</v>
          </cell>
          <cell r="G1046">
            <v>40.232204724409335</v>
          </cell>
          <cell r="H1046">
            <v>40.232204724409335</v>
          </cell>
          <cell r="I1046" t="e">
            <v>#N/A</v>
          </cell>
          <cell r="J1046" t="e">
            <v>#N/A</v>
          </cell>
          <cell r="K1046">
            <v>105</v>
          </cell>
          <cell r="L1046">
            <v>55</v>
          </cell>
          <cell r="M1046" t="e">
            <v>#N/A</v>
          </cell>
          <cell r="N1046">
            <v>90</v>
          </cell>
          <cell r="O1046" t="e">
            <v>#N/A</v>
          </cell>
          <cell r="P1046" t="str">
            <v/>
          </cell>
          <cell r="Q1046" t="str">
            <v/>
          </cell>
          <cell r="R1046">
            <v>90</v>
          </cell>
        </row>
        <row r="1047">
          <cell r="A1047" t="str">
            <v/>
          </cell>
          <cell r="B1047" t="str">
            <v/>
          </cell>
          <cell r="C1047" t="str">
            <v>Future</v>
          </cell>
          <cell r="D1047" t="e">
            <v>#N/A</v>
          </cell>
          <cell r="E1047">
            <v>-65.716732283465063</v>
          </cell>
          <cell r="F1047">
            <v>136.42893700787465</v>
          </cell>
          <cell r="G1047">
            <v>40.169094488188861</v>
          </cell>
          <cell r="H1047">
            <v>40.169094488188861</v>
          </cell>
          <cell r="I1047" t="e">
            <v>#N/A</v>
          </cell>
          <cell r="J1047" t="e">
            <v>#N/A</v>
          </cell>
          <cell r="K1047">
            <v>105</v>
          </cell>
          <cell r="L1047">
            <v>55</v>
          </cell>
          <cell r="M1047" t="e">
            <v>#N/A</v>
          </cell>
          <cell r="N1047">
            <v>90</v>
          </cell>
          <cell r="O1047" t="e">
            <v>#N/A</v>
          </cell>
          <cell r="P1047" t="str">
            <v/>
          </cell>
          <cell r="Q1047" t="str">
            <v/>
          </cell>
          <cell r="R1047">
            <v>90</v>
          </cell>
        </row>
        <row r="1048">
          <cell r="A1048" t="str">
            <v/>
          </cell>
          <cell r="B1048" t="str">
            <v/>
          </cell>
          <cell r="C1048" t="str">
            <v>Future</v>
          </cell>
          <cell r="D1048" t="e">
            <v>#N/A</v>
          </cell>
          <cell r="E1048">
            <v>-65.996377952756404</v>
          </cell>
          <cell r="F1048">
            <v>136.56267716535496</v>
          </cell>
          <cell r="G1048">
            <v>40.105984251968387</v>
          </cell>
          <cell r="H1048">
            <v>40.105984251968387</v>
          </cell>
          <cell r="I1048" t="e">
            <v>#N/A</v>
          </cell>
          <cell r="J1048" t="e">
            <v>#N/A</v>
          </cell>
          <cell r="K1048">
            <v>105</v>
          </cell>
          <cell r="L1048">
            <v>55</v>
          </cell>
          <cell r="M1048" t="e">
            <v>#N/A</v>
          </cell>
          <cell r="N1048">
            <v>90</v>
          </cell>
          <cell r="O1048" t="e">
            <v>#N/A</v>
          </cell>
          <cell r="P1048" t="str">
            <v/>
          </cell>
          <cell r="Q1048" t="str">
            <v/>
          </cell>
          <cell r="R1048">
            <v>90</v>
          </cell>
        </row>
        <row r="1049">
          <cell r="A1049" t="str">
            <v/>
          </cell>
          <cell r="B1049" t="str">
            <v/>
          </cell>
          <cell r="C1049" t="str">
            <v>Future</v>
          </cell>
          <cell r="D1049" t="e">
            <v>#N/A</v>
          </cell>
          <cell r="E1049">
            <v>-66.276023622047745</v>
          </cell>
          <cell r="F1049">
            <v>136.69641732283526</v>
          </cell>
          <cell r="G1049">
            <v>40.042874015747913</v>
          </cell>
          <cell r="H1049">
            <v>40.042874015747913</v>
          </cell>
          <cell r="I1049" t="e">
            <v>#N/A</v>
          </cell>
          <cell r="J1049" t="e">
            <v>#N/A</v>
          </cell>
          <cell r="K1049">
            <v>105</v>
          </cell>
          <cell r="L1049">
            <v>55</v>
          </cell>
          <cell r="M1049" t="e">
            <v>#N/A</v>
          </cell>
          <cell r="N1049">
            <v>90</v>
          </cell>
          <cell r="O1049" t="e">
            <v>#N/A</v>
          </cell>
          <cell r="P1049" t="str">
            <v/>
          </cell>
          <cell r="Q1049" t="str">
            <v/>
          </cell>
          <cell r="R1049">
            <v>90</v>
          </cell>
        </row>
        <row r="1050">
          <cell r="A1050" t="str">
            <v/>
          </cell>
          <cell r="B1050" t="str">
            <v/>
          </cell>
          <cell r="C1050" t="str">
            <v>Future</v>
          </cell>
          <cell r="D1050" t="e">
            <v>#N/A</v>
          </cell>
          <cell r="E1050">
            <v>-66.555669291339086</v>
          </cell>
          <cell r="F1050">
            <v>136.83015748031556</v>
          </cell>
          <cell r="G1050">
            <v>39.979763779527438</v>
          </cell>
          <cell r="H1050">
            <v>39.979763779527438</v>
          </cell>
          <cell r="I1050" t="e">
            <v>#N/A</v>
          </cell>
          <cell r="J1050" t="e">
            <v>#N/A</v>
          </cell>
          <cell r="K1050">
            <v>105</v>
          </cell>
          <cell r="L1050">
            <v>55</v>
          </cell>
          <cell r="M1050" t="e">
            <v>#N/A</v>
          </cell>
          <cell r="N1050">
            <v>90</v>
          </cell>
          <cell r="O1050" t="e">
            <v>#N/A</v>
          </cell>
          <cell r="P1050" t="str">
            <v/>
          </cell>
          <cell r="Q1050" t="str">
            <v/>
          </cell>
          <cell r="R1050">
            <v>90</v>
          </cell>
        </row>
        <row r="1051">
          <cell r="A1051" t="str">
            <v/>
          </cell>
          <cell r="B1051" t="str">
            <v/>
          </cell>
          <cell r="C1051" t="str">
            <v>Future</v>
          </cell>
          <cell r="D1051" t="e">
            <v>#N/A</v>
          </cell>
          <cell r="E1051">
            <v>-66.835314960630427</v>
          </cell>
          <cell r="F1051">
            <v>136.96389763779587</v>
          </cell>
          <cell r="G1051">
            <v>39.916653543306964</v>
          </cell>
          <cell r="H1051">
            <v>39.916653543306964</v>
          </cell>
          <cell r="I1051" t="e">
            <v>#N/A</v>
          </cell>
          <cell r="J1051" t="e">
            <v>#N/A</v>
          </cell>
          <cell r="K1051">
            <v>105</v>
          </cell>
          <cell r="L1051">
            <v>55</v>
          </cell>
          <cell r="M1051" t="e">
            <v>#N/A</v>
          </cell>
          <cell r="N1051">
            <v>90</v>
          </cell>
          <cell r="O1051" t="e">
            <v>#N/A</v>
          </cell>
          <cell r="P1051" t="str">
            <v/>
          </cell>
          <cell r="Q1051" t="str">
            <v/>
          </cell>
          <cell r="R1051">
            <v>90</v>
          </cell>
        </row>
        <row r="1052">
          <cell r="A1052" t="str">
            <v/>
          </cell>
          <cell r="B1052" t="str">
            <v/>
          </cell>
          <cell r="C1052" t="str">
            <v>Future</v>
          </cell>
          <cell r="D1052" t="e">
            <v>#N/A</v>
          </cell>
          <cell r="E1052">
            <v>-67.114960629921768</v>
          </cell>
          <cell r="F1052">
            <v>137.09763779527617</v>
          </cell>
          <cell r="G1052">
            <v>39.85354330708649</v>
          </cell>
          <cell r="H1052">
            <v>39.85354330708649</v>
          </cell>
          <cell r="I1052" t="e">
            <v>#N/A</v>
          </cell>
          <cell r="J1052" t="e">
            <v>#N/A</v>
          </cell>
          <cell r="K1052">
            <v>105</v>
          </cell>
          <cell r="L1052">
            <v>55</v>
          </cell>
          <cell r="M1052" t="e">
            <v>#N/A</v>
          </cell>
          <cell r="N1052">
            <v>90</v>
          </cell>
          <cell r="O1052" t="e">
            <v>#N/A</v>
          </cell>
          <cell r="P1052" t="str">
            <v/>
          </cell>
          <cell r="Q1052" t="str">
            <v/>
          </cell>
          <cell r="R1052">
            <v>90</v>
          </cell>
        </row>
        <row r="1053">
          <cell r="A1053" t="str">
            <v/>
          </cell>
          <cell r="B1053" t="str">
            <v/>
          </cell>
          <cell r="C1053" t="str">
            <v>Future</v>
          </cell>
          <cell r="D1053" t="e">
            <v>#N/A</v>
          </cell>
          <cell r="E1053">
            <v>-67.394606299213109</v>
          </cell>
          <cell r="F1053">
            <v>137.23137795275647</v>
          </cell>
          <cell r="G1053">
            <v>39.790433070866015</v>
          </cell>
          <cell r="H1053">
            <v>39.790433070866015</v>
          </cell>
          <cell r="I1053" t="e">
            <v>#N/A</v>
          </cell>
          <cell r="J1053" t="e">
            <v>#N/A</v>
          </cell>
          <cell r="K1053">
            <v>105</v>
          </cell>
          <cell r="L1053">
            <v>55</v>
          </cell>
          <cell r="M1053" t="e">
            <v>#N/A</v>
          </cell>
          <cell r="N1053">
            <v>90</v>
          </cell>
          <cell r="O1053" t="e">
            <v>#N/A</v>
          </cell>
          <cell r="P1053" t="str">
            <v/>
          </cell>
          <cell r="Q1053" t="str">
            <v/>
          </cell>
          <cell r="R1053">
            <v>90</v>
          </cell>
        </row>
        <row r="1054">
          <cell r="A1054" t="str">
            <v/>
          </cell>
          <cell r="B1054" t="str">
            <v/>
          </cell>
          <cell r="C1054" t="str">
            <v>Future</v>
          </cell>
          <cell r="D1054" t="e">
            <v>#N/A</v>
          </cell>
          <cell r="E1054">
            <v>-67.67425196850445</v>
          </cell>
          <cell r="F1054">
            <v>137.36511811023678</v>
          </cell>
          <cell r="G1054">
            <v>39.727322834645541</v>
          </cell>
          <cell r="H1054">
            <v>39.727322834645541</v>
          </cell>
          <cell r="I1054" t="e">
            <v>#N/A</v>
          </cell>
          <cell r="J1054" t="e">
            <v>#N/A</v>
          </cell>
          <cell r="K1054">
            <v>105</v>
          </cell>
          <cell r="L1054">
            <v>55</v>
          </cell>
          <cell r="M1054" t="e">
            <v>#N/A</v>
          </cell>
          <cell r="N1054">
            <v>90</v>
          </cell>
          <cell r="O1054" t="e">
            <v>#N/A</v>
          </cell>
          <cell r="P1054" t="str">
            <v/>
          </cell>
          <cell r="Q1054" t="str">
            <v/>
          </cell>
          <cell r="R1054">
            <v>90</v>
          </cell>
        </row>
        <row r="1055">
          <cell r="A1055" t="str">
            <v/>
          </cell>
          <cell r="B1055" t="str">
            <v/>
          </cell>
          <cell r="C1055" t="str">
            <v>Future</v>
          </cell>
          <cell r="D1055" t="e">
            <v>#N/A</v>
          </cell>
          <cell r="E1055">
            <v>-67.953897637795791</v>
          </cell>
          <cell r="F1055">
            <v>137.49885826771708</v>
          </cell>
          <cell r="G1055">
            <v>39.664212598425067</v>
          </cell>
          <cell r="H1055">
            <v>39.664212598425067</v>
          </cell>
          <cell r="I1055" t="e">
            <v>#N/A</v>
          </cell>
          <cell r="J1055" t="e">
            <v>#N/A</v>
          </cell>
          <cell r="K1055">
            <v>105</v>
          </cell>
          <cell r="L1055">
            <v>55</v>
          </cell>
          <cell r="M1055" t="e">
            <v>#N/A</v>
          </cell>
          <cell r="N1055">
            <v>90</v>
          </cell>
          <cell r="O1055" t="e">
            <v>#N/A</v>
          </cell>
          <cell r="P1055" t="str">
            <v/>
          </cell>
          <cell r="Q1055" t="str">
            <v/>
          </cell>
          <cell r="R1055">
            <v>90</v>
          </cell>
        </row>
        <row r="1056">
          <cell r="A1056" t="str">
            <v/>
          </cell>
          <cell r="B1056" t="str">
            <v/>
          </cell>
          <cell r="C1056" t="str">
            <v>Future</v>
          </cell>
          <cell r="D1056" t="e">
            <v>#N/A</v>
          </cell>
          <cell r="E1056">
            <v>-68.233543307087132</v>
          </cell>
          <cell r="F1056">
            <v>137.63259842519739</v>
          </cell>
          <cell r="G1056">
            <v>39.601102362204593</v>
          </cell>
          <cell r="H1056">
            <v>39.601102362204593</v>
          </cell>
          <cell r="I1056" t="e">
            <v>#N/A</v>
          </cell>
          <cell r="J1056" t="e">
            <v>#N/A</v>
          </cell>
          <cell r="K1056">
            <v>105</v>
          </cell>
          <cell r="L1056">
            <v>55</v>
          </cell>
          <cell r="M1056" t="e">
            <v>#N/A</v>
          </cell>
          <cell r="N1056">
            <v>90</v>
          </cell>
          <cell r="O1056" t="e">
            <v>#N/A</v>
          </cell>
          <cell r="P1056" t="str">
            <v/>
          </cell>
          <cell r="Q1056" t="str">
            <v/>
          </cell>
          <cell r="R1056">
            <v>90</v>
          </cell>
        </row>
        <row r="1057">
          <cell r="A1057" t="str">
            <v/>
          </cell>
          <cell r="B1057" t="str">
            <v/>
          </cell>
          <cell r="C1057" t="str">
            <v>Future</v>
          </cell>
          <cell r="D1057" t="e">
            <v>#N/A</v>
          </cell>
          <cell r="E1057">
            <v>-68.513188976378473</v>
          </cell>
          <cell r="F1057">
            <v>137.76633858267769</v>
          </cell>
          <cell r="G1057">
            <v>39.537992125984118</v>
          </cell>
          <cell r="H1057">
            <v>39.537992125984118</v>
          </cell>
          <cell r="I1057" t="e">
            <v>#N/A</v>
          </cell>
          <cell r="J1057" t="e">
            <v>#N/A</v>
          </cell>
          <cell r="K1057">
            <v>105</v>
          </cell>
          <cell r="L1057">
            <v>55</v>
          </cell>
          <cell r="M1057" t="e">
            <v>#N/A</v>
          </cell>
          <cell r="N1057">
            <v>90</v>
          </cell>
          <cell r="O1057" t="e">
            <v>#N/A</v>
          </cell>
          <cell r="P1057" t="str">
            <v/>
          </cell>
          <cell r="Q1057" t="str">
            <v/>
          </cell>
          <cell r="R1057">
            <v>90</v>
          </cell>
        </row>
        <row r="1058">
          <cell r="A1058" t="str">
            <v/>
          </cell>
          <cell r="B1058" t="str">
            <v/>
          </cell>
          <cell r="C1058" t="str">
            <v>Future</v>
          </cell>
          <cell r="D1058" t="e">
            <v>#N/A</v>
          </cell>
          <cell r="E1058">
            <v>-68.792834645669814</v>
          </cell>
          <cell r="F1058">
            <v>137.90007874015799</v>
          </cell>
          <cell r="G1058">
            <v>39.474881889763644</v>
          </cell>
          <cell r="H1058">
            <v>39.474881889763644</v>
          </cell>
          <cell r="I1058" t="e">
            <v>#N/A</v>
          </cell>
          <cell r="J1058" t="e">
            <v>#N/A</v>
          </cell>
          <cell r="K1058">
            <v>105</v>
          </cell>
          <cell r="L1058">
            <v>55</v>
          </cell>
          <cell r="M1058" t="e">
            <v>#N/A</v>
          </cell>
          <cell r="N1058">
            <v>90</v>
          </cell>
          <cell r="O1058" t="e">
            <v>#N/A</v>
          </cell>
          <cell r="P1058" t="str">
            <v/>
          </cell>
          <cell r="Q1058" t="str">
            <v/>
          </cell>
          <cell r="R1058">
            <v>90</v>
          </cell>
        </row>
        <row r="1059">
          <cell r="A1059" t="str">
            <v/>
          </cell>
          <cell r="B1059" t="str">
            <v/>
          </cell>
          <cell r="C1059" t="str">
            <v>Future</v>
          </cell>
          <cell r="D1059" t="e">
            <v>#N/A</v>
          </cell>
          <cell r="E1059">
            <v>-69.072480314961155</v>
          </cell>
          <cell r="F1059">
            <v>138.0338188976383</v>
          </cell>
          <cell r="G1059">
            <v>39.41177165354317</v>
          </cell>
          <cell r="H1059">
            <v>39.41177165354317</v>
          </cell>
          <cell r="I1059" t="e">
            <v>#N/A</v>
          </cell>
          <cell r="J1059" t="e">
            <v>#N/A</v>
          </cell>
          <cell r="K1059">
            <v>105</v>
          </cell>
          <cell r="L1059">
            <v>55</v>
          </cell>
          <cell r="M1059" t="e">
            <v>#N/A</v>
          </cell>
          <cell r="N1059">
            <v>90</v>
          </cell>
          <cell r="O1059" t="e">
            <v>#N/A</v>
          </cell>
          <cell r="P1059" t="str">
            <v/>
          </cell>
          <cell r="Q1059" t="str">
            <v/>
          </cell>
          <cell r="R1059">
            <v>90</v>
          </cell>
        </row>
        <row r="1060">
          <cell r="A1060" t="str">
            <v/>
          </cell>
          <cell r="B1060" t="str">
            <v/>
          </cell>
          <cell r="C1060" t="str">
            <v>Future</v>
          </cell>
          <cell r="D1060" t="e">
            <v>#N/A</v>
          </cell>
          <cell r="E1060">
            <v>-69.352125984252496</v>
          </cell>
          <cell r="F1060">
            <v>138.1675590551186</v>
          </cell>
          <cell r="G1060">
            <v>39.348661417322695</v>
          </cell>
          <cell r="H1060">
            <v>39.348661417322695</v>
          </cell>
          <cell r="I1060" t="e">
            <v>#N/A</v>
          </cell>
          <cell r="J1060" t="e">
            <v>#N/A</v>
          </cell>
          <cell r="K1060">
            <v>105</v>
          </cell>
          <cell r="L1060">
            <v>55</v>
          </cell>
          <cell r="M1060" t="e">
            <v>#N/A</v>
          </cell>
          <cell r="N1060">
            <v>90</v>
          </cell>
          <cell r="O1060" t="e">
            <v>#N/A</v>
          </cell>
          <cell r="P1060" t="str">
            <v/>
          </cell>
          <cell r="Q1060" t="str">
            <v/>
          </cell>
          <cell r="R1060">
            <v>90</v>
          </cell>
        </row>
        <row r="1061">
          <cell r="A1061" t="str">
            <v/>
          </cell>
          <cell r="B1061" t="str">
            <v/>
          </cell>
          <cell r="C1061" t="str">
            <v>Future</v>
          </cell>
          <cell r="D1061" t="e">
            <v>#N/A</v>
          </cell>
          <cell r="E1061">
            <v>-69.631771653543836</v>
          </cell>
          <cell r="F1061">
            <v>138.30129921259891</v>
          </cell>
          <cell r="G1061">
            <v>39.285551181102221</v>
          </cell>
          <cell r="H1061">
            <v>39.285551181102221</v>
          </cell>
          <cell r="I1061" t="e">
            <v>#N/A</v>
          </cell>
          <cell r="J1061" t="e">
            <v>#N/A</v>
          </cell>
          <cell r="K1061">
            <v>105</v>
          </cell>
          <cell r="L1061">
            <v>55</v>
          </cell>
          <cell r="M1061" t="e">
            <v>#N/A</v>
          </cell>
          <cell r="N1061">
            <v>90</v>
          </cell>
          <cell r="O1061" t="e">
            <v>#N/A</v>
          </cell>
          <cell r="P1061" t="str">
            <v/>
          </cell>
          <cell r="Q1061" t="str">
            <v/>
          </cell>
          <cell r="R1061">
            <v>90</v>
          </cell>
        </row>
        <row r="1062">
          <cell r="A1062" t="str">
            <v/>
          </cell>
          <cell r="B1062" t="str">
            <v/>
          </cell>
          <cell r="C1062" t="str">
            <v>Future</v>
          </cell>
          <cell r="D1062" t="e">
            <v>#N/A</v>
          </cell>
          <cell r="E1062">
            <v>-69.911417322835177</v>
          </cell>
          <cell r="F1062">
            <v>138.43503937007921</v>
          </cell>
          <cell r="G1062">
            <v>39.222440944881747</v>
          </cell>
          <cell r="H1062">
            <v>39.222440944881747</v>
          </cell>
          <cell r="I1062" t="e">
            <v>#N/A</v>
          </cell>
          <cell r="J1062" t="e">
            <v>#N/A</v>
          </cell>
          <cell r="K1062">
            <v>105</v>
          </cell>
          <cell r="L1062">
            <v>55</v>
          </cell>
          <cell r="M1062" t="e">
            <v>#N/A</v>
          </cell>
          <cell r="N1062">
            <v>90</v>
          </cell>
          <cell r="O1062" t="e">
            <v>#N/A</v>
          </cell>
          <cell r="P1062" t="str">
            <v/>
          </cell>
          <cell r="Q1062" t="str">
            <v/>
          </cell>
          <cell r="R1062">
            <v>90</v>
          </cell>
        </row>
        <row r="1063">
          <cell r="A1063" t="str">
            <v/>
          </cell>
          <cell r="B1063" t="str">
            <v/>
          </cell>
          <cell r="C1063" t="str">
            <v>Future</v>
          </cell>
          <cell r="D1063" t="e">
            <v>#N/A</v>
          </cell>
          <cell r="E1063">
            <v>-70.191062992126518</v>
          </cell>
          <cell r="F1063">
            <v>138.56877952755951</v>
          </cell>
          <cell r="G1063">
            <v>39.159330708661273</v>
          </cell>
          <cell r="H1063">
            <v>39.159330708661273</v>
          </cell>
          <cell r="I1063" t="e">
            <v>#N/A</v>
          </cell>
          <cell r="J1063" t="e">
            <v>#N/A</v>
          </cell>
          <cell r="K1063">
            <v>105</v>
          </cell>
          <cell r="L1063">
            <v>55</v>
          </cell>
          <cell r="M1063" t="e">
            <v>#N/A</v>
          </cell>
          <cell r="N1063">
            <v>90</v>
          </cell>
          <cell r="O1063" t="e">
            <v>#N/A</v>
          </cell>
          <cell r="P1063" t="str">
            <v/>
          </cell>
          <cell r="Q1063" t="str">
            <v/>
          </cell>
          <cell r="R1063">
            <v>90</v>
          </cell>
        </row>
        <row r="1064">
          <cell r="A1064" t="str">
            <v/>
          </cell>
          <cell r="B1064" t="str">
            <v/>
          </cell>
          <cell r="C1064" t="str">
            <v>Future</v>
          </cell>
          <cell r="D1064" t="e">
            <v>#N/A</v>
          </cell>
          <cell r="E1064">
            <v>-70.470708661417859</v>
          </cell>
          <cell r="F1064">
            <v>138.70251968503982</v>
          </cell>
          <cell r="G1064">
            <v>39.096220472440798</v>
          </cell>
          <cell r="H1064">
            <v>39.096220472440798</v>
          </cell>
          <cell r="I1064" t="e">
            <v>#N/A</v>
          </cell>
          <cell r="J1064" t="e">
            <v>#N/A</v>
          </cell>
          <cell r="K1064">
            <v>105</v>
          </cell>
          <cell r="L1064">
            <v>55</v>
          </cell>
          <cell r="M1064" t="e">
            <v>#N/A</v>
          </cell>
          <cell r="N1064">
            <v>90</v>
          </cell>
          <cell r="O1064" t="e">
            <v>#N/A</v>
          </cell>
          <cell r="P1064" t="str">
            <v/>
          </cell>
          <cell r="Q1064" t="str">
            <v/>
          </cell>
          <cell r="R1064">
            <v>90</v>
          </cell>
        </row>
        <row r="1065">
          <cell r="A1065" t="str">
            <v/>
          </cell>
          <cell r="B1065" t="str">
            <v/>
          </cell>
          <cell r="C1065" t="str">
            <v>Future</v>
          </cell>
          <cell r="D1065" t="e">
            <v>#N/A</v>
          </cell>
          <cell r="E1065">
            <v>-70.7503543307092</v>
          </cell>
          <cell r="F1065">
            <v>138.83625984252012</v>
          </cell>
          <cell r="G1065">
            <v>39.033110236220324</v>
          </cell>
          <cell r="H1065">
            <v>39.033110236220324</v>
          </cell>
          <cell r="I1065" t="e">
            <v>#N/A</v>
          </cell>
          <cell r="J1065" t="e">
            <v>#N/A</v>
          </cell>
          <cell r="K1065">
            <v>105</v>
          </cell>
          <cell r="L1065">
            <v>55</v>
          </cell>
          <cell r="M1065" t="e">
            <v>#N/A</v>
          </cell>
          <cell r="N1065">
            <v>90</v>
          </cell>
          <cell r="O1065" t="e">
            <v>#N/A</v>
          </cell>
          <cell r="P1065" t="str">
            <v/>
          </cell>
          <cell r="Q1065" t="str">
            <v/>
          </cell>
          <cell r="R1065">
            <v>90</v>
          </cell>
        </row>
        <row r="1066">
          <cell r="A1066" t="str">
            <v/>
          </cell>
          <cell r="B1066" t="str">
            <v/>
          </cell>
          <cell r="C1066" t="str">
            <v>Future</v>
          </cell>
          <cell r="D1066" t="e">
            <v>#N/A</v>
          </cell>
          <cell r="E1066">
            <v>-71.030000000000541</v>
          </cell>
          <cell r="F1066">
            <v>138.97000000000043</v>
          </cell>
          <cell r="G1066">
            <v>38.96999999999985</v>
          </cell>
          <cell r="H1066">
            <v>38.96999999999985</v>
          </cell>
          <cell r="I1066" t="e">
            <v>#N/A</v>
          </cell>
          <cell r="J1066" t="e">
            <v>#N/A</v>
          </cell>
          <cell r="K1066">
            <v>105</v>
          </cell>
          <cell r="L1066">
            <v>55</v>
          </cell>
          <cell r="M1066" t="e">
            <v>#N/A</v>
          </cell>
          <cell r="N1066">
            <v>90</v>
          </cell>
          <cell r="O1066" t="e">
            <v>#N/A</v>
          </cell>
          <cell r="P1066" t="str">
            <v/>
          </cell>
          <cell r="Q1066" t="str">
            <v/>
          </cell>
          <cell r="R1066">
            <v>90</v>
          </cell>
        </row>
        <row r="1067">
          <cell r="A1067" t="str">
            <v/>
          </cell>
          <cell r="B1067" t="str">
            <v/>
          </cell>
          <cell r="C1067" t="str">
            <v>Future</v>
          </cell>
          <cell r="D1067" t="e">
            <v>#N/A</v>
          </cell>
          <cell r="E1067">
            <v>-71.309645669291882</v>
          </cell>
          <cell r="F1067">
            <v>139.10374015748073</v>
          </cell>
          <cell r="G1067">
            <v>38.906889763779375</v>
          </cell>
          <cell r="H1067">
            <v>38.906889763779375</v>
          </cell>
          <cell r="I1067" t="e">
            <v>#N/A</v>
          </cell>
          <cell r="J1067" t="e">
            <v>#N/A</v>
          </cell>
          <cell r="K1067">
            <v>105</v>
          </cell>
          <cell r="L1067">
            <v>55</v>
          </cell>
          <cell r="M1067" t="e">
            <v>#N/A</v>
          </cell>
          <cell r="N1067">
            <v>90</v>
          </cell>
          <cell r="O1067" t="e">
            <v>#N/A</v>
          </cell>
          <cell r="P1067" t="str">
            <v/>
          </cell>
          <cell r="Q1067" t="str">
            <v/>
          </cell>
          <cell r="R1067">
            <v>90</v>
          </cell>
        </row>
        <row r="1068">
          <cell r="A1068" t="str">
            <v/>
          </cell>
          <cell r="B1068" t="str">
            <v/>
          </cell>
          <cell r="C1068" t="str">
            <v>Future</v>
          </cell>
          <cell r="D1068" t="e">
            <v>#N/A</v>
          </cell>
          <cell r="E1068">
            <v>-71.589291338583223</v>
          </cell>
          <cell r="F1068">
            <v>139.23748031496103</v>
          </cell>
          <cell r="G1068">
            <v>38.843779527558901</v>
          </cell>
          <cell r="H1068">
            <v>38.843779527558901</v>
          </cell>
          <cell r="I1068" t="e">
            <v>#N/A</v>
          </cell>
          <cell r="J1068" t="e">
            <v>#N/A</v>
          </cell>
          <cell r="K1068">
            <v>105</v>
          </cell>
          <cell r="L1068">
            <v>55</v>
          </cell>
          <cell r="M1068" t="e">
            <v>#N/A</v>
          </cell>
          <cell r="N1068">
            <v>90</v>
          </cell>
          <cell r="O1068" t="e">
            <v>#N/A</v>
          </cell>
          <cell r="P1068" t="str">
            <v/>
          </cell>
          <cell r="Q1068" t="str">
            <v/>
          </cell>
          <cell r="R1068">
            <v>90</v>
          </cell>
        </row>
        <row r="1069">
          <cell r="A1069" t="str">
            <v/>
          </cell>
          <cell r="B1069" t="str">
            <v/>
          </cell>
          <cell r="C1069" t="str">
            <v>Future</v>
          </cell>
          <cell r="D1069" t="e">
            <v>#N/A</v>
          </cell>
          <cell r="E1069">
            <v>-71.868937007874564</v>
          </cell>
          <cell r="F1069">
            <v>139.37122047244134</v>
          </cell>
          <cell r="G1069">
            <v>38.780669291338427</v>
          </cell>
          <cell r="H1069">
            <v>38.780669291338427</v>
          </cell>
          <cell r="I1069" t="e">
            <v>#N/A</v>
          </cell>
          <cell r="J1069" t="e">
            <v>#N/A</v>
          </cell>
          <cell r="K1069">
            <v>105</v>
          </cell>
          <cell r="L1069">
            <v>55</v>
          </cell>
          <cell r="M1069" t="e">
            <v>#N/A</v>
          </cell>
          <cell r="N1069">
            <v>90</v>
          </cell>
          <cell r="O1069" t="e">
            <v>#N/A</v>
          </cell>
          <cell r="P1069" t="str">
            <v/>
          </cell>
          <cell r="Q1069" t="str">
            <v/>
          </cell>
          <cell r="R1069">
            <v>90</v>
          </cell>
        </row>
        <row r="1070">
          <cell r="A1070" t="str">
            <v/>
          </cell>
          <cell r="B1070" t="str">
            <v/>
          </cell>
          <cell r="C1070" t="str">
            <v>Future</v>
          </cell>
          <cell r="D1070" t="e">
            <v>#N/A</v>
          </cell>
          <cell r="E1070">
            <v>-72.148582677165905</v>
          </cell>
          <cell r="F1070">
            <v>139.50496062992164</v>
          </cell>
          <cell r="G1070">
            <v>38.717559055117952</v>
          </cell>
          <cell r="H1070">
            <v>38.717559055117952</v>
          </cell>
          <cell r="I1070" t="e">
            <v>#N/A</v>
          </cell>
          <cell r="J1070" t="e">
            <v>#N/A</v>
          </cell>
          <cell r="K1070">
            <v>105</v>
          </cell>
          <cell r="L1070">
            <v>55</v>
          </cell>
          <cell r="M1070" t="e">
            <v>#N/A</v>
          </cell>
          <cell r="N1070">
            <v>90</v>
          </cell>
          <cell r="O1070" t="e">
            <v>#N/A</v>
          </cell>
          <cell r="P1070" t="str">
            <v/>
          </cell>
          <cell r="Q1070" t="str">
            <v/>
          </cell>
          <cell r="R1070">
            <v>90</v>
          </cell>
        </row>
        <row r="1071">
          <cell r="A1071" t="str">
            <v/>
          </cell>
          <cell r="B1071" t="str">
            <v/>
          </cell>
          <cell r="C1071" t="str">
            <v>Future</v>
          </cell>
          <cell r="D1071" t="e">
            <v>#N/A</v>
          </cell>
          <cell r="E1071">
            <v>-72.428228346457246</v>
          </cell>
          <cell r="F1071">
            <v>139.63870078740194</v>
          </cell>
          <cell r="G1071">
            <v>38.654448818897478</v>
          </cell>
          <cell r="H1071">
            <v>38.654448818897478</v>
          </cell>
          <cell r="I1071" t="e">
            <v>#N/A</v>
          </cell>
          <cell r="J1071" t="e">
            <v>#N/A</v>
          </cell>
          <cell r="K1071">
            <v>105</v>
          </cell>
          <cell r="L1071">
            <v>55</v>
          </cell>
          <cell r="M1071" t="e">
            <v>#N/A</v>
          </cell>
          <cell r="N1071">
            <v>90</v>
          </cell>
          <cell r="O1071" t="e">
            <v>#N/A</v>
          </cell>
          <cell r="P1071" t="str">
            <v/>
          </cell>
          <cell r="Q1071" t="str">
            <v/>
          </cell>
          <cell r="R1071">
            <v>90</v>
          </cell>
        </row>
        <row r="1072">
          <cell r="A1072" t="str">
            <v/>
          </cell>
          <cell r="B1072" t="str">
            <v/>
          </cell>
          <cell r="C1072" t="str">
            <v>Future</v>
          </cell>
          <cell r="D1072" t="e">
            <v>#N/A</v>
          </cell>
          <cell r="E1072">
            <v>-72.707874015748587</v>
          </cell>
          <cell r="F1072">
            <v>139.77244094488225</v>
          </cell>
          <cell r="G1072">
            <v>38.591338582677004</v>
          </cell>
          <cell r="H1072">
            <v>38.591338582677004</v>
          </cell>
          <cell r="I1072" t="e">
            <v>#N/A</v>
          </cell>
          <cell r="J1072" t="e">
            <v>#N/A</v>
          </cell>
          <cell r="K1072">
            <v>105</v>
          </cell>
          <cell r="L1072">
            <v>55</v>
          </cell>
          <cell r="M1072" t="e">
            <v>#N/A</v>
          </cell>
          <cell r="N1072">
            <v>90</v>
          </cell>
          <cell r="O1072" t="e">
            <v>#N/A</v>
          </cell>
          <cell r="P1072" t="str">
            <v/>
          </cell>
          <cell r="Q1072" t="str">
            <v/>
          </cell>
          <cell r="R1072">
            <v>90</v>
          </cell>
        </row>
        <row r="1073">
          <cell r="A1073" t="str">
            <v/>
          </cell>
          <cell r="B1073" t="str">
            <v/>
          </cell>
          <cell r="C1073" t="str">
            <v>Future</v>
          </cell>
          <cell r="D1073" t="e">
            <v>#N/A</v>
          </cell>
          <cell r="E1073">
            <v>-72.987519685039928</v>
          </cell>
          <cell r="F1073">
            <v>139.90618110236255</v>
          </cell>
          <cell r="G1073">
            <v>38.52822834645653</v>
          </cell>
          <cell r="H1073">
            <v>38.52822834645653</v>
          </cell>
          <cell r="I1073" t="e">
            <v>#N/A</v>
          </cell>
          <cell r="J1073" t="e">
            <v>#N/A</v>
          </cell>
          <cell r="K1073">
            <v>105</v>
          </cell>
          <cell r="L1073">
            <v>55</v>
          </cell>
          <cell r="M1073" t="e">
            <v>#N/A</v>
          </cell>
          <cell r="N1073">
            <v>90</v>
          </cell>
          <cell r="O1073" t="e">
            <v>#N/A</v>
          </cell>
          <cell r="P1073" t="str">
            <v/>
          </cell>
          <cell r="Q1073" t="str">
            <v/>
          </cell>
          <cell r="R1073">
            <v>90</v>
          </cell>
        </row>
        <row r="1074">
          <cell r="A1074" t="str">
            <v/>
          </cell>
          <cell r="B1074" t="str">
            <v/>
          </cell>
          <cell r="C1074" t="str">
            <v>Future</v>
          </cell>
          <cell r="D1074" t="e">
            <v>#N/A</v>
          </cell>
          <cell r="E1074">
            <v>-73.267165354331269</v>
          </cell>
          <cell r="F1074">
            <v>140.03992125984286</v>
          </cell>
          <cell r="G1074">
            <v>38.465118110236055</v>
          </cell>
          <cell r="H1074">
            <v>38.465118110236055</v>
          </cell>
          <cell r="I1074" t="e">
            <v>#N/A</v>
          </cell>
          <cell r="J1074" t="e">
            <v>#N/A</v>
          </cell>
          <cell r="K1074">
            <v>105</v>
          </cell>
          <cell r="L1074">
            <v>55</v>
          </cell>
          <cell r="M1074" t="e">
            <v>#N/A</v>
          </cell>
          <cell r="N1074">
            <v>90</v>
          </cell>
          <cell r="O1074" t="e">
            <v>#N/A</v>
          </cell>
          <cell r="P1074" t="str">
            <v/>
          </cell>
          <cell r="Q1074" t="str">
            <v/>
          </cell>
          <cell r="R1074">
            <v>90</v>
          </cell>
        </row>
        <row r="1075">
          <cell r="A1075" t="str">
            <v/>
          </cell>
          <cell r="B1075" t="str">
            <v/>
          </cell>
          <cell r="C1075" t="str">
            <v>Future</v>
          </cell>
          <cell r="D1075" t="e">
            <v>#N/A</v>
          </cell>
          <cell r="E1075">
            <v>-73.54681102362261</v>
          </cell>
          <cell r="F1075">
            <v>140.17366141732316</v>
          </cell>
          <cell r="G1075">
            <v>38.402007874015581</v>
          </cell>
          <cell r="H1075">
            <v>38.402007874015581</v>
          </cell>
          <cell r="I1075" t="e">
            <v>#N/A</v>
          </cell>
          <cell r="J1075" t="e">
            <v>#N/A</v>
          </cell>
          <cell r="K1075">
            <v>105</v>
          </cell>
          <cell r="L1075">
            <v>55</v>
          </cell>
          <cell r="M1075" t="e">
            <v>#N/A</v>
          </cell>
          <cell r="N1075">
            <v>90</v>
          </cell>
          <cell r="O1075" t="e">
            <v>#N/A</v>
          </cell>
          <cell r="P1075" t="str">
            <v/>
          </cell>
          <cell r="Q1075" t="str">
            <v/>
          </cell>
          <cell r="R1075">
            <v>90</v>
          </cell>
        </row>
        <row r="1076">
          <cell r="A1076" t="str">
            <v/>
          </cell>
          <cell r="B1076" t="str">
            <v/>
          </cell>
          <cell r="C1076" t="str">
            <v>Future</v>
          </cell>
          <cell r="D1076" t="e">
            <v>#N/A</v>
          </cell>
          <cell r="E1076">
            <v>-73.826456692913951</v>
          </cell>
          <cell r="F1076">
            <v>140.30740157480346</v>
          </cell>
          <cell r="G1076">
            <v>38.338897637795107</v>
          </cell>
          <cell r="H1076">
            <v>38.338897637795107</v>
          </cell>
          <cell r="I1076" t="e">
            <v>#N/A</v>
          </cell>
          <cell r="J1076" t="e">
            <v>#N/A</v>
          </cell>
          <cell r="K1076">
            <v>105</v>
          </cell>
          <cell r="L1076">
            <v>55</v>
          </cell>
          <cell r="M1076" t="e">
            <v>#N/A</v>
          </cell>
          <cell r="N1076">
            <v>90</v>
          </cell>
          <cell r="O1076" t="e">
            <v>#N/A</v>
          </cell>
          <cell r="P1076" t="str">
            <v/>
          </cell>
          <cell r="Q1076" t="str">
            <v/>
          </cell>
          <cell r="R1076">
            <v>90</v>
          </cell>
        </row>
        <row r="1077">
          <cell r="A1077" t="str">
            <v/>
          </cell>
          <cell r="B1077" t="str">
            <v/>
          </cell>
          <cell r="C1077" t="str">
            <v>Future</v>
          </cell>
          <cell r="D1077" t="e">
            <v>#N/A</v>
          </cell>
          <cell r="E1077">
            <v>-74.106102362205291</v>
          </cell>
          <cell r="F1077">
            <v>140.44114173228377</v>
          </cell>
          <cell r="G1077">
            <v>38.275787401574632</v>
          </cell>
          <cell r="H1077">
            <v>38.275787401574632</v>
          </cell>
          <cell r="I1077" t="e">
            <v>#N/A</v>
          </cell>
          <cell r="J1077" t="e">
            <v>#N/A</v>
          </cell>
          <cell r="K1077">
            <v>105</v>
          </cell>
          <cell r="L1077">
            <v>55</v>
          </cell>
          <cell r="M1077" t="e">
            <v>#N/A</v>
          </cell>
          <cell r="N1077">
            <v>90</v>
          </cell>
          <cell r="O1077" t="e">
            <v>#N/A</v>
          </cell>
          <cell r="P1077" t="str">
            <v/>
          </cell>
          <cell r="Q1077" t="str">
            <v/>
          </cell>
          <cell r="R1077">
            <v>90</v>
          </cell>
        </row>
        <row r="1078">
          <cell r="A1078" t="str">
            <v/>
          </cell>
          <cell r="B1078" t="str">
            <v/>
          </cell>
          <cell r="C1078" t="str">
            <v>Future</v>
          </cell>
          <cell r="D1078" t="e">
            <v>#N/A</v>
          </cell>
          <cell r="E1078">
            <v>-74.385748031496632</v>
          </cell>
          <cell r="F1078">
            <v>140.57488188976407</v>
          </cell>
          <cell r="G1078">
            <v>38.212677165354158</v>
          </cell>
          <cell r="H1078">
            <v>38.212677165354158</v>
          </cell>
          <cell r="I1078" t="e">
            <v>#N/A</v>
          </cell>
          <cell r="J1078" t="e">
            <v>#N/A</v>
          </cell>
          <cell r="K1078">
            <v>105</v>
          </cell>
          <cell r="L1078">
            <v>55</v>
          </cell>
          <cell r="M1078" t="e">
            <v>#N/A</v>
          </cell>
          <cell r="N1078">
            <v>90</v>
          </cell>
          <cell r="O1078" t="e">
            <v>#N/A</v>
          </cell>
          <cell r="P1078" t="str">
            <v/>
          </cell>
          <cell r="Q1078" t="str">
            <v/>
          </cell>
          <cell r="R1078">
            <v>90</v>
          </cell>
        </row>
        <row r="1079">
          <cell r="A1079" t="str">
            <v/>
          </cell>
          <cell r="B1079" t="str">
            <v/>
          </cell>
          <cell r="C1079" t="str">
            <v>Future</v>
          </cell>
          <cell r="D1079" t="e">
            <v>#N/A</v>
          </cell>
          <cell r="E1079">
            <v>-74.665393700787973</v>
          </cell>
          <cell r="F1079">
            <v>140.70862204724438</v>
          </cell>
          <cell r="G1079">
            <v>38.149566929133684</v>
          </cell>
          <cell r="H1079">
            <v>38.149566929133684</v>
          </cell>
          <cell r="I1079" t="e">
            <v>#N/A</v>
          </cell>
          <cell r="J1079" t="e">
            <v>#N/A</v>
          </cell>
          <cell r="K1079">
            <v>105</v>
          </cell>
          <cell r="L1079">
            <v>55</v>
          </cell>
          <cell r="M1079" t="e">
            <v>#N/A</v>
          </cell>
          <cell r="N1079">
            <v>90</v>
          </cell>
          <cell r="O1079" t="e">
            <v>#N/A</v>
          </cell>
          <cell r="P1079" t="str">
            <v/>
          </cell>
          <cell r="Q1079" t="str">
            <v/>
          </cell>
          <cell r="R1079">
            <v>90</v>
          </cell>
        </row>
        <row r="1080">
          <cell r="A1080" t="str">
            <v/>
          </cell>
          <cell r="B1080" t="str">
            <v/>
          </cell>
          <cell r="C1080" t="str">
            <v>Future</v>
          </cell>
          <cell r="D1080" t="e">
            <v>#N/A</v>
          </cell>
          <cell r="E1080">
            <v>-74.945039370079314</v>
          </cell>
          <cell r="F1080">
            <v>140.84236220472468</v>
          </cell>
          <cell r="G1080">
            <v>38.08645669291321</v>
          </cell>
          <cell r="H1080">
            <v>38.08645669291321</v>
          </cell>
          <cell r="I1080" t="e">
            <v>#N/A</v>
          </cell>
          <cell r="J1080" t="e">
            <v>#N/A</v>
          </cell>
          <cell r="K1080">
            <v>105</v>
          </cell>
          <cell r="L1080">
            <v>55</v>
          </cell>
          <cell r="M1080" t="e">
            <v>#N/A</v>
          </cell>
          <cell r="N1080">
            <v>90</v>
          </cell>
          <cell r="O1080" t="e">
            <v>#N/A</v>
          </cell>
          <cell r="P1080" t="str">
            <v/>
          </cell>
          <cell r="Q1080" t="str">
            <v/>
          </cell>
          <cell r="R1080">
            <v>90</v>
          </cell>
        </row>
        <row r="1081">
          <cell r="A1081" t="str">
            <v/>
          </cell>
          <cell r="B1081" t="str">
            <v/>
          </cell>
          <cell r="C1081" t="str">
            <v>Future</v>
          </cell>
          <cell r="D1081" t="e">
            <v>#N/A</v>
          </cell>
          <cell r="E1081">
            <v>-75.224685039370655</v>
          </cell>
          <cell r="F1081">
            <v>140.97610236220498</v>
          </cell>
          <cell r="G1081">
            <v>38.023346456692735</v>
          </cell>
          <cell r="H1081">
            <v>38.023346456692735</v>
          </cell>
          <cell r="I1081" t="e">
            <v>#N/A</v>
          </cell>
          <cell r="J1081" t="e">
            <v>#N/A</v>
          </cell>
          <cell r="K1081">
            <v>105</v>
          </cell>
          <cell r="L1081">
            <v>55</v>
          </cell>
          <cell r="M1081" t="e">
            <v>#N/A</v>
          </cell>
          <cell r="N1081">
            <v>90</v>
          </cell>
          <cell r="O1081" t="e">
            <v>#N/A</v>
          </cell>
          <cell r="P1081" t="str">
            <v/>
          </cell>
          <cell r="Q1081" t="str">
            <v/>
          </cell>
          <cell r="R1081">
            <v>90</v>
          </cell>
        </row>
        <row r="1082">
          <cell r="A1082" t="str">
            <v/>
          </cell>
          <cell r="B1082" t="str">
            <v/>
          </cell>
          <cell r="C1082" t="str">
            <v>Future</v>
          </cell>
          <cell r="D1082" t="e">
            <v>#N/A</v>
          </cell>
          <cell r="E1082">
            <v>-75.504330708661996</v>
          </cell>
          <cell r="F1082">
            <v>141.10984251968529</v>
          </cell>
          <cell r="G1082">
            <v>37.960236220472261</v>
          </cell>
          <cell r="H1082">
            <v>37.960236220472261</v>
          </cell>
          <cell r="I1082" t="e">
            <v>#N/A</v>
          </cell>
          <cell r="J1082" t="e">
            <v>#N/A</v>
          </cell>
          <cell r="K1082">
            <v>105</v>
          </cell>
          <cell r="L1082">
            <v>55</v>
          </cell>
          <cell r="M1082" t="e">
            <v>#N/A</v>
          </cell>
          <cell r="N1082">
            <v>90</v>
          </cell>
          <cell r="O1082" t="e">
            <v>#N/A</v>
          </cell>
          <cell r="P1082" t="str">
            <v/>
          </cell>
          <cell r="Q1082" t="str">
            <v/>
          </cell>
          <cell r="R1082">
            <v>90</v>
          </cell>
        </row>
        <row r="1083">
          <cell r="A1083" t="str">
            <v/>
          </cell>
          <cell r="B1083" t="str">
            <v/>
          </cell>
          <cell r="C1083" t="str">
            <v>Future</v>
          </cell>
          <cell r="D1083" t="e">
            <v>#N/A</v>
          </cell>
          <cell r="E1083">
            <v>-75.783976377953337</v>
          </cell>
          <cell r="F1083">
            <v>141.24358267716559</v>
          </cell>
          <cell r="G1083">
            <v>37.897125984251787</v>
          </cell>
          <cell r="H1083">
            <v>37.897125984251787</v>
          </cell>
          <cell r="I1083" t="e">
            <v>#N/A</v>
          </cell>
          <cell r="J1083" t="e">
            <v>#N/A</v>
          </cell>
          <cell r="K1083">
            <v>105</v>
          </cell>
          <cell r="L1083">
            <v>55</v>
          </cell>
          <cell r="M1083" t="e">
            <v>#N/A</v>
          </cell>
          <cell r="N1083">
            <v>90</v>
          </cell>
          <cell r="O1083" t="e">
            <v>#N/A</v>
          </cell>
          <cell r="P1083" t="str">
            <v/>
          </cell>
          <cell r="Q1083" t="str">
            <v/>
          </cell>
          <cell r="R1083">
            <v>90</v>
          </cell>
        </row>
        <row r="1084">
          <cell r="A1084" t="str">
            <v/>
          </cell>
          <cell r="B1084" t="str">
            <v/>
          </cell>
          <cell r="C1084" t="str">
            <v>Future</v>
          </cell>
          <cell r="D1084" t="e">
            <v>#N/A</v>
          </cell>
          <cell r="E1084">
            <v>-76.063622047244678</v>
          </cell>
          <cell r="F1084">
            <v>141.37732283464589</v>
          </cell>
          <cell r="G1084">
            <v>37.834015748031312</v>
          </cell>
          <cell r="H1084">
            <v>37.834015748031312</v>
          </cell>
          <cell r="I1084" t="e">
            <v>#N/A</v>
          </cell>
          <cell r="J1084" t="e">
            <v>#N/A</v>
          </cell>
          <cell r="K1084">
            <v>105</v>
          </cell>
          <cell r="L1084">
            <v>55</v>
          </cell>
          <cell r="M1084" t="e">
            <v>#N/A</v>
          </cell>
          <cell r="N1084">
            <v>90</v>
          </cell>
          <cell r="O1084" t="e">
            <v>#N/A</v>
          </cell>
          <cell r="P1084" t="str">
            <v/>
          </cell>
          <cell r="Q1084" t="str">
            <v/>
          </cell>
          <cell r="R1084">
            <v>90</v>
          </cell>
        </row>
        <row r="1085">
          <cell r="A1085" t="str">
            <v/>
          </cell>
          <cell r="B1085" t="str">
            <v/>
          </cell>
          <cell r="C1085" t="str">
            <v>Future</v>
          </cell>
          <cell r="D1085" t="e">
            <v>#N/A</v>
          </cell>
          <cell r="E1085">
            <v>-76.343267716536019</v>
          </cell>
          <cell r="F1085">
            <v>141.5110629921262</v>
          </cell>
          <cell r="G1085">
            <v>37.770905511810838</v>
          </cell>
          <cell r="H1085">
            <v>37.770905511810838</v>
          </cell>
          <cell r="I1085" t="e">
            <v>#N/A</v>
          </cell>
          <cell r="J1085" t="e">
            <v>#N/A</v>
          </cell>
          <cell r="K1085">
            <v>105</v>
          </cell>
          <cell r="L1085">
            <v>55</v>
          </cell>
          <cell r="M1085" t="e">
            <v>#N/A</v>
          </cell>
          <cell r="N1085">
            <v>90</v>
          </cell>
          <cell r="O1085" t="e">
            <v>#N/A</v>
          </cell>
          <cell r="P1085" t="str">
            <v/>
          </cell>
          <cell r="Q1085" t="str">
            <v/>
          </cell>
          <cell r="R1085">
            <v>90</v>
          </cell>
        </row>
        <row r="1086">
          <cell r="A1086" t="str">
            <v/>
          </cell>
          <cell r="B1086" t="str">
            <v/>
          </cell>
          <cell r="C1086" t="str">
            <v>Future</v>
          </cell>
          <cell r="D1086" t="e">
            <v>#N/A</v>
          </cell>
          <cell r="E1086">
            <v>-76.62291338582736</v>
          </cell>
          <cell r="F1086">
            <v>141.6448031496065</v>
          </cell>
          <cell r="G1086">
            <v>37.707795275590364</v>
          </cell>
          <cell r="H1086">
            <v>37.707795275590364</v>
          </cell>
          <cell r="I1086" t="e">
            <v>#N/A</v>
          </cell>
          <cell r="J1086" t="e">
            <v>#N/A</v>
          </cell>
          <cell r="K1086">
            <v>105</v>
          </cell>
          <cell r="L1086">
            <v>55</v>
          </cell>
          <cell r="M1086" t="e">
            <v>#N/A</v>
          </cell>
          <cell r="N1086">
            <v>90</v>
          </cell>
          <cell r="O1086" t="e">
            <v>#N/A</v>
          </cell>
          <cell r="P1086" t="str">
            <v/>
          </cell>
          <cell r="Q1086" t="str">
            <v/>
          </cell>
          <cell r="R1086">
            <v>90</v>
          </cell>
        </row>
        <row r="1087">
          <cell r="A1087" t="str">
            <v/>
          </cell>
          <cell r="B1087" t="str">
            <v/>
          </cell>
          <cell r="C1087" t="str">
            <v>Future</v>
          </cell>
          <cell r="D1087" t="e">
            <v>#N/A</v>
          </cell>
          <cell r="E1087">
            <v>-76.902559055118701</v>
          </cell>
          <cell r="F1087">
            <v>141.77854330708681</v>
          </cell>
          <cell r="G1087">
            <v>37.64468503936989</v>
          </cell>
          <cell r="H1087">
            <v>37.64468503936989</v>
          </cell>
          <cell r="I1087" t="e">
            <v>#N/A</v>
          </cell>
          <cell r="J1087" t="e">
            <v>#N/A</v>
          </cell>
          <cell r="K1087">
            <v>105</v>
          </cell>
          <cell r="L1087">
            <v>55</v>
          </cell>
          <cell r="M1087" t="e">
            <v>#N/A</v>
          </cell>
          <cell r="N1087">
            <v>90</v>
          </cell>
          <cell r="O1087" t="e">
            <v>#N/A</v>
          </cell>
          <cell r="P1087" t="str">
            <v/>
          </cell>
          <cell r="Q1087" t="str">
            <v/>
          </cell>
          <cell r="R1087">
            <v>90</v>
          </cell>
        </row>
        <row r="1088">
          <cell r="A1088" t="str">
            <v/>
          </cell>
          <cell r="B1088" t="str">
            <v/>
          </cell>
          <cell r="C1088" t="str">
            <v>Future</v>
          </cell>
          <cell r="D1088" t="e">
            <v>#N/A</v>
          </cell>
          <cell r="E1088">
            <v>-77.182204724410042</v>
          </cell>
          <cell r="F1088">
            <v>141.91228346456711</v>
          </cell>
          <cell r="G1088">
            <v>37.581574803149415</v>
          </cell>
          <cell r="H1088">
            <v>37.581574803149415</v>
          </cell>
          <cell r="I1088" t="e">
            <v>#N/A</v>
          </cell>
          <cell r="J1088" t="e">
            <v>#N/A</v>
          </cell>
          <cell r="K1088">
            <v>105</v>
          </cell>
          <cell r="L1088">
            <v>55</v>
          </cell>
          <cell r="M1088" t="e">
            <v>#N/A</v>
          </cell>
          <cell r="N1088">
            <v>90</v>
          </cell>
          <cell r="O1088" t="e">
            <v>#N/A</v>
          </cell>
          <cell r="P1088" t="str">
            <v/>
          </cell>
          <cell r="Q1088" t="str">
            <v/>
          </cell>
          <cell r="R1088">
            <v>90</v>
          </cell>
        </row>
        <row r="1089">
          <cell r="A1089" t="str">
            <v/>
          </cell>
          <cell r="B1089" t="str">
            <v/>
          </cell>
          <cell r="C1089" t="str">
            <v>Future</v>
          </cell>
          <cell r="D1089" t="e">
            <v>#N/A</v>
          </cell>
          <cell r="E1089">
            <v>-77.461850393701383</v>
          </cell>
          <cell r="F1089">
            <v>142.04602362204741</v>
          </cell>
          <cell r="G1089">
            <v>37.518464566928941</v>
          </cell>
          <cell r="H1089">
            <v>37.518464566928941</v>
          </cell>
          <cell r="I1089" t="e">
            <v>#N/A</v>
          </cell>
          <cell r="J1089" t="e">
            <v>#N/A</v>
          </cell>
          <cell r="K1089">
            <v>105</v>
          </cell>
          <cell r="L1089">
            <v>55</v>
          </cell>
          <cell r="M1089" t="e">
            <v>#N/A</v>
          </cell>
          <cell r="N1089">
            <v>90</v>
          </cell>
          <cell r="O1089" t="e">
            <v>#N/A</v>
          </cell>
          <cell r="P1089" t="str">
            <v/>
          </cell>
          <cell r="Q1089" t="str">
            <v/>
          </cell>
          <cell r="R1089">
            <v>90</v>
          </cell>
        </row>
        <row r="1090">
          <cell r="A1090" t="str">
            <v/>
          </cell>
          <cell r="B1090" t="str">
            <v/>
          </cell>
          <cell r="C1090" t="str">
            <v>Future</v>
          </cell>
          <cell r="D1090" t="e">
            <v>#N/A</v>
          </cell>
          <cell r="E1090">
            <v>-77.741496062992724</v>
          </cell>
          <cell r="F1090">
            <v>142.17976377952772</v>
          </cell>
          <cell r="G1090">
            <v>37.455354330708467</v>
          </cell>
          <cell r="H1090">
            <v>37.455354330708467</v>
          </cell>
          <cell r="I1090" t="e">
            <v>#N/A</v>
          </cell>
          <cell r="J1090" t="e">
            <v>#N/A</v>
          </cell>
          <cell r="K1090">
            <v>105</v>
          </cell>
          <cell r="L1090">
            <v>55</v>
          </cell>
          <cell r="M1090" t="e">
            <v>#N/A</v>
          </cell>
          <cell r="N1090">
            <v>90</v>
          </cell>
          <cell r="O1090" t="e">
            <v>#N/A</v>
          </cell>
          <cell r="P1090" t="str">
            <v/>
          </cell>
          <cell r="Q1090" t="str">
            <v/>
          </cell>
          <cell r="R1090">
            <v>90</v>
          </cell>
        </row>
        <row r="1091">
          <cell r="A1091" t="str">
            <v/>
          </cell>
          <cell r="B1091" t="str">
            <v/>
          </cell>
          <cell r="C1091" t="str">
            <v>Future</v>
          </cell>
          <cell r="D1091" t="e">
            <v>#N/A</v>
          </cell>
          <cell r="E1091">
            <v>-78.021141732284065</v>
          </cell>
          <cell r="F1091">
            <v>142.31350393700802</v>
          </cell>
          <cell r="G1091">
            <v>37.392244094487992</v>
          </cell>
          <cell r="H1091">
            <v>37.392244094487992</v>
          </cell>
          <cell r="I1091" t="e">
            <v>#N/A</v>
          </cell>
          <cell r="J1091" t="e">
            <v>#N/A</v>
          </cell>
          <cell r="K1091">
            <v>105</v>
          </cell>
          <cell r="L1091">
            <v>55</v>
          </cell>
          <cell r="M1091" t="e">
            <v>#N/A</v>
          </cell>
          <cell r="N1091">
            <v>90</v>
          </cell>
          <cell r="O1091" t="e">
            <v>#N/A</v>
          </cell>
          <cell r="P1091" t="str">
            <v/>
          </cell>
          <cell r="Q1091" t="str">
            <v/>
          </cell>
          <cell r="R1091">
            <v>90</v>
          </cell>
        </row>
        <row r="1092">
          <cell r="A1092" t="str">
            <v/>
          </cell>
          <cell r="B1092" t="str">
            <v/>
          </cell>
          <cell r="C1092" t="str">
            <v>Future</v>
          </cell>
          <cell r="D1092" t="e">
            <v>#N/A</v>
          </cell>
          <cell r="E1092">
            <v>-78.300787401575406</v>
          </cell>
          <cell r="F1092">
            <v>142.44724409448833</v>
          </cell>
          <cell r="G1092">
            <v>37.329133858267518</v>
          </cell>
          <cell r="H1092">
            <v>37.329133858267518</v>
          </cell>
          <cell r="I1092" t="e">
            <v>#N/A</v>
          </cell>
          <cell r="J1092" t="e">
            <v>#N/A</v>
          </cell>
          <cell r="K1092">
            <v>105</v>
          </cell>
          <cell r="L1092">
            <v>55</v>
          </cell>
          <cell r="M1092" t="e">
            <v>#N/A</v>
          </cell>
          <cell r="N1092">
            <v>90</v>
          </cell>
          <cell r="O1092" t="e">
            <v>#N/A</v>
          </cell>
          <cell r="P1092" t="str">
            <v/>
          </cell>
          <cell r="Q1092" t="str">
            <v/>
          </cell>
          <cell r="R1092">
            <v>90</v>
          </cell>
        </row>
        <row r="1093">
          <cell r="A1093" t="str">
            <v/>
          </cell>
          <cell r="B1093" t="str">
            <v/>
          </cell>
          <cell r="C1093" t="str">
            <v>Future</v>
          </cell>
          <cell r="D1093" t="e">
            <v>#N/A</v>
          </cell>
          <cell r="E1093">
            <v>-78.580433070866746</v>
          </cell>
          <cell r="F1093">
            <v>142.58098425196863</v>
          </cell>
          <cell r="G1093">
            <v>37.266023622047044</v>
          </cell>
          <cell r="H1093">
            <v>37.266023622047044</v>
          </cell>
          <cell r="I1093" t="e">
            <v>#N/A</v>
          </cell>
          <cell r="J1093" t="e">
            <v>#N/A</v>
          </cell>
          <cell r="K1093">
            <v>105</v>
          </cell>
          <cell r="L1093">
            <v>55</v>
          </cell>
          <cell r="M1093" t="e">
            <v>#N/A</v>
          </cell>
          <cell r="N1093">
            <v>90</v>
          </cell>
          <cell r="O1093" t="e">
            <v>#N/A</v>
          </cell>
          <cell r="P1093" t="str">
            <v/>
          </cell>
          <cell r="Q1093" t="str">
            <v/>
          </cell>
          <cell r="R1093">
            <v>90</v>
          </cell>
        </row>
        <row r="1094">
          <cell r="A1094" t="str">
            <v/>
          </cell>
          <cell r="B1094" t="str">
            <v/>
          </cell>
          <cell r="C1094" t="str">
            <v>Future</v>
          </cell>
          <cell r="D1094" t="e">
            <v>#N/A</v>
          </cell>
          <cell r="E1094">
            <v>-78.860078740158087</v>
          </cell>
          <cell r="F1094">
            <v>142.71472440944893</v>
          </cell>
          <cell r="G1094">
            <v>37.202913385826569</v>
          </cell>
          <cell r="H1094">
            <v>37.202913385826569</v>
          </cell>
          <cell r="I1094" t="e">
            <v>#N/A</v>
          </cell>
          <cell r="J1094" t="e">
            <v>#N/A</v>
          </cell>
          <cell r="K1094">
            <v>105</v>
          </cell>
          <cell r="L1094">
            <v>55</v>
          </cell>
          <cell r="M1094" t="e">
            <v>#N/A</v>
          </cell>
          <cell r="N1094">
            <v>90</v>
          </cell>
          <cell r="O1094" t="e">
            <v>#N/A</v>
          </cell>
          <cell r="P1094" t="str">
            <v/>
          </cell>
          <cell r="Q1094" t="str">
            <v/>
          </cell>
          <cell r="R1094">
            <v>90</v>
          </cell>
        </row>
        <row r="1095">
          <cell r="A1095" t="str">
            <v/>
          </cell>
          <cell r="B1095" t="str">
            <v/>
          </cell>
          <cell r="C1095" t="str">
            <v>Future</v>
          </cell>
          <cell r="D1095" t="e">
            <v>#N/A</v>
          </cell>
          <cell r="E1095">
            <v>-79.139724409449428</v>
          </cell>
          <cell r="F1095">
            <v>142.84846456692924</v>
          </cell>
          <cell r="G1095">
            <v>37.139803149606095</v>
          </cell>
          <cell r="H1095">
            <v>37.139803149606095</v>
          </cell>
          <cell r="I1095" t="e">
            <v>#N/A</v>
          </cell>
          <cell r="J1095" t="e">
            <v>#N/A</v>
          </cell>
          <cell r="K1095">
            <v>105</v>
          </cell>
          <cell r="L1095">
            <v>55</v>
          </cell>
          <cell r="M1095" t="e">
            <v>#N/A</v>
          </cell>
          <cell r="N1095">
            <v>90</v>
          </cell>
          <cell r="O1095" t="e">
            <v>#N/A</v>
          </cell>
          <cell r="P1095" t="str">
            <v/>
          </cell>
          <cell r="Q1095" t="str">
            <v/>
          </cell>
          <cell r="R1095">
            <v>90</v>
          </cell>
        </row>
        <row r="1096">
          <cell r="A1096" t="str">
            <v/>
          </cell>
          <cell r="B1096" t="str">
            <v/>
          </cell>
          <cell r="C1096" t="str">
            <v>Future</v>
          </cell>
          <cell r="D1096" t="e">
            <v>#N/A</v>
          </cell>
          <cell r="E1096">
            <v>-79.419370078740769</v>
          </cell>
          <cell r="F1096">
            <v>142.98220472440954</v>
          </cell>
          <cell r="G1096">
            <v>37.076692913385621</v>
          </cell>
          <cell r="H1096">
            <v>37.076692913385621</v>
          </cell>
          <cell r="I1096" t="e">
            <v>#N/A</v>
          </cell>
          <cell r="J1096" t="e">
            <v>#N/A</v>
          </cell>
          <cell r="K1096">
            <v>105</v>
          </cell>
          <cell r="L1096">
            <v>55</v>
          </cell>
          <cell r="M1096" t="e">
            <v>#N/A</v>
          </cell>
          <cell r="N1096">
            <v>90</v>
          </cell>
          <cell r="O1096" t="e">
            <v>#N/A</v>
          </cell>
          <cell r="P1096" t="str">
            <v/>
          </cell>
          <cell r="Q1096" t="str">
            <v/>
          </cell>
          <cell r="R1096">
            <v>90</v>
          </cell>
        </row>
        <row r="1097">
          <cell r="A1097" t="str">
            <v/>
          </cell>
          <cell r="B1097" t="str">
            <v/>
          </cell>
          <cell r="C1097" t="str">
            <v>Future</v>
          </cell>
          <cell r="D1097" t="e">
            <v>#N/A</v>
          </cell>
          <cell r="E1097">
            <v>-79.69901574803211</v>
          </cell>
          <cell r="F1097">
            <v>143.11594488188985</v>
          </cell>
          <cell r="G1097">
            <v>37.013582677165147</v>
          </cell>
          <cell r="H1097">
            <v>37.013582677165147</v>
          </cell>
          <cell r="I1097" t="e">
            <v>#N/A</v>
          </cell>
          <cell r="J1097" t="e">
            <v>#N/A</v>
          </cell>
          <cell r="K1097">
            <v>105</v>
          </cell>
          <cell r="L1097">
            <v>55</v>
          </cell>
          <cell r="M1097" t="e">
            <v>#N/A</v>
          </cell>
          <cell r="N1097">
            <v>90</v>
          </cell>
          <cell r="O1097" t="e">
            <v>#N/A</v>
          </cell>
          <cell r="P1097" t="str">
            <v/>
          </cell>
          <cell r="Q1097" t="str">
            <v/>
          </cell>
          <cell r="R1097">
            <v>90</v>
          </cell>
        </row>
        <row r="1098">
          <cell r="A1098" t="str">
            <v/>
          </cell>
          <cell r="B1098" t="str">
            <v/>
          </cell>
          <cell r="C1098" t="str">
            <v>Future</v>
          </cell>
          <cell r="D1098" t="e">
            <v>#N/A</v>
          </cell>
          <cell r="E1098">
            <v>-79.978661417323451</v>
          </cell>
          <cell r="F1098">
            <v>143.24968503937015</v>
          </cell>
          <cell r="G1098">
            <v>36.950472440944672</v>
          </cell>
          <cell r="H1098">
            <v>36.950472440944672</v>
          </cell>
          <cell r="I1098" t="e">
            <v>#N/A</v>
          </cell>
          <cell r="J1098" t="e">
            <v>#N/A</v>
          </cell>
          <cell r="K1098">
            <v>105</v>
          </cell>
          <cell r="L1098">
            <v>55</v>
          </cell>
          <cell r="M1098" t="e">
            <v>#N/A</v>
          </cell>
          <cell r="N1098">
            <v>90</v>
          </cell>
          <cell r="O1098" t="e">
            <v>#N/A</v>
          </cell>
          <cell r="P1098" t="str">
            <v/>
          </cell>
          <cell r="Q1098" t="str">
            <v/>
          </cell>
          <cell r="R1098">
            <v>90</v>
          </cell>
        </row>
        <row r="1099">
          <cell r="A1099" t="str">
            <v/>
          </cell>
          <cell r="B1099" t="str">
            <v/>
          </cell>
          <cell r="C1099" t="str">
            <v>Future</v>
          </cell>
          <cell r="D1099" t="e">
            <v>#N/A</v>
          </cell>
          <cell r="E1099">
            <v>-80.258307086614792</v>
          </cell>
          <cell r="F1099">
            <v>143.38342519685045</v>
          </cell>
          <cell r="G1099">
            <v>36.887362204724198</v>
          </cell>
          <cell r="H1099">
            <v>36.887362204724198</v>
          </cell>
          <cell r="I1099" t="e">
            <v>#N/A</v>
          </cell>
          <cell r="J1099" t="e">
            <v>#N/A</v>
          </cell>
          <cell r="K1099">
            <v>105</v>
          </cell>
          <cell r="L1099">
            <v>55</v>
          </cell>
          <cell r="M1099" t="e">
            <v>#N/A</v>
          </cell>
          <cell r="N1099">
            <v>90</v>
          </cell>
          <cell r="O1099" t="e">
            <v>#N/A</v>
          </cell>
          <cell r="P1099" t="str">
            <v/>
          </cell>
          <cell r="Q1099" t="str">
            <v/>
          </cell>
          <cell r="R1099">
            <v>90</v>
          </cell>
        </row>
        <row r="1100">
          <cell r="A1100" t="str">
            <v/>
          </cell>
          <cell r="B1100" t="str">
            <v/>
          </cell>
          <cell r="C1100" t="str">
            <v>Future</v>
          </cell>
          <cell r="D1100" t="e">
            <v>#N/A</v>
          </cell>
          <cell r="E1100">
            <v>-80.537952755906133</v>
          </cell>
          <cell r="F1100">
            <v>143.51716535433076</v>
          </cell>
          <cell r="G1100">
            <v>36.824251968503724</v>
          </cell>
          <cell r="H1100">
            <v>36.824251968503724</v>
          </cell>
          <cell r="I1100" t="e">
            <v>#N/A</v>
          </cell>
          <cell r="J1100" t="e">
            <v>#N/A</v>
          </cell>
          <cell r="K1100">
            <v>105</v>
          </cell>
          <cell r="L1100">
            <v>55</v>
          </cell>
          <cell r="M1100" t="e">
            <v>#N/A</v>
          </cell>
          <cell r="N1100">
            <v>90</v>
          </cell>
          <cell r="O1100" t="e">
            <v>#N/A</v>
          </cell>
          <cell r="P1100" t="str">
            <v/>
          </cell>
          <cell r="Q1100" t="str">
            <v/>
          </cell>
          <cell r="R1100">
            <v>90</v>
          </cell>
        </row>
        <row r="1101">
          <cell r="A1101" t="str">
            <v/>
          </cell>
          <cell r="B1101" t="str">
            <v/>
          </cell>
          <cell r="C1101" t="str">
            <v>Future</v>
          </cell>
          <cell r="D1101" t="e">
            <v>#N/A</v>
          </cell>
          <cell r="E1101">
            <v>-80.817598425197474</v>
          </cell>
          <cell r="F1101">
            <v>143.65090551181106</v>
          </cell>
          <cell r="G1101">
            <v>36.761141732283249</v>
          </cell>
          <cell r="H1101">
            <v>36.761141732283249</v>
          </cell>
          <cell r="I1101" t="e">
            <v>#N/A</v>
          </cell>
          <cell r="J1101" t="e">
            <v>#N/A</v>
          </cell>
          <cell r="K1101">
            <v>105</v>
          </cell>
          <cell r="L1101">
            <v>55</v>
          </cell>
          <cell r="M1101" t="e">
            <v>#N/A</v>
          </cell>
          <cell r="N1101">
            <v>90</v>
          </cell>
          <cell r="O1101" t="e">
            <v>#N/A</v>
          </cell>
          <cell r="P1101" t="str">
            <v/>
          </cell>
          <cell r="Q1101" t="str">
            <v/>
          </cell>
          <cell r="R1101">
            <v>90</v>
          </cell>
        </row>
        <row r="1102">
          <cell r="A1102" t="str">
            <v/>
          </cell>
          <cell r="B1102" t="str">
            <v/>
          </cell>
          <cell r="C1102" t="str">
            <v>Future</v>
          </cell>
          <cell r="D1102" t="e">
            <v>#N/A</v>
          </cell>
          <cell r="E1102">
            <v>-81.097244094488815</v>
          </cell>
          <cell r="F1102">
            <v>143.78464566929136</v>
          </cell>
          <cell r="G1102">
            <v>36.698031496062775</v>
          </cell>
          <cell r="H1102">
            <v>36.698031496062775</v>
          </cell>
          <cell r="I1102" t="e">
            <v>#N/A</v>
          </cell>
          <cell r="J1102" t="e">
            <v>#N/A</v>
          </cell>
          <cell r="K1102">
            <v>105</v>
          </cell>
          <cell r="L1102">
            <v>55</v>
          </cell>
          <cell r="M1102" t="e">
            <v>#N/A</v>
          </cell>
          <cell r="N1102">
            <v>90</v>
          </cell>
          <cell r="O1102" t="e">
            <v>#N/A</v>
          </cell>
          <cell r="P1102" t="str">
            <v/>
          </cell>
          <cell r="Q1102" t="str">
            <v/>
          </cell>
          <cell r="R1102">
            <v>90</v>
          </cell>
        </row>
        <row r="1103">
          <cell r="A1103" t="str">
            <v/>
          </cell>
          <cell r="B1103" t="str">
            <v/>
          </cell>
          <cell r="C1103" t="str">
            <v>Future</v>
          </cell>
          <cell r="D1103" t="e">
            <v>#N/A</v>
          </cell>
          <cell r="E1103">
            <v>-81.376889763780156</v>
          </cell>
          <cell r="F1103">
            <v>143.91838582677167</v>
          </cell>
          <cell r="G1103">
            <v>36.634921259842301</v>
          </cell>
          <cell r="H1103">
            <v>36.634921259842301</v>
          </cell>
          <cell r="I1103" t="e">
            <v>#N/A</v>
          </cell>
          <cell r="J1103" t="e">
            <v>#N/A</v>
          </cell>
          <cell r="K1103">
            <v>105</v>
          </cell>
          <cell r="L1103">
            <v>55</v>
          </cell>
          <cell r="M1103" t="e">
            <v>#N/A</v>
          </cell>
          <cell r="N1103">
            <v>90</v>
          </cell>
          <cell r="O1103" t="e">
            <v>#N/A</v>
          </cell>
          <cell r="P1103" t="str">
            <v/>
          </cell>
          <cell r="Q1103" t="str">
            <v/>
          </cell>
          <cell r="R1103">
            <v>90</v>
          </cell>
        </row>
        <row r="1104">
          <cell r="A1104" t="str">
            <v/>
          </cell>
          <cell r="B1104" t="str">
            <v/>
          </cell>
          <cell r="C1104" t="str">
            <v>Future</v>
          </cell>
          <cell r="D1104" t="e">
            <v>#N/A</v>
          </cell>
          <cell r="E1104">
            <v>-81.656535433071497</v>
          </cell>
          <cell r="F1104">
            <v>144.05212598425197</v>
          </cell>
          <cell r="G1104">
            <v>36.571811023621827</v>
          </cell>
          <cell r="H1104">
            <v>36.571811023621827</v>
          </cell>
          <cell r="I1104" t="e">
            <v>#N/A</v>
          </cell>
          <cell r="J1104" t="e">
            <v>#N/A</v>
          </cell>
          <cell r="K1104">
            <v>105</v>
          </cell>
          <cell r="L1104">
            <v>55</v>
          </cell>
          <cell r="M1104" t="e">
            <v>#N/A</v>
          </cell>
          <cell r="N1104">
            <v>90</v>
          </cell>
          <cell r="O1104" t="e">
            <v>#N/A</v>
          </cell>
          <cell r="P1104" t="str">
            <v/>
          </cell>
          <cell r="Q1104" t="str">
            <v/>
          </cell>
          <cell r="R1104">
            <v>90</v>
          </cell>
        </row>
        <row r="1105">
          <cell r="A1105" t="str">
            <v/>
          </cell>
          <cell r="B1105" t="str">
            <v/>
          </cell>
          <cell r="C1105" t="str">
            <v>Future</v>
          </cell>
          <cell r="D1105" t="e">
            <v>#N/A</v>
          </cell>
          <cell r="E1105">
            <v>-81.936181102362838</v>
          </cell>
          <cell r="F1105">
            <v>144.18586614173228</v>
          </cell>
          <cell r="G1105">
            <v>36.508700787401352</v>
          </cell>
          <cell r="H1105">
            <v>36.508700787401352</v>
          </cell>
          <cell r="I1105" t="e">
            <v>#N/A</v>
          </cell>
          <cell r="J1105" t="e">
            <v>#N/A</v>
          </cell>
          <cell r="K1105">
            <v>105</v>
          </cell>
          <cell r="L1105">
            <v>55</v>
          </cell>
          <cell r="M1105" t="e">
            <v>#N/A</v>
          </cell>
          <cell r="N1105">
            <v>90</v>
          </cell>
          <cell r="O1105" t="e">
            <v>#N/A</v>
          </cell>
          <cell r="P1105" t="str">
            <v/>
          </cell>
          <cell r="Q1105" t="str">
            <v/>
          </cell>
          <cell r="R1105">
            <v>90</v>
          </cell>
        </row>
        <row r="1106">
          <cell r="A1106" t="str">
            <v/>
          </cell>
          <cell r="B1106" t="str">
            <v/>
          </cell>
          <cell r="C1106" t="str">
            <v>Future</v>
          </cell>
          <cell r="D1106" t="e">
            <v>#N/A</v>
          </cell>
          <cell r="E1106">
            <v>-82.215826771654179</v>
          </cell>
          <cell r="F1106">
            <v>144.31960629921258</v>
          </cell>
          <cell r="G1106">
            <v>36.445590551180878</v>
          </cell>
          <cell r="H1106">
            <v>36.445590551180878</v>
          </cell>
          <cell r="I1106" t="e">
            <v>#N/A</v>
          </cell>
          <cell r="J1106" t="e">
            <v>#N/A</v>
          </cell>
          <cell r="K1106">
            <v>105</v>
          </cell>
          <cell r="L1106">
            <v>55</v>
          </cell>
          <cell r="M1106" t="e">
            <v>#N/A</v>
          </cell>
          <cell r="N1106">
            <v>90</v>
          </cell>
          <cell r="O1106" t="e">
            <v>#N/A</v>
          </cell>
          <cell r="P1106" t="str">
            <v/>
          </cell>
          <cell r="Q1106" t="str">
            <v/>
          </cell>
          <cell r="R1106">
            <v>90</v>
          </cell>
        </row>
        <row r="1107">
          <cell r="A1107" t="str">
            <v/>
          </cell>
          <cell r="B1107" t="str">
            <v/>
          </cell>
          <cell r="C1107" t="str">
            <v>Future</v>
          </cell>
          <cell r="D1107" t="e">
            <v>#N/A</v>
          </cell>
          <cell r="E1107">
            <v>-82.49547244094552</v>
          </cell>
          <cell r="F1107">
            <v>144.45334645669288</v>
          </cell>
          <cell r="G1107">
            <v>36.382480314960404</v>
          </cell>
          <cell r="H1107">
            <v>36.382480314960404</v>
          </cell>
          <cell r="I1107" t="e">
            <v>#N/A</v>
          </cell>
          <cell r="J1107" t="e">
            <v>#N/A</v>
          </cell>
          <cell r="K1107">
            <v>105</v>
          </cell>
          <cell r="L1107">
            <v>55</v>
          </cell>
          <cell r="M1107" t="e">
            <v>#N/A</v>
          </cell>
          <cell r="N1107">
            <v>90</v>
          </cell>
          <cell r="O1107" t="e">
            <v>#N/A</v>
          </cell>
          <cell r="P1107" t="str">
            <v/>
          </cell>
          <cell r="Q1107" t="str">
            <v/>
          </cell>
          <cell r="R1107">
            <v>90</v>
          </cell>
        </row>
        <row r="1108">
          <cell r="A1108" t="str">
            <v/>
          </cell>
          <cell r="B1108" t="str">
            <v/>
          </cell>
          <cell r="C1108" t="str">
            <v>Future</v>
          </cell>
          <cell r="D1108" t="e">
            <v>#N/A</v>
          </cell>
          <cell r="E1108">
            <v>-82.775118110236861</v>
          </cell>
          <cell r="F1108">
            <v>144.58708661417319</v>
          </cell>
          <cell r="G1108">
            <v>36.319370078739929</v>
          </cell>
          <cell r="H1108">
            <v>36.319370078739929</v>
          </cell>
          <cell r="I1108" t="e">
            <v>#N/A</v>
          </cell>
          <cell r="J1108" t="e">
            <v>#N/A</v>
          </cell>
          <cell r="K1108">
            <v>105</v>
          </cell>
          <cell r="L1108">
            <v>55</v>
          </cell>
          <cell r="M1108" t="e">
            <v>#N/A</v>
          </cell>
          <cell r="N1108">
            <v>90</v>
          </cell>
          <cell r="O1108" t="e">
            <v>#N/A</v>
          </cell>
          <cell r="P1108" t="str">
            <v/>
          </cell>
          <cell r="Q1108" t="str">
            <v/>
          </cell>
          <cell r="R1108">
            <v>90</v>
          </cell>
        </row>
        <row r="1109">
          <cell r="A1109" t="str">
            <v/>
          </cell>
          <cell r="B1109" t="str">
            <v/>
          </cell>
          <cell r="C1109" t="str">
            <v>Future</v>
          </cell>
          <cell r="D1109" t="e">
            <v>#N/A</v>
          </cell>
          <cell r="E1109">
            <v>-83.054763779528201</v>
          </cell>
          <cell r="F1109">
            <v>144.72082677165349</v>
          </cell>
          <cell r="G1109">
            <v>36.256259842519455</v>
          </cell>
          <cell r="H1109">
            <v>36.256259842519455</v>
          </cell>
          <cell r="I1109" t="e">
            <v>#N/A</v>
          </cell>
          <cell r="J1109" t="e">
            <v>#N/A</v>
          </cell>
          <cell r="K1109">
            <v>105</v>
          </cell>
          <cell r="L1109">
            <v>55</v>
          </cell>
          <cell r="M1109" t="e">
            <v>#N/A</v>
          </cell>
          <cell r="N1109">
            <v>90</v>
          </cell>
          <cell r="O1109" t="e">
            <v>#N/A</v>
          </cell>
          <cell r="P1109" t="str">
            <v/>
          </cell>
          <cell r="Q1109" t="str">
            <v/>
          </cell>
          <cell r="R1109">
            <v>90</v>
          </cell>
        </row>
        <row r="1110">
          <cell r="A1110" t="str">
            <v/>
          </cell>
          <cell r="B1110" t="str">
            <v/>
          </cell>
          <cell r="C1110" t="str">
            <v>Future</v>
          </cell>
          <cell r="D1110" t="e">
            <v>#N/A</v>
          </cell>
          <cell r="E1110">
            <v>-83.334409448819542</v>
          </cell>
          <cell r="F1110">
            <v>144.8545669291338</v>
          </cell>
          <cell r="G1110">
            <v>36.193149606298981</v>
          </cell>
          <cell r="H1110">
            <v>36.193149606298981</v>
          </cell>
          <cell r="I1110" t="e">
            <v>#N/A</v>
          </cell>
          <cell r="J1110" t="e">
            <v>#N/A</v>
          </cell>
          <cell r="K1110">
            <v>105</v>
          </cell>
          <cell r="L1110">
            <v>55</v>
          </cell>
          <cell r="M1110" t="e">
            <v>#N/A</v>
          </cell>
          <cell r="N1110">
            <v>90</v>
          </cell>
          <cell r="O1110" t="e">
            <v>#N/A</v>
          </cell>
          <cell r="P1110" t="str">
            <v/>
          </cell>
          <cell r="Q1110" t="str">
            <v/>
          </cell>
          <cell r="R1110">
            <v>90</v>
          </cell>
        </row>
        <row r="1111">
          <cell r="A1111" t="str">
            <v/>
          </cell>
          <cell r="B1111" t="str">
            <v/>
          </cell>
          <cell r="C1111" t="str">
            <v>Future</v>
          </cell>
          <cell r="D1111" t="e">
            <v>#N/A</v>
          </cell>
          <cell r="E1111">
            <v>-83.614055118110883</v>
          </cell>
          <cell r="F1111">
            <v>144.9883070866141</v>
          </cell>
          <cell r="G1111">
            <v>36.130039370078507</v>
          </cell>
          <cell r="H1111">
            <v>36.130039370078507</v>
          </cell>
          <cell r="I1111" t="e">
            <v>#N/A</v>
          </cell>
          <cell r="J1111" t="e">
            <v>#N/A</v>
          </cell>
          <cell r="K1111">
            <v>105</v>
          </cell>
          <cell r="L1111">
            <v>55</v>
          </cell>
          <cell r="M1111" t="e">
            <v>#N/A</v>
          </cell>
          <cell r="N1111">
            <v>90</v>
          </cell>
          <cell r="O1111" t="e">
            <v>#N/A</v>
          </cell>
          <cell r="P1111" t="str">
            <v/>
          </cell>
          <cell r="Q1111" t="str">
            <v/>
          </cell>
          <cell r="R1111">
            <v>90</v>
          </cell>
        </row>
        <row r="1112">
          <cell r="A1112" t="str">
            <v/>
          </cell>
          <cell r="B1112" t="str">
            <v/>
          </cell>
          <cell r="C1112" t="str">
            <v>Future</v>
          </cell>
          <cell r="D1112" t="e">
            <v>#N/A</v>
          </cell>
          <cell r="E1112">
            <v>-83.893700787402224</v>
          </cell>
          <cell r="F1112">
            <v>145.1220472440944</v>
          </cell>
          <cell r="G1112">
            <v>36.066929133858032</v>
          </cell>
          <cell r="H1112">
            <v>36.066929133858032</v>
          </cell>
          <cell r="I1112" t="e">
            <v>#N/A</v>
          </cell>
          <cell r="J1112" t="e">
            <v>#N/A</v>
          </cell>
          <cell r="K1112">
            <v>105</v>
          </cell>
          <cell r="L1112">
            <v>55</v>
          </cell>
          <cell r="M1112" t="e">
            <v>#N/A</v>
          </cell>
          <cell r="N1112">
            <v>90</v>
          </cell>
          <cell r="O1112" t="e">
            <v>#N/A</v>
          </cell>
          <cell r="P1112" t="str">
            <v/>
          </cell>
          <cell r="Q1112" t="str">
            <v/>
          </cell>
          <cell r="R1112">
            <v>90</v>
          </cell>
        </row>
        <row r="1113">
          <cell r="A1113" t="str">
            <v/>
          </cell>
          <cell r="B1113" t="str">
            <v/>
          </cell>
          <cell r="C1113" t="str">
            <v>Future</v>
          </cell>
          <cell r="D1113" t="e">
            <v>#N/A</v>
          </cell>
          <cell r="E1113">
            <v>-84.173346456693565</v>
          </cell>
          <cell r="F1113">
            <v>145.25578740157471</v>
          </cell>
          <cell r="G1113">
            <v>36.003818897637558</v>
          </cell>
          <cell r="H1113">
            <v>36.003818897637558</v>
          </cell>
          <cell r="I1113" t="e">
            <v>#N/A</v>
          </cell>
          <cell r="J1113" t="e">
            <v>#N/A</v>
          </cell>
          <cell r="K1113">
            <v>105</v>
          </cell>
          <cell r="L1113">
            <v>55</v>
          </cell>
          <cell r="M1113" t="e">
            <v>#N/A</v>
          </cell>
          <cell r="N1113">
            <v>90</v>
          </cell>
          <cell r="O1113" t="e">
            <v>#N/A</v>
          </cell>
          <cell r="P1113" t="str">
            <v/>
          </cell>
          <cell r="Q1113" t="str">
            <v/>
          </cell>
          <cell r="R1113">
            <v>90</v>
          </cell>
        </row>
        <row r="1114">
          <cell r="A1114" t="str">
            <v/>
          </cell>
          <cell r="B1114" t="str">
            <v/>
          </cell>
          <cell r="C1114" t="str">
            <v>Future</v>
          </cell>
          <cell r="D1114" t="e">
            <v>#N/A</v>
          </cell>
          <cell r="E1114">
            <v>-84.452992125984906</v>
          </cell>
          <cell r="F1114">
            <v>145.38952755905501</v>
          </cell>
          <cell r="G1114">
            <v>35.940708661417084</v>
          </cell>
          <cell r="H1114">
            <v>35.940708661417084</v>
          </cell>
          <cell r="I1114" t="e">
            <v>#N/A</v>
          </cell>
          <cell r="J1114" t="e">
            <v>#N/A</v>
          </cell>
          <cell r="K1114">
            <v>105</v>
          </cell>
          <cell r="L1114">
            <v>55</v>
          </cell>
          <cell r="M1114" t="e">
            <v>#N/A</v>
          </cell>
          <cell r="N1114">
            <v>90</v>
          </cell>
          <cell r="O1114" t="e">
            <v>#N/A</v>
          </cell>
          <cell r="P1114" t="str">
            <v/>
          </cell>
          <cell r="Q1114" t="str">
            <v/>
          </cell>
          <cell r="R1114">
            <v>90</v>
          </cell>
        </row>
        <row r="1115">
          <cell r="A1115" t="str">
            <v/>
          </cell>
          <cell r="B1115" t="str">
            <v/>
          </cell>
          <cell r="C1115" t="str">
            <v>Future</v>
          </cell>
          <cell r="D1115" t="e">
            <v>#N/A</v>
          </cell>
          <cell r="E1115">
            <v>-84.732637795276247</v>
          </cell>
          <cell r="F1115">
            <v>145.52326771653532</v>
          </cell>
          <cell r="G1115">
            <v>35.877598425196609</v>
          </cell>
          <cell r="H1115">
            <v>35.877598425196609</v>
          </cell>
          <cell r="I1115" t="e">
            <v>#N/A</v>
          </cell>
          <cell r="J1115" t="e">
            <v>#N/A</v>
          </cell>
          <cell r="K1115">
            <v>105</v>
          </cell>
          <cell r="L1115">
            <v>55</v>
          </cell>
          <cell r="M1115" t="e">
            <v>#N/A</v>
          </cell>
          <cell r="N1115">
            <v>90</v>
          </cell>
          <cell r="O1115" t="e">
            <v>#N/A</v>
          </cell>
          <cell r="P1115" t="str">
            <v/>
          </cell>
          <cell r="Q1115" t="str">
            <v/>
          </cell>
          <cell r="R1115">
            <v>90</v>
          </cell>
        </row>
        <row r="1116">
          <cell r="A1116" t="str">
            <v/>
          </cell>
          <cell r="B1116" t="str">
            <v/>
          </cell>
          <cell r="C1116" t="str">
            <v>Future</v>
          </cell>
          <cell r="D1116" t="e">
            <v>#N/A</v>
          </cell>
          <cell r="E1116">
            <v>-85.012283464567588</v>
          </cell>
          <cell r="F1116">
            <v>145.65700787401562</v>
          </cell>
          <cell r="G1116">
            <v>35.814488188976135</v>
          </cell>
          <cell r="H1116">
            <v>35.814488188976135</v>
          </cell>
          <cell r="I1116" t="e">
            <v>#N/A</v>
          </cell>
          <cell r="J1116" t="e">
            <v>#N/A</v>
          </cell>
          <cell r="K1116">
            <v>105</v>
          </cell>
          <cell r="L1116">
            <v>55</v>
          </cell>
          <cell r="M1116" t="e">
            <v>#N/A</v>
          </cell>
          <cell r="N1116">
            <v>90</v>
          </cell>
          <cell r="O1116" t="e">
            <v>#N/A</v>
          </cell>
          <cell r="P1116" t="str">
            <v/>
          </cell>
          <cell r="Q1116" t="str">
            <v/>
          </cell>
          <cell r="R1116">
            <v>90</v>
          </cell>
        </row>
        <row r="1117">
          <cell r="A1117" t="str">
            <v/>
          </cell>
          <cell r="B1117" t="str">
            <v/>
          </cell>
          <cell r="C1117" t="str">
            <v>Future</v>
          </cell>
          <cell r="D1117" t="e">
            <v>#N/A</v>
          </cell>
          <cell r="E1117">
            <v>-85.291929133858929</v>
          </cell>
          <cell r="F1117">
            <v>145.79074803149592</v>
          </cell>
          <cell r="G1117">
            <v>35.751377952755661</v>
          </cell>
          <cell r="H1117">
            <v>35.751377952755661</v>
          </cell>
          <cell r="I1117" t="e">
            <v>#N/A</v>
          </cell>
          <cell r="J1117" t="e">
            <v>#N/A</v>
          </cell>
          <cell r="K1117">
            <v>105</v>
          </cell>
          <cell r="L1117">
            <v>55</v>
          </cell>
          <cell r="M1117" t="e">
            <v>#N/A</v>
          </cell>
          <cell r="N1117">
            <v>90</v>
          </cell>
          <cell r="O1117" t="e">
            <v>#N/A</v>
          </cell>
          <cell r="P1117" t="str">
            <v/>
          </cell>
          <cell r="Q1117" t="str">
            <v/>
          </cell>
          <cell r="R1117">
            <v>90</v>
          </cell>
        </row>
        <row r="1118">
          <cell r="A1118" t="str">
            <v/>
          </cell>
          <cell r="B1118" t="str">
            <v/>
          </cell>
          <cell r="C1118" t="str">
            <v>Future</v>
          </cell>
          <cell r="D1118" t="e">
            <v>#N/A</v>
          </cell>
          <cell r="E1118">
            <v>-85.57157480315027</v>
          </cell>
          <cell r="F1118">
            <v>145.92448818897623</v>
          </cell>
          <cell r="G1118">
            <v>35.688267716535186</v>
          </cell>
          <cell r="H1118">
            <v>35.688267716535186</v>
          </cell>
          <cell r="I1118" t="e">
            <v>#N/A</v>
          </cell>
          <cell r="J1118" t="e">
            <v>#N/A</v>
          </cell>
          <cell r="K1118">
            <v>105</v>
          </cell>
          <cell r="L1118">
            <v>55</v>
          </cell>
          <cell r="M1118" t="e">
            <v>#N/A</v>
          </cell>
          <cell r="N1118">
            <v>90</v>
          </cell>
          <cell r="O1118" t="e">
            <v>#N/A</v>
          </cell>
          <cell r="P1118" t="str">
            <v/>
          </cell>
          <cell r="Q1118" t="str">
            <v/>
          </cell>
          <cell r="R1118">
            <v>90</v>
          </cell>
        </row>
        <row r="1119">
          <cell r="A1119" t="str">
            <v/>
          </cell>
          <cell r="B1119" t="str">
            <v/>
          </cell>
          <cell r="C1119" t="str">
            <v>Future</v>
          </cell>
          <cell r="D1119" t="e">
            <v>#N/A</v>
          </cell>
          <cell r="E1119">
            <v>-85.851220472441611</v>
          </cell>
          <cell r="F1119">
            <v>146.05822834645653</v>
          </cell>
          <cell r="G1119">
            <v>35.625157480314712</v>
          </cell>
          <cell r="H1119">
            <v>35.625157480314712</v>
          </cell>
          <cell r="I1119" t="e">
            <v>#N/A</v>
          </cell>
          <cell r="J1119" t="e">
            <v>#N/A</v>
          </cell>
          <cell r="K1119">
            <v>105</v>
          </cell>
          <cell r="L1119">
            <v>55</v>
          </cell>
          <cell r="M1119" t="e">
            <v>#N/A</v>
          </cell>
          <cell r="N1119">
            <v>90</v>
          </cell>
          <cell r="O1119" t="e">
            <v>#N/A</v>
          </cell>
          <cell r="P1119" t="str">
            <v/>
          </cell>
          <cell r="Q1119" t="str">
            <v/>
          </cell>
          <cell r="R1119">
            <v>90</v>
          </cell>
        </row>
        <row r="1120">
          <cell r="A1120" t="str">
            <v/>
          </cell>
          <cell r="B1120" t="str">
            <v/>
          </cell>
          <cell r="C1120" t="str">
            <v>Future</v>
          </cell>
          <cell r="D1120" t="e">
            <v>#N/A</v>
          </cell>
          <cell r="E1120">
            <v>-86.130866141732952</v>
          </cell>
          <cell r="F1120">
            <v>146.19196850393683</v>
          </cell>
          <cell r="G1120">
            <v>35.562047244094238</v>
          </cell>
          <cell r="H1120">
            <v>35.562047244094238</v>
          </cell>
          <cell r="I1120" t="e">
            <v>#N/A</v>
          </cell>
          <cell r="J1120" t="e">
            <v>#N/A</v>
          </cell>
          <cell r="K1120">
            <v>105</v>
          </cell>
          <cell r="L1120">
            <v>55</v>
          </cell>
          <cell r="M1120" t="e">
            <v>#N/A</v>
          </cell>
          <cell r="N1120">
            <v>90</v>
          </cell>
          <cell r="O1120" t="e">
            <v>#N/A</v>
          </cell>
          <cell r="P1120" t="str">
            <v/>
          </cell>
          <cell r="Q1120" t="str">
            <v/>
          </cell>
          <cell r="R1120">
            <v>90</v>
          </cell>
        </row>
        <row r="1121">
          <cell r="A1121" t="str">
            <v/>
          </cell>
          <cell r="B1121" t="str">
            <v/>
          </cell>
          <cell r="C1121" t="str">
            <v>Future</v>
          </cell>
          <cell r="D1121" t="e">
            <v>#N/A</v>
          </cell>
          <cell r="E1121">
            <v>-86.410511811024293</v>
          </cell>
          <cell r="F1121">
            <v>146.32570866141714</v>
          </cell>
          <cell r="G1121">
            <v>35.498937007873764</v>
          </cell>
          <cell r="H1121">
            <v>35.498937007873764</v>
          </cell>
          <cell r="I1121" t="e">
            <v>#N/A</v>
          </cell>
          <cell r="J1121" t="e">
            <v>#N/A</v>
          </cell>
          <cell r="K1121">
            <v>105</v>
          </cell>
          <cell r="L1121">
            <v>55</v>
          </cell>
          <cell r="M1121" t="e">
            <v>#N/A</v>
          </cell>
          <cell r="N1121">
            <v>90</v>
          </cell>
          <cell r="O1121" t="e">
            <v>#N/A</v>
          </cell>
          <cell r="P1121" t="str">
            <v/>
          </cell>
          <cell r="Q1121" t="str">
            <v/>
          </cell>
          <cell r="R1121">
            <v>90</v>
          </cell>
        </row>
        <row r="1122">
          <cell r="A1122" t="str">
            <v/>
          </cell>
          <cell r="B1122" t="str">
            <v/>
          </cell>
          <cell r="C1122" t="str">
            <v>Future</v>
          </cell>
          <cell r="D1122" t="e">
            <v>#N/A</v>
          </cell>
          <cell r="E1122">
            <v>-86.690157480315634</v>
          </cell>
          <cell r="F1122">
            <v>146.45944881889744</v>
          </cell>
          <cell r="G1122">
            <v>35.435826771653289</v>
          </cell>
          <cell r="H1122">
            <v>35.435826771653289</v>
          </cell>
          <cell r="I1122" t="e">
            <v>#N/A</v>
          </cell>
          <cell r="J1122" t="e">
            <v>#N/A</v>
          </cell>
          <cell r="K1122">
            <v>105</v>
          </cell>
          <cell r="L1122">
            <v>55</v>
          </cell>
          <cell r="M1122" t="e">
            <v>#N/A</v>
          </cell>
          <cell r="N1122">
            <v>90</v>
          </cell>
          <cell r="O1122" t="e">
            <v>#N/A</v>
          </cell>
          <cell r="P1122" t="str">
            <v/>
          </cell>
          <cell r="Q1122" t="str">
            <v/>
          </cell>
          <cell r="R1122">
            <v>90</v>
          </cell>
        </row>
        <row r="1123">
          <cell r="A1123" t="str">
            <v/>
          </cell>
          <cell r="B1123" t="str">
            <v/>
          </cell>
          <cell r="C1123" t="str">
            <v>Future</v>
          </cell>
          <cell r="D1123" t="e">
            <v>#N/A</v>
          </cell>
          <cell r="E1123">
            <v>-86.969803149606975</v>
          </cell>
          <cell r="F1123">
            <v>146.59318897637775</v>
          </cell>
          <cell r="G1123">
            <v>35.372716535432815</v>
          </cell>
          <cell r="H1123">
            <v>35.372716535432815</v>
          </cell>
          <cell r="I1123" t="e">
            <v>#N/A</v>
          </cell>
          <cell r="J1123" t="e">
            <v>#N/A</v>
          </cell>
          <cell r="K1123">
            <v>105</v>
          </cell>
          <cell r="L1123">
            <v>55</v>
          </cell>
          <cell r="M1123" t="e">
            <v>#N/A</v>
          </cell>
          <cell r="N1123">
            <v>90</v>
          </cell>
          <cell r="O1123" t="e">
            <v>#N/A</v>
          </cell>
          <cell r="P1123" t="str">
            <v/>
          </cell>
          <cell r="Q1123" t="str">
            <v/>
          </cell>
          <cell r="R1123">
            <v>90</v>
          </cell>
        </row>
        <row r="1124">
          <cell r="A1124" t="str">
            <v/>
          </cell>
          <cell r="B1124" t="str">
            <v/>
          </cell>
          <cell r="C1124" t="str">
            <v>Future</v>
          </cell>
          <cell r="D1124" t="e">
            <v>#N/A</v>
          </cell>
          <cell r="E1124">
            <v>-87.249448818898315</v>
          </cell>
          <cell r="F1124">
            <v>146.72692913385805</v>
          </cell>
          <cell r="G1124">
            <v>35.309606299212341</v>
          </cell>
          <cell r="H1124">
            <v>35.309606299212341</v>
          </cell>
          <cell r="I1124" t="e">
            <v>#N/A</v>
          </cell>
          <cell r="J1124" t="e">
            <v>#N/A</v>
          </cell>
          <cell r="K1124">
            <v>105</v>
          </cell>
          <cell r="L1124">
            <v>55</v>
          </cell>
          <cell r="M1124" t="e">
            <v>#N/A</v>
          </cell>
          <cell r="N1124">
            <v>90</v>
          </cell>
          <cell r="O1124" t="e">
            <v>#N/A</v>
          </cell>
          <cell r="P1124" t="str">
            <v/>
          </cell>
          <cell r="Q1124" t="str">
            <v/>
          </cell>
          <cell r="R1124">
            <v>90</v>
          </cell>
        </row>
        <row r="1125">
          <cell r="A1125" t="str">
            <v/>
          </cell>
          <cell r="B1125" t="str">
            <v/>
          </cell>
          <cell r="C1125" t="str">
            <v>Future</v>
          </cell>
          <cell r="D1125" t="e">
            <v>#N/A</v>
          </cell>
          <cell r="E1125">
            <v>-87.529094488189656</v>
          </cell>
          <cell r="F1125">
            <v>146.86066929133835</v>
          </cell>
          <cell r="G1125">
            <v>35.246496062991866</v>
          </cell>
          <cell r="H1125">
            <v>35.246496062991866</v>
          </cell>
          <cell r="I1125" t="e">
            <v>#N/A</v>
          </cell>
          <cell r="J1125" t="e">
            <v>#N/A</v>
          </cell>
          <cell r="K1125">
            <v>105</v>
          </cell>
          <cell r="L1125">
            <v>55</v>
          </cell>
          <cell r="M1125" t="e">
            <v>#N/A</v>
          </cell>
          <cell r="N1125">
            <v>90</v>
          </cell>
          <cell r="O1125" t="e">
            <v>#N/A</v>
          </cell>
          <cell r="P1125" t="str">
            <v/>
          </cell>
          <cell r="Q1125" t="str">
            <v/>
          </cell>
          <cell r="R1125">
            <v>90</v>
          </cell>
        </row>
        <row r="1126">
          <cell r="A1126" t="str">
            <v/>
          </cell>
          <cell r="B1126" t="str">
            <v/>
          </cell>
          <cell r="C1126" t="str">
            <v>Future</v>
          </cell>
          <cell r="D1126" t="e">
            <v>#N/A</v>
          </cell>
          <cell r="E1126">
            <v>-87.808740157480997</v>
          </cell>
          <cell r="F1126">
            <v>146.99440944881866</v>
          </cell>
          <cell r="G1126">
            <v>35.183385826771392</v>
          </cell>
          <cell r="H1126">
            <v>35.183385826771392</v>
          </cell>
          <cell r="I1126" t="e">
            <v>#N/A</v>
          </cell>
          <cell r="J1126" t="e">
            <v>#N/A</v>
          </cell>
          <cell r="K1126">
            <v>105</v>
          </cell>
          <cell r="L1126">
            <v>55</v>
          </cell>
          <cell r="M1126" t="e">
            <v>#N/A</v>
          </cell>
          <cell r="N1126">
            <v>90</v>
          </cell>
          <cell r="O1126" t="e">
            <v>#N/A</v>
          </cell>
          <cell r="P1126" t="str">
            <v/>
          </cell>
          <cell r="Q1126" t="str">
            <v/>
          </cell>
          <cell r="R1126">
            <v>90</v>
          </cell>
        </row>
        <row r="1127">
          <cell r="A1127" t="str">
            <v/>
          </cell>
          <cell r="B1127" t="str">
            <v/>
          </cell>
          <cell r="C1127" t="str">
            <v>Future</v>
          </cell>
          <cell r="D1127" t="e">
            <v>#N/A</v>
          </cell>
          <cell r="E1127">
            <v>-88.088385826772338</v>
          </cell>
          <cell r="F1127">
            <v>147.12814960629896</v>
          </cell>
          <cell r="G1127">
            <v>35.120275590550918</v>
          </cell>
          <cell r="H1127">
            <v>35.120275590550918</v>
          </cell>
          <cell r="I1127" t="e">
            <v>#N/A</v>
          </cell>
          <cell r="J1127" t="e">
            <v>#N/A</v>
          </cell>
          <cell r="K1127">
            <v>105</v>
          </cell>
          <cell r="L1127">
            <v>55</v>
          </cell>
          <cell r="M1127" t="e">
            <v>#N/A</v>
          </cell>
          <cell r="N1127">
            <v>90</v>
          </cell>
          <cell r="O1127" t="e">
            <v>#N/A</v>
          </cell>
          <cell r="P1127" t="str">
            <v/>
          </cell>
          <cell r="Q1127" t="str">
            <v/>
          </cell>
          <cell r="R1127">
            <v>90</v>
          </cell>
        </row>
        <row r="1128">
          <cell r="A1128" t="str">
            <v/>
          </cell>
          <cell r="B1128" t="str">
            <v/>
          </cell>
          <cell r="C1128" t="str">
            <v>Future</v>
          </cell>
          <cell r="D1128" t="e">
            <v>#N/A</v>
          </cell>
          <cell r="E1128">
            <v>-88.368031496063679</v>
          </cell>
          <cell r="F1128">
            <v>147.26188976377927</v>
          </cell>
          <cell r="G1128">
            <v>35.057165354330444</v>
          </cell>
          <cell r="H1128">
            <v>35.057165354330444</v>
          </cell>
          <cell r="I1128" t="e">
            <v>#N/A</v>
          </cell>
          <cell r="J1128" t="e">
            <v>#N/A</v>
          </cell>
          <cell r="K1128">
            <v>105</v>
          </cell>
          <cell r="L1128">
            <v>55</v>
          </cell>
          <cell r="M1128" t="e">
            <v>#N/A</v>
          </cell>
          <cell r="N1128">
            <v>90</v>
          </cell>
          <cell r="O1128" t="e">
            <v>#N/A</v>
          </cell>
          <cell r="P1128" t="str">
            <v/>
          </cell>
          <cell r="Q1128" t="str">
            <v/>
          </cell>
          <cell r="R1128">
            <v>90</v>
          </cell>
        </row>
        <row r="1129">
          <cell r="A1129" t="str">
            <v/>
          </cell>
          <cell r="B1129" t="str">
            <v/>
          </cell>
          <cell r="C1129" t="str">
            <v>Future</v>
          </cell>
          <cell r="D1129" t="e">
            <v>#N/A</v>
          </cell>
          <cell r="E1129">
            <v>-88.64767716535502</v>
          </cell>
          <cell r="F1129">
            <v>147.39562992125957</v>
          </cell>
          <cell r="G1129">
            <v>34.994055118109969</v>
          </cell>
          <cell r="H1129">
            <v>34.994055118109969</v>
          </cell>
          <cell r="I1129" t="e">
            <v>#N/A</v>
          </cell>
          <cell r="J1129" t="e">
            <v>#N/A</v>
          </cell>
          <cell r="K1129">
            <v>105</v>
          </cell>
          <cell r="L1129">
            <v>55</v>
          </cell>
          <cell r="M1129" t="e">
            <v>#N/A</v>
          </cell>
          <cell r="N1129">
            <v>90</v>
          </cell>
          <cell r="O1129" t="e">
            <v>#N/A</v>
          </cell>
          <cell r="P1129" t="str">
            <v/>
          </cell>
          <cell r="Q1129" t="str">
            <v/>
          </cell>
          <cell r="R1129">
            <v>90</v>
          </cell>
        </row>
        <row r="1130">
          <cell r="A1130" t="str">
            <v/>
          </cell>
          <cell r="B1130" t="str">
            <v/>
          </cell>
          <cell r="C1130" t="str">
            <v>Future</v>
          </cell>
          <cell r="D1130" t="e">
            <v>#N/A</v>
          </cell>
          <cell r="E1130">
            <v>-88.927322834646361</v>
          </cell>
          <cell r="F1130">
            <v>147.52937007873987</v>
          </cell>
          <cell r="G1130">
            <v>34.930944881889495</v>
          </cell>
          <cell r="H1130">
            <v>34.930944881889495</v>
          </cell>
          <cell r="I1130" t="e">
            <v>#N/A</v>
          </cell>
          <cell r="J1130" t="e">
            <v>#N/A</v>
          </cell>
          <cell r="K1130">
            <v>105</v>
          </cell>
          <cell r="L1130">
            <v>55</v>
          </cell>
          <cell r="M1130" t="e">
            <v>#N/A</v>
          </cell>
          <cell r="N1130">
            <v>90</v>
          </cell>
          <cell r="O1130" t="e">
            <v>#N/A</v>
          </cell>
          <cell r="P1130" t="str">
            <v/>
          </cell>
          <cell r="Q1130" t="str">
            <v/>
          </cell>
          <cell r="R1130">
            <v>90</v>
          </cell>
        </row>
        <row r="1131">
          <cell r="A1131" t="str">
            <v/>
          </cell>
          <cell r="B1131" t="str">
            <v/>
          </cell>
          <cell r="C1131" t="str">
            <v>Future</v>
          </cell>
          <cell r="D1131" t="e">
            <v>#N/A</v>
          </cell>
          <cell r="E1131">
            <v>-89.206968503937702</v>
          </cell>
          <cell r="F1131">
            <v>147.66311023622018</v>
          </cell>
          <cell r="G1131">
            <v>34.867834645669021</v>
          </cell>
          <cell r="H1131">
            <v>34.867834645669021</v>
          </cell>
          <cell r="I1131" t="e">
            <v>#N/A</v>
          </cell>
          <cell r="J1131" t="e">
            <v>#N/A</v>
          </cell>
          <cell r="K1131">
            <v>105</v>
          </cell>
          <cell r="L1131">
            <v>55</v>
          </cell>
          <cell r="M1131" t="e">
            <v>#N/A</v>
          </cell>
          <cell r="N1131">
            <v>90</v>
          </cell>
          <cell r="O1131" t="e">
            <v>#N/A</v>
          </cell>
          <cell r="P1131" t="str">
            <v/>
          </cell>
          <cell r="Q1131" t="str">
            <v/>
          </cell>
          <cell r="R1131">
            <v>90</v>
          </cell>
        </row>
        <row r="1132">
          <cell r="A1132" t="str">
            <v/>
          </cell>
          <cell r="B1132" t="str">
            <v/>
          </cell>
          <cell r="C1132" t="str">
            <v>Future</v>
          </cell>
          <cell r="D1132" t="e">
            <v>#N/A</v>
          </cell>
          <cell r="E1132">
            <v>-89.486614173229043</v>
          </cell>
          <cell r="F1132">
            <v>147.79685039370048</v>
          </cell>
          <cell r="G1132">
            <v>34.804724409448546</v>
          </cell>
          <cell r="H1132">
            <v>34.804724409448546</v>
          </cell>
          <cell r="I1132" t="e">
            <v>#N/A</v>
          </cell>
          <cell r="J1132" t="e">
            <v>#N/A</v>
          </cell>
          <cell r="K1132">
            <v>105</v>
          </cell>
          <cell r="L1132">
            <v>55</v>
          </cell>
          <cell r="M1132" t="e">
            <v>#N/A</v>
          </cell>
          <cell r="N1132">
            <v>90</v>
          </cell>
          <cell r="O1132" t="e">
            <v>#N/A</v>
          </cell>
          <cell r="P1132" t="str">
            <v/>
          </cell>
          <cell r="Q1132" t="str">
            <v/>
          </cell>
          <cell r="R1132">
            <v>90</v>
          </cell>
        </row>
        <row r="1133">
          <cell r="A1133" t="str">
            <v/>
          </cell>
          <cell r="B1133" t="str">
            <v/>
          </cell>
          <cell r="C1133" t="str">
            <v>Future</v>
          </cell>
          <cell r="D1133" t="e">
            <v>#N/A</v>
          </cell>
          <cell r="E1133">
            <v>-89.766259842520384</v>
          </cell>
          <cell r="F1133">
            <v>147.93059055118079</v>
          </cell>
          <cell r="G1133">
            <v>34.741614173228072</v>
          </cell>
          <cell r="H1133">
            <v>34.741614173228072</v>
          </cell>
          <cell r="I1133" t="e">
            <v>#N/A</v>
          </cell>
          <cell r="J1133" t="e">
            <v>#N/A</v>
          </cell>
          <cell r="K1133">
            <v>105</v>
          </cell>
          <cell r="L1133">
            <v>55</v>
          </cell>
          <cell r="M1133" t="e">
            <v>#N/A</v>
          </cell>
          <cell r="N1133">
            <v>90</v>
          </cell>
          <cell r="O1133" t="e">
            <v>#N/A</v>
          </cell>
          <cell r="P1133" t="str">
            <v/>
          </cell>
          <cell r="Q1133" t="str">
            <v/>
          </cell>
          <cell r="R1133">
            <v>90</v>
          </cell>
        </row>
        <row r="1134">
          <cell r="A1134" t="str">
            <v/>
          </cell>
          <cell r="B1134" t="str">
            <v/>
          </cell>
          <cell r="C1134" t="str">
            <v>Future</v>
          </cell>
          <cell r="D1134" t="e">
            <v>#N/A</v>
          </cell>
          <cell r="E1134">
            <v>-90.045905511811725</v>
          </cell>
          <cell r="F1134">
            <v>148.06433070866109</v>
          </cell>
          <cell r="G1134">
            <v>34.678503937007598</v>
          </cell>
          <cell r="H1134">
            <v>34.678503937007598</v>
          </cell>
          <cell r="I1134" t="e">
            <v>#N/A</v>
          </cell>
          <cell r="J1134" t="e">
            <v>#N/A</v>
          </cell>
          <cell r="K1134">
            <v>105</v>
          </cell>
          <cell r="L1134">
            <v>55</v>
          </cell>
          <cell r="M1134" t="e">
            <v>#N/A</v>
          </cell>
          <cell r="N1134">
            <v>90</v>
          </cell>
          <cell r="O1134" t="e">
            <v>#N/A</v>
          </cell>
          <cell r="P1134" t="str">
            <v/>
          </cell>
          <cell r="Q1134" t="str">
            <v/>
          </cell>
          <cell r="R1134">
            <v>90</v>
          </cell>
        </row>
        <row r="1135">
          <cell r="A1135" t="str">
            <v/>
          </cell>
          <cell r="B1135" t="str">
            <v/>
          </cell>
          <cell r="C1135" t="str">
            <v>Future</v>
          </cell>
          <cell r="D1135" t="e">
            <v>#N/A</v>
          </cell>
          <cell r="E1135">
            <v>-90.325551181103066</v>
          </cell>
          <cell r="F1135">
            <v>148.19807086614139</v>
          </cell>
          <cell r="G1135">
            <v>34.615393700787124</v>
          </cell>
          <cell r="H1135">
            <v>34.615393700787124</v>
          </cell>
          <cell r="I1135" t="e">
            <v>#N/A</v>
          </cell>
          <cell r="J1135" t="e">
            <v>#N/A</v>
          </cell>
          <cell r="K1135">
            <v>105</v>
          </cell>
          <cell r="L1135">
            <v>55</v>
          </cell>
          <cell r="M1135" t="e">
            <v>#N/A</v>
          </cell>
          <cell r="N1135">
            <v>90</v>
          </cell>
          <cell r="O1135" t="e">
            <v>#N/A</v>
          </cell>
          <cell r="P1135" t="str">
            <v/>
          </cell>
          <cell r="Q1135" t="str">
            <v/>
          </cell>
          <cell r="R1135">
            <v>90</v>
          </cell>
        </row>
        <row r="1136">
          <cell r="A1136" t="str">
            <v/>
          </cell>
          <cell r="B1136" t="str">
            <v/>
          </cell>
          <cell r="C1136" t="str">
            <v>Future</v>
          </cell>
          <cell r="D1136" t="e">
            <v>#N/A</v>
          </cell>
          <cell r="E1136">
            <v>-90.605196850394407</v>
          </cell>
          <cell r="F1136">
            <v>148.3318110236217</v>
          </cell>
          <cell r="G1136">
            <v>34.552283464566649</v>
          </cell>
          <cell r="H1136">
            <v>34.552283464566649</v>
          </cell>
          <cell r="I1136" t="e">
            <v>#N/A</v>
          </cell>
          <cell r="J1136" t="e">
            <v>#N/A</v>
          </cell>
          <cell r="K1136">
            <v>105</v>
          </cell>
          <cell r="L1136">
            <v>55</v>
          </cell>
          <cell r="M1136" t="e">
            <v>#N/A</v>
          </cell>
          <cell r="N1136">
            <v>90</v>
          </cell>
          <cell r="O1136" t="e">
            <v>#N/A</v>
          </cell>
          <cell r="P1136" t="str">
            <v/>
          </cell>
          <cell r="Q1136" t="str">
            <v/>
          </cell>
          <cell r="R1136">
            <v>90</v>
          </cell>
        </row>
        <row r="1137">
          <cell r="A1137" t="str">
            <v/>
          </cell>
          <cell r="B1137" t="str">
            <v/>
          </cell>
          <cell r="C1137" t="str">
            <v>Future</v>
          </cell>
          <cell r="D1137" t="e">
            <v>#N/A</v>
          </cell>
          <cell r="E1137">
            <v>-90.884842519685748</v>
          </cell>
          <cell r="F1137">
            <v>148.465551181102</v>
          </cell>
          <cell r="G1137">
            <v>34.489173228346175</v>
          </cell>
          <cell r="H1137">
            <v>34.489173228346175</v>
          </cell>
          <cell r="I1137" t="e">
            <v>#N/A</v>
          </cell>
          <cell r="J1137" t="e">
            <v>#N/A</v>
          </cell>
          <cell r="K1137">
            <v>105</v>
          </cell>
          <cell r="L1137">
            <v>55</v>
          </cell>
          <cell r="M1137" t="e">
            <v>#N/A</v>
          </cell>
          <cell r="N1137">
            <v>90</v>
          </cell>
          <cell r="O1137" t="e">
            <v>#N/A</v>
          </cell>
          <cell r="P1137" t="str">
            <v/>
          </cell>
          <cell r="Q1137" t="str">
            <v/>
          </cell>
          <cell r="R1137">
            <v>90</v>
          </cell>
        </row>
        <row r="1138">
          <cell r="A1138" t="str">
            <v/>
          </cell>
          <cell r="B1138" t="str">
            <v/>
          </cell>
          <cell r="C1138" t="str">
            <v>Future</v>
          </cell>
          <cell r="D1138" t="e">
            <v>#N/A</v>
          </cell>
          <cell r="E1138">
            <v>-91.164488188977089</v>
          </cell>
          <cell r="F1138">
            <v>148.5992913385823</v>
          </cell>
          <cell r="G1138">
            <v>34.426062992125701</v>
          </cell>
          <cell r="H1138">
            <v>34.426062992125701</v>
          </cell>
          <cell r="I1138" t="e">
            <v>#N/A</v>
          </cell>
          <cell r="J1138" t="e">
            <v>#N/A</v>
          </cell>
          <cell r="K1138">
            <v>105</v>
          </cell>
          <cell r="L1138">
            <v>55</v>
          </cell>
          <cell r="M1138" t="e">
            <v>#N/A</v>
          </cell>
          <cell r="N1138">
            <v>90</v>
          </cell>
          <cell r="O1138" t="e">
            <v>#N/A</v>
          </cell>
          <cell r="P1138" t="str">
            <v/>
          </cell>
          <cell r="Q1138" t="str">
            <v/>
          </cell>
          <cell r="R1138">
            <v>90</v>
          </cell>
        </row>
        <row r="1139">
          <cell r="A1139" t="str">
            <v/>
          </cell>
          <cell r="B1139" t="str">
            <v/>
          </cell>
          <cell r="C1139" t="str">
            <v>Future</v>
          </cell>
          <cell r="D1139" t="e">
            <v>#N/A</v>
          </cell>
          <cell r="E1139">
            <v>-91.44413385826843</v>
          </cell>
          <cell r="F1139">
            <v>148.73303149606261</v>
          </cell>
          <cell r="G1139">
            <v>34.362952755905226</v>
          </cell>
          <cell r="H1139">
            <v>34.362952755905226</v>
          </cell>
          <cell r="I1139" t="e">
            <v>#N/A</v>
          </cell>
          <cell r="J1139" t="e">
            <v>#N/A</v>
          </cell>
          <cell r="K1139">
            <v>105</v>
          </cell>
          <cell r="L1139">
            <v>55</v>
          </cell>
          <cell r="M1139" t="e">
            <v>#N/A</v>
          </cell>
          <cell r="N1139">
            <v>90</v>
          </cell>
          <cell r="O1139" t="e">
            <v>#N/A</v>
          </cell>
          <cell r="P1139" t="str">
            <v/>
          </cell>
          <cell r="Q1139" t="str">
            <v/>
          </cell>
          <cell r="R1139">
            <v>90</v>
          </cell>
        </row>
        <row r="1140">
          <cell r="A1140" t="str">
            <v/>
          </cell>
          <cell r="B1140" t="str">
            <v/>
          </cell>
          <cell r="C1140" t="str">
            <v>Future</v>
          </cell>
          <cell r="D1140" t="e">
            <v>#N/A</v>
          </cell>
          <cell r="E1140">
            <v>-91.72377952755977</v>
          </cell>
          <cell r="F1140">
            <v>148.86677165354291</v>
          </cell>
          <cell r="G1140">
            <v>34.299842519684752</v>
          </cell>
          <cell r="H1140">
            <v>34.299842519684752</v>
          </cell>
          <cell r="I1140" t="e">
            <v>#N/A</v>
          </cell>
          <cell r="J1140" t="e">
            <v>#N/A</v>
          </cell>
          <cell r="K1140">
            <v>105</v>
          </cell>
          <cell r="L1140">
            <v>55</v>
          </cell>
          <cell r="M1140" t="e">
            <v>#N/A</v>
          </cell>
          <cell r="N1140">
            <v>90</v>
          </cell>
          <cell r="O1140" t="e">
            <v>#N/A</v>
          </cell>
          <cell r="P1140" t="str">
            <v/>
          </cell>
          <cell r="Q1140" t="str">
            <v/>
          </cell>
          <cell r="R1140">
            <v>90</v>
          </cell>
        </row>
        <row r="1141">
          <cell r="A1141" t="str">
            <v/>
          </cell>
          <cell r="B1141" t="str">
            <v/>
          </cell>
          <cell r="C1141" t="str">
            <v>Future</v>
          </cell>
          <cell r="D1141" t="e">
            <v>#N/A</v>
          </cell>
          <cell r="E1141">
            <v>-92.003425196851111</v>
          </cell>
          <cell r="F1141">
            <v>149.00051181102322</v>
          </cell>
          <cell r="G1141">
            <v>34.236732283464278</v>
          </cell>
          <cell r="H1141">
            <v>34.236732283464278</v>
          </cell>
          <cell r="I1141" t="e">
            <v>#N/A</v>
          </cell>
          <cell r="J1141" t="e">
            <v>#N/A</v>
          </cell>
          <cell r="K1141">
            <v>105</v>
          </cell>
          <cell r="L1141">
            <v>55</v>
          </cell>
          <cell r="M1141" t="e">
            <v>#N/A</v>
          </cell>
          <cell r="N1141">
            <v>90</v>
          </cell>
          <cell r="O1141" t="e">
            <v>#N/A</v>
          </cell>
          <cell r="P1141" t="str">
            <v/>
          </cell>
          <cell r="Q1141" t="str">
            <v/>
          </cell>
          <cell r="R1141">
            <v>90</v>
          </cell>
        </row>
        <row r="1142">
          <cell r="A1142" t="str">
            <v/>
          </cell>
          <cell r="B1142" t="str">
            <v/>
          </cell>
          <cell r="C1142" t="str">
            <v>Future</v>
          </cell>
          <cell r="D1142" t="e">
            <v>#N/A</v>
          </cell>
          <cell r="E1142">
            <v>-92.283070866142452</v>
          </cell>
          <cell r="F1142">
            <v>149.13425196850352</v>
          </cell>
          <cell r="G1142">
            <v>34.173622047243803</v>
          </cell>
          <cell r="H1142">
            <v>34.173622047243803</v>
          </cell>
          <cell r="I1142" t="e">
            <v>#N/A</v>
          </cell>
          <cell r="J1142" t="e">
            <v>#N/A</v>
          </cell>
          <cell r="K1142">
            <v>105</v>
          </cell>
          <cell r="L1142">
            <v>55</v>
          </cell>
          <cell r="M1142" t="e">
            <v>#N/A</v>
          </cell>
          <cell r="N1142">
            <v>90</v>
          </cell>
          <cell r="O1142" t="e">
            <v>#N/A</v>
          </cell>
          <cell r="P1142" t="str">
            <v/>
          </cell>
          <cell r="Q1142" t="str">
            <v/>
          </cell>
          <cell r="R1142">
            <v>90</v>
          </cell>
        </row>
        <row r="1143">
          <cell r="A1143" t="str">
            <v/>
          </cell>
          <cell r="B1143" t="str">
            <v/>
          </cell>
          <cell r="C1143" t="str">
            <v>Future</v>
          </cell>
          <cell r="D1143" t="e">
            <v>#N/A</v>
          </cell>
          <cell r="E1143">
            <v>-92.562716535433793</v>
          </cell>
          <cell r="F1143">
            <v>149.26799212598382</v>
          </cell>
          <cell r="G1143">
            <v>34.110511811023329</v>
          </cell>
          <cell r="H1143">
            <v>34.110511811023329</v>
          </cell>
          <cell r="I1143" t="e">
            <v>#N/A</v>
          </cell>
          <cell r="J1143" t="e">
            <v>#N/A</v>
          </cell>
          <cell r="K1143">
            <v>105</v>
          </cell>
          <cell r="L1143">
            <v>55</v>
          </cell>
          <cell r="M1143" t="e">
            <v>#N/A</v>
          </cell>
          <cell r="N1143">
            <v>90</v>
          </cell>
          <cell r="O1143" t="e">
            <v>#N/A</v>
          </cell>
          <cell r="P1143" t="str">
            <v/>
          </cell>
          <cell r="Q1143" t="str">
            <v/>
          </cell>
          <cell r="R1143">
            <v>90</v>
          </cell>
        </row>
        <row r="1144">
          <cell r="A1144" t="str">
            <v/>
          </cell>
          <cell r="B1144" t="str">
            <v/>
          </cell>
          <cell r="C1144" t="str">
            <v>Future</v>
          </cell>
          <cell r="D1144" t="e">
            <v>#N/A</v>
          </cell>
          <cell r="E1144">
            <v>-92.842362204725134</v>
          </cell>
          <cell r="F1144">
            <v>149.40173228346413</v>
          </cell>
          <cell r="G1144">
            <v>34.047401574802855</v>
          </cell>
          <cell r="H1144">
            <v>34.047401574802855</v>
          </cell>
          <cell r="I1144" t="e">
            <v>#N/A</v>
          </cell>
          <cell r="J1144" t="e">
            <v>#N/A</v>
          </cell>
          <cell r="K1144">
            <v>105</v>
          </cell>
          <cell r="L1144">
            <v>55</v>
          </cell>
          <cell r="M1144" t="e">
            <v>#N/A</v>
          </cell>
          <cell r="N1144">
            <v>90</v>
          </cell>
          <cell r="O1144" t="e">
            <v>#N/A</v>
          </cell>
          <cell r="P1144" t="str">
            <v/>
          </cell>
          <cell r="Q1144" t="str">
            <v/>
          </cell>
          <cell r="R1144">
            <v>90</v>
          </cell>
        </row>
        <row r="1145">
          <cell r="A1145" t="str">
            <v/>
          </cell>
          <cell r="B1145" t="str">
            <v/>
          </cell>
          <cell r="C1145" t="str">
            <v>Future</v>
          </cell>
          <cell r="D1145" t="e">
            <v>#N/A</v>
          </cell>
          <cell r="E1145">
            <v>-93.122007874016475</v>
          </cell>
          <cell r="F1145">
            <v>149.53547244094443</v>
          </cell>
          <cell r="G1145">
            <v>33.984291338582381</v>
          </cell>
          <cell r="H1145">
            <v>33.984291338582381</v>
          </cell>
          <cell r="I1145" t="e">
            <v>#N/A</v>
          </cell>
          <cell r="J1145" t="e">
            <v>#N/A</v>
          </cell>
          <cell r="K1145">
            <v>105</v>
          </cell>
          <cell r="L1145">
            <v>55</v>
          </cell>
          <cell r="M1145" t="e">
            <v>#N/A</v>
          </cell>
          <cell r="N1145">
            <v>90</v>
          </cell>
          <cell r="O1145" t="e">
            <v>#N/A</v>
          </cell>
          <cell r="P1145" t="str">
            <v/>
          </cell>
          <cell r="Q1145" t="str">
            <v/>
          </cell>
          <cell r="R1145">
            <v>90</v>
          </cell>
        </row>
        <row r="1146">
          <cell r="A1146" t="str">
            <v/>
          </cell>
          <cell r="B1146" t="str">
            <v/>
          </cell>
          <cell r="C1146" t="str">
            <v>Future</v>
          </cell>
          <cell r="D1146" t="e">
            <v>#N/A</v>
          </cell>
          <cell r="E1146">
            <v>-93.401653543307816</v>
          </cell>
          <cell r="F1146">
            <v>149.66921259842474</v>
          </cell>
          <cell r="G1146">
            <v>33.921181102361906</v>
          </cell>
          <cell r="H1146">
            <v>33.921181102361906</v>
          </cell>
          <cell r="I1146" t="e">
            <v>#N/A</v>
          </cell>
          <cell r="J1146" t="e">
            <v>#N/A</v>
          </cell>
          <cell r="K1146">
            <v>105</v>
          </cell>
          <cell r="L1146">
            <v>55</v>
          </cell>
          <cell r="M1146" t="e">
            <v>#N/A</v>
          </cell>
          <cell r="N1146">
            <v>90</v>
          </cell>
          <cell r="O1146" t="e">
            <v>#N/A</v>
          </cell>
          <cell r="P1146" t="str">
            <v/>
          </cell>
          <cell r="Q1146" t="str">
            <v/>
          </cell>
          <cell r="R1146">
            <v>90</v>
          </cell>
        </row>
        <row r="1147">
          <cell r="A1147" t="str">
            <v/>
          </cell>
          <cell r="B1147" t="str">
            <v/>
          </cell>
          <cell r="C1147" t="str">
            <v>Future</v>
          </cell>
          <cell r="D1147" t="e">
            <v>#N/A</v>
          </cell>
          <cell r="E1147">
            <v>-93.681299212599157</v>
          </cell>
          <cell r="F1147">
            <v>149.80295275590504</v>
          </cell>
          <cell r="G1147">
            <v>33.858070866141432</v>
          </cell>
          <cell r="H1147">
            <v>33.858070866141432</v>
          </cell>
          <cell r="I1147" t="e">
            <v>#N/A</v>
          </cell>
          <cell r="J1147" t="e">
            <v>#N/A</v>
          </cell>
          <cell r="K1147">
            <v>105</v>
          </cell>
          <cell r="L1147">
            <v>55</v>
          </cell>
          <cell r="M1147" t="e">
            <v>#N/A</v>
          </cell>
          <cell r="N1147">
            <v>90</v>
          </cell>
          <cell r="O1147" t="e">
            <v>#N/A</v>
          </cell>
          <cell r="P1147" t="str">
            <v/>
          </cell>
          <cell r="Q1147" t="str">
            <v/>
          </cell>
          <cell r="R1147">
            <v>90</v>
          </cell>
        </row>
        <row r="1148">
          <cell r="A1148" t="str">
            <v/>
          </cell>
          <cell r="B1148" t="str">
            <v/>
          </cell>
          <cell r="C1148" t="str">
            <v>Future</v>
          </cell>
          <cell r="D1148" t="e">
            <v>#N/A</v>
          </cell>
          <cell r="E1148">
            <v>-93.960944881890498</v>
          </cell>
          <cell r="F1148">
            <v>149.93669291338534</v>
          </cell>
          <cell r="G1148">
            <v>33.794960629920958</v>
          </cell>
          <cell r="H1148">
            <v>33.794960629920958</v>
          </cell>
          <cell r="I1148" t="e">
            <v>#N/A</v>
          </cell>
          <cell r="J1148" t="e">
            <v>#N/A</v>
          </cell>
          <cell r="K1148">
            <v>105</v>
          </cell>
          <cell r="L1148">
            <v>55</v>
          </cell>
          <cell r="M1148" t="e">
            <v>#N/A</v>
          </cell>
          <cell r="N1148">
            <v>90</v>
          </cell>
          <cell r="O1148" t="e">
            <v>#N/A</v>
          </cell>
          <cell r="P1148" t="str">
            <v/>
          </cell>
          <cell r="Q1148" t="str">
            <v/>
          </cell>
          <cell r="R1148">
            <v>90</v>
          </cell>
        </row>
        <row r="1149">
          <cell r="A1149" t="str">
            <v/>
          </cell>
          <cell r="B1149" t="str">
            <v/>
          </cell>
          <cell r="C1149" t="str">
            <v>Future</v>
          </cell>
          <cell r="D1149" t="e">
            <v>#N/A</v>
          </cell>
          <cell r="E1149">
            <v>-94.240590551181839</v>
          </cell>
          <cell r="F1149">
            <v>150.07043307086565</v>
          </cell>
          <cell r="G1149">
            <v>33.731850393700483</v>
          </cell>
          <cell r="H1149">
            <v>33.731850393700483</v>
          </cell>
          <cell r="I1149" t="e">
            <v>#N/A</v>
          </cell>
          <cell r="J1149" t="e">
            <v>#N/A</v>
          </cell>
          <cell r="K1149">
            <v>105</v>
          </cell>
          <cell r="L1149">
            <v>55</v>
          </cell>
          <cell r="M1149" t="e">
            <v>#N/A</v>
          </cell>
          <cell r="N1149">
            <v>90</v>
          </cell>
          <cell r="O1149" t="e">
            <v>#N/A</v>
          </cell>
          <cell r="P1149" t="str">
            <v/>
          </cell>
          <cell r="Q1149" t="str">
            <v/>
          </cell>
          <cell r="R1149">
            <v>90</v>
          </cell>
        </row>
        <row r="1150">
          <cell r="A1150" t="str">
            <v/>
          </cell>
          <cell r="B1150" t="str">
            <v/>
          </cell>
          <cell r="C1150" t="str">
            <v>Future</v>
          </cell>
          <cell r="D1150" t="e">
            <v>#N/A</v>
          </cell>
          <cell r="E1150">
            <v>-94.52023622047318</v>
          </cell>
          <cell r="F1150">
            <v>150.20417322834595</v>
          </cell>
          <cell r="G1150">
            <v>33.668740157480009</v>
          </cell>
          <cell r="H1150">
            <v>33.668740157480009</v>
          </cell>
          <cell r="I1150" t="e">
            <v>#N/A</v>
          </cell>
          <cell r="J1150" t="e">
            <v>#N/A</v>
          </cell>
          <cell r="K1150">
            <v>105</v>
          </cell>
          <cell r="L1150">
            <v>55</v>
          </cell>
          <cell r="M1150" t="e">
            <v>#N/A</v>
          </cell>
          <cell r="N1150">
            <v>90</v>
          </cell>
          <cell r="O1150" t="e">
            <v>#N/A</v>
          </cell>
          <cell r="P1150" t="str">
            <v/>
          </cell>
          <cell r="Q1150" t="str">
            <v/>
          </cell>
          <cell r="R1150">
            <v>90</v>
          </cell>
        </row>
        <row r="1151">
          <cell r="A1151" t="str">
            <v/>
          </cell>
          <cell r="B1151" t="str">
            <v/>
          </cell>
          <cell r="C1151" t="str">
            <v>Future</v>
          </cell>
          <cell r="D1151" t="e">
            <v>#N/A</v>
          </cell>
          <cell r="E1151">
            <v>-94.799881889764521</v>
          </cell>
          <cell r="F1151">
            <v>150.33791338582625</v>
          </cell>
          <cell r="G1151">
            <v>33.605629921259535</v>
          </cell>
          <cell r="H1151">
            <v>33.605629921259535</v>
          </cell>
          <cell r="I1151" t="e">
            <v>#N/A</v>
          </cell>
          <cell r="J1151" t="e">
            <v>#N/A</v>
          </cell>
          <cell r="K1151">
            <v>105</v>
          </cell>
          <cell r="L1151">
            <v>55</v>
          </cell>
          <cell r="M1151" t="e">
            <v>#N/A</v>
          </cell>
          <cell r="N1151">
            <v>90</v>
          </cell>
          <cell r="O1151" t="e">
            <v>#N/A</v>
          </cell>
          <cell r="P1151" t="str">
            <v/>
          </cell>
          <cell r="Q1151" t="str">
            <v/>
          </cell>
          <cell r="R1151">
            <v>90</v>
          </cell>
        </row>
        <row r="1152">
          <cell r="A1152" t="str">
            <v/>
          </cell>
          <cell r="B1152" t="str">
            <v/>
          </cell>
          <cell r="C1152" t="str">
            <v>Future</v>
          </cell>
          <cell r="D1152" t="e">
            <v>#N/A</v>
          </cell>
          <cell r="E1152">
            <v>-95.079527559055862</v>
          </cell>
          <cell r="F1152">
            <v>150.47165354330656</v>
          </cell>
          <cell r="G1152">
            <v>33.542519685039061</v>
          </cell>
          <cell r="H1152">
            <v>33.542519685039061</v>
          </cell>
          <cell r="I1152" t="e">
            <v>#N/A</v>
          </cell>
          <cell r="J1152" t="e">
            <v>#N/A</v>
          </cell>
          <cell r="K1152">
            <v>105</v>
          </cell>
          <cell r="L1152">
            <v>55</v>
          </cell>
          <cell r="M1152" t="e">
            <v>#N/A</v>
          </cell>
          <cell r="N1152">
            <v>90</v>
          </cell>
          <cell r="O1152" t="e">
            <v>#N/A</v>
          </cell>
          <cell r="P1152" t="str">
            <v/>
          </cell>
          <cell r="Q1152" t="str">
            <v/>
          </cell>
          <cell r="R1152">
            <v>90</v>
          </cell>
        </row>
        <row r="1153">
          <cell r="A1153" t="str">
            <v/>
          </cell>
          <cell r="B1153" t="str">
            <v/>
          </cell>
          <cell r="C1153" t="str">
            <v>Future</v>
          </cell>
          <cell r="D1153" t="e">
            <v>#N/A</v>
          </cell>
          <cell r="E1153">
            <v>-95.359173228347203</v>
          </cell>
          <cell r="F1153">
            <v>150.60539370078686</v>
          </cell>
          <cell r="G1153">
            <v>33.479409448818586</v>
          </cell>
          <cell r="H1153">
            <v>33.479409448818586</v>
          </cell>
          <cell r="I1153" t="e">
            <v>#N/A</v>
          </cell>
          <cell r="J1153" t="e">
            <v>#N/A</v>
          </cell>
          <cell r="K1153">
            <v>105</v>
          </cell>
          <cell r="L1153">
            <v>55</v>
          </cell>
          <cell r="M1153" t="e">
            <v>#N/A</v>
          </cell>
          <cell r="N1153">
            <v>90</v>
          </cell>
          <cell r="O1153" t="e">
            <v>#N/A</v>
          </cell>
          <cell r="P1153" t="str">
            <v/>
          </cell>
          <cell r="Q1153" t="str">
            <v/>
          </cell>
          <cell r="R1153">
            <v>90</v>
          </cell>
        </row>
        <row r="1154">
          <cell r="A1154" t="str">
            <v/>
          </cell>
          <cell r="B1154" t="str">
            <v/>
          </cell>
          <cell r="C1154" t="str">
            <v>Future</v>
          </cell>
          <cell r="D1154" t="e">
            <v>#N/A</v>
          </cell>
          <cell r="E1154">
            <v>-95.638818897638544</v>
          </cell>
          <cell r="F1154">
            <v>150.73913385826717</v>
          </cell>
          <cell r="G1154">
            <v>33.416299212598112</v>
          </cell>
          <cell r="H1154">
            <v>33.416299212598112</v>
          </cell>
          <cell r="I1154" t="e">
            <v>#N/A</v>
          </cell>
          <cell r="J1154" t="e">
            <v>#N/A</v>
          </cell>
          <cell r="K1154">
            <v>105</v>
          </cell>
          <cell r="L1154">
            <v>55</v>
          </cell>
          <cell r="M1154" t="e">
            <v>#N/A</v>
          </cell>
          <cell r="N1154">
            <v>90</v>
          </cell>
          <cell r="O1154" t="e">
            <v>#N/A</v>
          </cell>
          <cell r="P1154" t="str">
            <v/>
          </cell>
          <cell r="Q1154" t="str">
            <v/>
          </cell>
          <cell r="R1154">
            <v>90</v>
          </cell>
        </row>
        <row r="1155">
          <cell r="A1155" t="str">
            <v/>
          </cell>
          <cell r="B1155" t="str">
            <v/>
          </cell>
          <cell r="C1155" t="str">
            <v>Future</v>
          </cell>
          <cell r="D1155" t="e">
            <v>#N/A</v>
          </cell>
          <cell r="E1155">
            <v>-95.918464566929885</v>
          </cell>
          <cell r="F1155">
            <v>150.87287401574747</v>
          </cell>
          <cell r="G1155">
            <v>33.353188976377638</v>
          </cell>
          <cell r="H1155">
            <v>33.353188976377638</v>
          </cell>
          <cell r="I1155" t="e">
            <v>#N/A</v>
          </cell>
          <cell r="J1155" t="e">
            <v>#N/A</v>
          </cell>
          <cell r="K1155">
            <v>105</v>
          </cell>
          <cell r="L1155">
            <v>55</v>
          </cell>
          <cell r="M1155" t="e">
            <v>#N/A</v>
          </cell>
          <cell r="N1155">
            <v>90</v>
          </cell>
          <cell r="O1155" t="e">
            <v>#N/A</v>
          </cell>
          <cell r="P1155" t="str">
            <v/>
          </cell>
          <cell r="Q1155" t="str">
            <v/>
          </cell>
          <cell r="R1155">
            <v>90</v>
          </cell>
        </row>
        <row r="1156">
          <cell r="A1156" t="str">
            <v/>
          </cell>
          <cell r="B1156" t="str">
            <v/>
          </cell>
          <cell r="C1156" t="str">
            <v>Future</v>
          </cell>
          <cell r="D1156" t="e">
            <v>#N/A</v>
          </cell>
          <cell r="E1156">
            <v>-96.198110236221225</v>
          </cell>
          <cell r="F1156">
            <v>151.00661417322777</v>
          </cell>
          <cell r="G1156">
            <v>33.290078740157163</v>
          </cell>
          <cell r="H1156">
            <v>33.290078740157163</v>
          </cell>
          <cell r="I1156" t="e">
            <v>#N/A</v>
          </cell>
          <cell r="J1156" t="e">
            <v>#N/A</v>
          </cell>
          <cell r="K1156">
            <v>105</v>
          </cell>
          <cell r="L1156">
            <v>55</v>
          </cell>
          <cell r="M1156" t="e">
            <v>#N/A</v>
          </cell>
          <cell r="N1156">
            <v>90</v>
          </cell>
          <cell r="O1156" t="e">
            <v>#N/A</v>
          </cell>
          <cell r="P1156" t="str">
            <v/>
          </cell>
          <cell r="Q1156" t="str">
            <v/>
          </cell>
          <cell r="R1156">
            <v>90</v>
          </cell>
        </row>
        <row r="1157">
          <cell r="A1157" t="str">
            <v/>
          </cell>
          <cell r="B1157" t="str">
            <v/>
          </cell>
          <cell r="C1157" t="str">
            <v>Future</v>
          </cell>
          <cell r="D1157" t="e">
            <v>#N/A</v>
          </cell>
          <cell r="E1157">
            <v>-96.477755905512566</v>
          </cell>
          <cell r="F1157">
            <v>151.14035433070808</v>
          </cell>
          <cell r="G1157">
            <v>33.226968503936689</v>
          </cell>
          <cell r="H1157">
            <v>33.226968503936689</v>
          </cell>
          <cell r="I1157" t="e">
            <v>#N/A</v>
          </cell>
          <cell r="J1157" t="e">
            <v>#N/A</v>
          </cell>
          <cell r="K1157">
            <v>105</v>
          </cell>
          <cell r="L1157">
            <v>55</v>
          </cell>
          <cell r="M1157" t="e">
            <v>#N/A</v>
          </cell>
          <cell r="N1157">
            <v>90</v>
          </cell>
          <cell r="O1157" t="e">
            <v>#N/A</v>
          </cell>
          <cell r="P1157" t="str">
            <v/>
          </cell>
          <cell r="Q1157" t="str">
            <v/>
          </cell>
          <cell r="R1157">
            <v>90</v>
          </cell>
        </row>
        <row r="1158">
          <cell r="A1158" t="str">
            <v/>
          </cell>
          <cell r="B1158" t="str">
            <v/>
          </cell>
          <cell r="C1158" t="str">
            <v>Future</v>
          </cell>
          <cell r="D1158" t="e">
            <v>#N/A</v>
          </cell>
          <cell r="E1158">
            <v>-96.757401574803907</v>
          </cell>
          <cell r="F1158">
            <v>151.27409448818838</v>
          </cell>
          <cell r="G1158">
            <v>33.163858267716215</v>
          </cell>
          <cell r="H1158">
            <v>33.163858267716215</v>
          </cell>
          <cell r="I1158" t="e">
            <v>#N/A</v>
          </cell>
          <cell r="J1158" t="e">
            <v>#N/A</v>
          </cell>
          <cell r="K1158">
            <v>105</v>
          </cell>
          <cell r="L1158">
            <v>55</v>
          </cell>
          <cell r="M1158" t="e">
            <v>#N/A</v>
          </cell>
          <cell r="N1158">
            <v>90</v>
          </cell>
          <cell r="O1158" t="e">
            <v>#N/A</v>
          </cell>
          <cell r="P1158" t="str">
            <v/>
          </cell>
          <cell r="Q1158" t="str">
            <v/>
          </cell>
          <cell r="R1158">
            <v>90</v>
          </cell>
        </row>
        <row r="1159">
          <cell r="A1159" t="str">
            <v/>
          </cell>
          <cell r="B1159" t="str">
            <v/>
          </cell>
          <cell r="C1159" t="str">
            <v>Future</v>
          </cell>
          <cell r="D1159" t="e">
            <v>#N/A</v>
          </cell>
          <cell r="E1159">
            <v>-97.037047244095248</v>
          </cell>
          <cell r="F1159">
            <v>151.40783464566869</v>
          </cell>
          <cell r="G1159">
            <v>33.100748031495741</v>
          </cell>
          <cell r="H1159">
            <v>33.100748031495741</v>
          </cell>
          <cell r="I1159" t="e">
            <v>#N/A</v>
          </cell>
          <cell r="J1159" t="e">
            <v>#N/A</v>
          </cell>
          <cell r="K1159">
            <v>105</v>
          </cell>
          <cell r="L1159">
            <v>55</v>
          </cell>
          <cell r="M1159" t="e">
            <v>#N/A</v>
          </cell>
          <cell r="N1159">
            <v>90</v>
          </cell>
          <cell r="O1159" t="e">
            <v>#N/A</v>
          </cell>
          <cell r="P1159" t="str">
            <v/>
          </cell>
          <cell r="Q1159" t="str">
            <v/>
          </cell>
          <cell r="R1159">
            <v>90</v>
          </cell>
        </row>
        <row r="1160">
          <cell r="A1160" t="str">
            <v/>
          </cell>
          <cell r="B1160" t="str">
            <v/>
          </cell>
          <cell r="C1160" t="str">
            <v>Future</v>
          </cell>
          <cell r="D1160" t="e">
            <v>#N/A</v>
          </cell>
          <cell r="E1160">
            <v>-97.316692913386589</v>
          </cell>
          <cell r="F1160">
            <v>151.54157480314899</v>
          </cell>
          <cell r="G1160">
            <v>33.037637795275266</v>
          </cell>
          <cell r="H1160">
            <v>33.037637795275266</v>
          </cell>
          <cell r="I1160" t="e">
            <v>#N/A</v>
          </cell>
          <cell r="J1160" t="e">
            <v>#N/A</v>
          </cell>
          <cell r="K1160">
            <v>105</v>
          </cell>
          <cell r="L1160">
            <v>55</v>
          </cell>
          <cell r="M1160" t="e">
            <v>#N/A</v>
          </cell>
          <cell r="N1160">
            <v>90</v>
          </cell>
          <cell r="O1160" t="e">
            <v>#N/A</v>
          </cell>
          <cell r="P1160" t="str">
            <v/>
          </cell>
          <cell r="Q1160" t="str">
            <v/>
          </cell>
          <cell r="R1160">
            <v>90</v>
          </cell>
        </row>
        <row r="1161">
          <cell r="A1161" t="str">
            <v/>
          </cell>
          <cell r="B1161" t="str">
            <v/>
          </cell>
          <cell r="C1161" t="str">
            <v>Future</v>
          </cell>
          <cell r="D1161" t="e">
            <v>#N/A</v>
          </cell>
          <cell r="E1161">
            <v>-97.59633858267793</v>
          </cell>
          <cell r="F1161">
            <v>151.67531496062929</v>
          </cell>
          <cell r="G1161">
            <v>32.974527559054792</v>
          </cell>
          <cell r="H1161">
            <v>32.974527559054792</v>
          </cell>
          <cell r="I1161" t="e">
            <v>#N/A</v>
          </cell>
          <cell r="J1161" t="e">
            <v>#N/A</v>
          </cell>
          <cell r="K1161">
            <v>105</v>
          </cell>
          <cell r="L1161">
            <v>55</v>
          </cell>
          <cell r="M1161" t="e">
            <v>#N/A</v>
          </cell>
          <cell r="N1161">
            <v>90</v>
          </cell>
          <cell r="O1161" t="e">
            <v>#N/A</v>
          </cell>
          <cell r="P1161" t="str">
            <v/>
          </cell>
          <cell r="Q1161" t="str">
            <v/>
          </cell>
          <cell r="R1161">
            <v>90</v>
          </cell>
        </row>
        <row r="1162">
          <cell r="A1162" t="str">
            <v/>
          </cell>
          <cell r="B1162" t="str">
            <v/>
          </cell>
          <cell r="C1162" t="str">
            <v>Future</v>
          </cell>
          <cell r="D1162" t="e">
            <v>#N/A</v>
          </cell>
          <cell r="E1162">
            <v>-97.875984251969271</v>
          </cell>
          <cell r="F1162">
            <v>151.8090551181096</v>
          </cell>
          <cell r="G1162">
            <v>32.911417322834318</v>
          </cell>
          <cell r="H1162">
            <v>32.911417322834318</v>
          </cell>
          <cell r="I1162" t="e">
            <v>#N/A</v>
          </cell>
          <cell r="J1162" t="e">
            <v>#N/A</v>
          </cell>
          <cell r="K1162">
            <v>105</v>
          </cell>
          <cell r="L1162">
            <v>55</v>
          </cell>
          <cell r="M1162" t="e">
            <v>#N/A</v>
          </cell>
          <cell r="N1162">
            <v>90</v>
          </cell>
          <cell r="O1162" t="e">
            <v>#N/A</v>
          </cell>
          <cell r="P1162" t="str">
            <v/>
          </cell>
          <cell r="Q1162" t="str">
            <v/>
          </cell>
          <cell r="R1162">
            <v>90</v>
          </cell>
        </row>
        <row r="1163">
          <cell r="A1163" t="str">
            <v/>
          </cell>
          <cell r="B1163" t="str">
            <v/>
          </cell>
          <cell r="C1163" t="str">
            <v>Future</v>
          </cell>
          <cell r="D1163" t="e">
            <v>#N/A</v>
          </cell>
          <cell r="E1163">
            <v>-98.155629921260612</v>
          </cell>
          <cell r="F1163">
            <v>151.9427952755899</v>
          </cell>
          <cell r="G1163">
            <v>32.848307086613843</v>
          </cell>
          <cell r="H1163">
            <v>32.848307086613843</v>
          </cell>
          <cell r="I1163" t="e">
            <v>#N/A</v>
          </cell>
          <cell r="J1163" t="e">
            <v>#N/A</v>
          </cell>
          <cell r="K1163">
            <v>105</v>
          </cell>
          <cell r="L1163">
            <v>55</v>
          </cell>
          <cell r="M1163" t="e">
            <v>#N/A</v>
          </cell>
          <cell r="N1163">
            <v>90</v>
          </cell>
          <cell r="O1163" t="e">
            <v>#N/A</v>
          </cell>
          <cell r="P1163" t="str">
            <v/>
          </cell>
          <cell r="Q1163" t="str">
            <v/>
          </cell>
          <cell r="R1163">
            <v>90</v>
          </cell>
        </row>
        <row r="1164">
          <cell r="A1164" t="str">
            <v/>
          </cell>
          <cell r="B1164" t="str">
            <v/>
          </cell>
          <cell r="C1164" t="str">
            <v>Future</v>
          </cell>
          <cell r="D1164" t="e">
            <v>#N/A</v>
          </cell>
          <cell r="E1164">
            <v>-98.435275590551953</v>
          </cell>
          <cell r="F1164">
            <v>152.07653543307021</v>
          </cell>
          <cell r="G1164">
            <v>32.785196850393369</v>
          </cell>
          <cell r="H1164">
            <v>32.785196850393369</v>
          </cell>
          <cell r="I1164" t="e">
            <v>#N/A</v>
          </cell>
          <cell r="J1164" t="e">
            <v>#N/A</v>
          </cell>
          <cell r="K1164">
            <v>105</v>
          </cell>
          <cell r="L1164">
            <v>55</v>
          </cell>
          <cell r="M1164" t="e">
            <v>#N/A</v>
          </cell>
          <cell r="N1164">
            <v>90</v>
          </cell>
          <cell r="O1164" t="e">
            <v>#N/A</v>
          </cell>
          <cell r="P1164" t="str">
            <v/>
          </cell>
          <cell r="Q1164" t="str">
            <v/>
          </cell>
          <cell r="R1164">
            <v>90</v>
          </cell>
        </row>
        <row r="1165">
          <cell r="A1165" t="str">
            <v/>
          </cell>
          <cell r="B1165" t="str">
            <v/>
          </cell>
          <cell r="C1165" t="str">
            <v>Future</v>
          </cell>
          <cell r="D1165" t="e">
            <v>#N/A</v>
          </cell>
          <cell r="E1165">
            <v>-98.714921259843294</v>
          </cell>
          <cell r="F1165">
            <v>152.21027559055051</v>
          </cell>
          <cell r="G1165">
            <v>32.722086614172895</v>
          </cell>
          <cell r="H1165">
            <v>32.722086614172895</v>
          </cell>
          <cell r="I1165" t="e">
            <v>#N/A</v>
          </cell>
          <cell r="J1165" t="e">
            <v>#N/A</v>
          </cell>
          <cell r="K1165">
            <v>105</v>
          </cell>
          <cell r="L1165">
            <v>55</v>
          </cell>
          <cell r="M1165" t="e">
            <v>#N/A</v>
          </cell>
          <cell r="N1165">
            <v>90</v>
          </cell>
          <cell r="O1165" t="e">
            <v>#N/A</v>
          </cell>
          <cell r="P1165" t="str">
            <v/>
          </cell>
          <cell r="Q1165" t="str">
            <v/>
          </cell>
          <cell r="R1165">
            <v>90</v>
          </cell>
        </row>
        <row r="1166">
          <cell r="A1166" t="str">
            <v/>
          </cell>
          <cell r="B1166" t="str">
            <v/>
          </cell>
          <cell r="C1166" t="str">
            <v>Future</v>
          </cell>
          <cell r="D1166" t="e">
            <v>#N/A</v>
          </cell>
          <cell r="E1166">
            <v>-98.994566929134635</v>
          </cell>
          <cell r="F1166">
            <v>152.34401574803081</v>
          </cell>
          <cell r="G1166">
            <v>32.65897637795242</v>
          </cell>
          <cell r="H1166">
            <v>32.65897637795242</v>
          </cell>
          <cell r="I1166" t="e">
            <v>#N/A</v>
          </cell>
          <cell r="J1166" t="e">
            <v>#N/A</v>
          </cell>
          <cell r="K1166">
            <v>105</v>
          </cell>
          <cell r="L1166">
            <v>55</v>
          </cell>
          <cell r="M1166" t="e">
            <v>#N/A</v>
          </cell>
          <cell r="N1166">
            <v>90</v>
          </cell>
          <cell r="O1166" t="e">
            <v>#N/A</v>
          </cell>
          <cell r="P1166" t="str">
            <v/>
          </cell>
          <cell r="Q1166" t="str">
            <v/>
          </cell>
          <cell r="R1166">
            <v>90</v>
          </cell>
        </row>
        <row r="1167">
          <cell r="A1167" t="str">
            <v/>
          </cell>
          <cell r="B1167" t="str">
            <v/>
          </cell>
          <cell r="C1167" t="str">
            <v>Future</v>
          </cell>
          <cell r="D1167" t="e">
            <v>#N/A</v>
          </cell>
          <cell r="E1167">
            <v>-99.274212598425976</v>
          </cell>
          <cell r="F1167">
            <v>152.47775590551112</v>
          </cell>
          <cell r="G1167">
            <v>32.595866141731946</v>
          </cell>
          <cell r="H1167">
            <v>32.595866141731946</v>
          </cell>
          <cell r="I1167" t="e">
            <v>#N/A</v>
          </cell>
          <cell r="J1167" t="e">
            <v>#N/A</v>
          </cell>
          <cell r="K1167">
            <v>105</v>
          </cell>
          <cell r="L1167">
            <v>55</v>
          </cell>
          <cell r="M1167" t="e">
            <v>#N/A</v>
          </cell>
          <cell r="N1167">
            <v>90</v>
          </cell>
          <cell r="O1167" t="e">
            <v>#N/A</v>
          </cell>
          <cell r="P1167" t="str">
            <v/>
          </cell>
          <cell r="Q1167" t="str">
            <v/>
          </cell>
          <cell r="R1167">
            <v>90</v>
          </cell>
        </row>
        <row r="1168">
          <cell r="A1168" t="str">
            <v/>
          </cell>
          <cell r="B1168" t="str">
            <v/>
          </cell>
          <cell r="C1168" t="str">
            <v>Future</v>
          </cell>
          <cell r="D1168" t="e">
            <v>#N/A</v>
          </cell>
          <cell r="E1168">
            <v>-99.553858267717317</v>
          </cell>
          <cell r="F1168">
            <v>152.61149606299142</v>
          </cell>
          <cell r="G1168">
            <v>32.532755905511472</v>
          </cell>
          <cell r="H1168">
            <v>32.532755905511472</v>
          </cell>
          <cell r="I1168" t="e">
            <v>#N/A</v>
          </cell>
          <cell r="J1168" t="e">
            <v>#N/A</v>
          </cell>
          <cell r="K1168">
            <v>105</v>
          </cell>
          <cell r="L1168">
            <v>55</v>
          </cell>
          <cell r="M1168" t="e">
            <v>#N/A</v>
          </cell>
          <cell r="N1168">
            <v>90</v>
          </cell>
          <cell r="O1168" t="e">
            <v>#N/A</v>
          </cell>
          <cell r="P1168" t="str">
            <v/>
          </cell>
          <cell r="Q1168" t="str">
            <v/>
          </cell>
          <cell r="R1168">
            <v>90</v>
          </cell>
        </row>
        <row r="1169">
          <cell r="A1169" t="str">
            <v/>
          </cell>
          <cell r="B1169" t="str">
            <v/>
          </cell>
          <cell r="C1169" t="str">
            <v>Future</v>
          </cell>
          <cell r="D1169" t="e">
            <v>#N/A</v>
          </cell>
          <cell r="E1169">
            <v>-99.833503937008658</v>
          </cell>
          <cell r="F1169">
            <v>152.74523622047172</v>
          </cell>
          <cell r="G1169">
            <v>32.469645669290998</v>
          </cell>
          <cell r="H1169">
            <v>32.469645669290998</v>
          </cell>
          <cell r="I1169" t="e">
            <v>#N/A</v>
          </cell>
          <cell r="J1169" t="e">
            <v>#N/A</v>
          </cell>
          <cell r="K1169">
            <v>105</v>
          </cell>
          <cell r="L1169">
            <v>55</v>
          </cell>
          <cell r="M1169" t="e">
            <v>#N/A</v>
          </cell>
          <cell r="N1169">
            <v>90</v>
          </cell>
          <cell r="O1169" t="e">
            <v>#N/A</v>
          </cell>
          <cell r="P1169" t="str">
            <v/>
          </cell>
          <cell r="Q1169" t="str">
            <v/>
          </cell>
          <cell r="R1169">
            <v>90</v>
          </cell>
        </row>
        <row r="1170">
          <cell r="A1170" t="str">
            <v/>
          </cell>
          <cell r="B1170" t="str">
            <v/>
          </cell>
          <cell r="C1170" t="str">
            <v>Future</v>
          </cell>
          <cell r="D1170" t="e">
            <v>#N/A</v>
          </cell>
          <cell r="E1170">
            <v>-100.1131496063</v>
          </cell>
          <cell r="F1170">
            <v>152.87897637795203</v>
          </cell>
          <cell r="G1170">
            <v>32.406535433070523</v>
          </cell>
          <cell r="H1170">
            <v>32.406535433070523</v>
          </cell>
          <cell r="I1170" t="e">
            <v>#N/A</v>
          </cell>
          <cell r="J1170" t="e">
            <v>#N/A</v>
          </cell>
          <cell r="K1170">
            <v>105</v>
          </cell>
          <cell r="L1170">
            <v>55</v>
          </cell>
          <cell r="M1170" t="e">
            <v>#N/A</v>
          </cell>
          <cell r="N1170">
            <v>90</v>
          </cell>
          <cell r="O1170" t="e">
            <v>#N/A</v>
          </cell>
          <cell r="P1170" t="str">
            <v/>
          </cell>
          <cell r="Q1170" t="str">
            <v/>
          </cell>
          <cell r="R1170">
            <v>90</v>
          </cell>
        </row>
        <row r="1171">
          <cell r="A1171" t="str">
            <v/>
          </cell>
          <cell r="B1171" t="str">
            <v/>
          </cell>
          <cell r="C1171" t="str">
            <v>Future</v>
          </cell>
          <cell r="D1171" t="e">
            <v>#N/A</v>
          </cell>
          <cell r="E1171">
            <v>-100.39279527559134</v>
          </cell>
          <cell r="F1171">
            <v>153.01271653543233</v>
          </cell>
          <cell r="G1171">
            <v>32.343425196850049</v>
          </cell>
          <cell r="H1171">
            <v>32.343425196850049</v>
          </cell>
          <cell r="I1171" t="e">
            <v>#N/A</v>
          </cell>
          <cell r="J1171" t="e">
            <v>#N/A</v>
          </cell>
          <cell r="K1171">
            <v>105</v>
          </cell>
          <cell r="L1171">
            <v>55</v>
          </cell>
          <cell r="M1171" t="e">
            <v>#N/A</v>
          </cell>
          <cell r="N1171">
            <v>90</v>
          </cell>
          <cell r="O1171" t="e">
            <v>#N/A</v>
          </cell>
          <cell r="P1171" t="str">
            <v/>
          </cell>
          <cell r="Q1171" t="str">
            <v/>
          </cell>
          <cell r="R1171">
            <v>90</v>
          </cell>
        </row>
        <row r="1172">
          <cell r="A1172" t="str">
            <v/>
          </cell>
          <cell r="B1172" t="str">
            <v/>
          </cell>
          <cell r="C1172" t="str">
            <v>Future</v>
          </cell>
          <cell r="D1172" t="e">
            <v>#N/A</v>
          </cell>
          <cell r="E1172">
            <v>-100.67244094488268</v>
          </cell>
          <cell r="F1172">
            <v>153.14645669291264</v>
          </cell>
          <cell r="G1172">
            <v>32.280314960629575</v>
          </cell>
          <cell r="H1172">
            <v>32.280314960629575</v>
          </cell>
          <cell r="I1172" t="e">
            <v>#N/A</v>
          </cell>
          <cell r="J1172" t="e">
            <v>#N/A</v>
          </cell>
          <cell r="K1172">
            <v>105</v>
          </cell>
          <cell r="L1172">
            <v>55</v>
          </cell>
          <cell r="M1172" t="e">
            <v>#N/A</v>
          </cell>
          <cell r="N1172">
            <v>90</v>
          </cell>
          <cell r="O1172" t="e">
            <v>#N/A</v>
          </cell>
          <cell r="P1172" t="str">
            <v/>
          </cell>
          <cell r="Q1172" t="str">
            <v/>
          </cell>
          <cell r="R1172">
            <v>90</v>
          </cell>
        </row>
        <row r="1173">
          <cell r="A1173" t="str">
            <v/>
          </cell>
          <cell r="B1173" t="str">
            <v/>
          </cell>
          <cell r="C1173" t="str">
            <v>Future</v>
          </cell>
          <cell r="D1173" t="e">
            <v>#N/A</v>
          </cell>
          <cell r="E1173">
            <v>-100.95208661417402</v>
          </cell>
          <cell r="F1173">
            <v>153.28019685039294</v>
          </cell>
          <cell r="G1173">
            <v>32.2172047244091</v>
          </cell>
          <cell r="H1173">
            <v>32.2172047244091</v>
          </cell>
          <cell r="I1173" t="e">
            <v>#N/A</v>
          </cell>
          <cell r="J1173" t="e">
            <v>#N/A</v>
          </cell>
          <cell r="K1173">
            <v>105</v>
          </cell>
          <cell r="L1173">
            <v>55</v>
          </cell>
          <cell r="M1173" t="e">
            <v>#N/A</v>
          </cell>
          <cell r="N1173">
            <v>90</v>
          </cell>
          <cell r="O1173" t="e">
            <v>#N/A</v>
          </cell>
          <cell r="P1173" t="str">
            <v/>
          </cell>
          <cell r="Q1173" t="str">
            <v/>
          </cell>
          <cell r="R1173">
            <v>90</v>
          </cell>
        </row>
        <row r="1174">
          <cell r="A1174" t="str">
            <v/>
          </cell>
          <cell r="B1174" t="str">
            <v/>
          </cell>
          <cell r="C1174" t="str">
            <v>Future</v>
          </cell>
          <cell r="D1174" t="e">
            <v>#N/A</v>
          </cell>
          <cell r="E1174">
            <v>-101.23173228346536</v>
          </cell>
          <cell r="F1174">
            <v>153.41393700787324</v>
          </cell>
          <cell r="G1174">
            <v>32.154094488188626</v>
          </cell>
          <cell r="H1174">
            <v>32.154094488188626</v>
          </cell>
          <cell r="I1174" t="e">
            <v>#N/A</v>
          </cell>
          <cell r="J1174" t="e">
            <v>#N/A</v>
          </cell>
          <cell r="K1174">
            <v>105</v>
          </cell>
          <cell r="L1174">
            <v>55</v>
          </cell>
          <cell r="M1174" t="e">
            <v>#N/A</v>
          </cell>
          <cell r="N1174">
            <v>90</v>
          </cell>
          <cell r="O1174" t="e">
            <v>#N/A</v>
          </cell>
          <cell r="P1174" t="str">
            <v/>
          </cell>
          <cell r="Q1174" t="str">
            <v/>
          </cell>
          <cell r="R1174">
            <v>90</v>
          </cell>
        </row>
        <row r="1175">
          <cell r="A1175" t="str">
            <v/>
          </cell>
          <cell r="B1175" t="str">
            <v/>
          </cell>
          <cell r="C1175" t="str">
            <v>Future</v>
          </cell>
          <cell r="D1175" t="e">
            <v>#N/A</v>
          </cell>
          <cell r="E1175">
            <v>-101.5113779527567</v>
          </cell>
          <cell r="F1175">
            <v>153.54767716535355</v>
          </cell>
          <cell r="G1175">
            <v>32.090984251968152</v>
          </cell>
          <cell r="H1175">
            <v>32.090984251968152</v>
          </cell>
          <cell r="I1175" t="e">
            <v>#N/A</v>
          </cell>
          <cell r="J1175" t="e">
            <v>#N/A</v>
          </cell>
          <cell r="K1175">
            <v>105</v>
          </cell>
          <cell r="L1175">
            <v>55</v>
          </cell>
          <cell r="M1175" t="e">
            <v>#N/A</v>
          </cell>
          <cell r="N1175">
            <v>90</v>
          </cell>
          <cell r="O1175" t="e">
            <v>#N/A</v>
          </cell>
          <cell r="P1175" t="str">
            <v/>
          </cell>
          <cell r="Q1175" t="str">
            <v/>
          </cell>
          <cell r="R1175">
            <v>90</v>
          </cell>
        </row>
        <row r="1176">
          <cell r="A1176" t="str">
            <v/>
          </cell>
          <cell r="B1176" t="str">
            <v/>
          </cell>
          <cell r="C1176" t="str">
            <v>Future</v>
          </cell>
          <cell r="D1176" t="e">
            <v>#N/A</v>
          </cell>
          <cell r="E1176">
            <v>-101.79102362204804</v>
          </cell>
          <cell r="F1176">
            <v>153.68141732283385</v>
          </cell>
          <cell r="G1176">
            <v>32.027874015747678</v>
          </cell>
          <cell r="H1176">
            <v>32.027874015747678</v>
          </cell>
          <cell r="I1176" t="e">
            <v>#N/A</v>
          </cell>
          <cell r="J1176" t="e">
            <v>#N/A</v>
          </cell>
          <cell r="K1176">
            <v>105</v>
          </cell>
          <cell r="L1176">
            <v>55</v>
          </cell>
          <cell r="M1176" t="e">
            <v>#N/A</v>
          </cell>
          <cell r="N1176">
            <v>90</v>
          </cell>
          <cell r="O1176" t="e">
            <v>#N/A</v>
          </cell>
          <cell r="P1176" t="str">
            <v/>
          </cell>
          <cell r="Q1176" t="str">
            <v/>
          </cell>
          <cell r="R1176">
            <v>90</v>
          </cell>
        </row>
        <row r="1177">
          <cell r="A1177" t="str">
            <v/>
          </cell>
          <cell r="B1177" t="str">
            <v/>
          </cell>
          <cell r="C1177" t="str">
            <v>Future</v>
          </cell>
          <cell r="D1177" t="e">
            <v>#N/A</v>
          </cell>
          <cell r="E1177">
            <v>-102.07066929133939</v>
          </cell>
          <cell r="F1177">
            <v>153.81515748031416</v>
          </cell>
          <cell r="G1177">
            <v>31.964763779527207</v>
          </cell>
          <cell r="H1177">
            <v>31.964763779527207</v>
          </cell>
          <cell r="I1177" t="e">
            <v>#N/A</v>
          </cell>
          <cell r="J1177" t="e">
            <v>#N/A</v>
          </cell>
          <cell r="K1177">
            <v>105</v>
          </cell>
          <cell r="L1177">
            <v>55</v>
          </cell>
          <cell r="M1177" t="e">
            <v>#N/A</v>
          </cell>
          <cell r="N1177">
            <v>90</v>
          </cell>
          <cell r="O1177" t="e">
            <v>#N/A</v>
          </cell>
          <cell r="P1177" t="str">
            <v/>
          </cell>
          <cell r="Q1177" t="str">
            <v/>
          </cell>
          <cell r="R1177">
            <v>90</v>
          </cell>
        </row>
        <row r="1178">
          <cell r="A1178" t="str">
            <v/>
          </cell>
          <cell r="B1178" t="str">
            <v/>
          </cell>
          <cell r="C1178" t="str">
            <v>Future</v>
          </cell>
          <cell r="D1178" t="e">
            <v>#N/A</v>
          </cell>
          <cell r="E1178">
            <v>-102.35031496063073</v>
          </cell>
          <cell r="F1178">
            <v>153.94889763779446</v>
          </cell>
          <cell r="G1178">
            <v>31.901653543306736</v>
          </cell>
          <cell r="H1178">
            <v>31.901653543306736</v>
          </cell>
          <cell r="I1178" t="e">
            <v>#N/A</v>
          </cell>
          <cell r="J1178" t="e">
            <v>#N/A</v>
          </cell>
          <cell r="K1178">
            <v>105</v>
          </cell>
          <cell r="L1178">
            <v>55</v>
          </cell>
          <cell r="M1178" t="e">
            <v>#N/A</v>
          </cell>
          <cell r="N1178">
            <v>90</v>
          </cell>
          <cell r="O1178" t="e">
            <v>#N/A</v>
          </cell>
          <cell r="P1178" t="str">
            <v/>
          </cell>
          <cell r="Q1178" t="str">
            <v/>
          </cell>
          <cell r="R1178">
            <v>90</v>
          </cell>
        </row>
        <row r="1179">
          <cell r="A1179" t="str">
            <v/>
          </cell>
          <cell r="B1179" t="str">
            <v/>
          </cell>
          <cell r="C1179" t="str">
            <v>Future</v>
          </cell>
          <cell r="D1179" t="e">
            <v>#N/A</v>
          </cell>
          <cell r="E1179">
            <v>-102.62996062992207</v>
          </cell>
          <cell r="F1179">
            <v>154.08263779527476</v>
          </cell>
          <cell r="G1179">
            <v>31.838543307086265</v>
          </cell>
          <cell r="H1179">
            <v>31.838543307086265</v>
          </cell>
          <cell r="I1179" t="e">
            <v>#N/A</v>
          </cell>
          <cell r="J1179" t="e">
            <v>#N/A</v>
          </cell>
          <cell r="K1179">
            <v>105</v>
          </cell>
          <cell r="L1179">
            <v>55</v>
          </cell>
          <cell r="M1179" t="e">
            <v>#N/A</v>
          </cell>
          <cell r="N1179">
            <v>90</v>
          </cell>
          <cell r="O1179" t="e">
            <v>#N/A</v>
          </cell>
          <cell r="P1179" t="str">
            <v/>
          </cell>
          <cell r="Q1179" t="str">
            <v/>
          </cell>
          <cell r="R1179">
            <v>90</v>
          </cell>
        </row>
        <row r="1180">
          <cell r="A1180" t="str">
            <v/>
          </cell>
          <cell r="B1180" t="str">
            <v/>
          </cell>
          <cell r="C1180" t="str">
            <v>Future</v>
          </cell>
          <cell r="D1180" t="e">
            <v>#N/A</v>
          </cell>
          <cell r="E1180">
            <v>-102.90960629921341</v>
          </cell>
          <cell r="F1180">
            <v>154.21637795275507</v>
          </cell>
          <cell r="G1180">
            <v>31.775433070865795</v>
          </cell>
          <cell r="H1180">
            <v>31.775433070865795</v>
          </cell>
          <cell r="I1180" t="e">
            <v>#N/A</v>
          </cell>
          <cell r="J1180" t="e">
            <v>#N/A</v>
          </cell>
          <cell r="K1180">
            <v>105</v>
          </cell>
          <cell r="L1180">
            <v>55</v>
          </cell>
          <cell r="M1180" t="e">
            <v>#N/A</v>
          </cell>
          <cell r="N1180">
            <v>90</v>
          </cell>
          <cell r="O1180" t="e">
            <v>#N/A</v>
          </cell>
          <cell r="P1180" t="str">
            <v/>
          </cell>
          <cell r="Q1180" t="str">
            <v/>
          </cell>
          <cell r="R1180">
            <v>90</v>
          </cell>
        </row>
        <row r="1181">
          <cell r="A1181" t="str">
            <v/>
          </cell>
          <cell r="B1181" t="str">
            <v/>
          </cell>
          <cell r="C1181" t="str">
            <v>Future</v>
          </cell>
          <cell r="D1181" t="e">
            <v>#N/A</v>
          </cell>
          <cell r="E1181">
            <v>-103.18925196850475</v>
          </cell>
          <cell r="F1181">
            <v>154.35011811023537</v>
          </cell>
          <cell r="G1181">
            <v>31.712322834645324</v>
          </cell>
          <cell r="H1181">
            <v>31.712322834645324</v>
          </cell>
          <cell r="I1181" t="e">
            <v>#N/A</v>
          </cell>
          <cell r="J1181" t="e">
            <v>#N/A</v>
          </cell>
          <cell r="K1181">
            <v>105</v>
          </cell>
          <cell r="L1181">
            <v>55</v>
          </cell>
          <cell r="M1181" t="e">
            <v>#N/A</v>
          </cell>
          <cell r="N1181">
            <v>90</v>
          </cell>
          <cell r="O1181" t="e">
            <v>#N/A</v>
          </cell>
          <cell r="P1181" t="str">
            <v/>
          </cell>
          <cell r="Q1181" t="str">
            <v/>
          </cell>
          <cell r="R1181">
            <v>90</v>
          </cell>
        </row>
        <row r="1182">
          <cell r="A1182" t="str">
            <v/>
          </cell>
          <cell r="B1182" t="str">
            <v/>
          </cell>
          <cell r="C1182" t="str">
            <v>Future</v>
          </cell>
          <cell r="D1182" t="e">
            <v>#N/A</v>
          </cell>
          <cell r="E1182">
            <v>-103.46889763779609</v>
          </cell>
          <cell r="F1182">
            <v>154.48385826771568</v>
          </cell>
          <cell r="G1182">
            <v>31.649212598424853</v>
          </cell>
          <cell r="H1182">
            <v>31.649212598424853</v>
          </cell>
          <cell r="I1182" t="e">
            <v>#N/A</v>
          </cell>
          <cell r="J1182" t="e">
            <v>#N/A</v>
          </cell>
          <cell r="K1182">
            <v>105</v>
          </cell>
          <cell r="L1182">
            <v>55</v>
          </cell>
          <cell r="M1182" t="e">
            <v>#N/A</v>
          </cell>
          <cell r="N1182">
            <v>90</v>
          </cell>
          <cell r="O1182" t="e">
            <v>#N/A</v>
          </cell>
          <cell r="P1182" t="str">
            <v/>
          </cell>
          <cell r="Q1182" t="str">
            <v/>
          </cell>
          <cell r="R1182">
            <v>90</v>
          </cell>
        </row>
        <row r="1183">
          <cell r="A1183" t="str">
            <v/>
          </cell>
          <cell r="B1183" t="str">
            <v/>
          </cell>
          <cell r="C1183" t="str">
            <v>Future</v>
          </cell>
          <cell r="D1183" t="e">
            <v>#N/A</v>
          </cell>
          <cell r="E1183">
            <v>-103.74854330708743</v>
          </cell>
          <cell r="F1183">
            <v>154.61759842519598</v>
          </cell>
          <cell r="G1183">
            <v>31.586102362204382</v>
          </cell>
          <cell r="H1183">
            <v>31.586102362204382</v>
          </cell>
          <cell r="I1183" t="e">
            <v>#N/A</v>
          </cell>
          <cell r="J1183" t="e">
            <v>#N/A</v>
          </cell>
          <cell r="K1183">
            <v>105</v>
          </cell>
          <cell r="L1183">
            <v>55</v>
          </cell>
          <cell r="M1183" t="e">
            <v>#N/A</v>
          </cell>
          <cell r="N1183">
            <v>90</v>
          </cell>
          <cell r="O1183" t="e">
            <v>#N/A</v>
          </cell>
          <cell r="P1183" t="str">
            <v/>
          </cell>
          <cell r="Q1183" t="str">
            <v/>
          </cell>
          <cell r="R1183">
            <v>90</v>
          </cell>
        </row>
        <row r="1184">
          <cell r="A1184" t="str">
            <v/>
          </cell>
          <cell r="B1184" t="str">
            <v/>
          </cell>
          <cell r="C1184" t="str">
            <v>Future</v>
          </cell>
          <cell r="D1184" t="e">
            <v>#N/A</v>
          </cell>
          <cell r="E1184">
            <v>-104.02818897637877</v>
          </cell>
          <cell r="F1184">
            <v>154.75133858267628</v>
          </cell>
          <cell r="G1184">
            <v>31.522992125983912</v>
          </cell>
          <cell r="H1184">
            <v>31.522992125983912</v>
          </cell>
          <cell r="I1184" t="e">
            <v>#N/A</v>
          </cell>
          <cell r="J1184" t="e">
            <v>#N/A</v>
          </cell>
          <cell r="K1184">
            <v>105</v>
          </cell>
          <cell r="L1184">
            <v>55</v>
          </cell>
          <cell r="M1184" t="e">
            <v>#N/A</v>
          </cell>
          <cell r="N1184">
            <v>90</v>
          </cell>
          <cell r="O1184" t="e">
            <v>#N/A</v>
          </cell>
          <cell r="P1184" t="str">
            <v/>
          </cell>
          <cell r="Q1184" t="str">
            <v/>
          </cell>
          <cell r="R1184">
            <v>90</v>
          </cell>
        </row>
        <row r="1185">
          <cell r="A1185" t="str">
            <v/>
          </cell>
          <cell r="B1185" t="str">
            <v/>
          </cell>
          <cell r="C1185" t="str">
            <v>Future</v>
          </cell>
          <cell r="D1185" t="e">
            <v>#N/A</v>
          </cell>
          <cell r="E1185">
            <v>-104.30783464567011</v>
          </cell>
          <cell r="F1185">
            <v>154.88507874015659</v>
          </cell>
          <cell r="G1185">
            <v>31.459881889763441</v>
          </cell>
          <cell r="H1185">
            <v>31.459881889763441</v>
          </cell>
          <cell r="I1185" t="e">
            <v>#N/A</v>
          </cell>
          <cell r="J1185" t="e">
            <v>#N/A</v>
          </cell>
          <cell r="K1185">
            <v>105</v>
          </cell>
          <cell r="L1185">
            <v>55</v>
          </cell>
          <cell r="M1185" t="e">
            <v>#N/A</v>
          </cell>
          <cell r="N1185">
            <v>90</v>
          </cell>
          <cell r="O1185" t="e">
            <v>#N/A</v>
          </cell>
          <cell r="P1185" t="str">
            <v/>
          </cell>
          <cell r="Q1185" t="str">
            <v/>
          </cell>
          <cell r="R1185">
            <v>90</v>
          </cell>
        </row>
        <row r="1186">
          <cell r="A1186" t="str">
            <v/>
          </cell>
          <cell r="B1186" t="str">
            <v/>
          </cell>
          <cell r="C1186" t="str">
            <v>Future</v>
          </cell>
          <cell r="D1186" t="e">
            <v>#N/A</v>
          </cell>
          <cell r="E1186">
            <v>-104.58748031496145</v>
          </cell>
          <cell r="F1186">
            <v>155.01881889763689</v>
          </cell>
          <cell r="G1186">
            <v>31.39677165354297</v>
          </cell>
          <cell r="H1186">
            <v>31.39677165354297</v>
          </cell>
          <cell r="I1186" t="e">
            <v>#N/A</v>
          </cell>
          <cell r="J1186" t="e">
            <v>#N/A</v>
          </cell>
          <cell r="K1186">
            <v>105</v>
          </cell>
          <cell r="L1186">
            <v>55</v>
          </cell>
          <cell r="M1186" t="e">
            <v>#N/A</v>
          </cell>
          <cell r="N1186">
            <v>90</v>
          </cell>
          <cell r="O1186" t="e">
            <v>#N/A</v>
          </cell>
          <cell r="P1186" t="str">
            <v/>
          </cell>
          <cell r="Q1186" t="str">
            <v/>
          </cell>
          <cell r="R1186">
            <v>90</v>
          </cell>
        </row>
        <row r="1187">
          <cell r="A1187" t="str">
            <v/>
          </cell>
          <cell r="B1187" t="str">
            <v/>
          </cell>
          <cell r="C1187" t="str">
            <v>Future</v>
          </cell>
          <cell r="D1187" t="e">
            <v>#N/A</v>
          </cell>
          <cell r="E1187">
            <v>-104.86712598425279</v>
          </cell>
          <cell r="F1187">
            <v>155.15255905511719</v>
          </cell>
          <cell r="G1187">
            <v>31.333661417322499</v>
          </cell>
          <cell r="H1187">
            <v>31.333661417322499</v>
          </cell>
          <cell r="I1187" t="e">
            <v>#N/A</v>
          </cell>
          <cell r="J1187" t="e">
            <v>#N/A</v>
          </cell>
          <cell r="K1187">
            <v>105</v>
          </cell>
          <cell r="L1187">
            <v>55</v>
          </cell>
          <cell r="M1187" t="e">
            <v>#N/A</v>
          </cell>
          <cell r="N1187">
            <v>90</v>
          </cell>
          <cell r="O1187" t="e">
            <v>#N/A</v>
          </cell>
          <cell r="P1187" t="str">
            <v/>
          </cell>
          <cell r="Q1187" t="str">
            <v/>
          </cell>
          <cell r="R1187">
            <v>90</v>
          </cell>
        </row>
        <row r="1188">
          <cell r="A1188" t="str">
            <v/>
          </cell>
          <cell r="B1188" t="str">
            <v/>
          </cell>
          <cell r="C1188" t="str">
            <v>Future</v>
          </cell>
          <cell r="D1188" t="e">
            <v>#N/A</v>
          </cell>
          <cell r="E1188">
            <v>-105.14677165354414</v>
          </cell>
          <cell r="F1188">
            <v>155.2862992125975</v>
          </cell>
          <cell r="G1188">
            <v>31.270551181102029</v>
          </cell>
          <cell r="H1188">
            <v>31.270551181102029</v>
          </cell>
          <cell r="I1188" t="e">
            <v>#N/A</v>
          </cell>
          <cell r="J1188" t="e">
            <v>#N/A</v>
          </cell>
          <cell r="K1188">
            <v>105</v>
          </cell>
          <cell r="L1188">
            <v>55</v>
          </cell>
          <cell r="M1188" t="e">
            <v>#N/A</v>
          </cell>
          <cell r="N1188">
            <v>90</v>
          </cell>
          <cell r="O1188" t="e">
            <v>#N/A</v>
          </cell>
          <cell r="P1188" t="str">
            <v/>
          </cell>
          <cell r="Q1188" t="str">
            <v/>
          </cell>
          <cell r="R1188">
            <v>90</v>
          </cell>
        </row>
        <row r="1189">
          <cell r="A1189" t="str">
            <v/>
          </cell>
          <cell r="B1189" t="str">
            <v/>
          </cell>
          <cell r="C1189" t="str">
            <v>Future</v>
          </cell>
          <cell r="D1189" t="e">
            <v>#N/A</v>
          </cell>
          <cell r="E1189">
            <v>-105.42641732283548</v>
          </cell>
          <cell r="F1189">
            <v>155.4200393700778</v>
          </cell>
          <cell r="G1189">
            <v>31.207440944881558</v>
          </cell>
          <cell r="H1189">
            <v>31.207440944881558</v>
          </cell>
          <cell r="I1189" t="e">
            <v>#N/A</v>
          </cell>
          <cell r="J1189" t="e">
            <v>#N/A</v>
          </cell>
          <cell r="K1189">
            <v>105</v>
          </cell>
          <cell r="L1189">
            <v>55</v>
          </cell>
          <cell r="M1189" t="e">
            <v>#N/A</v>
          </cell>
          <cell r="N1189">
            <v>90</v>
          </cell>
          <cell r="O1189" t="e">
            <v>#N/A</v>
          </cell>
          <cell r="P1189" t="str">
            <v/>
          </cell>
          <cell r="Q1189" t="str">
            <v/>
          </cell>
          <cell r="R1189">
            <v>90</v>
          </cell>
        </row>
        <row r="1190">
          <cell r="A1190" t="str">
            <v/>
          </cell>
          <cell r="B1190" t="str">
            <v/>
          </cell>
          <cell r="C1190" t="str">
            <v>Future</v>
          </cell>
          <cell r="D1190" t="e">
            <v>#N/A</v>
          </cell>
          <cell r="E1190">
            <v>-105.70606299212682</v>
          </cell>
          <cell r="F1190">
            <v>155.55377952755811</v>
          </cell>
          <cell r="G1190">
            <v>31.144330708661087</v>
          </cell>
          <cell r="H1190">
            <v>31.144330708661087</v>
          </cell>
          <cell r="I1190" t="e">
            <v>#N/A</v>
          </cell>
          <cell r="J1190" t="e">
            <v>#N/A</v>
          </cell>
          <cell r="K1190">
            <v>105</v>
          </cell>
          <cell r="L1190">
            <v>55</v>
          </cell>
          <cell r="M1190" t="e">
            <v>#N/A</v>
          </cell>
          <cell r="N1190">
            <v>90</v>
          </cell>
          <cell r="O1190" t="e">
            <v>#N/A</v>
          </cell>
          <cell r="P1190" t="str">
            <v/>
          </cell>
          <cell r="Q1190" t="str">
            <v/>
          </cell>
          <cell r="R1190">
            <v>90</v>
          </cell>
        </row>
        <row r="1191">
          <cell r="A1191" t="str">
            <v/>
          </cell>
          <cell r="B1191" t="str">
            <v/>
          </cell>
          <cell r="C1191" t="str">
            <v>Future</v>
          </cell>
          <cell r="D1191" t="e">
            <v>#N/A</v>
          </cell>
          <cell r="E1191">
            <v>-105.98570866141816</v>
          </cell>
          <cell r="F1191">
            <v>155.68751968503841</v>
          </cell>
          <cell r="G1191">
            <v>31.081220472440616</v>
          </cell>
          <cell r="H1191">
            <v>31.081220472440616</v>
          </cell>
          <cell r="I1191" t="e">
            <v>#N/A</v>
          </cell>
          <cell r="J1191" t="e">
            <v>#N/A</v>
          </cell>
          <cell r="K1191">
            <v>105</v>
          </cell>
          <cell r="L1191">
            <v>55</v>
          </cell>
          <cell r="M1191" t="e">
            <v>#N/A</v>
          </cell>
          <cell r="N1191">
            <v>90</v>
          </cell>
          <cell r="O1191" t="e">
            <v>#N/A</v>
          </cell>
          <cell r="P1191" t="str">
            <v/>
          </cell>
          <cell r="Q1191" t="str">
            <v/>
          </cell>
          <cell r="R1191">
            <v>90</v>
          </cell>
        </row>
        <row r="1192">
          <cell r="A1192" t="str">
            <v/>
          </cell>
          <cell r="B1192" t="str">
            <v/>
          </cell>
          <cell r="C1192" t="str">
            <v>Future</v>
          </cell>
          <cell r="D1192" t="e">
            <v>#N/A</v>
          </cell>
          <cell r="E1192">
            <v>-106.2653543307095</v>
          </cell>
          <cell r="F1192">
            <v>155.82125984251871</v>
          </cell>
          <cell r="G1192">
            <v>31.018110236220146</v>
          </cell>
          <cell r="H1192">
            <v>31.018110236220146</v>
          </cell>
          <cell r="I1192" t="e">
            <v>#N/A</v>
          </cell>
          <cell r="J1192" t="e">
            <v>#N/A</v>
          </cell>
          <cell r="K1192">
            <v>105</v>
          </cell>
          <cell r="L1192">
            <v>55</v>
          </cell>
          <cell r="M1192" t="e">
            <v>#N/A</v>
          </cell>
          <cell r="N1192">
            <v>90</v>
          </cell>
          <cell r="O1192" t="e">
            <v>#N/A</v>
          </cell>
          <cell r="P1192" t="str">
            <v/>
          </cell>
          <cell r="Q1192" t="str">
            <v/>
          </cell>
          <cell r="R1192">
            <v>90</v>
          </cell>
        </row>
        <row r="1193">
          <cell r="A1193" t="str">
            <v/>
          </cell>
          <cell r="B1193" t="str">
            <v/>
          </cell>
          <cell r="C1193" t="str">
            <v>Future</v>
          </cell>
          <cell r="D1193" t="e">
            <v>#N/A</v>
          </cell>
          <cell r="E1193">
            <v>-106.54500000000084</v>
          </cell>
          <cell r="F1193">
            <v>155.95499999999902</v>
          </cell>
          <cell r="G1193">
            <v>30.954999999999675</v>
          </cell>
          <cell r="H1193">
            <v>30.954999999999675</v>
          </cell>
          <cell r="I1193" t="e">
            <v>#N/A</v>
          </cell>
          <cell r="J1193" t="e">
            <v>#N/A</v>
          </cell>
          <cell r="K1193">
            <v>105</v>
          </cell>
          <cell r="L1193">
            <v>55</v>
          </cell>
          <cell r="M1193" t="e">
            <v>#N/A</v>
          </cell>
          <cell r="N1193">
            <v>90</v>
          </cell>
          <cell r="O1193" t="e">
            <v>#N/A</v>
          </cell>
          <cell r="P1193" t="str">
            <v/>
          </cell>
          <cell r="Q1193" t="str">
            <v/>
          </cell>
          <cell r="R1193">
            <v>90</v>
          </cell>
        </row>
        <row r="1194">
          <cell r="A1194" t="str">
            <v/>
          </cell>
          <cell r="B1194" t="str">
            <v/>
          </cell>
          <cell r="C1194" t="str">
            <v>Future</v>
          </cell>
          <cell r="D1194" t="e">
            <v>#N/A</v>
          </cell>
          <cell r="E1194">
            <v>-106.82464566929218</v>
          </cell>
          <cell r="F1194">
            <v>156.08874015747932</v>
          </cell>
          <cell r="G1194">
            <v>30.891889763779204</v>
          </cell>
          <cell r="H1194">
            <v>30.891889763779204</v>
          </cell>
          <cell r="I1194" t="e">
            <v>#N/A</v>
          </cell>
          <cell r="J1194" t="e">
            <v>#N/A</v>
          </cell>
          <cell r="K1194">
            <v>105</v>
          </cell>
          <cell r="L1194">
            <v>55</v>
          </cell>
          <cell r="M1194" t="e">
            <v>#N/A</v>
          </cell>
          <cell r="N1194">
            <v>90</v>
          </cell>
          <cell r="O1194" t="e">
            <v>#N/A</v>
          </cell>
          <cell r="P1194" t="str">
            <v/>
          </cell>
          <cell r="Q1194" t="str">
            <v/>
          </cell>
          <cell r="R1194">
            <v>90</v>
          </cell>
        </row>
        <row r="1195">
          <cell r="A1195" t="str">
            <v/>
          </cell>
          <cell r="B1195" t="str">
            <v/>
          </cell>
          <cell r="C1195" t="str">
            <v>Future</v>
          </cell>
          <cell r="D1195" t="e">
            <v>#N/A</v>
          </cell>
          <cell r="E1195">
            <v>-107.10429133858352</v>
          </cell>
          <cell r="F1195">
            <v>156.22248031495963</v>
          </cell>
          <cell r="G1195">
            <v>30.828779527558734</v>
          </cell>
          <cell r="H1195">
            <v>30.828779527558734</v>
          </cell>
          <cell r="I1195" t="e">
            <v>#N/A</v>
          </cell>
          <cell r="J1195" t="e">
            <v>#N/A</v>
          </cell>
          <cell r="K1195">
            <v>105</v>
          </cell>
          <cell r="L1195">
            <v>55</v>
          </cell>
          <cell r="M1195" t="e">
            <v>#N/A</v>
          </cell>
          <cell r="N1195">
            <v>90</v>
          </cell>
          <cell r="O1195" t="e">
            <v>#N/A</v>
          </cell>
          <cell r="P1195" t="str">
            <v/>
          </cell>
          <cell r="Q1195" t="str">
            <v/>
          </cell>
          <cell r="R1195">
            <v>90</v>
          </cell>
        </row>
        <row r="1196">
          <cell r="A1196" t="str">
            <v/>
          </cell>
          <cell r="B1196" t="str">
            <v/>
          </cell>
          <cell r="C1196" t="str">
            <v>Future</v>
          </cell>
          <cell r="D1196" t="e">
            <v>#N/A</v>
          </cell>
          <cell r="E1196">
            <v>-107.38393700787486</v>
          </cell>
          <cell r="F1196">
            <v>156.35622047243993</v>
          </cell>
          <cell r="G1196">
            <v>30.765669291338263</v>
          </cell>
          <cell r="H1196">
            <v>30.765669291338263</v>
          </cell>
          <cell r="I1196" t="e">
            <v>#N/A</v>
          </cell>
          <cell r="J1196" t="e">
            <v>#N/A</v>
          </cell>
          <cell r="K1196">
            <v>105</v>
          </cell>
          <cell r="L1196">
            <v>55</v>
          </cell>
          <cell r="M1196" t="e">
            <v>#N/A</v>
          </cell>
          <cell r="N1196">
            <v>90</v>
          </cell>
          <cell r="O1196" t="e">
            <v>#N/A</v>
          </cell>
          <cell r="P1196" t="str">
            <v/>
          </cell>
          <cell r="Q1196" t="str">
            <v/>
          </cell>
          <cell r="R1196">
            <v>90</v>
          </cell>
        </row>
        <row r="1197">
          <cell r="A1197" t="str">
            <v/>
          </cell>
          <cell r="B1197" t="str">
            <v/>
          </cell>
          <cell r="C1197" t="str">
            <v>Future</v>
          </cell>
          <cell r="D1197" t="e">
            <v>#N/A</v>
          </cell>
          <cell r="E1197">
            <v>-107.6635826771662</v>
          </cell>
          <cell r="F1197">
            <v>156.48996062992023</v>
          </cell>
          <cell r="G1197">
            <v>30.702559055117792</v>
          </cell>
          <cell r="H1197">
            <v>30.702559055117792</v>
          </cell>
          <cell r="I1197" t="e">
            <v>#N/A</v>
          </cell>
          <cell r="J1197" t="e">
            <v>#N/A</v>
          </cell>
          <cell r="K1197">
            <v>105</v>
          </cell>
          <cell r="L1197">
            <v>55</v>
          </cell>
          <cell r="M1197" t="e">
            <v>#N/A</v>
          </cell>
          <cell r="N1197">
            <v>90</v>
          </cell>
          <cell r="O1197" t="e">
            <v>#N/A</v>
          </cell>
          <cell r="P1197" t="str">
            <v/>
          </cell>
          <cell r="Q1197" t="str">
            <v/>
          </cell>
          <cell r="R1197">
            <v>90</v>
          </cell>
        </row>
        <row r="1198">
          <cell r="A1198" t="str">
            <v/>
          </cell>
          <cell r="B1198" t="str">
            <v/>
          </cell>
          <cell r="C1198" t="str">
            <v>Future</v>
          </cell>
          <cell r="D1198" t="e">
            <v>#N/A</v>
          </cell>
          <cell r="E1198">
            <v>-107.94322834645754</v>
          </cell>
          <cell r="F1198">
            <v>156.62370078740054</v>
          </cell>
          <cell r="G1198">
            <v>30.639448818897321</v>
          </cell>
          <cell r="H1198">
            <v>30.639448818897321</v>
          </cell>
          <cell r="I1198" t="e">
            <v>#N/A</v>
          </cell>
          <cell r="J1198" t="e">
            <v>#N/A</v>
          </cell>
          <cell r="K1198">
            <v>105</v>
          </cell>
          <cell r="L1198">
            <v>55</v>
          </cell>
          <cell r="M1198" t="e">
            <v>#N/A</v>
          </cell>
          <cell r="N1198">
            <v>90</v>
          </cell>
          <cell r="O1198" t="e">
            <v>#N/A</v>
          </cell>
          <cell r="P1198" t="str">
            <v/>
          </cell>
          <cell r="Q1198" t="str">
            <v/>
          </cell>
          <cell r="R1198">
            <v>90</v>
          </cell>
        </row>
        <row r="1199">
          <cell r="A1199" t="str">
            <v/>
          </cell>
          <cell r="B1199" t="str">
            <v/>
          </cell>
          <cell r="C1199" t="str">
            <v>Future</v>
          </cell>
          <cell r="D1199" t="e">
            <v>#N/A</v>
          </cell>
          <cell r="E1199">
            <v>-108.22287401574889</v>
          </cell>
          <cell r="F1199">
            <v>156.75744094488084</v>
          </cell>
          <cell r="G1199">
            <v>30.576338582676851</v>
          </cell>
          <cell r="H1199">
            <v>30.576338582676851</v>
          </cell>
          <cell r="I1199" t="e">
            <v>#N/A</v>
          </cell>
          <cell r="J1199" t="e">
            <v>#N/A</v>
          </cell>
          <cell r="K1199">
            <v>105</v>
          </cell>
          <cell r="L1199">
            <v>55</v>
          </cell>
          <cell r="M1199" t="e">
            <v>#N/A</v>
          </cell>
          <cell r="N1199">
            <v>90</v>
          </cell>
          <cell r="O1199" t="e">
            <v>#N/A</v>
          </cell>
          <cell r="P1199" t="str">
            <v/>
          </cell>
          <cell r="Q1199" t="str">
            <v/>
          </cell>
          <cell r="R1199">
            <v>90</v>
          </cell>
        </row>
        <row r="1200">
          <cell r="A1200" t="str">
            <v/>
          </cell>
          <cell r="B1200" t="str">
            <v/>
          </cell>
          <cell r="C1200" t="str">
            <v>Future</v>
          </cell>
          <cell r="D1200" t="e">
            <v>#N/A</v>
          </cell>
          <cell r="E1200">
            <v>-108.50251968504023</v>
          </cell>
          <cell r="F1200">
            <v>156.89118110236114</v>
          </cell>
          <cell r="G1200">
            <v>30.51322834645638</v>
          </cell>
          <cell r="H1200">
            <v>30.51322834645638</v>
          </cell>
          <cell r="I1200" t="e">
            <v>#N/A</v>
          </cell>
          <cell r="J1200" t="e">
            <v>#N/A</v>
          </cell>
          <cell r="K1200">
            <v>105</v>
          </cell>
          <cell r="L1200">
            <v>55</v>
          </cell>
          <cell r="M1200" t="e">
            <v>#N/A</v>
          </cell>
          <cell r="N1200">
            <v>90</v>
          </cell>
          <cell r="O1200" t="e">
            <v>#N/A</v>
          </cell>
          <cell r="P1200" t="str">
            <v/>
          </cell>
          <cell r="Q1200" t="str">
            <v/>
          </cell>
          <cell r="R1200">
            <v>90</v>
          </cell>
        </row>
        <row r="1201">
          <cell r="A1201" t="str">
            <v/>
          </cell>
          <cell r="B1201" t="str">
            <v/>
          </cell>
          <cell r="C1201" t="str">
            <v>Future</v>
          </cell>
          <cell r="D1201" t="e">
            <v>#N/A</v>
          </cell>
          <cell r="E1201">
            <v>-108.78216535433157</v>
          </cell>
          <cell r="F1201">
            <v>157.02492125984145</v>
          </cell>
          <cell r="G1201">
            <v>30.450118110235909</v>
          </cell>
          <cell r="H1201">
            <v>30.450118110235909</v>
          </cell>
          <cell r="I1201" t="e">
            <v>#N/A</v>
          </cell>
          <cell r="J1201" t="e">
            <v>#N/A</v>
          </cell>
          <cell r="K1201">
            <v>105</v>
          </cell>
          <cell r="L1201">
            <v>55</v>
          </cell>
          <cell r="M1201" t="e">
            <v>#N/A</v>
          </cell>
          <cell r="N1201">
            <v>90</v>
          </cell>
          <cell r="O1201" t="e">
            <v>#N/A</v>
          </cell>
          <cell r="P1201" t="str">
            <v/>
          </cell>
          <cell r="Q1201" t="str">
            <v/>
          </cell>
          <cell r="R1201">
            <v>90</v>
          </cell>
        </row>
        <row r="1202">
          <cell r="A1202" t="str">
            <v/>
          </cell>
          <cell r="B1202" t="str">
            <v/>
          </cell>
          <cell r="C1202" t="str">
            <v>Future</v>
          </cell>
          <cell r="D1202" t="e">
            <v>#N/A</v>
          </cell>
          <cell r="E1202">
            <v>-109.06181102362291</v>
          </cell>
          <cell r="F1202">
            <v>157.15866141732175</v>
          </cell>
          <cell r="G1202">
            <v>30.387007874015438</v>
          </cell>
          <cell r="H1202">
            <v>30.387007874015438</v>
          </cell>
          <cell r="I1202" t="e">
            <v>#N/A</v>
          </cell>
          <cell r="J1202" t="e">
            <v>#N/A</v>
          </cell>
          <cell r="K1202">
            <v>105</v>
          </cell>
          <cell r="L1202">
            <v>55</v>
          </cell>
          <cell r="M1202" t="e">
            <v>#N/A</v>
          </cell>
          <cell r="N1202">
            <v>90</v>
          </cell>
          <cell r="O1202" t="e">
            <v>#N/A</v>
          </cell>
          <cell r="P1202" t="str">
            <v/>
          </cell>
          <cell r="Q1202" t="str">
            <v/>
          </cell>
          <cell r="R1202">
            <v>90</v>
          </cell>
        </row>
        <row r="1203">
          <cell r="A1203" t="str">
            <v/>
          </cell>
          <cell r="B1203" t="str">
            <v/>
          </cell>
          <cell r="C1203" t="str">
            <v>Future</v>
          </cell>
          <cell r="D1203" t="e">
            <v>#N/A</v>
          </cell>
          <cell r="E1203">
            <v>-109.34145669291425</v>
          </cell>
          <cell r="F1203">
            <v>157.29240157480206</v>
          </cell>
          <cell r="G1203">
            <v>30.323897637794968</v>
          </cell>
          <cell r="H1203">
            <v>30.323897637794968</v>
          </cell>
          <cell r="I1203" t="e">
            <v>#N/A</v>
          </cell>
          <cell r="J1203" t="e">
            <v>#N/A</v>
          </cell>
          <cell r="K1203">
            <v>105</v>
          </cell>
          <cell r="L1203">
            <v>55</v>
          </cell>
          <cell r="M1203" t="e">
            <v>#N/A</v>
          </cell>
          <cell r="N1203">
            <v>90</v>
          </cell>
          <cell r="O1203" t="e">
            <v>#N/A</v>
          </cell>
          <cell r="P1203" t="str">
            <v/>
          </cell>
          <cell r="Q1203" t="str">
            <v/>
          </cell>
          <cell r="R1203">
            <v>90</v>
          </cell>
        </row>
        <row r="1204">
          <cell r="A1204" t="str">
            <v/>
          </cell>
          <cell r="B1204" t="str">
            <v/>
          </cell>
          <cell r="C1204" t="str">
            <v>Future</v>
          </cell>
          <cell r="D1204" t="e">
            <v>#N/A</v>
          </cell>
          <cell r="E1204">
            <v>-109.62110236220559</v>
          </cell>
          <cell r="F1204">
            <v>157.42614173228236</v>
          </cell>
          <cell r="G1204">
            <v>30.260787401574497</v>
          </cell>
          <cell r="H1204">
            <v>30.260787401574497</v>
          </cell>
          <cell r="I1204" t="e">
            <v>#N/A</v>
          </cell>
          <cell r="J1204" t="e">
            <v>#N/A</v>
          </cell>
          <cell r="K1204">
            <v>105</v>
          </cell>
          <cell r="L1204">
            <v>55</v>
          </cell>
          <cell r="M1204" t="e">
            <v>#N/A</v>
          </cell>
          <cell r="N1204">
            <v>90</v>
          </cell>
          <cell r="O1204" t="e">
            <v>#N/A</v>
          </cell>
          <cell r="P1204" t="str">
            <v/>
          </cell>
          <cell r="Q1204" t="str">
            <v/>
          </cell>
          <cell r="R1204">
            <v>90</v>
          </cell>
        </row>
        <row r="1205">
          <cell r="A1205" t="str">
            <v/>
          </cell>
          <cell r="B1205" t="str">
            <v/>
          </cell>
          <cell r="C1205" t="str">
            <v>Future</v>
          </cell>
          <cell r="D1205" t="e">
            <v>#N/A</v>
          </cell>
          <cell r="E1205">
            <v>-109.90074803149693</v>
          </cell>
          <cell r="F1205">
            <v>157.55988188976266</v>
          </cell>
          <cell r="G1205">
            <v>30.197677165354026</v>
          </cell>
          <cell r="H1205">
            <v>30.197677165354026</v>
          </cell>
          <cell r="I1205" t="e">
            <v>#N/A</v>
          </cell>
          <cell r="J1205" t="e">
            <v>#N/A</v>
          </cell>
          <cell r="K1205">
            <v>105</v>
          </cell>
          <cell r="L1205">
            <v>55</v>
          </cell>
          <cell r="M1205" t="e">
            <v>#N/A</v>
          </cell>
          <cell r="N1205">
            <v>90</v>
          </cell>
          <cell r="O1205" t="e">
            <v>#N/A</v>
          </cell>
          <cell r="P1205" t="str">
            <v/>
          </cell>
          <cell r="Q1205" t="str">
            <v/>
          </cell>
          <cell r="R1205">
            <v>90</v>
          </cell>
        </row>
        <row r="1206">
          <cell r="A1206" t="str">
            <v/>
          </cell>
          <cell r="B1206" t="str">
            <v/>
          </cell>
          <cell r="C1206" t="str">
            <v>Future</v>
          </cell>
          <cell r="D1206" t="e">
            <v>#N/A</v>
          </cell>
          <cell r="E1206">
            <v>-110.18039370078827</v>
          </cell>
          <cell r="F1206">
            <v>157.69362204724297</v>
          </cell>
          <cell r="G1206">
            <v>30.134566929133555</v>
          </cell>
          <cell r="H1206">
            <v>30.134566929133555</v>
          </cell>
          <cell r="I1206" t="e">
            <v>#N/A</v>
          </cell>
          <cell r="J1206" t="e">
            <v>#N/A</v>
          </cell>
          <cell r="K1206">
            <v>105</v>
          </cell>
          <cell r="L1206">
            <v>55</v>
          </cell>
          <cell r="M1206" t="e">
            <v>#N/A</v>
          </cell>
          <cell r="N1206">
            <v>90</v>
          </cell>
          <cell r="O1206" t="e">
            <v>#N/A</v>
          </cell>
          <cell r="P1206" t="str">
            <v/>
          </cell>
          <cell r="Q1206" t="str">
            <v/>
          </cell>
          <cell r="R1206">
            <v>90</v>
          </cell>
        </row>
        <row r="1207">
          <cell r="A1207" t="str">
            <v/>
          </cell>
          <cell r="B1207" t="str">
            <v/>
          </cell>
          <cell r="C1207" t="str">
            <v>Future</v>
          </cell>
          <cell r="D1207" t="e">
            <v>#N/A</v>
          </cell>
          <cell r="E1207">
            <v>-110.46003937007961</v>
          </cell>
          <cell r="F1207">
            <v>157.82736220472327</v>
          </cell>
          <cell r="G1207">
            <v>30.071456692913085</v>
          </cell>
          <cell r="H1207">
            <v>30.071456692913085</v>
          </cell>
          <cell r="I1207" t="e">
            <v>#N/A</v>
          </cell>
          <cell r="J1207" t="e">
            <v>#N/A</v>
          </cell>
          <cell r="K1207">
            <v>105</v>
          </cell>
          <cell r="L1207">
            <v>55</v>
          </cell>
          <cell r="M1207" t="e">
            <v>#N/A</v>
          </cell>
          <cell r="N1207">
            <v>90</v>
          </cell>
          <cell r="O1207" t="e">
            <v>#N/A</v>
          </cell>
          <cell r="P1207" t="str">
            <v/>
          </cell>
          <cell r="Q1207" t="str">
            <v/>
          </cell>
          <cell r="R1207">
            <v>90</v>
          </cell>
        </row>
        <row r="1208">
          <cell r="A1208" t="str">
            <v/>
          </cell>
          <cell r="B1208" t="str">
            <v/>
          </cell>
          <cell r="C1208" t="str">
            <v>Future</v>
          </cell>
          <cell r="D1208" t="e">
            <v>#N/A</v>
          </cell>
          <cell r="E1208">
            <v>-110.73968503937095</v>
          </cell>
          <cell r="F1208">
            <v>157.96110236220358</v>
          </cell>
          <cell r="G1208">
            <v>30.008346456692614</v>
          </cell>
          <cell r="H1208">
            <v>30.008346456692614</v>
          </cell>
          <cell r="I1208" t="e">
            <v>#N/A</v>
          </cell>
          <cell r="J1208" t="e">
            <v>#N/A</v>
          </cell>
          <cell r="K1208">
            <v>105</v>
          </cell>
          <cell r="L1208">
            <v>55</v>
          </cell>
          <cell r="M1208" t="e">
            <v>#N/A</v>
          </cell>
          <cell r="N1208">
            <v>90</v>
          </cell>
          <cell r="O1208" t="e">
            <v>#N/A</v>
          </cell>
          <cell r="P1208" t="str">
            <v/>
          </cell>
          <cell r="Q1208" t="str">
            <v/>
          </cell>
          <cell r="R1208">
            <v>90</v>
          </cell>
        </row>
        <row r="1209">
          <cell r="A1209" t="str">
            <v/>
          </cell>
          <cell r="B1209" t="str">
            <v/>
          </cell>
          <cell r="C1209" t="str">
            <v>Future</v>
          </cell>
          <cell r="D1209" t="e">
            <v>#N/A</v>
          </cell>
          <cell r="E1209">
            <v>-111.0193307086623</v>
          </cell>
          <cell r="F1209">
            <v>158.09484251968388</v>
          </cell>
          <cell r="G1209">
            <v>29.945236220472143</v>
          </cell>
          <cell r="H1209">
            <v>29.945236220472143</v>
          </cell>
          <cell r="I1209" t="e">
            <v>#N/A</v>
          </cell>
          <cell r="J1209" t="e">
            <v>#N/A</v>
          </cell>
          <cell r="K1209">
            <v>105</v>
          </cell>
          <cell r="L1209">
            <v>55</v>
          </cell>
          <cell r="M1209" t="e">
            <v>#N/A</v>
          </cell>
          <cell r="N1209">
            <v>90</v>
          </cell>
          <cell r="O1209" t="e">
            <v>#N/A</v>
          </cell>
          <cell r="P1209" t="str">
            <v/>
          </cell>
          <cell r="Q1209" t="str">
            <v/>
          </cell>
          <cell r="R1209">
            <v>90</v>
          </cell>
        </row>
        <row r="1210">
          <cell r="A1210" t="str">
            <v/>
          </cell>
          <cell r="B1210" t="str">
            <v/>
          </cell>
          <cell r="C1210" t="str">
            <v>Future</v>
          </cell>
          <cell r="D1210" t="e">
            <v>#N/A</v>
          </cell>
          <cell r="E1210">
            <v>-111.29897637795364</v>
          </cell>
          <cell r="F1210">
            <v>158.22858267716418</v>
          </cell>
          <cell r="G1210">
            <v>29.882125984251672</v>
          </cell>
          <cell r="H1210">
            <v>29.882125984251672</v>
          </cell>
          <cell r="I1210" t="e">
            <v>#N/A</v>
          </cell>
          <cell r="J1210" t="e">
            <v>#N/A</v>
          </cell>
          <cell r="K1210">
            <v>105</v>
          </cell>
          <cell r="L1210">
            <v>55</v>
          </cell>
          <cell r="M1210" t="e">
            <v>#N/A</v>
          </cell>
          <cell r="N1210">
            <v>90</v>
          </cell>
          <cell r="O1210" t="e">
            <v>#N/A</v>
          </cell>
          <cell r="P1210" t="str">
            <v/>
          </cell>
          <cell r="Q1210" t="str">
            <v/>
          </cell>
          <cell r="R1210">
            <v>90</v>
          </cell>
        </row>
        <row r="1211">
          <cell r="A1211" t="str">
            <v/>
          </cell>
          <cell r="B1211" t="str">
            <v/>
          </cell>
          <cell r="C1211" t="str">
            <v>Future</v>
          </cell>
          <cell r="D1211" t="e">
            <v>#N/A</v>
          </cell>
          <cell r="E1211">
            <v>-111.57862204724498</v>
          </cell>
          <cell r="F1211">
            <v>158.36232283464449</v>
          </cell>
          <cell r="G1211">
            <v>29.819015748031202</v>
          </cell>
          <cell r="H1211">
            <v>29.819015748031202</v>
          </cell>
          <cell r="I1211" t="e">
            <v>#N/A</v>
          </cell>
          <cell r="J1211" t="e">
            <v>#N/A</v>
          </cell>
          <cell r="K1211">
            <v>105</v>
          </cell>
          <cell r="L1211">
            <v>55</v>
          </cell>
          <cell r="M1211" t="e">
            <v>#N/A</v>
          </cell>
          <cell r="N1211">
            <v>90</v>
          </cell>
          <cell r="O1211" t="e">
            <v>#N/A</v>
          </cell>
          <cell r="P1211" t="str">
            <v/>
          </cell>
          <cell r="Q1211" t="str">
            <v/>
          </cell>
          <cell r="R1211">
            <v>90</v>
          </cell>
        </row>
        <row r="1212">
          <cell r="A1212" t="str">
            <v/>
          </cell>
          <cell r="B1212" t="str">
            <v/>
          </cell>
          <cell r="C1212" t="str">
            <v>Future</v>
          </cell>
          <cell r="D1212" t="e">
            <v>#N/A</v>
          </cell>
          <cell r="E1212">
            <v>-111.85826771653632</v>
          </cell>
          <cell r="F1212">
            <v>158.49606299212479</v>
          </cell>
          <cell r="G1212">
            <v>29.755905511810731</v>
          </cell>
          <cell r="H1212">
            <v>29.755905511810731</v>
          </cell>
          <cell r="I1212" t="e">
            <v>#N/A</v>
          </cell>
          <cell r="J1212" t="e">
            <v>#N/A</v>
          </cell>
          <cell r="K1212">
            <v>105</v>
          </cell>
          <cell r="L1212">
            <v>55</v>
          </cell>
          <cell r="M1212" t="e">
            <v>#N/A</v>
          </cell>
          <cell r="N1212">
            <v>90</v>
          </cell>
          <cell r="O1212" t="e">
            <v>#N/A</v>
          </cell>
          <cell r="P1212" t="str">
            <v/>
          </cell>
          <cell r="Q1212" t="str">
            <v/>
          </cell>
          <cell r="R1212">
            <v>90</v>
          </cell>
        </row>
        <row r="1213">
          <cell r="A1213" t="str">
            <v/>
          </cell>
          <cell r="B1213" t="str">
            <v/>
          </cell>
          <cell r="C1213" t="str">
            <v>Future</v>
          </cell>
          <cell r="D1213" t="e">
            <v>#N/A</v>
          </cell>
          <cell r="E1213">
            <v>-112.13791338582766</v>
          </cell>
          <cell r="F1213">
            <v>158.6298031496051</v>
          </cell>
          <cell r="G1213">
            <v>29.69279527559026</v>
          </cell>
          <cell r="H1213">
            <v>29.69279527559026</v>
          </cell>
          <cell r="I1213" t="e">
            <v>#N/A</v>
          </cell>
          <cell r="J1213" t="e">
            <v>#N/A</v>
          </cell>
          <cell r="K1213">
            <v>105</v>
          </cell>
          <cell r="L1213">
            <v>55</v>
          </cell>
          <cell r="M1213" t="e">
            <v>#N/A</v>
          </cell>
          <cell r="N1213">
            <v>90</v>
          </cell>
          <cell r="O1213" t="e">
            <v>#N/A</v>
          </cell>
          <cell r="P1213" t="str">
            <v/>
          </cell>
          <cell r="Q1213" t="str">
            <v/>
          </cell>
          <cell r="R1213">
            <v>90</v>
          </cell>
        </row>
        <row r="1214">
          <cell r="A1214" t="str">
            <v/>
          </cell>
          <cell r="B1214" t="str">
            <v/>
          </cell>
          <cell r="C1214" t="str">
            <v>Future</v>
          </cell>
          <cell r="D1214" t="e">
            <v>#N/A</v>
          </cell>
          <cell r="E1214">
            <v>-112.417559055119</v>
          </cell>
          <cell r="F1214">
            <v>158.7635433070854</v>
          </cell>
          <cell r="G1214">
            <v>29.629685039369789</v>
          </cell>
          <cell r="H1214">
            <v>29.629685039369789</v>
          </cell>
          <cell r="I1214" t="e">
            <v>#N/A</v>
          </cell>
          <cell r="J1214" t="e">
            <v>#N/A</v>
          </cell>
          <cell r="K1214">
            <v>105</v>
          </cell>
          <cell r="L1214">
            <v>55</v>
          </cell>
          <cell r="M1214" t="e">
            <v>#N/A</v>
          </cell>
          <cell r="N1214">
            <v>90</v>
          </cell>
          <cell r="O1214" t="e">
            <v>#N/A</v>
          </cell>
          <cell r="P1214" t="str">
            <v/>
          </cell>
          <cell r="Q1214" t="str">
            <v/>
          </cell>
          <cell r="R1214">
            <v>90</v>
          </cell>
        </row>
        <row r="1215">
          <cell r="A1215" t="str">
            <v/>
          </cell>
          <cell r="B1215" t="str">
            <v/>
          </cell>
          <cell r="C1215" t="str">
            <v>Future</v>
          </cell>
          <cell r="D1215" t="e">
            <v>#N/A</v>
          </cell>
          <cell r="E1215">
            <v>-112.69720472441034</v>
          </cell>
          <cell r="F1215">
            <v>158.8972834645657</v>
          </cell>
          <cell r="G1215">
            <v>29.566574803149319</v>
          </cell>
          <cell r="H1215">
            <v>29.566574803149319</v>
          </cell>
          <cell r="I1215" t="e">
            <v>#N/A</v>
          </cell>
          <cell r="J1215" t="e">
            <v>#N/A</v>
          </cell>
          <cell r="K1215">
            <v>105</v>
          </cell>
          <cell r="L1215">
            <v>55</v>
          </cell>
          <cell r="M1215" t="e">
            <v>#N/A</v>
          </cell>
          <cell r="N1215">
            <v>90</v>
          </cell>
          <cell r="O1215" t="e">
            <v>#N/A</v>
          </cell>
          <cell r="P1215" t="str">
            <v/>
          </cell>
          <cell r="Q1215" t="str">
            <v/>
          </cell>
          <cell r="R1215">
            <v>90</v>
          </cell>
        </row>
        <row r="1216">
          <cell r="A1216" t="str">
            <v/>
          </cell>
          <cell r="B1216" t="str">
            <v/>
          </cell>
          <cell r="C1216" t="str">
            <v>Future</v>
          </cell>
          <cell r="D1216" t="e">
            <v>#N/A</v>
          </cell>
          <cell r="E1216">
            <v>-112.97685039370168</v>
          </cell>
          <cell r="F1216">
            <v>159.03102362204601</v>
          </cell>
          <cell r="G1216">
            <v>29.503464566928848</v>
          </cell>
          <cell r="H1216">
            <v>29.503464566928848</v>
          </cell>
          <cell r="I1216" t="e">
            <v>#N/A</v>
          </cell>
          <cell r="J1216" t="e">
            <v>#N/A</v>
          </cell>
          <cell r="K1216">
            <v>105</v>
          </cell>
          <cell r="L1216">
            <v>55</v>
          </cell>
          <cell r="M1216" t="e">
            <v>#N/A</v>
          </cell>
          <cell r="N1216">
            <v>90</v>
          </cell>
          <cell r="O1216" t="e">
            <v>#N/A</v>
          </cell>
          <cell r="P1216" t="str">
            <v/>
          </cell>
          <cell r="Q1216" t="str">
            <v/>
          </cell>
          <cell r="R1216">
            <v>90</v>
          </cell>
        </row>
        <row r="1217">
          <cell r="A1217" t="str">
            <v/>
          </cell>
          <cell r="B1217" t="str">
            <v/>
          </cell>
          <cell r="C1217" t="str">
            <v>Future</v>
          </cell>
          <cell r="D1217" t="e">
            <v>#N/A</v>
          </cell>
          <cell r="E1217">
            <v>-113.25649606299302</v>
          </cell>
          <cell r="F1217">
            <v>159.16476377952631</v>
          </cell>
          <cell r="G1217">
            <v>29.440354330708377</v>
          </cell>
          <cell r="H1217">
            <v>29.440354330708377</v>
          </cell>
          <cell r="I1217" t="e">
            <v>#N/A</v>
          </cell>
          <cell r="J1217" t="e">
            <v>#N/A</v>
          </cell>
          <cell r="K1217">
            <v>105</v>
          </cell>
          <cell r="L1217">
            <v>55</v>
          </cell>
          <cell r="M1217" t="e">
            <v>#N/A</v>
          </cell>
          <cell r="N1217">
            <v>90</v>
          </cell>
          <cell r="O1217" t="e">
            <v>#N/A</v>
          </cell>
          <cell r="P1217" t="str">
            <v/>
          </cell>
          <cell r="Q1217" t="str">
            <v/>
          </cell>
          <cell r="R1217">
            <v>90</v>
          </cell>
        </row>
        <row r="1218">
          <cell r="A1218" t="str">
            <v/>
          </cell>
          <cell r="B1218" t="str">
            <v/>
          </cell>
          <cell r="C1218" t="str">
            <v>Future</v>
          </cell>
          <cell r="D1218" t="e">
            <v>#N/A</v>
          </cell>
          <cell r="E1218">
            <v>-113.53614173228436</v>
          </cell>
          <cell r="F1218">
            <v>159.29850393700661</v>
          </cell>
          <cell r="G1218">
            <v>29.377244094487907</v>
          </cell>
          <cell r="H1218">
            <v>29.377244094487907</v>
          </cell>
          <cell r="I1218" t="e">
            <v>#N/A</v>
          </cell>
          <cell r="J1218" t="e">
            <v>#N/A</v>
          </cell>
          <cell r="K1218">
            <v>105</v>
          </cell>
          <cell r="L1218">
            <v>55</v>
          </cell>
          <cell r="M1218" t="e">
            <v>#N/A</v>
          </cell>
          <cell r="N1218">
            <v>90</v>
          </cell>
          <cell r="O1218" t="e">
            <v>#N/A</v>
          </cell>
          <cell r="P1218" t="str">
            <v/>
          </cell>
          <cell r="Q1218" t="str">
            <v/>
          </cell>
          <cell r="R1218">
            <v>90</v>
          </cell>
        </row>
        <row r="1219">
          <cell r="A1219" t="str">
            <v/>
          </cell>
          <cell r="B1219" t="str">
            <v/>
          </cell>
          <cell r="C1219" t="str">
            <v>Future</v>
          </cell>
          <cell r="D1219" t="e">
            <v>#N/A</v>
          </cell>
          <cell r="E1219">
            <v>-113.8157874015757</v>
          </cell>
          <cell r="F1219">
            <v>159.43224409448692</v>
          </cell>
          <cell r="G1219">
            <v>29.314133858267436</v>
          </cell>
          <cell r="H1219">
            <v>29.314133858267436</v>
          </cell>
          <cell r="I1219" t="e">
            <v>#N/A</v>
          </cell>
          <cell r="J1219" t="e">
            <v>#N/A</v>
          </cell>
          <cell r="K1219">
            <v>105</v>
          </cell>
          <cell r="L1219">
            <v>55</v>
          </cell>
          <cell r="M1219" t="e">
            <v>#N/A</v>
          </cell>
          <cell r="N1219">
            <v>90</v>
          </cell>
          <cell r="O1219" t="e">
            <v>#N/A</v>
          </cell>
          <cell r="P1219" t="str">
            <v/>
          </cell>
          <cell r="Q1219" t="str">
            <v/>
          </cell>
          <cell r="R1219">
            <v>90</v>
          </cell>
        </row>
        <row r="1220">
          <cell r="A1220" t="str">
            <v/>
          </cell>
          <cell r="B1220" t="str">
            <v/>
          </cell>
          <cell r="C1220" t="str">
            <v>Future</v>
          </cell>
          <cell r="D1220" t="e">
            <v>#N/A</v>
          </cell>
          <cell r="E1220">
            <v>-114.09543307086705</v>
          </cell>
          <cell r="F1220">
            <v>159.56598425196722</v>
          </cell>
          <cell r="G1220">
            <v>29.251023622046965</v>
          </cell>
          <cell r="H1220">
            <v>29.251023622046965</v>
          </cell>
          <cell r="I1220" t="e">
            <v>#N/A</v>
          </cell>
          <cell r="J1220" t="e">
            <v>#N/A</v>
          </cell>
          <cell r="K1220">
            <v>105</v>
          </cell>
          <cell r="L1220">
            <v>55</v>
          </cell>
          <cell r="M1220" t="e">
            <v>#N/A</v>
          </cell>
          <cell r="N1220">
            <v>90</v>
          </cell>
          <cell r="O1220" t="e">
            <v>#N/A</v>
          </cell>
          <cell r="P1220" t="str">
            <v/>
          </cell>
          <cell r="Q1220" t="str">
            <v/>
          </cell>
          <cell r="R1220">
            <v>90</v>
          </cell>
        </row>
        <row r="1221">
          <cell r="A1221" t="str">
            <v/>
          </cell>
          <cell r="B1221" t="str">
            <v/>
          </cell>
          <cell r="C1221" t="str">
            <v>Future</v>
          </cell>
          <cell r="D1221" t="e">
            <v>#N/A</v>
          </cell>
          <cell r="E1221">
            <v>-114.37507874015839</v>
          </cell>
          <cell r="F1221">
            <v>159.69972440944753</v>
          </cell>
          <cell r="G1221">
            <v>29.187913385826494</v>
          </cell>
          <cell r="H1221">
            <v>29.187913385826494</v>
          </cell>
          <cell r="I1221" t="e">
            <v>#N/A</v>
          </cell>
          <cell r="J1221" t="e">
            <v>#N/A</v>
          </cell>
          <cell r="K1221">
            <v>105</v>
          </cell>
          <cell r="L1221">
            <v>55</v>
          </cell>
          <cell r="M1221" t="e">
            <v>#N/A</v>
          </cell>
          <cell r="N1221">
            <v>90</v>
          </cell>
          <cell r="O1221" t="e">
            <v>#N/A</v>
          </cell>
          <cell r="P1221" t="str">
            <v/>
          </cell>
          <cell r="Q1221" t="str">
            <v/>
          </cell>
          <cell r="R1221">
            <v>90</v>
          </cell>
        </row>
        <row r="1222">
          <cell r="A1222" t="str">
            <v/>
          </cell>
          <cell r="B1222" t="str">
            <v/>
          </cell>
          <cell r="C1222" t="str">
            <v>Future</v>
          </cell>
          <cell r="D1222" t="e">
            <v>#N/A</v>
          </cell>
          <cell r="E1222">
            <v>-114.65472440944973</v>
          </cell>
          <cell r="F1222">
            <v>159.83346456692783</v>
          </cell>
          <cell r="G1222">
            <v>29.124803149606024</v>
          </cell>
          <cell r="H1222">
            <v>29.124803149606024</v>
          </cell>
          <cell r="I1222" t="e">
            <v>#N/A</v>
          </cell>
          <cell r="J1222" t="e">
            <v>#N/A</v>
          </cell>
          <cell r="K1222">
            <v>105</v>
          </cell>
          <cell r="L1222">
            <v>55</v>
          </cell>
          <cell r="M1222" t="e">
            <v>#N/A</v>
          </cell>
          <cell r="N1222">
            <v>90</v>
          </cell>
          <cell r="O1222" t="e">
            <v>#N/A</v>
          </cell>
          <cell r="P1222" t="str">
            <v/>
          </cell>
          <cell r="Q1222" t="str">
            <v/>
          </cell>
          <cell r="R1222">
            <v>90</v>
          </cell>
        </row>
        <row r="1223">
          <cell r="A1223" t="str">
            <v/>
          </cell>
          <cell r="B1223" t="str">
            <v/>
          </cell>
          <cell r="C1223" t="str">
            <v>Future</v>
          </cell>
          <cell r="D1223" t="e">
            <v>#N/A</v>
          </cell>
          <cell r="E1223">
            <v>-114.93437007874107</v>
          </cell>
          <cell r="F1223">
            <v>159.96720472440813</v>
          </cell>
          <cell r="G1223">
            <v>29.061692913385553</v>
          </cell>
          <cell r="H1223">
            <v>29.061692913385553</v>
          </cell>
          <cell r="I1223" t="e">
            <v>#N/A</v>
          </cell>
          <cell r="J1223" t="e">
            <v>#N/A</v>
          </cell>
          <cell r="K1223">
            <v>105</v>
          </cell>
          <cell r="L1223">
            <v>55</v>
          </cell>
          <cell r="M1223" t="e">
            <v>#N/A</v>
          </cell>
          <cell r="N1223">
            <v>90</v>
          </cell>
          <cell r="O1223" t="e">
            <v>#N/A</v>
          </cell>
          <cell r="P1223" t="str">
            <v/>
          </cell>
          <cell r="Q1223" t="str">
            <v/>
          </cell>
          <cell r="R1223">
            <v>90</v>
          </cell>
        </row>
        <row r="1224">
          <cell r="A1224" t="str">
            <v/>
          </cell>
          <cell r="B1224" t="str">
            <v/>
          </cell>
          <cell r="C1224" t="str">
            <v>Future</v>
          </cell>
          <cell r="D1224" t="e">
            <v>#N/A</v>
          </cell>
          <cell r="E1224">
            <v>-115.21401574803241</v>
          </cell>
          <cell r="F1224">
            <v>160.10094488188844</v>
          </cell>
          <cell r="G1224">
            <v>28.998582677165082</v>
          </cell>
          <cell r="H1224">
            <v>28.998582677165082</v>
          </cell>
          <cell r="I1224" t="e">
            <v>#N/A</v>
          </cell>
          <cell r="J1224" t="e">
            <v>#N/A</v>
          </cell>
          <cell r="K1224">
            <v>105</v>
          </cell>
          <cell r="L1224">
            <v>55</v>
          </cell>
          <cell r="M1224" t="e">
            <v>#N/A</v>
          </cell>
          <cell r="N1224">
            <v>90</v>
          </cell>
          <cell r="O1224" t="e">
            <v>#N/A</v>
          </cell>
          <cell r="P1224" t="str">
            <v/>
          </cell>
          <cell r="Q1224" t="str">
            <v/>
          </cell>
          <cell r="R1224">
            <v>90</v>
          </cell>
        </row>
        <row r="1225">
          <cell r="A1225" t="str">
            <v/>
          </cell>
          <cell r="B1225" t="str">
            <v/>
          </cell>
          <cell r="C1225" t="str">
            <v>Future</v>
          </cell>
          <cell r="D1225" t="e">
            <v>#N/A</v>
          </cell>
          <cell r="E1225">
            <v>-115.49366141732375</v>
          </cell>
          <cell r="F1225">
            <v>160.23468503936874</v>
          </cell>
          <cell r="G1225">
            <v>28.935472440944611</v>
          </cell>
          <cell r="H1225">
            <v>28.935472440944611</v>
          </cell>
          <cell r="I1225" t="e">
            <v>#N/A</v>
          </cell>
          <cell r="J1225" t="e">
            <v>#N/A</v>
          </cell>
          <cell r="K1225">
            <v>105</v>
          </cell>
          <cell r="L1225">
            <v>55</v>
          </cell>
          <cell r="M1225" t="e">
            <v>#N/A</v>
          </cell>
          <cell r="N1225">
            <v>90</v>
          </cell>
          <cell r="O1225" t="e">
            <v>#N/A</v>
          </cell>
          <cell r="P1225" t="str">
            <v/>
          </cell>
          <cell r="Q1225" t="str">
            <v/>
          </cell>
          <cell r="R1225">
            <v>90</v>
          </cell>
        </row>
        <row r="1226">
          <cell r="A1226" t="str">
            <v/>
          </cell>
          <cell r="B1226" t="str">
            <v/>
          </cell>
          <cell r="C1226" t="str">
            <v>Future</v>
          </cell>
          <cell r="D1226" t="e">
            <v>#N/A</v>
          </cell>
          <cell r="E1226">
            <v>-115.77330708661509</v>
          </cell>
          <cell r="F1226">
            <v>160.36842519684905</v>
          </cell>
          <cell r="G1226">
            <v>28.872362204724141</v>
          </cell>
          <cell r="H1226">
            <v>28.872362204724141</v>
          </cell>
          <cell r="I1226" t="e">
            <v>#N/A</v>
          </cell>
          <cell r="J1226" t="e">
            <v>#N/A</v>
          </cell>
          <cell r="K1226">
            <v>105</v>
          </cell>
          <cell r="L1226">
            <v>55</v>
          </cell>
          <cell r="M1226" t="e">
            <v>#N/A</v>
          </cell>
          <cell r="N1226">
            <v>90</v>
          </cell>
          <cell r="O1226" t="e">
            <v>#N/A</v>
          </cell>
          <cell r="P1226" t="str">
            <v/>
          </cell>
          <cell r="Q1226" t="str">
            <v/>
          </cell>
          <cell r="R1226">
            <v>90</v>
          </cell>
        </row>
        <row r="1227">
          <cell r="A1227" t="str">
            <v/>
          </cell>
          <cell r="B1227" t="str">
            <v/>
          </cell>
          <cell r="C1227" t="str">
            <v>Future</v>
          </cell>
          <cell r="D1227" t="e">
            <v>#N/A</v>
          </cell>
          <cell r="E1227">
            <v>-116.05295275590643</v>
          </cell>
          <cell r="F1227">
            <v>160.50216535432935</v>
          </cell>
          <cell r="G1227">
            <v>28.80925196850367</v>
          </cell>
          <cell r="H1227">
            <v>28.80925196850367</v>
          </cell>
          <cell r="I1227" t="e">
            <v>#N/A</v>
          </cell>
          <cell r="J1227" t="e">
            <v>#N/A</v>
          </cell>
          <cell r="K1227">
            <v>105</v>
          </cell>
          <cell r="L1227">
            <v>55</v>
          </cell>
          <cell r="M1227" t="e">
            <v>#N/A</v>
          </cell>
          <cell r="N1227">
            <v>90</v>
          </cell>
          <cell r="O1227" t="e">
            <v>#N/A</v>
          </cell>
          <cell r="P1227" t="str">
            <v/>
          </cell>
          <cell r="Q1227" t="str">
            <v/>
          </cell>
          <cell r="R1227">
            <v>90</v>
          </cell>
        </row>
        <row r="1228">
          <cell r="A1228" t="str">
            <v/>
          </cell>
          <cell r="B1228" t="str">
            <v/>
          </cell>
          <cell r="C1228" t="str">
            <v>Future</v>
          </cell>
          <cell r="D1228" t="e">
            <v>#N/A</v>
          </cell>
          <cell r="E1228">
            <v>-116.33259842519777</v>
          </cell>
          <cell r="F1228">
            <v>160.63590551180965</v>
          </cell>
          <cell r="G1228">
            <v>28.746141732283199</v>
          </cell>
          <cell r="H1228">
            <v>28.746141732283199</v>
          </cell>
          <cell r="I1228" t="e">
            <v>#N/A</v>
          </cell>
          <cell r="J1228" t="e">
            <v>#N/A</v>
          </cell>
          <cell r="K1228">
            <v>105</v>
          </cell>
          <cell r="L1228">
            <v>55</v>
          </cell>
          <cell r="M1228" t="e">
            <v>#N/A</v>
          </cell>
          <cell r="N1228">
            <v>90</v>
          </cell>
          <cell r="O1228" t="e">
            <v>#N/A</v>
          </cell>
          <cell r="P1228" t="str">
            <v/>
          </cell>
          <cell r="Q1228" t="str">
            <v/>
          </cell>
          <cell r="R1228">
            <v>90</v>
          </cell>
        </row>
        <row r="1229">
          <cell r="A1229" t="str">
            <v/>
          </cell>
          <cell r="B1229" t="str">
            <v/>
          </cell>
          <cell r="C1229" t="str">
            <v>Future</v>
          </cell>
          <cell r="D1229" t="e">
            <v>#N/A</v>
          </cell>
          <cell r="E1229">
            <v>-116.61224409448911</v>
          </cell>
          <cell r="F1229">
            <v>160.76964566928996</v>
          </cell>
          <cell r="G1229">
            <v>28.683031496062728</v>
          </cell>
          <cell r="H1229">
            <v>28.683031496062728</v>
          </cell>
          <cell r="I1229" t="e">
            <v>#N/A</v>
          </cell>
          <cell r="J1229" t="e">
            <v>#N/A</v>
          </cell>
          <cell r="K1229">
            <v>105</v>
          </cell>
          <cell r="L1229">
            <v>55</v>
          </cell>
          <cell r="M1229" t="e">
            <v>#N/A</v>
          </cell>
          <cell r="N1229">
            <v>90</v>
          </cell>
          <cell r="O1229" t="e">
            <v>#N/A</v>
          </cell>
          <cell r="P1229" t="str">
            <v/>
          </cell>
          <cell r="Q1229" t="str">
            <v/>
          </cell>
          <cell r="R1229">
            <v>90</v>
          </cell>
        </row>
        <row r="1230">
          <cell r="A1230" t="str">
            <v/>
          </cell>
          <cell r="B1230" t="str">
            <v/>
          </cell>
          <cell r="C1230" t="str">
            <v>Future</v>
          </cell>
          <cell r="D1230" t="e">
            <v>#N/A</v>
          </cell>
          <cell r="E1230">
            <v>-116.89188976378045</v>
          </cell>
          <cell r="F1230">
            <v>160.90338582677026</v>
          </cell>
          <cell r="G1230">
            <v>28.619921259842258</v>
          </cell>
          <cell r="H1230">
            <v>28.619921259842258</v>
          </cell>
          <cell r="I1230" t="e">
            <v>#N/A</v>
          </cell>
          <cell r="J1230" t="e">
            <v>#N/A</v>
          </cell>
          <cell r="K1230">
            <v>105</v>
          </cell>
          <cell r="L1230">
            <v>55</v>
          </cell>
          <cell r="M1230" t="e">
            <v>#N/A</v>
          </cell>
          <cell r="N1230">
            <v>90</v>
          </cell>
          <cell r="O1230" t="e">
            <v>#N/A</v>
          </cell>
          <cell r="P1230" t="str">
            <v/>
          </cell>
          <cell r="Q1230" t="str">
            <v/>
          </cell>
          <cell r="R1230">
            <v>90</v>
          </cell>
        </row>
        <row r="1231">
          <cell r="A1231" t="str">
            <v/>
          </cell>
          <cell r="B1231" t="str">
            <v/>
          </cell>
          <cell r="C1231" t="str">
            <v>Future</v>
          </cell>
          <cell r="D1231" t="e">
            <v>#N/A</v>
          </cell>
          <cell r="E1231">
            <v>-117.1715354330718</v>
          </cell>
          <cell r="F1231">
            <v>161.03712598425057</v>
          </cell>
          <cell r="G1231">
            <v>28.556811023621787</v>
          </cell>
          <cell r="H1231">
            <v>28.556811023621787</v>
          </cell>
          <cell r="I1231" t="e">
            <v>#N/A</v>
          </cell>
          <cell r="J1231" t="e">
            <v>#N/A</v>
          </cell>
          <cell r="K1231">
            <v>105</v>
          </cell>
          <cell r="L1231">
            <v>55</v>
          </cell>
          <cell r="M1231" t="e">
            <v>#N/A</v>
          </cell>
          <cell r="N1231">
            <v>90</v>
          </cell>
          <cell r="O1231" t="e">
            <v>#N/A</v>
          </cell>
          <cell r="P1231" t="str">
            <v/>
          </cell>
          <cell r="Q1231" t="str">
            <v/>
          </cell>
          <cell r="R1231">
            <v>90</v>
          </cell>
        </row>
        <row r="1232">
          <cell r="A1232" t="str">
            <v/>
          </cell>
          <cell r="B1232" t="str">
            <v/>
          </cell>
          <cell r="C1232" t="str">
            <v>Future</v>
          </cell>
          <cell r="D1232" t="e">
            <v>#N/A</v>
          </cell>
          <cell r="E1232">
            <v>-117.45118110236314</v>
          </cell>
          <cell r="F1232">
            <v>161.17086614173087</v>
          </cell>
          <cell r="G1232">
            <v>28.493700787401316</v>
          </cell>
          <cell r="H1232">
            <v>28.493700787401316</v>
          </cell>
          <cell r="I1232" t="e">
            <v>#N/A</v>
          </cell>
          <cell r="J1232" t="e">
            <v>#N/A</v>
          </cell>
          <cell r="K1232">
            <v>105</v>
          </cell>
          <cell r="L1232">
            <v>55</v>
          </cell>
          <cell r="M1232" t="e">
            <v>#N/A</v>
          </cell>
          <cell r="N1232">
            <v>90</v>
          </cell>
          <cell r="O1232" t="e">
            <v>#N/A</v>
          </cell>
          <cell r="P1232" t="str">
            <v/>
          </cell>
          <cell r="Q1232" t="str">
            <v/>
          </cell>
          <cell r="R1232">
            <v>90</v>
          </cell>
        </row>
        <row r="1233">
          <cell r="A1233" t="str">
            <v/>
          </cell>
          <cell r="B1233" t="str">
            <v/>
          </cell>
          <cell r="C1233" t="str">
            <v>Future</v>
          </cell>
          <cell r="D1233" t="e">
            <v>#N/A</v>
          </cell>
          <cell r="E1233">
            <v>-117.73082677165448</v>
          </cell>
          <cell r="F1233">
            <v>161.30460629921117</v>
          </cell>
          <cell r="G1233">
            <v>28.430590551180845</v>
          </cell>
          <cell r="H1233">
            <v>28.430590551180845</v>
          </cell>
          <cell r="I1233" t="e">
            <v>#N/A</v>
          </cell>
          <cell r="J1233" t="e">
            <v>#N/A</v>
          </cell>
          <cell r="K1233">
            <v>105</v>
          </cell>
          <cell r="L1233">
            <v>55</v>
          </cell>
          <cell r="M1233" t="e">
            <v>#N/A</v>
          </cell>
          <cell r="N1233">
            <v>90</v>
          </cell>
          <cell r="O1233" t="e">
            <v>#N/A</v>
          </cell>
          <cell r="P1233" t="str">
            <v/>
          </cell>
          <cell r="Q1233" t="str">
            <v/>
          </cell>
          <cell r="R1233">
            <v>90</v>
          </cell>
        </row>
        <row r="1234">
          <cell r="A1234" t="str">
            <v/>
          </cell>
          <cell r="B1234" t="str">
            <v/>
          </cell>
          <cell r="C1234" t="str">
            <v>Future</v>
          </cell>
          <cell r="D1234" t="e">
            <v>#N/A</v>
          </cell>
          <cell r="E1234">
            <v>-118.01047244094582</v>
          </cell>
          <cell r="F1234">
            <v>161.43834645669148</v>
          </cell>
          <cell r="G1234">
            <v>28.367480314960375</v>
          </cell>
          <cell r="H1234">
            <v>28.367480314960375</v>
          </cell>
          <cell r="I1234" t="e">
            <v>#N/A</v>
          </cell>
          <cell r="J1234" t="e">
            <v>#N/A</v>
          </cell>
          <cell r="K1234">
            <v>105</v>
          </cell>
          <cell r="L1234">
            <v>55</v>
          </cell>
          <cell r="M1234" t="e">
            <v>#N/A</v>
          </cell>
          <cell r="N1234">
            <v>90</v>
          </cell>
          <cell r="O1234" t="e">
            <v>#N/A</v>
          </cell>
          <cell r="P1234" t="str">
            <v/>
          </cell>
          <cell r="Q1234" t="str">
            <v/>
          </cell>
          <cell r="R1234">
            <v>90</v>
          </cell>
        </row>
        <row r="1235">
          <cell r="A1235" t="str">
            <v/>
          </cell>
          <cell r="B1235" t="str">
            <v/>
          </cell>
          <cell r="C1235" t="str">
            <v>Future</v>
          </cell>
          <cell r="D1235" t="e">
            <v>#N/A</v>
          </cell>
          <cell r="E1235">
            <v>-118.29011811023716</v>
          </cell>
          <cell r="F1235">
            <v>161.57208661417178</v>
          </cell>
          <cell r="G1235">
            <v>28.304370078739904</v>
          </cell>
          <cell r="H1235">
            <v>28.304370078739904</v>
          </cell>
          <cell r="I1235" t="e">
            <v>#N/A</v>
          </cell>
          <cell r="J1235" t="e">
            <v>#N/A</v>
          </cell>
          <cell r="K1235">
            <v>105</v>
          </cell>
          <cell r="L1235">
            <v>55</v>
          </cell>
          <cell r="M1235" t="e">
            <v>#N/A</v>
          </cell>
          <cell r="N1235">
            <v>90</v>
          </cell>
          <cell r="O1235" t="e">
            <v>#N/A</v>
          </cell>
          <cell r="P1235" t="str">
            <v/>
          </cell>
          <cell r="Q1235" t="str">
            <v/>
          </cell>
          <cell r="R1235">
            <v>90</v>
          </cell>
        </row>
        <row r="1236">
          <cell r="A1236" t="str">
            <v/>
          </cell>
          <cell r="B1236" t="str">
            <v/>
          </cell>
          <cell r="C1236" t="str">
            <v>Future</v>
          </cell>
          <cell r="D1236" t="e">
            <v>#N/A</v>
          </cell>
          <cell r="E1236">
            <v>-118.5697637795285</v>
          </cell>
          <cell r="F1236">
            <v>161.70582677165208</v>
          </cell>
          <cell r="G1236">
            <v>28.241259842519433</v>
          </cell>
          <cell r="H1236">
            <v>28.241259842519433</v>
          </cell>
          <cell r="I1236" t="e">
            <v>#N/A</v>
          </cell>
          <cell r="J1236" t="e">
            <v>#N/A</v>
          </cell>
          <cell r="K1236">
            <v>105</v>
          </cell>
          <cell r="L1236">
            <v>55</v>
          </cell>
          <cell r="M1236" t="e">
            <v>#N/A</v>
          </cell>
          <cell r="N1236">
            <v>90</v>
          </cell>
          <cell r="O1236" t="e">
            <v>#N/A</v>
          </cell>
          <cell r="P1236" t="str">
            <v/>
          </cell>
          <cell r="Q1236" t="str">
            <v/>
          </cell>
          <cell r="R1236">
            <v>90</v>
          </cell>
        </row>
        <row r="1237">
          <cell r="A1237" t="str">
            <v/>
          </cell>
          <cell r="B1237" t="str">
            <v/>
          </cell>
          <cell r="C1237" t="str">
            <v>Future</v>
          </cell>
          <cell r="D1237" t="e">
            <v>#N/A</v>
          </cell>
          <cell r="E1237">
            <v>-118.84940944881984</v>
          </cell>
          <cell r="F1237">
            <v>161.83956692913239</v>
          </cell>
          <cell r="G1237">
            <v>28.178149606298962</v>
          </cell>
          <cell r="H1237">
            <v>28.178149606298962</v>
          </cell>
          <cell r="I1237" t="e">
            <v>#N/A</v>
          </cell>
          <cell r="J1237" t="e">
            <v>#N/A</v>
          </cell>
          <cell r="K1237">
            <v>105</v>
          </cell>
          <cell r="L1237">
            <v>55</v>
          </cell>
          <cell r="M1237" t="e">
            <v>#N/A</v>
          </cell>
          <cell r="N1237">
            <v>90</v>
          </cell>
          <cell r="O1237" t="e">
            <v>#N/A</v>
          </cell>
          <cell r="P1237" t="str">
            <v/>
          </cell>
          <cell r="Q1237" t="str">
            <v/>
          </cell>
          <cell r="R1237">
            <v>90</v>
          </cell>
        </row>
        <row r="1238">
          <cell r="A1238" t="str">
            <v/>
          </cell>
          <cell r="B1238" t="str">
            <v/>
          </cell>
          <cell r="C1238" t="str">
            <v>Future</v>
          </cell>
          <cell r="D1238" t="e">
            <v>#N/A</v>
          </cell>
          <cell r="E1238">
            <v>-119.12905511811118</v>
          </cell>
          <cell r="F1238">
            <v>161.97330708661269</v>
          </cell>
          <cell r="G1238">
            <v>28.115039370078492</v>
          </cell>
          <cell r="H1238">
            <v>28.115039370078492</v>
          </cell>
          <cell r="I1238" t="e">
            <v>#N/A</v>
          </cell>
          <cell r="J1238" t="e">
            <v>#N/A</v>
          </cell>
          <cell r="K1238">
            <v>105</v>
          </cell>
          <cell r="L1238">
            <v>55</v>
          </cell>
          <cell r="M1238" t="e">
            <v>#N/A</v>
          </cell>
          <cell r="N1238">
            <v>90</v>
          </cell>
          <cell r="O1238" t="e">
            <v>#N/A</v>
          </cell>
          <cell r="P1238" t="str">
            <v/>
          </cell>
          <cell r="Q1238" t="str">
            <v/>
          </cell>
          <cell r="R1238">
            <v>90</v>
          </cell>
        </row>
        <row r="1239">
          <cell r="A1239" t="str">
            <v/>
          </cell>
          <cell r="B1239" t="str">
            <v/>
          </cell>
          <cell r="C1239" t="str">
            <v>Future</v>
          </cell>
          <cell r="D1239" t="e">
            <v>#N/A</v>
          </cell>
          <cell r="E1239">
            <v>-119.40870078740252</v>
          </cell>
          <cell r="F1239">
            <v>162.107047244093</v>
          </cell>
          <cell r="G1239">
            <v>28.051929133858021</v>
          </cell>
          <cell r="H1239">
            <v>28.051929133858021</v>
          </cell>
          <cell r="I1239" t="e">
            <v>#N/A</v>
          </cell>
          <cell r="J1239" t="e">
            <v>#N/A</v>
          </cell>
          <cell r="K1239">
            <v>105</v>
          </cell>
          <cell r="L1239">
            <v>55</v>
          </cell>
          <cell r="M1239" t="e">
            <v>#N/A</v>
          </cell>
          <cell r="N1239">
            <v>90</v>
          </cell>
          <cell r="O1239" t="e">
            <v>#N/A</v>
          </cell>
          <cell r="P1239" t="str">
            <v/>
          </cell>
          <cell r="Q1239" t="str">
            <v/>
          </cell>
          <cell r="R1239">
            <v>90</v>
          </cell>
        </row>
        <row r="1240">
          <cell r="A1240" t="str">
            <v/>
          </cell>
          <cell r="B1240" t="str">
            <v/>
          </cell>
          <cell r="C1240" t="str">
            <v>Future</v>
          </cell>
          <cell r="D1240" t="e">
            <v>#N/A</v>
          </cell>
          <cell r="E1240">
            <v>-119.68834645669386</v>
          </cell>
          <cell r="F1240">
            <v>162.2407874015733</v>
          </cell>
          <cell r="G1240">
            <v>27.98881889763755</v>
          </cell>
          <cell r="H1240">
            <v>27.98881889763755</v>
          </cell>
          <cell r="I1240" t="e">
            <v>#N/A</v>
          </cell>
          <cell r="J1240" t="e">
            <v>#N/A</v>
          </cell>
          <cell r="K1240">
            <v>105</v>
          </cell>
          <cell r="L1240">
            <v>55</v>
          </cell>
          <cell r="M1240" t="e">
            <v>#N/A</v>
          </cell>
          <cell r="N1240">
            <v>90</v>
          </cell>
          <cell r="O1240" t="e">
            <v>#N/A</v>
          </cell>
          <cell r="P1240" t="str">
            <v/>
          </cell>
          <cell r="Q1240" t="str">
            <v/>
          </cell>
          <cell r="R1240">
            <v>90</v>
          </cell>
        </row>
        <row r="1241">
          <cell r="A1241" t="str">
            <v/>
          </cell>
          <cell r="B1241" t="str">
            <v/>
          </cell>
          <cell r="C1241" t="str">
            <v>Future</v>
          </cell>
          <cell r="D1241" t="e">
            <v>#N/A</v>
          </cell>
          <cell r="E1241">
            <v>-119.96799212598521</v>
          </cell>
          <cell r="F1241">
            <v>162.3745275590536</v>
          </cell>
          <cell r="G1241">
            <v>27.92570866141708</v>
          </cell>
          <cell r="H1241">
            <v>27.92570866141708</v>
          </cell>
          <cell r="I1241" t="e">
            <v>#N/A</v>
          </cell>
          <cell r="J1241" t="e">
            <v>#N/A</v>
          </cell>
          <cell r="K1241">
            <v>105</v>
          </cell>
          <cell r="L1241">
            <v>55</v>
          </cell>
          <cell r="M1241" t="e">
            <v>#N/A</v>
          </cell>
          <cell r="N1241">
            <v>90</v>
          </cell>
          <cell r="O1241" t="e">
            <v>#N/A</v>
          </cell>
          <cell r="P1241" t="str">
            <v/>
          </cell>
          <cell r="Q1241" t="str">
            <v/>
          </cell>
          <cell r="R1241">
            <v>90</v>
          </cell>
        </row>
        <row r="1242">
          <cell r="A1242" t="str">
            <v/>
          </cell>
          <cell r="B1242" t="str">
            <v/>
          </cell>
          <cell r="C1242" t="str">
            <v>Future</v>
          </cell>
          <cell r="D1242" t="e">
            <v>#N/A</v>
          </cell>
          <cell r="E1242">
            <v>-120.24763779527655</v>
          </cell>
          <cell r="F1242">
            <v>162.50826771653391</v>
          </cell>
          <cell r="G1242">
            <v>27.862598425196609</v>
          </cell>
          <cell r="H1242">
            <v>27.862598425196609</v>
          </cell>
          <cell r="I1242" t="e">
            <v>#N/A</v>
          </cell>
          <cell r="J1242" t="e">
            <v>#N/A</v>
          </cell>
          <cell r="K1242">
            <v>105</v>
          </cell>
          <cell r="L1242">
            <v>55</v>
          </cell>
          <cell r="M1242" t="e">
            <v>#N/A</v>
          </cell>
          <cell r="N1242">
            <v>90</v>
          </cell>
          <cell r="O1242" t="e">
            <v>#N/A</v>
          </cell>
          <cell r="P1242" t="str">
            <v/>
          </cell>
          <cell r="Q1242" t="str">
            <v/>
          </cell>
          <cell r="R1242">
            <v>90</v>
          </cell>
        </row>
        <row r="1243">
          <cell r="A1243" t="str">
            <v/>
          </cell>
          <cell r="B1243" t="str">
            <v/>
          </cell>
          <cell r="C1243" t="str">
            <v>Future</v>
          </cell>
          <cell r="D1243" t="e">
            <v>#N/A</v>
          </cell>
          <cell r="E1243">
            <v>-120.52728346456789</v>
          </cell>
          <cell r="F1243">
            <v>162.64200787401421</v>
          </cell>
          <cell r="G1243">
            <v>27.799488188976138</v>
          </cell>
          <cell r="H1243">
            <v>27.799488188976138</v>
          </cell>
          <cell r="I1243" t="e">
            <v>#N/A</v>
          </cell>
          <cell r="J1243" t="e">
            <v>#N/A</v>
          </cell>
          <cell r="K1243">
            <v>105</v>
          </cell>
          <cell r="L1243">
            <v>55</v>
          </cell>
          <cell r="M1243" t="e">
            <v>#N/A</v>
          </cell>
          <cell r="N1243">
            <v>90</v>
          </cell>
          <cell r="O1243" t="e">
            <v>#N/A</v>
          </cell>
          <cell r="P1243" t="str">
            <v/>
          </cell>
          <cell r="Q1243" t="str">
            <v/>
          </cell>
          <cell r="R1243">
            <v>90</v>
          </cell>
        </row>
        <row r="1244">
          <cell r="A1244" t="str">
            <v/>
          </cell>
          <cell r="B1244" t="str">
            <v/>
          </cell>
          <cell r="C1244" t="str">
            <v>Future</v>
          </cell>
          <cell r="D1244" t="e">
            <v>#N/A</v>
          </cell>
          <cell r="E1244">
            <v>-120.80692913385923</v>
          </cell>
          <cell r="F1244">
            <v>162.77574803149452</v>
          </cell>
          <cell r="G1244">
            <v>27.736377952755667</v>
          </cell>
          <cell r="H1244">
            <v>27.736377952755667</v>
          </cell>
          <cell r="I1244" t="e">
            <v>#N/A</v>
          </cell>
          <cell r="J1244" t="e">
            <v>#N/A</v>
          </cell>
          <cell r="K1244">
            <v>105</v>
          </cell>
          <cell r="L1244">
            <v>55</v>
          </cell>
          <cell r="M1244" t="e">
            <v>#N/A</v>
          </cell>
          <cell r="N1244">
            <v>90</v>
          </cell>
          <cell r="O1244" t="e">
            <v>#N/A</v>
          </cell>
          <cell r="P1244" t="str">
            <v/>
          </cell>
          <cell r="Q1244" t="str">
            <v/>
          </cell>
          <cell r="R1244">
            <v>90</v>
          </cell>
        </row>
        <row r="1245">
          <cell r="A1245" t="str">
            <v/>
          </cell>
          <cell r="B1245" t="str">
            <v/>
          </cell>
          <cell r="C1245" t="str">
            <v>Future</v>
          </cell>
          <cell r="D1245" t="e">
            <v>#N/A</v>
          </cell>
          <cell r="E1245">
            <v>-121.08657480315057</v>
          </cell>
          <cell r="F1245">
            <v>162.90948818897482</v>
          </cell>
          <cell r="G1245">
            <v>27.673267716535197</v>
          </cell>
          <cell r="H1245">
            <v>27.673267716535197</v>
          </cell>
          <cell r="I1245" t="e">
            <v>#N/A</v>
          </cell>
          <cell r="J1245" t="e">
            <v>#N/A</v>
          </cell>
          <cell r="K1245">
            <v>105</v>
          </cell>
          <cell r="L1245">
            <v>55</v>
          </cell>
          <cell r="M1245" t="e">
            <v>#N/A</v>
          </cell>
          <cell r="N1245">
            <v>90</v>
          </cell>
          <cell r="O1245" t="e">
            <v>#N/A</v>
          </cell>
          <cell r="P1245" t="str">
            <v/>
          </cell>
          <cell r="Q1245" t="str">
            <v/>
          </cell>
          <cell r="R1245">
            <v>90</v>
          </cell>
        </row>
        <row r="1246">
          <cell r="A1246" t="str">
            <v/>
          </cell>
          <cell r="B1246" t="str">
            <v/>
          </cell>
          <cell r="C1246" t="str">
            <v>Future</v>
          </cell>
          <cell r="D1246" t="e">
            <v>#N/A</v>
          </cell>
          <cell r="E1246">
            <v>-121.36622047244191</v>
          </cell>
          <cell r="F1246">
            <v>163.04322834645512</v>
          </cell>
          <cell r="G1246">
            <v>27.610157480314726</v>
          </cell>
          <cell r="H1246">
            <v>27.610157480314726</v>
          </cell>
          <cell r="I1246" t="e">
            <v>#N/A</v>
          </cell>
          <cell r="J1246" t="e">
            <v>#N/A</v>
          </cell>
          <cell r="K1246">
            <v>105</v>
          </cell>
          <cell r="L1246">
            <v>55</v>
          </cell>
          <cell r="M1246" t="e">
            <v>#N/A</v>
          </cell>
          <cell r="N1246">
            <v>90</v>
          </cell>
          <cell r="O1246" t="e">
            <v>#N/A</v>
          </cell>
          <cell r="P1246" t="str">
            <v/>
          </cell>
          <cell r="Q1246" t="str">
            <v/>
          </cell>
          <cell r="R1246">
            <v>90</v>
          </cell>
        </row>
        <row r="1247">
          <cell r="A1247" t="str">
            <v/>
          </cell>
          <cell r="B1247" t="str">
            <v/>
          </cell>
          <cell r="C1247" t="str">
            <v>Future</v>
          </cell>
          <cell r="D1247" t="e">
            <v>#N/A</v>
          </cell>
          <cell r="E1247">
            <v>-121.64586614173325</v>
          </cell>
          <cell r="F1247">
            <v>163.17696850393543</v>
          </cell>
          <cell r="G1247">
            <v>27.547047244094255</v>
          </cell>
          <cell r="H1247">
            <v>27.547047244094255</v>
          </cell>
          <cell r="I1247" t="e">
            <v>#N/A</v>
          </cell>
          <cell r="J1247" t="e">
            <v>#N/A</v>
          </cell>
          <cell r="K1247">
            <v>105</v>
          </cell>
          <cell r="L1247">
            <v>55</v>
          </cell>
          <cell r="M1247" t="e">
            <v>#N/A</v>
          </cell>
          <cell r="N1247">
            <v>90</v>
          </cell>
          <cell r="O1247" t="e">
            <v>#N/A</v>
          </cell>
          <cell r="P1247" t="str">
            <v/>
          </cell>
          <cell r="Q1247" t="str">
            <v/>
          </cell>
          <cell r="R1247">
            <v>90</v>
          </cell>
        </row>
        <row r="1248">
          <cell r="A1248" t="str">
            <v/>
          </cell>
          <cell r="B1248" t="str">
            <v/>
          </cell>
          <cell r="C1248" t="str">
            <v>Future</v>
          </cell>
          <cell r="D1248" t="e">
            <v>#N/A</v>
          </cell>
          <cell r="E1248">
            <v>-121.92551181102459</v>
          </cell>
          <cell r="F1248">
            <v>163.31070866141573</v>
          </cell>
          <cell r="G1248">
            <v>27.483937007873784</v>
          </cell>
          <cell r="H1248">
            <v>27.483937007873784</v>
          </cell>
          <cell r="I1248" t="e">
            <v>#N/A</v>
          </cell>
          <cell r="J1248" t="e">
            <v>#N/A</v>
          </cell>
          <cell r="K1248">
            <v>105</v>
          </cell>
          <cell r="L1248">
            <v>55</v>
          </cell>
          <cell r="M1248" t="e">
            <v>#N/A</v>
          </cell>
          <cell r="N1248">
            <v>90</v>
          </cell>
          <cell r="O1248" t="e">
            <v>#N/A</v>
          </cell>
          <cell r="P1248" t="str">
            <v/>
          </cell>
          <cell r="Q1248" t="str">
            <v/>
          </cell>
          <cell r="R1248">
            <v>90</v>
          </cell>
        </row>
        <row r="1249">
          <cell r="A1249" t="str">
            <v/>
          </cell>
          <cell r="B1249" t="str">
            <v/>
          </cell>
          <cell r="C1249" t="str">
            <v>Future</v>
          </cell>
          <cell r="D1249" t="e">
            <v>#N/A</v>
          </cell>
          <cell r="E1249">
            <v>-122.20515748031593</v>
          </cell>
          <cell r="F1249">
            <v>163.44444881889603</v>
          </cell>
          <cell r="G1249">
            <v>27.420826771653314</v>
          </cell>
          <cell r="H1249">
            <v>27.420826771653314</v>
          </cell>
          <cell r="I1249" t="e">
            <v>#N/A</v>
          </cell>
          <cell r="J1249" t="e">
            <v>#N/A</v>
          </cell>
          <cell r="K1249">
            <v>105</v>
          </cell>
          <cell r="L1249">
            <v>55</v>
          </cell>
          <cell r="M1249" t="e">
            <v>#N/A</v>
          </cell>
          <cell r="N1249">
            <v>90</v>
          </cell>
          <cell r="O1249" t="e">
            <v>#N/A</v>
          </cell>
          <cell r="P1249" t="str">
            <v/>
          </cell>
          <cell r="Q1249" t="str">
            <v/>
          </cell>
          <cell r="R1249">
            <v>90</v>
          </cell>
        </row>
        <row r="1250">
          <cell r="A1250" t="str">
            <v/>
          </cell>
          <cell r="B1250" t="str">
            <v/>
          </cell>
          <cell r="C1250" t="str">
            <v>Future</v>
          </cell>
          <cell r="D1250" t="e">
            <v>#N/A</v>
          </cell>
          <cell r="E1250">
            <v>-122.48480314960727</v>
          </cell>
          <cell r="F1250">
            <v>163.57818897637634</v>
          </cell>
          <cell r="G1250">
            <v>27.357716535432843</v>
          </cell>
          <cell r="H1250">
            <v>27.357716535432843</v>
          </cell>
          <cell r="I1250" t="e">
            <v>#N/A</v>
          </cell>
          <cell r="J1250" t="e">
            <v>#N/A</v>
          </cell>
          <cell r="K1250">
            <v>105</v>
          </cell>
          <cell r="L1250">
            <v>55</v>
          </cell>
          <cell r="M1250" t="e">
            <v>#N/A</v>
          </cell>
          <cell r="N1250">
            <v>90</v>
          </cell>
          <cell r="O1250" t="e">
            <v>#N/A</v>
          </cell>
          <cell r="P1250" t="str">
            <v/>
          </cell>
          <cell r="Q1250" t="str">
            <v/>
          </cell>
          <cell r="R1250">
            <v>90</v>
          </cell>
        </row>
        <row r="1251">
          <cell r="A1251" t="str">
            <v/>
          </cell>
          <cell r="B1251" t="str">
            <v/>
          </cell>
          <cell r="C1251" t="str">
            <v>Future</v>
          </cell>
          <cell r="D1251" t="e">
            <v>#N/A</v>
          </cell>
          <cell r="E1251">
            <v>-122.76444881889861</v>
          </cell>
          <cell r="F1251">
            <v>163.71192913385664</v>
          </cell>
          <cell r="G1251">
            <v>27.294606299212372</v>
          </cell>
          <cell r="H1251">
            <v>27.294606299212372</v>
          </cell>
          <cell r="I1251" t="e">
            <v>#N/A</v>
          </cell>
          <cell r="J1251" t="e">
            <v>#N/A</v>
          </cell>
          <cell r="K1251">
            <v>105</v>
          </cell>
          <cell r="L1251">
            <v>55</v>
          </cell>
          <cell r="M1251" t="e">
            <v>#N/A</v>
          </cell>
          <cell r="N1251">
            <v>90</v>
          </cell>
          <cell r="O1251" t="e">
            <v>#N/A</v>
          </cell>
          <cell r="P1251" t="str">
            <v/>
          </cell>
          <cell r="Q1251" t="str">
            <v/>
          </cell>
          <cell r="R1251">
            <v>90</v>
          </cell>
        </row>
        <row r="1252">
          <cell r="A1252" t="str">
            <v/>
          </cell>
          <cell r="B1252" t="str">
            <v/>
          </cell>
          <cell r="C1252" t="str">
            <v>Future</v>
          </cell>
          <cell r="D1252" t="e">
            <v>#N/A</v>
          </cell>
          <cell r="E1252">
            <v>-123.04409448818996</v>
          </cell>
          <cell r="F1252">
            <v>163.84566929133695</v>
          </cell>
          <cell r="G1252">
            <v>27.231496062991901</v>
          </cell>
          <cell r="H1252">
            <v>27.231496062991901</v>
          </cell>
          <cell r="I1252" t="e">
            <v>#N/A</v>
          </cell>
          <cell r="J1252" t="e">
            <v>#N/A</v>
          </cell>
          <cell r="K1252">
            <v>105</v>
          </cell>
          <cell r="L1252">
            <v>55</v>
          </cell>
          <cell r="M1252" t="e">
            <v>#N/A</v>
          </cell>
          <cell r="N1252">
            <v>90</v>
          </cell>
          <cell r="O1252" t="e">
            <v>#N/A</v>
          </cell>
          <cell r="P1252" t="str">
            <v/>
          </cell>
          <cell r="Q1252" t="str">
            <v/>
          </cell>
          <cell r="R1252">
            <v>90</v>
          </cell>
        </row>
        <row r="1253">
          <cell r="A1253" t="str">
            <v/>
          </cell>
          <cell r="P1253" t="str">
            <v/>
          </cell>
          <cell r="Q1253" t="str">
            <v/>
          </cell>
        </row>
      </sheetData>
      <sheetData sheetId="20"/>
      <sheetData sheetId="21"/>
      <sheetData sheetId="22"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mmercial Traffic&gt;&gt;"/>
      <sheetName val="Instructions"/>
      <sheetName val="Monthly_Traffic_Summary"/>
      <sheetName val="Annual Traffic Summary"/>
      <sheetName val="Comm. Traffic Charts"/>
      <sheetName val="US Traffic Data"/>
      <sheetName val="Europe Traffic Data"/>
      <sheetName val="Asia Traffic Data"/>
      <sheetName val="#REF"/>
      <sheetName val="Sheet1"/>
      <sheetName val="Mai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Biz Jets Takeoffs Landings&gt;&gt;"/>
      <sheetName val="Deliveries"/>
      <sheetName val="Biz Jet Output Data"/>
      <sheetName val="Quart. &amp; Annual Summary"/>
      <sheetName val="BJs charts"/>
      <sheetName val="__FDSCACHE__"/>
      <sheetName val="Source Data All Biz Jets"/>
      <sheetName val="Source Data Gulfstream "/>
      <sheetName val="Source Data Cessna"/>
      <sheetName val="Source Data Bombardier"/>
      <sheetName val="Delivs Condensed"/>
      <sheetName val="Amstat Inventories"/>
      <sheetName val="Sheet1"/>
      <sheetName val="BizJet Deliveries"/>
      <sheetName val="BBD Data"/>
      <sheetName val="AFOSHEET"/>
      <sheetName val="#REF"/>
      <sheetName val="Annual Traffic Summary"/>
      <sheetName val="Monthly_Traffic_Summary"/>
    </sheetNames>
    <sheetDataSet>
      <sheetData sheetId="0"/>
      <sheetData sheetId="1"/>
      <sheetData sheetId="2"/>
      <sheetData sheetId="3">
        <row r="1">
          <cell r="A1" t="str">
            <v>FAA Biz Jets Arrivals / Departures</v>
          </cell>
        </row>
      </sheetData>
      <sheetData sheetId="4"/>
      <sheetData sheetId="5">
        <row r="1">
          <cell r="A1" t="str">
            <v>Biz Jet Traffic Charts</v>
          </cell>
        </row>
      </sheetData>
      <sheetData sheetId="6"/>
      <sheetData sheetId="7"/>
      <sheetData sheetId="8"/>
      <sheetData sheetId="9"/>
      <sheetData sheetId="10"/>
      <sheetData sheetId="11" refreshError="1"/>
      <sheetData sheetId="12" refreshError="1"/>
      <sheetData sheetId="13" refreshError="1"/>
      <sheetData sheetId="14"/>
      <sheetData sheetId="15" refreshError="1"/>
      <sheetData sheetId="16" refreshError="1"/>
      <sheetData sheetId="17" refreshError="1"/>
      <sheetData sheetId="18" refreshError="1"/>
      <sheetData sheetId="19"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ining"/>
      <sheetName val="Insurance"/>
      <sheetName val="Banks"/>
      <sheetName val="Oils"/>
      <sheetName val="General Europe"/>
      <sheetName val="General UK"/>
      <sheetName val="Latest_Chart"/>
      <sheetName val="Add4Sheet"/>
      <sheetName val="Module2"/>
      <sheetName val="Module1"/>
      <sheetName val="LINKTAB"/>
      <sheetName val="Model"/>
      <sheetName val="P"/>
      <sheetName val="Market_Share"/>
      <sheetName val="Assumptions"/>
      <sheetName val="Summary"/>
      <sheetName val="Consol_Income"/>
      <sheetName val="Rate Case"/>
      <sheetName val="Balance Sheet"/>
      <sheetName val="Sheet9"/>
      <sheetName val="Leases"/>
      <sheetName val="Graph"/>
      <sheetName val="Income"/>
      <sheetName val="Financial Summary"/>
      <sheetName val="BizJet Deliveries"/>
      <sheetName val="Exclusion List"/>
      <sheetName val="CFOld"/>
      <sheetName val="PLOld"/>
      <sheetName val="Headline"/>
      <sheetName val="MTT old"/>
      <sheetName val="CENMODEL"/>
      <sheetName val="Monthly figures"/>
      <sheetName val="Consolidated"/>
      <sheetName val="Customize Your Statement"/>
      <sheetName val="DOMNETREV1002B"/>
      <sheetName val="Cash flow"/>
      <sheetName val="Profit &amp; Loss"/>
      <sheetName val="Inputs, sensitivity &amp; val"/>
      <sheetName val="c1"/>
      <sheetName val="KQ"/>
      <sheetName val="Sainsbury"/>
    </sheetNames>
    <sheetDataSet>
      <sheetData sheetId="0"/>
      <sheetData sheetId="1"/>
      <sheetData sheetId="2"/>
      <sheetData sheetId="3"/>
      <sheetData sheetId="4"/>
      <sheetData sheetId="5"/>
      <sheetData sheetId="6" refreshError="1"/>
      <sheetData sheetId="7"/>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W-Cache"/>
      <sheetName val="Main"/>
      <sheetName val="Short Form"/>
      <sheetName val="Boeing Monthly"/>
      <sheetName val="Airbus Monthly"/>
      <sheetName val="Boeing Del Schedule- Reported"/>
      <sheetName val="Boeing Del Schedule"/>
      <sheetName val="Airbus Del Schedule"/>
      <sheetName val="BA Monthly Del by Airline"/>
      <sheetName val="Airbus Monthly Del by Airline"/>
      <sheetName val="Monthly Note"/>
      <sheetName val="Regional"/>
      <sheetName val="Orders"/>
      <sheetName val="Asia"/>
      <sheetName val="747 "/>
      <sheetName val="787 vs A350 Orders"/>
      <sheetName val="A380 Buildup"/>
      <sheetName val="__FDSCACHE__"/>
      <sheetName val="New Tables 2006"/>
      <sheetName val="Airbus Del Schedule 2"/>
      <sheetName val="Graphs"/>
      <sheetName val="Paris 05 Orders"/>
      <sheetName val="Paris 07 Orders"/>
      <sheetName val="Dubai 07 Orders"/>
      <sheetName val="F'boro 08 Orders"/>
      <sheetName val="Tables"/>
      <sheetName val="BA for Note"/>
      <sheetName val="Airbus for Note"/>
      <sheetName val="projected fleet size"/>
      <sheetName val="747 Data"/>
      <sheetName val="Summary Sheet"/>
      <sheetName val="777vA340"/>
      <sheetName val="Airclaims"/>
      <sheetName val="2005 Paris Air Show Orders"/>
    </sheetNames>
    <sheetDataSet>
      <sheetData sheetId="0" refreshError="1"/>
      <sheetData sheetId="1">
        <row r="1">
          <cell r="A1" t="str">
            <v>COMMERCIAL AIRCRAFT QUARTERLY ORDER/BACKLOG SCORECARD</v>
          </cell>
        </row>
      </sheetData>
      <sheetData sheetId="2" refreshError="1"/>
      <sheetData sheetId="3" refreshError="1"/>
      <sheetData sheetId="4" refreshError="1"/>
      <sheetData sheetId="5">
        <row r="3">
          <cell r="A3" t="str">
            <v>Boeing Aircraft Delivery Schedule</v>
          </cell>
        </row>
      </sheetData>
      <sheetData sheetId="6">
        <row r="1">
          <cell r="A1" t="str">
            <v>(Announced Orders, per press releases; all orders not currently reflected in official backlog)</v>
          </cell>
        </row>
      </sheetData>
      <sheetData sheetId="7" refreshError="1"/>
      <sheetData sheetId="8" refreshError="1"/>
      <sheetData sheetId="9" refreshError="1"/>
      <sheetData sheetId="10">
        <row r="1">
          <cell r="B1" t="str">
            <v>Tables/Figures for Monthly Note</v>
          </cell>
        </row>
      </sheetData>
      <sheetData sheetId="11" refreshError="1"/>
      <sheetData sheetId="12" refreshError="1"/>
      <sheetData sheetId="13" refreshError="1"/>
      <sheetData sheetId="14" refreshError="1"/>
      <sheetData sheetId="15">
        <row r="2">
          <cell r="A2" t="str">
            <v>As of 13 July, 2007</v>
          </cell>
        </row>
      </sheetData>
      <sheetData sheetId="16" refreshError="1"/>
      <sheetData sheetId="17" refreshError="1"/>
      <sheetData sheetId="18">
        <row r="1">
          <cell r="A1">
            <v>32873</v>
          </cell>
        </row>
      </sheetData>
      <sheetData sheetId="19" refreshError="1"/>
      <sheetData sheetId="20">
        <row r="2">
          <cell r="A2" t="str">
            <v>Order, Backlog- Data</v>
          </cell>
        </row>
        <row r="4">
          <cell r="B4" t="str">
            <v>Orders</v>
          </cell>
          <cell r="S4" t="str">
            <v>Backlog</v>
          </cell>
        </row>
        <row r="5">
          <cell r="B5" t="str">
            <v>A300</v>
          </cell>
          <cell r="C5" t="str">
            <v>A310</v>
          </cell>
          <cell r="D5" t="str">
            <v>A318</v>
          </cell>
          <cell r="E5" t="str">
            <v>A319</v>
          </cell>
          <cell r="F5" t="str">
            <v>A320</v>
          </cell>
          <cell r="G5" t="str">
            <v>A321</v>
          </cell>
          <cell r="H5" t="str">
            <v>A330</v>
          </cell>
          <cell r="I5" t="str">
            <v>A340</v>
          </cell>
          <cell r="J5" t="str">
            <v>A350</v>
          </cell>
          <cell r="K5" t="str">
            <v>A380</v>
          </cell>
          <cell r="L5">
            <v>717</v>
          </cell>
          <cell r="M5">
            <v>737</v>
          </cell>
          <cell r="N5">
            <v>747</v>
          </cell>
          <cell r="O5">
            <v>757</v>
          </cell>
          <cell r="P5">
            <v>767</v>
          </cell>
          <cell r="Q5">
            <v>777</v>
          </cell>
          <cell r="R5">
            <v>787</v>
          </cell>
          <cell r="S5" t="str">
            <v>A300</v>
          </cell>
          <cell r="T5" t="str">
            <v>A310</v>
          </cell>
          <cell r="U5" t="str">
            <v>A318</v>
          </cell>
          <cell r="V5" t="str">
            <v>A319</v>
          </cell>
          <cell r="W5" t="str">
            <v>A320</v>
          </cell>
          <cell r="X5" t="str">
            <v>A321</v>
          </cell>
          <cell r="Y5" t="str">
            <v>A330</v>
          </cell>
          <cell r="Z5" t="str">
            <v>A340</v>
          </cell>
          <cell r="AA5" t="str">
            <v>A350</v>
          </cell>
          <cell r="AB5" t="str">
            <v>A380</v>
          </cell>
          <cell r="AC5">
            <v>717</v>
          </cell>
          <cell r="AD5">
            <v>737</v>
          </cell>
          <cell r="AE5">
            <v>747</v>
          </cell>
          <cell r="AF5">
            <v>757</v>
          </cell>
          <cell r="AG5">
            <v>767</v>
          </cell>
          <cell r="AH5">
            <v>777</v>
          </cell>
          <cell r="AI5">
            <v>787</v>
          </cell>
        </row>
        <row r="6">
          <cell r="A6">
            <v>1990</v>
          </cell>
          <cell r="B6">
            <v>31</v>
          </cell>
          <cell r="C6">
            <v>40</v>
          </cell>
          <cell r="E6">
            <v>0</v>
          </cell>
          <cell r="F6">
            <v>73</v>
          </cell>
          <cell r="G6">
            <v>53</v>
          </cell>
          <cell r="H6">
            <v>25</v>
          </cell>
          <cell r="I6">
            <v>8</v>
          </cell>
          <cell r="M6">
            <v>162</v>
          </cell>
          <cell r="N6">
            <v>172</v>
          </cell>
          <cell r="O6">
            <v>97</v>
          </cell>
          <cell r="P6">
            <v>52</v>
          </cell>
          <cell r="Q6">
            <v>49</v>
          </cell>
          <cell r="S6">
            <v>78</v>
          </cell>
          <cell r="T6">
            <v>78</v>
          </cell>
          <cell r="W6">
            <v>531</v>
          </cell>
          <cell r="X6">
            <v>137</v>
          </cell>
          <cell r="Y6">
            <v>138</v>
          </cell>
          <cell r="Z6">
            <v>92</v>
          </cell>
          <cell r="AD6">
            <v>1001</v>
          </cell>
          <cell r="AE6">
            <v>305</v>
          </cell>
          <cell r="AF6">
            <v>417</v>
          </cell>
          <cell r="AG6">
            <v>195</v>
          </cell>
          <cell r="AH6">
            <v>49</v>
          </cell>
        </row>
        <row r="7">
          <cell r="A7">
            <v>1991</v>
          </cell>
          <cell r="B7">
            <v>40</v>
          </cell>
          <cell r="C7">
            <v>12</v>
          </cell>
          <cell r="E7">
            <v>0</v>
          </cell>
          <cell r="F7">
            <v>14</v>
          </cell>
          <cell r="G7">
            <v>3</v>
          </cell>
          <cell r="H7">
            <v>5</v>
          </cell>
          <cell r="I7">
            <v>26</v>
          </cell>
          <cell r="M7">
            <v>72</v>
          </cell>
          <cell r="N7">
            <v>38</v>
          </cell>
          <cell r="O7">
            <v>43</v>
          </cell>
          <cell r="P7">
            <v>72</v>
          </cell>
          <cell r="Q7">
            <v>27</v>
          </cell>
          <cell r="S7">
            <v>93</v>
          </cell>
          <cell r="T7">
            <v>56</v>
          </cell>
          <cell r="W7">
            <v>416</v>
          </cell>
          <cell r="X7">
            <v>140</v>
          </cell>
          <cell r="Y7">
            <v>143</v>
          </cell>
          <cell r="Z7">
            <v>118</v>
          </cell>
          <cell r="AD7">
            <v>837</v>
          </cell>
          <cell r="AE7">
            <v>280</v>
          </cell>
          <cell r="AF7">
            <v>381</v>
          </cell>
          <cell r="AG7">
            <v>205</v>
          </cell>
          <cell r="AH7">
            <v>76</v>
          </cell>
        </row>
        <row r="8">
          <cell r="A8">
            <v>1992</v>
          </cell>
          <cell r="B8">
            <v>18</v>
          </cell>
          <cell r="C8">
            <v>14</v>
          </cell>
          <cell r="E8">
            <v>6</v>
          </cell>
          <cell r="F8">
            <v>59</v>
          </cell>
          <cell r="G8">
            <v>8</v>
          </cell>
          <cell r="H8">
            <v>1</v>
          </cell>
          <cell r="I8">
            <v>22</v>
          </cell>
          <cell r="M8">
            <v>114</v>
          </cell>
          <cell r="N8">
            <v>28</v>
          </cell>
          <cell r="O8">
            <v>38</v>
          </cell>
          <cell r="P8">
            <v>21</v>
          </cell>
          <cell r="Q8">
            <v>42</v>
          </cell>
          <cell r="S8">
            <v>89</v>
          </cell>
          <cell r="T8">
            <v>44</v>
          </cell>
          <cell r="V8">
            <v>6</v>
          </cell>
          <cell r="W8">
            <v>296</v>
          </cell>
          <cell r="X8">
            <v>153</v>
          </cell>
          <cell r="Y8">
            <v>144</v>
          </cell>
          <cell r="Z8">
            <v>112</v>
          </cell>
          <cell r="AD8">
            <v>701</v>
          </cell>
          <cell r="AE8">
            <v>242</v>
          </cell>
          <cell r="AF8">
            <v>321</v>
          </cell>
          <cell r="AG8">
            <v>158</v>
          </cell>
          <cell r="AH8">
            <v>116</v>
          </cell>
        </row>
        <row r="9">
          <cell r="A9">
            <v>1993</v>
          </cell>
          <cell r="B9">
            <v>6</v>
          </cell>
          <cell r="C9">
            <v>3</v>
          </cell>
          <cell r="E9">
            <v>0</v>
          </cell>
          <cell r="F9">
            <v>13</v>
          </cell>
          <cell r="G9">
            <v>0</v>
          </cell>
          <cell r="H9">
            <v>1</v>
          </cell>
          <cell r="I9">
            <v>15</v>
          </cell>
          <cell r="M9">
            <v>107</v>
          </cell>
          <cell r="N9">
            <v>0</v>
          </cell>
          <cell r="O9">
            <v>35</v>
          </cell>
          <cell r="P9">
            <v>65</v>
          </cell>
          <cell r="Q9">
            <v>26</v>
          </cell>
          <cell r="S9">
            <v>71</v>
          </cell>
          <cell r="T9">
            <v>15</v>
          </cell>
          <cell r="V9">
            <v>6</v>
          </cell>
          <cell r="W9">
            <v>212</v>
          </cell>
          <cell r="X9">
            <v>153</v>
          </cell>
          <cell r="Y9">
            <v>117</v>
          </cell>
          <cell r="Z9">
            <v>96</v>
          </cell>
          <cell r="AD9">
            <v>526</v>
          </cell>
          <cell r="AE9">
            <v>158</v>
          </cell>
          <cell r="AF9">
            <v>272</v>
          </cell>
          <cell r="AG9">
            <v>151</v>
          </cell>
          <cell r="AH9">
            <v>145</v>
          </cell>
        </row>
        <row r="10">
          <cell r="A10">
            <v>1994</v>
          </cell>
          <cell r="B10">
            <v>0</v>
          </cell>
          <cell r="C10">
            <v>0</v>
          </cell>
          <cell r="E10">
            <v>44</v>
          </cell>
          <cell r="F10">
            <v>42</v>
          </cell>
          <cell r="G10">
            <v>20</v>
          </cell>
          <cell r="H10">
            <v>0</v>
          </cell>
          <cell r="I10">
            <v>30</v>
          </cell>
          <cell r="M10">
            <v>69</v>
          </cell>
          <cell r="N10">
            <v>16</v>
          </cell>
          <cell r="O10">
            <v>12</v>
          </cell>
          <cell r="P10">
            <v>22</v>
          </cell>
          <cell r="Q10">
            <v>0</v>
          </cell>
          <cell r="S10">
            <v>41</v>
          </cell>
          <cell r="T10">
            <v>9</v>
          </cell>
          <cell r="V10">
            <v>51</v>
          </cell>
          <cell r="W10">
            <v>177</v>
          </cell>
          <cell r="X10">
            <v>131</v>
          </cell>
          <cell r="Y10">
            <v>108</v>
          </cell>
          <cell r="Z10">
            <v>98</v>
          </cell>
          <cell r="AD10">
            <v>424</v>
          </cell>
          <cell r="AE10">
            <v>112</v>
          </cell>
          <cell r="AF10">
            <v>190</v>
          </cell>
          <cell r="AG10">
            <v>127</v>
          </cell>
          <cell r="AH10">
            <v>145</v>
          </cell>
        </row>
        <row r="11">
          <cell r="A11">
            <v>1995</v>
          </cell>
          <cell r="B11">
            <v>2</v>
          </cell>
          <cell r="C11">
            <v>4</v>
          </cell>
          <cell r="E11">
            <v>30</v>
          </cell>
          <cell r="F11">
            <v>29</v>
          </cell>
          <cell r="G11">
            <v>7</v>
          </cell>
          <cell r="H11">
            <v>9</v>
          </cell>
          <cell r="I11">
            <v>10</v>
          </cell>
          <cell r="L11">
            <v>50</v>
          </cell>
          <cell r="M11">
            <v>176</v>
          </cell>
          <cell r="N11">
            <v>20</v>
          </cell>
          <cell r="O11">
            <v>13</v>
          </cell>
          <cell r="P11">
            <v>26</v>
          </cell>
          <cell r="Q11">
            <v>95</v>
          </cell>
          <cell r="S11">
            <v>26</v>
          </cell>
          <cell r="T11">
            <v>11</v>
          </cell>
          <cell r="V11">
            <v>81</v>
          </cell>
          <cell r="W11">
            <v>172</v>
          </cell>
          <cell r="X11">
            <v>120</v>
          </cell>
          <cell r="Y11">
            <v>81</v>
          </cell>
          <cell r="Z11">
            <v>87</v>
          </cell>
          <cell r="AC11">
            <v>50</v>
          </cell>
          <cell r="AD11">
            <v>474</v>
          </cell>
          <cell r="AE11">
            <v>123</v>
          </cell>
          <cell r="AF11">
            <v>138</v>
          </cell>
          <cell r="AG11">
            <v>118</v>
          </cell>
          <cell r="AH11">
            <v>215</v>
          </cell>
        </row>
        <row r="12">
          <cell r="A12">
            <v>1996</v>
          </cell>
          <cell r="B12">
            <v>13</v>
          </cell>
          <cell r="C12">
            <v>12</v>
          </cell>
          <cell r="E12">
            <v>48</v>
          </cell>
          <cell r="F12">
            <v>124</v>
          </cell>
          <cell r="G12">
            <v>33</v>
          </cell>
          <cell r="H12">
            <v>40</v>
          </cell>
          <cell r="I12">
            <v>31</v>
          </cell>
          <cell r="L12">
            <v>0</v>
          </cell>
          <cell r="M12">
            <v>300</v>
          </cell>
          <cell r="N12">
            <v>72</v>
          </cell>
          <cell r="O12">
            <v>49</v>
          </cell>
          <cell r="P12">
            <v>35</v>
          </cell>
          <cell r="Q12">
            <v>102</v>
          </cell>
          <cell r="S12">
            <v>23</v>
          </cell>
          <cell r="T12">
            <v>9</v>
          </cell>
          <cell r="V12">
            <v>120</v>
          </cell>
          <cell r="W12">
            <v>260</v>
          </cell>
          <cell r="X12">
            <v>141</v>
          </cell>
          <cell r="Y12">
            <v>114</v>
          </cell>
          <cell r="Z12">
            <v>87</v>
          </cell>
          <cell r="AC12">
            <v>50</v>
          </cell>
          <cell r="AD12">
            <v>755</v>
          </cell>
          <cell r="AE12">
            <v>165</v>
          </cell>
          <cell r="AF12">
            <v>136</v>
          </cell>
          <cell r="AG12">
            <v>85</v>
          </cell>
          <cell r="AH12">
            <v>271</v>
          </cell>
        </row>
        <row r="13">
          <cell r="A13">
            <v>1997</v>
          </cell>
          <cell r="B13">
            <v>6</v>
          </cell>
          <cell r="C13">
            <v>1</v>
          </cell>
          <cell r="E13">
            <v>185</v>
          </cell>
          <cell r="F13">
            <v>98</v>
          </cell>
          <cell r="G13">
            <v>37</v>
          </cell>
          <cell r="H13">
            <v>64</v>
          </cell>
          <cell r="I13">
            <v>25</v>
          </cell>
          <cell r="L13">
            <v>0</v>
          </cell>
          <cell r="M13">
            <v>320</v>
          </cell>
          <cell r="N13">
            <v>37</v>
          </cell>
          <cell r="O13">
            <v>45</v>
          </cell>
          <cell r="P13">
            <v>98</v>
          </cell>
          <cell r="Q13">
            <v>51</v>
          </cell>
          <cell r="S13">
            <v>20</v>
          </cell>
          <cell r="T13">
            <v>7</v>
          </cell>
          <cell r="V13">
            <v>306</v>
          </cell>
          <cell r="W13">
            <v>297</v>
          </cell>
          <cell r="X13">
            <v>140</v>
          </cell>
          <cell r="Y13">
            <v>162</v>
          </cell>
          <cell r="Z13">
            <v>77</v>
          </cell>
          <cell r="AC13">
            <v>50</v>
          </cell>
          <cell r="AD13">
            <v>920</v>
          </cell>
          <cell r="AE13">
            <v>163</v>
          </cell>
          <cell r="AF13">
            <v>135</v>
          </cell>
          <cell r="AG13">
            <v>141</v>
          </cell>
          <cell r="AH13">
            <v>259</v>
          </cell>
        </row>
        <row r="14">
          <cell r="A14">
            <v>1998</v>
          </cell>
          <cell r="B14">
            <v>32</v>
          </cell>
          <cell r="C14">
            <v>0</v>
          </cell>
          <cell r="E14">
            <v>139</v>
          </cell>
          <cell r="F14">
            <v>201</v>
          </cell>
          <cell r="G14">
            <v>45</v>
          </cell>
          <cell r="H14">
            <v>24</v>
          </cell>
          <cell r="I14">
            <v>63</v>
          </cell>
          <cell r="L14">
            <v>65</v>
          </cell>
          <cell r="M14">
            <v>373</v>
          </cell>
          <cell r="N14">
            <v>14</v>
          </cell>
          <cell r="O14">
            <v>50</v>
          </cell>
          <cell r="P14">
            <v>42</v>
          </cell>
          <cell r="Q14">
            <v>71</v>
          </cell>
          <cell r="S14">
            <v>39</v>
          </cell>
          <cell r="T14">
            <v>6</v>
          </cell>
          <cell r="V14">
            <v>435</v>
          </cell>
          <cell r="W14">
            <v>416</v>
          </cell>
          <cell r="X14">
            <v>141</v>
          </cell>
          <cell r="Y14">
            <v>161</v>
          </cell>
          <cell r="Z14">
            <v>116</v>
          </cell>
          <cell r="AC14">
            <v>55</v>
          </cell>
          <cell r="AD14">
            <v>981</v>
          </cell>
          <cell r="AE14">
            <v>103</v>
          </cell>
          <cell r="AF14">
            <v>129</v>
          </cell>
          <cell r="AG14">
            <v>133</v>
          </cell>
          <cell r="AH14">
            <v>249</v>
          </cell>
        </row>
        <row r="15">
          <cell r="A15">
            <v>1999</v>
          </cell>
          <cell r="B15">
            <v>0</v>
          </cell>
          <cell r="C15">
            <v>0</v>
          </cell>
          <cell r="D15">
            <v>120</v>
          </cell>
          <cell r="E15">
            <v>66</v>
          </cell>
          <cell r="F15">
            <v>188</v>
          </cell>
          <cell r="G15">
            <v>66</v>
          </cell>
          <cell r="H15">
            <v>32</v>
          </cell>
          <cell r="I15">
            <v>36</v>
          </cell>
          <cell r="L15">
            <v>15</v>
          </cell>
          <cell r="M15">
            <v>263</v>
          </cell>
          <cell r="N15">
            <v>35</v>
          </cell>
          <cell r="O15">
            <v>18</v>
          </cell>
          <cell r="P15">
            <v>37</v>
          </cell>
          <cell r="Q15">
            <v>23</v>
          </cell>
          <cell r="S15">
            <v>31</v>
          </cell>
          <cell r="T15">
            <v>5</v>
          </cell>
          <cell r="U15">
            <v>120</v>
          </cell>
          <cell r="V15">
            <v>380</v>
          </cell>
          <cell r="W15">
            <v>493</v>
          </cell>
          <cell r="X15">
            <v>169</v>
          </cell>
          <cell r="Y15">
            <v>134</v>
          </cell>
          <cell r="Z15">
            <v>119</v>
          </cell>
          <cell r="AC15">
            <v>119</v>
          </cell>
          <cell r="AD15">
            <v>912</v>
          </cell>
          <cell r="AE15">
            <v>76</v>
          </cell>
          <cell r="AF15">
            <v>80</v>
          </cell>
          <cell r="AG15">
            <v>122</v>
          </cell>
          <cell r="AH15">
            <v>188</v>
          </cell>
        </row>
        <row r="16">
          <cell r="A16">
            <v>2000</v>
          </cell>
          <cell r="B16">
            <v>2</v>
          </cell>
          <cell r="C16">
            <v>0</v>
          </cell>
          <cell r="D16">
            <v>41</v>
          </cell>
          <cell r="E16">
            <v>135</v>
          </cell>
          <cell r="F16">
            <v>177</v>
          </cell>
          <cell r="G16">
            <v>72</v>
          </cell>
          <cell r="H16">
            <v>110</v>
          </cell>
          <cell r="I16">
            <v>20</v>
          </cell>
          <cell r="L16">
            <v>21</v>
          </cell>
          <cell r="M16">
            <v>391</v>
          </cell>
          <cell r="N16">
            <v>27</v>
          </cell>
          <cell r="O16">
            <v>43</v>
          </cell>
          <cell r="P16">
            <v>12</v>
          </cell>
          <cell r="Q16">
            <v>117</v>
          </cell>
          <cell r="S16">
            <v>25</v>
          </cell>
          <cell r="T16">
            <v>5</v>
          </cell>
          <cell r="U16">
            <v>161</v>
          </cell>
          <cell r="V16">
            <v>385</v>
          </cell>
          <cell r="W16">
            <v>534</v>
          </cell>
          <cell r="X16">
            <v>207</v>
          </cell>
          <cell r="Y16">
            <v>193</v>
          </cell>
          <cell r="Z16">
            <v>126</v>
          </cell>
          <cell r="AC16">
            <v>108</v>
          </cell>
          <cell r="AD16">
            <v>1019</v>
          </cell>
          <cell r="AE16">
            <v>82</v>
          </cell>
          <cell r="AF16">
            <v>79</v>
          </cell>
          <cell r="AG16">
            <v>84</v>
          </cell>
          <cell r="AH16">
            <v>247</v>
          </cell>
        </row>
        <row r="17">
          <cell r="A17">
            <v>2001</v>
          </cell>
          <cell r="B17">
            <v>61</v>
          </cell>
          <cell r="C17">
            <v>0</v>
          </cell>
          <cell r="D17">
            <v>0</v>
          </cell>
          <cell r="E17">
            <v>57</v>
          </cell>
          <cell r="F17">
            <v>131</v>
          </cell>
          <cell r="G17">
            <v>47</v>
          </cell>
          <cell r="H17">
            <v>52</v>
          </cell>
          <cell r="I17">
            <v>2</v>
          </cell>
          <cell r="K17">
            <v>85</v>
          </cell>
          <cell r="L17">
            <v>6</v>
          </cell>
          <cell r="M17">
            <v>188</v>
          </cell>
          <cell r="N17">
            <v>16</v>
          </cell>
          <cell r="O17">
            <v>44</v>
          </cell>
          <cell r="P17">
            <v>51</v>
          </cell>
          <cell r="Q17">
            <v>30</v>
          </cell>
          <cell r="S17">
            <v>75</v>
          </cell>
          <cell r="T17">
            <v>5</v>
          </cell>
          <cell r="U17">
            <v>114</v>
          </cell>
          <cell r="V17">
            <v>287</v>
          </cell>
          <cell r="W17">
            <v>532</v>
          </cell>
          <cell r="X17">
            <v>195</v>
          </cell>
          <cell r="Y17">
            <v>198</v>
          </cell>
          <cell r="Z17">
            <v>84</v>
          </cell>
          <cell r="AB17">
            <v>85</v>
          </cell>
          <cell r="AC17">
            <v>45</v>
          </cell>
          <cell r="AD17">
            <v>889</v>
          </cell>
          <cell r="AE17">
            <v>59</v>
          </cell>
          <cell r="AF17">
            <v>55</v>
          </cell>
          <cell r="AG17">
            <v>67</v>
          </cell>
          <cell r="AH17">
            <v>204</v>
          </cell>
        </row>
        <row r="18">
          <cell r="A18">
            <v>2002</v>
          </cell>
          <cell r="B18">
            <v>0</v>
          </cell>
          <cell r="C18">
            <v>0</v>
          </cell>
          <cell r="D18">
            <v>0</v>
          </cell>
          <cell r="E18">
            <v>173</v>
          </cell>
          <cell r="F18">
            <v>16</v>
          </cell>
          <cell r="G18">
            <v>21</v>
          </cell>
          <cell r="H18">
            <v>24</v>
          </cell>
          <cell r="I18">
            <v>31</v>
          </cell>
          <cell r="K18">
            <v>10</v>
          </cell>
          <cell r="L18">
            <v>23</v>
          </cell>
          <cell r="M18">
            <v>162</v>
          </cell>
          <cell r="N18">
            <v>17</v>
          </cell>
          <cell r="O18">
            <v>0</v>
          </cell>
          <cell r="P18">
            <v>8</v>
          </cell>
          <cell r="Q18">
            <v>32</v>
          </cell>
          <cell r="S18">
            <v>66</v>
          </cell>
          <cell r="T18">
            <v>5</v>
          </cell>
          <cell r="U18">
            <v>84</v>
          </cell>
          <cell r="V18">
            <v>367</v>
          </cell>
          <cell r="W18">
            <v>483</v>
          </cell>
          <cell r="X18">
            <v>166</v>
          </cell>
          <cell r="Y18">
            <v>168</v>
          </cell>
          <cell r="Z18">
            <v>90</v>
          </cell>
          <cell r="AB18">
            <v>95</v>
          </cell>
          <cell r="AC18">
            <v>40</v>
          </cell>
          <cell r="AD18">
            <v>778</v>
          </cell>
          <cell r="AE18">
            <v>52</v>
          </cell>
          <cell r="AF18">
            <v>28</v>
          </cell>
          <cell r="AG18">
            <v>39</v>
          </cell>
          <cell r="AH18">
            <v>187</v>
          </cell>
        </row>
        <row r="19">
          <cell r="A19">
            <v>2003</v>
          </cell>
          <cell r="B19">
            <v>6</v>
          </cell>
          <cell r="C19">
            <v>0</v>
          </cell>
          <cell r="D19">
            <v>0</v>
          </cell>
          <cell r="E19">
            <v>78</v>
          </cell>
          <cell r="F19">
            <v>117</v>
          </cell>
          <cell r="G19">
            <v>13</v>
          </cell>
          <cell r="H19">
            <v>54</v>
          </cell>
          <cell r="I19">
            <v>35</v>
          </cell>
          <cell r="K19">
            <v>34</v>
          </cell>
          <cell r="L19">
            <v>8</v>
          </cell>
          <cell r="M19">
            <v>207</v>
          </cell>
          <cell r="N19">
            <v>4</v>
          </cell>
          <cell r="O19">
            <v>7</v>
          </cell>
          <cell r="P19">
            <v>11</v>
          </cell>
          <cell r="Q19">
            <v>13</v>
          </cell>
          <cell r="S19">
            <v>64</v>
          </cell>
          <cell r="T19">
            <v>5</v>
          </cell>
          <cell r="U19">
            <v>70</v>
          </cell>
          <cell r="V19">
            <v>361</v>
          </cell>
          <cell r="W19">
            <v>445</v>
          </cell>
          <cell r="X19">
            <v>120</v>
          </cell>
          <cell r="Y19">
            <v>187</v>
          </cell>
          <cell r="Z19">
            <v>87</v>
          </cell>
          <cell r="AB19">
            <v>129</v>
          </cell>
          <cell r="AC19">
            <v>36</v>
          </cell>
          <cell r="AD19">
            <v>832</v>
          </cell>
          <cell r="AE19">
            <v>37</v>
          </cell>
          <cell r="AF19">
            <v>13</v>
          </cell>
          <cell r="AG19">
            <v>25</v>
          </cell>
          <cell r="AH19">
            <v>168</v>
          </cell>
        </row>
        <row r="20">
          <cell r="A20">
            <v>2004</v>
          </cell>
          <cell r="B20">
            <v>0</v>
          </cell>
          <cell r="C20">
            <v>0</v>
          </cell>
          <cell r="D20">
            <v>4</v>
          </cell>
          <cell r="E20">
            <v>31</v>
          </cell>
          <cell r="F20">
            <v>21</v>
          </cell>
          <cell r="G20">
            <v>5</v>
          </cell>
          <cell r="H20">
            <v>6</v>
          </cell>
          <cell r="I20">
            <v>3</v>
          </cell>
          <cell r="K20">
            <v>0</v>
          </cell>
          <cell r="L20">
            <v>6</v>
          </cell>
          <cell r="M20">
            <v>50</v>
          </cell>
          <cell r="N20">
            <v>6</v>
          </cell>
          <cell r="O20">
            <v>0</v>
          </cell>
          <cell r="P20">
            <v>2</v>
          </cell>
          <cell r="Q20">
            <v>2</v>
          </cell>
          <cell r="R20">
            <v>56</v>
          </cell>
          <cell r="S20">
            <v>54</v>
          </cell>
          <cell r="T20">
            <v>5</v>
          </cell>
          <cell r="U20">
            <v>42</v>
          </cell>
          <cell r="V20">
            <v>378</v>
          </cell>
          <cell r="W20">
            <v>963</v>
          </cell>
          <cell r="X20">
            <v>92</v>
          </cell>
          <cell r="Y20">
            <v>188</v>
          </cell>
          <cell r="Z20">
            <v>85</v>
          </cell>
          <cell r="AB20">
            <v>139</v>
          </cell>
          <cell r="AC20">
            <v>32</v>
          </cell>
          <cell r="AD20">
            <v>772</v>
          </cell>
          <cell r="AE20">
            <v>32</v>
          </cell>
          <cell r="AF20">
            <v>2</v>
          </cell>
          <cell r="AG20">
            <v>25</v>
          </cell>
          <cell r="AH20">
            <v>174</v>
          </cell>
          <cell r="AI20">
            <v>56</v>
          </cell>
        </row>
        <row r="21">
          <cell r="A21">
            <v>2005</v>
          </cell>
          <cell r="B21">
            <v>7</v>
          </cell>
          <cell r="C21">
            <v>0</v>
          </cell>
          <cell r="D21">
            <v>36</v>
          </cell>
          <cell r="E21">
            <v>211</v>
          </cell>
          <cell r="F21">
            <v>568</v>
          </cell>
          <cell r="G21">
            <v>103</v>
          </cell>
          <cell r="H21">
            <v>64</v>
          </cell>
          <cell r="I21">
            <v>15</v>
          </cell>
          <cell r="J21">
            <v>87</v>
          </cell>
          <cell r="K21">
            <v>20</v>
          </cell>
          <cell r="L21">
            <v>0</v>
          </cell>
          <cell r="M21">
            <v>574</v>
          </cell>
          <cell r="N21">
            <v>48</v>
          </cell>
          <cell r="O21">
            <v>0</v>
          </cell>
          <cell r="P21">
            <v>19</v>
          </cell>
          <cell r="Q21">
            <v>155</v>
          </cell>
          <cell r="R21">
            <v>235</v>
          </cell>
          <cell r="S21">
            <v>15</v>
          </cell>
          <cell r="T21">
            <v>5</v>
          </cell>
          <cell r="U21">
            <v>69</v>
          </cell>
          <cell r="V21">
            <v>444</v>
          </cell>
          <cell r="W21">
            <v>963</v>
          </cell>
          <cell r="X21">
            <v>178</v>
          </cell>
          <cell r="Y21">
            <v>179</v>
          </cell>
          <cell r="Z21">
            <v>73</v>
          </cell>
          <cell r="AA21">
            <v>67</v>
          </cell>
          <cell r="AB21">
            <v>159</v>
          </cell>
          <cell r="AC21">
            <v>5</v>
          </cell>
          <cell r="AD21">
            <v>1122</v>
          </cell>
          <cell r="AE21">
            <v>62</v>
          </cell>
          <cell r="AF21">
            <v>0</v>
          </cell>
          <cell r="AG21">
            <v>30</v>
          </cell>
          <cell r="AH21">
            <v>288</v>
          </cell>
          <cell r="AI21">
            <v>281</v>
          </cell>
        </row>
        <row r="22">
          <cell r="A22">
            <v>2006</v>
          </cell>
          <cell r="B22">
            <v>0</v>
          </cell>
          <cell r="C22">
            <v>0</v>
          </cell>
          <cell r="D22">
            <v>4</v>
          </cell>
          <cell r="E22">
            <v>253</v>
          </cell>
          <cell r="F22">
            <v>312</v>
          </cell>
          <cell r="G22">
            <v>104</v>
          </cell>
          <cell r="H22">
            <v>104</v>
          </cell>
          <cell r="I22">
            <v>15</v>
          </cell>
          <cell r="J22">
            <v>15</v>
          </cell>
          <cell r="K22">
            <v>17</v>
          </cell>
          <cell r="L22">
            <v>0</v>
          </cell>
          <cell r="M22">
            <v>739</v>
          </cell>
          <cell r="N22">
            <v>72</v>
          </cell>
          <cell r="O22">
            <v>0</v>
          </cell>
          <cell r="P22">
            <v>10</v>
          </cell>
          <cell r="Q22">
            <v>77</v>
          </cell>
          <cell r="R22">
            <v>160</v>
          </cell>
          <cell r="S22">
            <v>6</v>
          </cell>
          <cell r="T22">
            <v>5</v>
          </cell>
          <cell r="U22">
            <v>54</v>
          </cell>
          <cell r="V22">
            <v>567</v>
          </cell>
          <cell r="W22">
            <v>1067</v>
          </cell>
          <cell r="X22">
            <v>278</v>
          </cell>
          <cell r="Y22">
            <v>227</v>
          </cell>
          <cell r="Z22">
            <v>61</v>
          </cell>
          <cell r="AA22">
            <v>102</v>
          </cell>
          <cell r="AB22">
            <v>166</v>
          </cell>
          <cell r="AC22">
            <v>0</v>
          </cell>
          <cell r="AD22">
            <v>1545</v>
          </cell>
          <cell r="AE22">
            <v>120</v>
          </cell>
          <cell r="AF22">
            <v>0</v>
          </cell>
          <cell r="AG22">
            <v>28</v>
          </cell>
          <cell r="AH22">
            <v>300</v>
          </cell>
          <cell r="AI22">
            <v>448</v>
          </cell>
        </row>
        <row r="27">
          <cell r="A27" t="str">
            <v>Orders</v>
          </cell>
        </row>
        <row r="77">
          <cell r="A77" t="str">
            <v>Orders vs Backlog</v>
          </cell>
        </row>
        <row r="147">
          <cell r="A147" t="str">
            <v>Commercial Aircraft Orders By Maker</v>
          </cell>
        </row>
        <row r="150">
          <cell r="A150" t="str">
            <v>For graph</v>
          </cell>
        </row>
        <row r="151">
          <cell r="A151" t="str">
            <v>% OF$ Bkgs</v>
          </cell>
          <cell r="B151" t="str">
            <v>1988</v>
          </cell>
          <cell r="C151" t="str">
            <v>1989</v>
          </cell>
          <cell r="D151" t="str">
            <v>1990</v>
          </cell>
          <cell r="E151" t="str">
            <v>1991</v>
          </cell>
          <cell r="F151" t="str">
            <v>1992</v>
          </cell>
          <cell r="G151" t="str">
            <v xml:space="preserve">1993 </v>
          </cell>
          <cell r="H151" t="str">
            <v xml:space="preserve">1994 </v>
          </cell>
          <cell r="I151" t="str">
            <v xml:space="preserve">1995 </v>
          </cell>
          <cell r="J151" t="str">
            <v xml:space="preserve">1996 </v>
          </cell>
          <cell r="K151" t="str">
            <v xml:space="preserve">1997 </v>
          </cell>
          <cell r="L151">
            <v>1998</v>
          </cell>
          <cell r="M151">
            <v>1999</v>
          </cell>
          <cell r="N151">
            <v>2000</v>
          </cell>
          <cell r="O151">
            <v>2001</v>
          </cell>
          <cell r="P151">
            <v>2002</v>
          </cell>
          <cell r="Q151">
            <v>2003</v>
          </cell>
          <cell r="R151">
            <v>2004</v>
          </cell>
          <cell r="S151">
            <v>2005</v>
          </cell>
          <cell r="T151">
            <v>2006</v>
          </cell>
        </row>
        <row r="152">
          <cell r="A152" t="str">
            <v xml:space="preserve"> BOEING</v>
          </cell>
          <cell r="B152">
            <v>0.67</v>
          </cell>
          <cell r="C152">
            <v>0.55000000000000004</v>
          </cell>
          <cell r="D152">
            <v>0.7</v>
          </cell>
          <cell r="E152">
            <v>0.81</v>
          </cell>
          <cell r="F152">
            <v>0.70741594467848334</v>
          </cell>
          <cell r="G152">
            <v>0.86822968906720177</v>
          </cell>
          <cell r="H152">
            <v>0.56712185657786729</v>
          </cell>
          <cell r="I152">
            <v>0.82677584006805616</v>
          </cell>
          <cell r="J152">
            <v>0.73044815465729362</v>
          </cell>
          <cell r="K152">
            <v>0.67323119514266838</v>
          </cell>
          <cell r="L152">
            <v>0.59599592229710596</v>
          </cell>
        </row>
        <row r="153">
          <cell r="A153" t="str">
            <v xml:space="preserve"> AIRBUS</v>
          </cell>
          <cell r="B153">
            <v>0.12</v>
          </cell>
          <cell r="C153">
            <v>0.33</v>
          </cell>
          <cell r="D153">
            <v>0.18</v>
          </cell>
          <cell r="E153">
            <v>0.24</v>
          </cell>
          <cell r="F153">
            <v>0.25411334552102377</v>
          </cell>
          <cell r="G153">
            <v>0.137913741223671</v>
          </cell>
          <cell r="H153">
            <v>0.41713304977240506</v>
          </cell>
          <cell r="I153">
            <v>0.12093258188005106</v>
          </cell>
          <cell r="J153">
            <v>0.24810522847100178</v>
          </cell>
          <cell r="K153">
            <v>0.30831786579419257</v>
          </cell>
          <cell r="L153">
            <v>0.37697513733929888</v>
          </cell>
        </row>
        <row r="154">
          <cell r="A154" t="str">
            <v xml:space="preserve"> DOUGLAS</v>
          </cell>
          <cell r="B154">
            <v>0.21</v>
          </cell>
          <cell r="C154">
            <v>0.12</v>
          </cell>
          <cell r="D154">
            <v>0.11</v>
          </cell>
          <cell r="E154">
            <v>-0.05</v>
          </cell>
          <cell r="F154">
            <v>3.8470709800492803E-2</v>
          </cell>
          <cell r="G154">
            <v>-6.1434302908726169E-3</v>
          </cell>
          <cell r="H154">
            <v>1.5745093649727631E-2</v>
          </cell>
          <cell r="I154">
            <v>5.2291578051892808E-2</v>
          </cell>
          <cell r="J154">
            <v>2.1446616871704745E-2</v>
          </cell>
          <cell r="K154">
            <v>1.8450939063139021E-2</v>
          </cell>
          <cell r="L154">
            <v>2.7028940363595176E-2</v>
          </cell>
        </row>
        <row r="155">
          <cell r="A155" t="str">
            <v>Units</v>
          </cell>
        </row>
        <row r="156">
          <cell r="A156" t="str">
            <v xml:space="preserve"> BOEING</v>
          </cell>
          <cell r="B156">
            <v>638</v>
          </cell>
          <cell r="C156">
            <v>756</v>
          </cell>
          <cell r="D156">
            <v>483</v>
          </cell>
          <cell r="E156">
            <v>252</v>
          </cell>
          <cell r="F156">
            <v>243</v>
          </cell>
          <cell r="G156">
            <v>233</v>
          </cell>
          <cell r="H156">
            <v>119</v>
          </cell>
          <cell r="I156">
            <v>330</v>
          </cell>
          <cell r="J156">
            <v>558</v>
          </cell>
          <cell r="K156">
            <v>551</v>
          </cell>
          <cell r="L156">
            <v>615</v>
          </cell>
          <cell r="M156">
            <v>391</v>
          </cell>
          <cell r="N156">
            <v>611</v>
          </cell>
          <cell r="O156">
            <v>335</v>
          </cell>
          <cell r="P156">
            <v>251</v>
          </cell>
          <cell r="Q156">
            <v>250</v>
          </cell>
          <cell r="R156">
            <v>272</v>
          </cell>
          <cell r="S156">
            <v>1031</v>
          </cell>
          <cell r="T156">
            <v>1058</v>
          </cell>
        </row>
        <row r="157">
          <cell r="A157" t="str">
            <v xml:space="preserve"> AIRBUS</v>
          </cell>
          <cell r="B157">
            <v>163</v>
          </cell>
          <cell r="C157">
            <v>390</v>
          </cell>
          <cell r="D157">
            <v>287</v>
          </cell>
          <cell r="E157">
            <v>101</v>
          </cell>
          <cell r="F157">
            <v>136</v>
          </cell>
          <cell r="G157">
            <v>38</v>
          </cell>
          <cell r="H157">
            <v>125</v>
          </cell>
          <cell r="I157">
            <v>106</v>
          </cell>
          <cell r="J157">
            <v>428</v>
          </cell>
          <cell r="K157">
            <v>460</v>
          </cell>
          <cell r="L157">
            <v>556</v>
          </cell>
          <cell r="M157">
            <v>476</v>
          </cell>
          <cell r="N157">
            <v>520</v>
          </cell>
          <cell r="O157">
            <v>375</v>
          </cell>
          <cell r="P157">
            <v>300</v>
          </cell>
          <cell r="Q157">
            <v>284</v>
          </cell>
          <cell r="R157">
            <v>370</v>
          </cell>
          <cell r="S157">
            <v>1111</v>
          </cell>
          <cell r="T157">
            <v>824</v>
          </cell>
        </row>
        <row r="158">
          <cell r="A158" t="str">
            <v xml:space="preserve"> DOUGLAS</v>
          </cell>
          <cell r="B158">
            <v>246</v>
          </cell>
          <cell r="C158">
            <v>233</v>
          </cell>
          <cell r="D158">
            <v>168</v>
          </cell>
          <cell r="E158">
            <v>-33</v>
          </cell>
          <cell r="F158">
            <v>36</v>
          </cell>
          <cell r="G158">
            <v>-2</v>
          </cell>
          <cell r="H158">
            <v>3</v>
          </cell>
          <cell r="I158">
            <v>95</v>
          </cell>
          <cell r="J158">
            <v>38</v>
          </cell>
          <cell r="K158">
            <v>17</v>
          </cell>
          <cell r="L158">
            <v>41</v>
          </cell>
          <cell r="T158">
            <v>0</v>
          </cell>
        </row>
        <row r="159">
          <cell r="R159">
            <v>52</v>
          </cell>
        </row>
        <row r="183">
          <cell r="A183" t="str">
            <v>Commercial Aircraft Deliveries By Maker</v>
          </cell>
        </row>
        <row r="185">
          <cell r="T185" t="str">
            <v>= Estimate: Airbus yet to release 2007 numbers</v>
          </cell>
        </row>
        <row r="186">
          <cell r="A186" t="str">
            <v>Large Commercial Aircraft Deliveries</v>
          </cell>
        </row>
        <row r="187">
          <cell r="B187">
            <v>1990</v>
          </cell>
          <cell r="C187">
            <v>1991</v>
          </cell>
          <cell r="D187">
            <v>1992</v>
          </cell>
          <cell r="E187">
            <v>1993</v>
          </cell>
          <cell r="F187">
            <v>1994</v>
          </cell>
          <cell r="G187">
            <v>1995</v>
          </cell>
          <cell r="H187">
            <v>1996</v>
          </cell>
          <cell r="I187">
            <v>1997</v>
          </cell>
          <cell r="J187">
            <v>1998</v>
          </cell>
          <cell r="K187">
            <v>1999</v>
          </cell>
          <cell r="L187">
            <v>2000</v>
          </cell>
          <cell r="M187">
            <v>2001</v>
          </cell>
          <cell r="N187">
            <v>2002</v>
          </cell>
          <cell r="O187">
            <v>2003</v>
          </cell>
          <cell r="P187">
            <v>2004</v>
          </cell>
          <cell r="Q187">
            <v>2005</v>
          </cell>
          <cell r="R187">
            <v>2006</v>
          </cell>
          <cell r="S187" t="str">
            <v>2007A</v>
          </cell>
          <cell r="T187" t="str">
            <v>2008E</v>
          </cell>
          <cell r="U187" t="str">
            <v>2009E</v>
          </cell>
          <cell r="V187" t="str">
            <v>2010E</v>
          </cell>
        </row>
        <row r="188">
          <cell r="A188" t="str">
            <v>Airbus</v>
          </cell>
          <cell r="B188">
            <v>95</v>
          </cell>
          <cell r="C188">
            <v>163</v>
          </cell>
          <cell r="D188">
            <v>157</v>
          </cell>
          <cell r="E188">
            <v>138</v>
          </cell>
          <cell r="F188">
            <v>126</v>
          </cell>
          <cell r="G188">
            <v>121</v>
          </cell>
          <cell r="H188">
            <v>126</v>
          </cell>
          <cell r="I188">
            <v>182</v>
          </cell>
          <cell r="J188">
            <v>229</v>
          </cell>
          <cell r="K188">
            <v>294</v>
          </cell>
          <cell r="L188">
            <v>310</v>
          </cell>
          <cell r="M188">
            <v>325</v>
          </cell>
          <cell r="N188">
            <v>303</v>
          </cell>
          <cell r="O188">
            <v>305</v>
          </cell>
          <cell r="P188">
            <v>320</v>
          </cell>
          <cell r="Q188">
            <v>378</v>
          </cell>
          <cell r="R188">
            <v>434</v>
          </cell>
          <cell r="S188">
            <v>453</v>
          </cell>
          <cell r="T188">
            <v>500</v>
          </cell>
          <cell r="U188">
            <v>543</v>
          </cell>
          <cell r="V188">
            <v>554</v>
          </cell>
        </row>
        <row r="189">
          <cell r="A189" t="str">
            <v>Boeing</v>
          </cell>
          <cell r="B189">
            <v>527</v>
          </cell>
          <cell r="C189">
            <v>606</v>
          </cell>
          <cell r="D189">
            <v>567</v>
          </cell>
          <cell r="E189">
            <v>397</v>
          </cell>
          <cell r="F189">
            <v>309</v>
          </cell>
          <cell r="G189">
            <v>256</v>
          </cell>
          <cell r="H189">
            <v>264</v>
          </cell>
          <cell r="I189">
            <v>361</v>
          </cell>
          <cell r="J189">
            <v>559</v>
          </cell>
          <cell r="K189">
            <v>620</v>
          </cell>
          <cell r="L189">
            <v>489</v>
          </cell>
          <cell r="M189">
            <v>527</v>
          </cell>
          <cell r="N189">
            <v>381</v>
          </cell>
          <cell r="O189">
            <v>281</v>
          </cell>
          <cell r="P189">
            <v>285</v>
          </cell>
          <cell r="Q189">
            <v>290</v>
          </cell>
          <cell r="R189">
            <v>398</v>
          </cell>
          <cell r="S189">
            <v>441</v>
          </cell>
          <cell r="T189">
            <v>520</v>
          </cell>
          <cell r="U189">
            <v>585</v>
          </cell>
          <cell r="V189">
            <v>635</v>
          </cell>
        </row>
        <row r="190">
          <cell r="A190" t="str">
            <v>Total</v>
          </cell>
          <cell r="B190">
            <v>622</v>
          </cell>
          <cell r="C190">
            <v>769</v>
          </cell>
          <cell r="D190">
            <v>724</v>
          </cell>
          <cell r="E190">
            <v>535</v>
          </cell>
          <cell r="F190">
            <v>435</v>
          </cell>
          <cell r="G190">
            <v>377</v>
          </cell>
          <cell r="H190">
            <v>390</v>
          </cell>
          <cell r="I190">
            <v>543</v>
          </cell>
          <cell r="J190">
            <v>788</v>
          </cell>
          <cell r="K190">
            <v>914</v>
          </cell>
          <cell r="L190">
            <v>799</v>
          </cell>
          <cell r="M190">
            <v>852</v>
          </cell>
          <cell r="N190">
            <v>684</v>
          </cell>
          <cell r="O190">
            <v>586</v>
          </cell>
          <cell r="P190">
            <v>605</v>
          </cell>
          <cell r="Q190">
            <v>668</v>
          </cell>
          <cell r="R190">
            <v>832</v>
          </cell>
          <cell r="S190">
            <v>894</v>
          </cell>
          <cell r="T190">
            <v>1020</v>
          </cell>
          <cell r="U190">
            <v>1128</v>
          </cell>
          <cell r="V190">
            <v>1189</v>
          </cell>
        </row>
        <row r="191">
          <cell r="A191" t="str">
            <v>% ch y/y</v>
          </cell>
          <cell r="C191">
            <v>0.2363344051446945</v>
          </cell>
          <cell r="D191">
            <v>-5.8517555266579979E-2</v>
          </cell>
          <cell r="E191">
            <v>-0.26104972375690605</v>
          </cell>
          <cell r="F191">
            <v>-0.18691588785046731</v>
          </cell>
          <cell r="G191">
            <v>-0.1333333333333333</v>
          </cell>
          <cell r="H191">
            <v>3.4482758620689724E-2</v>
          </cell>
          <cell r="I191">
            <v>0.39230769230769225</v>
          </cell>
          <cell r="J191">
            <v>0.45119705340699823</v>
          </cell>
          <cell r="K191">
            <v>0.15989847715736039</v>
          </cell>
          <cell r="L191">
            <v>-0.12582056892778992</v>
          </cell>
          <cell r="M191">
            <v>6.6332916145181553E-2</v>
          </cell>
          <cell r="N191">
            <v>-0.19718309859154926</v>
          </cell>
          <cell r="O191">
            <v>-0.14327485380116955</v>
          </cell>
          <cell r="P191">
            <v>3.2423208191126207E-2</v>
          </cell>
          <cell r="Q191">
            <v>0.10413223140495864</v>
          </cell>
          <cell r="R191">
            <v>0.24550898203592819</v>
          </cell>
          <cell r="S191">
            <v>7.4519230769230838E-2</v>
          </cell>
          <cell r="T191">
            <v>0.14093959731543615</v>
          </cell>
          <cell r="U191">
            <v>0.10588235294117654</v>
          </cell>
          <cell r="V191">
            <v>5.4078014184397061E-2</v>
          </cell>
        </row>
        <row r="192">
          <cell r="A192" t="str">
            <v>% Airbus</v>
          </cell>
          <cell r="B192">
            <v>0.15273311897106109</v>
          </cell>
          <cell r="C192">
            <v>0.21196358907672302</v>
          </cell>
          <cell r="D192">
            <v>0.21685082872928177</v>
          </cell>
          <cell r="E192">
            <v>0.25794392523364484</v>
          </cell>
          <cell r="F192">
            <v>0.28965517241379313</v>
          </cell>
          <cell r="G192">
            <v>0.32095490716180369</v>
          </cell>
          <cell r="H192">
            <v>0.32307692307692309</v>
          </cell>
          <cell r="I192">
            <v>0.33517495395948432</v>
          </cell>
          <cell r="J192">
            <v>0.29060913705583757</v>
          </cell>
          <cell r="K192">
            <v>0.32166301969365424</v>
          </cell>
          <cell r="L192">
            <v>0.38798498122653319</v>
          </cell>
          <cell r="M192">
            <v>0.38145539906103287</v>
          </cell>
          <cell r="N192">
            <v>0.44298245614035087</v>
          </cell>
          <cell r="O192">
            <v>0.52047781569965867</v>
          </cell>
          <cell r="P192">
            <v>0.52892561983471076</v>
          </cell>
          <cell r="Q192">
            <v>0.56586826347305386</v>
          </cell>
          <cell r="R192">
            <v>0.52163461538461542</v>
          </cell>
          <cell r="S192">
            <v>0.50671140939597314</v>
          </cell>
          <cell r="T192">
            <v>0.49019607843137253</v>
          </cell>
          <cell r="U192">
            <v>0.48138297872340424</v>
          </cell>
          <cell r="V192">
            <v>0.4659377628259041</v>
          </cell>
        </row>
        <row r="193">
          <cell r="A193" t="str">
            <v>% Boeing</v>
          </cell>
          <cell r="B193">
            <v>0.84726688102893888</v>
          </cell>
          <cell r="C193">
            <v>0.78803641092327703</v>
          </cell>
          <cell r="D193">
            <v>0.78314917127071826</v>
          </cell>
          <cell r="E193">
            <v>0.74205607476635516</v>
          </cell>
          <cell r="F193">
            <v>0.71034482758620687</v>
          </cell>
          <cell r="G193">
            <v>0.67904509283819625</v>
          </cell>
          <cell r="H193">
            <v>0.67692307692307696</v>
          </cell>
          <cell r="I193">
            <v>0.66482504604051562</v>
          </cell>
          <cell r="J193">
            <v>0.70939086294416243</v>
          </cell>
          <cell r="K193">
            <v>0.6783369803063457</v>
          </cell>
          <cell r="L193">
            <v>0.61201501877346687</v>
          </cell>
          <cell r="M193">
            <v>0.61854460093896713</v>
          </cell>
          <cell r="N193">
            <v>0.55701754385964908</v>
          </cell>
          <cell r="O193">
            <v>0.47952218430034127</v>
          </cell>
          <cell r="P193">
            <v>0.47107438016528924</v>
          </cell>
          <cell r="Q193">
            <v>0.43413173652694609</v>
          </cell>
          <cell r="R193">
            <v>0.47836538461538464</v>
          </cell>
          <cell r="S193">
            <v>0.49328859060402686</v>
          </cell>
          <cell r="T193">
            <v>0.50980392156862742</v>
          </cell>
          <cell r="U193">
            <v>0.5186170212765957</v>
          </cell>
          <cell r="V193">
            <v>0.53406223717409584</v>
          </cell>
        </row>
        <row r="221">
          <cell r="A221" t="str">
            <v>Aggregate Backlog By Maker</v>
          </cell>
        </row>
        <row r="224">
          <cell r="A224" t="str">
            <v>Backlog</v>
          </cell>
          <cell r="B224">
            <v>1990</v>
          </cell>
          <cell r="C224">
            <v>1991</v>
          </cell>
          <cell r="D224">
            <v>1992</v>
          </cell>
          <cell r="E224">
            <v>1993</v>
          </cell>
          <cell r="F224">
            <v>1994</v>
          </cell>
          <cell r="G224">
            <v>1995</v>
          </cell>
          <cell r="H224">
            <v>1996</v>
          </cell>
          <cell r="I224">
            <v>1997</v>
          </cell>
          <cell r="J224">
            <v>1998</v>
          </cell>
          <cell r="K224">
            <v>1999</v>
          </cell>
          <cell r="L224">
            <v>2000</v>
          </cell>
          <cell r="M224">
            <v>2001</v>
          </cell>
          <cell r="N224">
            <v>2002</v>
          </cell>
          <cell r="O224">
            <v>2003</v>
          </cell>
          <cell r="P224">
            <v>2004</v>
          </cell>
          <cell r="Q224">
            <v>2005</v>
          </cell>
          <cell r="R224">
            <v>2006</v>
          </cell>
          <cell r="S224">
            <v>2007</v>
          </cell>
        </row>
        <row r="225">
          <cell r="A225" t="str">
            <v>Airbus</v>
          </cell>
          <cell r="B225">
            <v>1034</v>
          </cell>
          <cell r="C225">
            <v>950</v>
          </cell>
          <cell r="D225">
            <v>836</v>
          </cell>
          <cell r="E225">
            <v>667</v>
          </cell>
          <cell r="F225">
            <v>615</v>
          </cell>
          <cell r="G225">
            <v>578</v>
          </cell>
          <cell r="H225">
            <v>753</v>
          </cell>
          <cell r="I225">
            <v>1009</v>
          </cell>
          <cell r="J225">
            <v>1309</v>
          </cell>
          <cell r="K225">
            <v>1445</v>
          </cell>
          <cell r="L225">
            <v>1626</v>
          </cell>
          <cell r="M225">
            <v>1575</v>
          </cell>
          <cell r="N225">
            <v>1505</v>
          </cell>
          <cell r="O225">
            <v>1454</v>
          </cell>
          <cell r="P225">
            <v>1511</v>
          </cell>
          <cell r="Q225">
            <v>2177</v>
          </cell>
          <cell r="R225">
            <v>2533</v>
          </cell>
          <cell r="S225">
            <v>3636</v>
          </cell>
        </row>
        <row r="226">
          <cell r="A226" t="str">
            <v>Boeing</v>
          </cell>
          <cell r="B226">
            <v>2479</v>
          </cell>
          <cell r="C226">
            <v>2078</v>
          </cell>
          <cell r="D226">
            <v>1733</v>
          </cell>
          <cell r="E226">
            <v>1360</v>
          </cell>
          <cell r="F226">
            <v>1126</v>
          </cell>
          <cell r="G226">
            <v>1290</v>
          </cell>
          <cell r="H226">
            <v>1616</v>
          </cell>
          <cell r="I226">
            <v>1652</v>
          </cell>
          <cell r="J226">
            <v>1706</v>
          </cell>
          <cell r="K226">
            <v>1503</v>
          </cell>
          <cell r="L226">
            <v>1610</v>
          </cell>
          <cell r="M226">
            <v>1357</v>
          </cell>
          <cell r="N226">
            <v>1152</v>
          </cell>
          <cell r="O226">
            <v>1112</v>
          </cell>
          <cell r="P226">
            <v>1097</v>
          </cell>
          <cell r="Q226">
            <v>1809</v>
          </cell>
          <cell r="R226">
            <v>2455</v>
          </cell>
          <cell r="S226">
            <v>3427</v>
          </cell>
        </row>
        <row r="227">
          <cell r="A227" t="str">
            <v>Total</v>
          </cell>
          <cell r="B227">
            <v>3513</v>
          </cell>
          <cell r="C227">
            <v>3028</v>
          </cell>
          <cell r="D227">
            <v>2569</v>
          </cell>
          <cell r="E227">
            <v>2027</v>
          </cell>
          <cell r="F227">
            <v>1741</v>
          </cell>
          <cell r="G227">
            <v>1868</v>
          </cell>
          <cell r="H227">
            <v>2369</v>
          </cell>
          <cell r="I227">
            <v>2661</v>
          </cell>
          <cell r="J227">
            <v>3015</v>
          </cell>
          <cell r="K227">
            <v>2948</v>
          </cell>
          <cell r="L227">
            <v>3236</v>
          </cell>
          <cell r="M227">
            <v>2932</v>
          </cell>
          <cell r="N227">
            <v>2657</v>
          </cell>
          <cell r="O227">
            <v>2566</v>
          </cell>
          <cell r="P227">
            <v>2608</v>
          </cell>
          <cell r="Q227">
            <v>3986</v>
          </cell>
          <cell r="R227">
            <v>4988</v>
          </cell>
          <cell r="S227">
            <v>7063</v>
          </cell>
        </row>
        <row r="228">
          <cell r="A228" t="str">
            <v>Deliveries</v>
          </cell>
        </row>
        <row r="229">
          <cell r="A229" t="str">
            <v>Airbus</v>
          </cell>
          <cell r="B229">
            <v>98</v>
          </cell>
          <cell r="C229">
            <v>163</v>
          </cell>
          <cell r="D229">
            <v>157</v>
          </cell>
          <cell r="E229">
            <v>138</v>
          </cell>
          <cell r="F229">
            <v>126</v>
          </cell>
          <cell r="G229">
            <v>121</v>
          </cell>
          <cell r="H229">
            <v>126</v>
          </cell>
          <cell r="I229">
            <v>182</v>
          </cell>
          <cell r="J229">
            <v>229</v>
          </cell>
          <cell r="K229">
            <v>294</v>
          </cell>
          <cell r="L229">
            <v>311</v>
          </cell>
          <cell r="M229">
            <v>325</v>
          </cell>
          <cell r="N229">
            <v>303</v>
          </cell>
          <cell r="O229">
            <v>305</v>
          </cell>
          <cell r="P229">
            <v>320</v>
          </cell>
          <cell r="Q229">
            <v>378</v>
          </cell>
          <cell r="R229">
            <v>434</v>
          </cell>
          <cell r="S229">
            <v>453</v>
          </cell>
        </row>
        <row r="230">
          <cell r="A230" t="str">
            <v>Boeing</v>
          </cell>
          <cell r="B230">
            <v>520</v>
          </cell>
          <cell r="C230">
            <v>590</v>
          </cell>
          <cell r="D230">
            <v>567</v>
          </cell>
          <cell r="E230">
            <v>397</v>
          </cell>
          <cell r="F230">
            <v>309</v>
          </cell>
          <cell r="G230">
            <v>256</v>
          </cell>
          <cell r="H230">
            <v>264</v>
          </cell>
          <cell r="I230">
            <v>361</v>
          </cell>
          <cell r="J230">
            <v>559</v>
          </cell>
          <cell r="K230">
            <v>620</v>
          </cell>
          <cell r="L230">
            <v>489</v>
          </cell>
          <cell r="M230">
            <v>527</v>
          </cell>
          <cell r="N230">
            <v>381</v>
          </cell>
          <cell r="O230">
            <v>281</v>
          </cell>
          <cell r="P230">
            <v>285</v>
          </cell>
          <cell r="Q230">
            <v>290</v>
          </cell>
          <cell r="R230">
            <v>398</v>
          </cell>
          <cell r="S230">
            <v>475</v>
          </cell>
        </row>
        <row r="231">
          <cell r="A231" t="str">
            <v>Total</v>
          </cell>
          <cell r="B231">
            <v>618</v>
          </cell>
          <cell r="C231">
            <v>753</v>
          </cell>
          <cell r="D231">
            <v>724</v>
          </cell>
          <cell r="E231">
            <v>535</v>
          </cell>
          <cell r="F231">
            <v>435</v>
          </cell>
          <cell r="G231">
            <v>377</v>
          </cell>
          <cell r="H231">
            <v>390</v>
          </cell>
          <cell r="I231">
            <v>543</v>
          </cell>
          <cell r="J231">
            <v>788</v>
          </cell>
          <cell r="K231">
            <v>914</v>
          </cell>
          <cell r="L231">
            <v>800</v>
          </cell>
          <cell r="M231">
            <v>852</v>
          </cell>
          <cell r="N231">
            <v>684</v>
          </cell>
          <cell r="O231">
            <v>586</v>
          </cell>
          <cell r="P231">
            <v>605</v>
          </cell>
          <cell r="Q231">
            <v>668</v>
          </cell>
          <cell r="R231">
            <v>832</v>
          </cell>
          <cell r="S231">
            <v>928</v>
          </cell>
        </row>
        <row r="233">
          <cell r="A233" t="str">
            <v>Backlog/Delivs</v>
          </cell>
          <cell r="B233">
            <v>5.6844660194174761</v>
          </cell>
          <cell r="C233">
            <v>4.0212483399734396</v>
          </cell>
          <cell r="D233">
            <v>3.548342541436464</v>
          </cell>
          <cell r="E233">
            <v>3.7887850467289721</v>
          </cell>
          <cell r="F233">
            <v>4.0022988505747126</v>
          </cell>
          <cell r="G233">
            <v>4.9549071618037139</v>
          </cell>
          <cell r="H233">
            <v>6.0743589743589741</v>
          </cell>
          <cell r="I233">
            <v>4.9005524861878449</v>
          </cell>
          <cell r="J233">
            <v>3.8261421319796955</v>
          </cell>
          <cell r="K233">
            <v>3.2253829321663021</v>
          </cell>
          <cell r="L233">
            <v>4.0449999999999999</v>
          </cell>
          <cell r="M233">
            <v>3.4413145539906105</v>
          </cell>
          <cell r="N233">
            <v>3.884502923976608</v>
          </cell>
          <cell r="O233">
            <v>4.3788395904436861</v>
          </cell>
          <cell r="P233">
            <v>4.3107438016528929</v>
          </cell>
          <cell r="Q233">
            <v>5.9670658682634734</v>
          </cell>
          <cell r="R233">
            <v>5.9951923076923075</v>
          </cell>
          <cell r="S233">
            <v>7.6109913793103452</v>
          </cell>
        </row>
        <row r="285">
          <cell r="A285" t="str">
            <v>Aggregate Orders by Maker</v>
          </cell>
        </row>
        <row r="287">
          <cell r="C287" t="str">
            <v>Large Commercial Orders</v>
          </cell>
          <cell r="S287" t="str">
            <v>Net</v>
          </cell>
        </row>
        <row r="288">
          <cell r="B288">
            <v>1988</v>
          </cell>
          <cell r="C288">
            <v>1989</v>
          </cell>
          <cell r="D288">
            <v>1990</v>
          </cell>
          <cell r="E288">
            <v>1991</v>
          </cell>
          <cell r="F288">
            <v>1992</v>
          </cell>
          <cell r="G288">
            <v>1993</v>
          </cell>
          <cell r="H288">
            <v>1994</v>
          </cell>
          <cell r="I288">
            <v>1995</v>
          </cell>
          <cell r="J288">
            <v>1996</v>
          </cell>
          <cell r="K288">
            <v>1997</v>
          </cell>
          <cell r="L288">
            <v>1998</v>
          </cell>
          <cell r="M288">
            <v>1999</v>
          </cell>
          <cell r="N288">
            <v>2000</v>
          </cell>
          <cell r="O288">
            <v>2001</v>
          </cell>
          <cell r="P288">
            <v>2002</v>
          </cell>
          <cell r="Q288">
            <v>2003</v>
          </cell>
          <cell r="R288">
            <v>2004</v>
          </cell>
          <cell r="S288">
            <v>2005</v>
          </cell>
          <cell r="T288">
            <v>2006</v>
          </cell>
          <cell r="U288">
            <v>2007</v>
          </cell>
        </row>
        <row r="289">
          <cell r="A289" t="str">
            <v>Airbus</v>
          </cell>
          <cell r="B289">
            <v>163</v>
          </cell>
          <cell r="C289">
            <v>390</v>
          </cell>
          <cell r="D289">
            <v>287</v>
          </cell>
          <cell r="E289">
            <v>101</v>
          </cell>
          <cell r="F289">
            <v>136</v>
          </cell>
          <cell r="G289">
            <v>38</v>
          </cell>
          <cell r="H289">
            <v>125</v>
          </cell>
          <cell r="I289">
            <v>106</v>
          </cell>
          <cell r="J289">
            <v>428</v>
          </cell>
          <cell r="K289">
            <v>460</v>
          </cell>
          <cell r="L289">
            <v>556</v>
          </cell>
          <cell r="M289">
            <v>476</v>
          </cell>
          <cell r="N289">
            <v>524</v>
          </cell>
          <cell r="O289">
            <v>375</v>
          </cell>
          <cell r="P289">
            <v>300</v>
          </cell>
          <cell r="Q289">
            <v>284</v>
          </cell>
          <cell r="R289">
            <v>370</v>
          </cell>
          <cell r="S289">
            <v>1111</v>
          </cell>
          <cell r="T289">
            <v>824</v>
          </cell>
          <cell r="U289">
            <v>1341</v>
          </cell>
        </row>
        <row r="290">
          <cell r="A290" t="str">
            <v>Boeing</v>
          </cell>
          <cell r="B290">
            <v>638</v>
          </cell>
          <cell r="C290">
            <v>756</v>
          </cell>
          <cell r="D290">
            <v>651</v>
          </cell>
          <cell r="E290">
            <v>219</v>
          </cell>
          <cell r="F290">
            <v>279</v>
          </cell>
          <cell r="G290">
            <v>231</v>
          </cell>
          <cell r="H290">
            <v>122</v>
          </cell>
          <cell r="I290">
            <v>425</v>
          </cell>
          <cell r="J290">
            <v>596</v>
          </cell>
          <cell r="K290">
            <v>568</v>
          </cell>
          <cell r="L290">
            <v>656</v>
          </cell>
          <cell r="M290">
            <v>391</v>
          </cell>
          <cell r="N290">
            <v>611</v>
          </cell>
          <cell r="O290">
            <v>335</v>
          </cell>
          <cell r="P290">
            <v>251</v>
          </cell>
          <cell r="Q290">
            <v>250</v>
          </cell>
          <cell r="R290">
            <v>272</v>
          </cell>
          <cell r="S290">
            <v>1031</v>
          </cell>
          <cell r="T290">
            <v>1058</v>
          </cell>
          <cell r="U290">
            <v>1423</v>
          </cell>
        </row>
        <row r="291">
          <cell r="A291" t="str">
            <v>Total</v>
          </cell>
          <cell r="B291">
            <v>801</v>
          </cell>
          <cell r="C291">
            <v>1146</v>
          </cell>
          <cell r="D291">
            <v>938</v>
          </cell>
          <cell r="E291">
            <v>320</v>
          </cell>
          <cell r="F291">
            <v>415</v>
          </cell>
          <cell r="G291">
            <v>269</v>
          </cell>
          <cell r="H291">
            <v>247</v>
          </cell>
          <cell r="I291">
            <v>531</v>
          </cell>
          <cell r="J291">
            <v>1024</v>
          </cell>
          <cell r="K291">
            <v>1028</v>
          </cell>
          <cell r="L291">
            <v>1212</v>
          </cell>
          <cell r="M291">
            <v>867</v>
          </cell>
          <cell r="N291">
            <v>1135</v>
          </cell>
          <cell r="O291">
            <v>710</v>
          </cell>
          <cell r="P291">
            <v>551</v>
          </cell>
          <cell r="Q291">
            <v>534</v>
          </cell>
          <cell r="R291">
            <v>642</v>
          </cell>
          <cell r="S291">
            <v>2142</v>
          </cell>
          <cell r="T291">
            <v>1882</v>
          </cell>
          <cell r="U291">
            <v>2764</v>
          </cell>
        </row>
        <row r="292">
          <cell r="A292" t="str">
            <v>% ch y/y</v>
          </cell>
          <cell r="C292">
            <v>0.43071161048689133</v>
          </cell>
          <cell r="D292">
            <v>-0.18150087260034908</v>
          </cell>
          <cell r="E292">
            <v>-0.65884861407249473</v>
          </cell>
          <cell r="F292">
            <v>0.296875</v>
          </cell>
          <cell r="G292">
            <v>-0.35180722891566263</v>
          </cell>
          <cell r="H292">
            <v>-8.1784386617100413E-2</v>
          </cell>
          <cell r="I292">
            <v>1.1497975708502026</v>
          </cell>
          <cell r="J292">
            <v>0.92843691148775886</v>
          </cell>
          <cell r="K292">
            <v>3.90625E-3</v>
          </cell>
          <cell r="L292">
            <v>0.17898832684824906</v>
          </cell>
          <cell r="M292">
            <v>-0.28465346534653468</v>
          </cell>
          <cell r="N292">
            <v>0.3091118800461361</v>
          </cell>
          <cell r="O292">
            <v>-0.37444933920704848</v>
          </cell>
          <cell r="P292">
            <v>-0.22394366197183102</v>
          </cell>
          <cell r="Q292">
            <v>-3.0852994555353952E-2</v>
          </cell>
          <cell r="R292">
            <v>0.202247191011236</v>
          </cell>
          <cell r="S292">
            <v>2.3364485981308412</v>
          </cell>
          <cell r="T292">
            <v>-0.12138188608776845</v>
          </cell>
          <cell r="U292">
            <v>0.46865037194473969</v>
          </cell>
        </row>
        <row r="293">
          <cell r="A293" t="str">
            <v>% Airbus</v>
          </cell>
          <cell r="B293">
            <v>0.20349563046192259</v>
          </cell>
          <cell r="C293">
            <v>0.34031413612565448</v>
          </cell>
          <cell r="D293">
            <v>0.30597014925373134</v>
          </cell>
          <cell r="E293">
            <v>0.31562499999999999</v>
          </cell>
          <cell r="F293">
            <v>0.32771084337349399</v>
          </cell>
          <cell r="G293">
            <v>0.14126394052044611</v>
          </cell>
          <cell r="H293">
            <v>0.50607287449392713</v>
          </cell>
          <cell r="I293">
            <v>0.19962335216572505</v>
          </cell>
          <cell r="J293">
            <v>0.41796875</v>
          </cell>
          <cell r="K293">
            <v>0.44747081712062259</v>
          </cell>
          <cell r="L293">
            <v>0.45874587458745875</v>
          </cell>
          <cell r="M293">
            <v>0.5490196078431373</v>
          </cell>
          <cell r="N293">
            <v>0.46167400881057269</v>
          </cell>
          <cell r="O293">
            <v>0.528169014084507</v>
          </cell>
          <cell r="P293">
            <v>0.54446460980036293</v>
          </cell>
          <cell r="Q293">
            <v>0.53183520599250933</v>
          </cell>
          <cell r="R293">
            <v>0.57632398753894076</v>
          </cell>
          <cell r="S293">
            <v>0.51867413632119519</v>
          </cell>
          <cell r="T293">
            <v>0.43783209351753455</v>
          </cell>
          <cell r="U293">
            <v>0.48516642547033284</v>
          </cell>
        </row>
        <row r="294">
          <cell r="A294" t="str">
            <v>% Boeing</v>
          </cell>
          <cell r="B294">
            <v>0.79650436953807735</v>
          </cell>
          <cell r="C294">
            <v>0.65968586387434558</v>
          </cell>
          <cell r="D294">
            <v>0.69402985074626866</v>
          </cell>
          <cell r="E294">
            <v>0.68437499999999996</v>
          </cell>
          <cell r="F294">
            <v>0.67228915662650601</v>
          </cell>
          <cell r="G294">
            <v>0.85873605947955389</v>
          </cell>
          <cell r="H294">
            <v>0.49392712550607287</v>
          </cell>
          <cell r="I294">
            <v>0.80037664783427498</v>
          </cell>
          <cell r="J294">
            <v>0.58203125</v>
          </cell>
          <cell r="K294">
            <v>0.55252918287937747</v>
          </cell>
          <cell r="L294">
            <v>0.54125412541254125</v>
          </cell>
          <cell r="M294">
            <v>0.45098039215686275</v>
          </cell>
          <cell r="N294">
            <v>0.53832599118942737</v>
          </cell>
          <cell r="O294">
            <v>0.47183098591549294</v>
          </cell>
          <cell r="P294">
            <v>0.45553539019963701</v>
          </cell>
          <cell r="Q294">
            <v>0.46816479400749061</v>
          </cell>
          <cell r="R294">
            <v>0.42367601246105918</v>
          </cell>
          <cell r="S294">
            <v>0.48132586367880487</v>
          </cell>
          <cell r="T294">
            <v>0.56216790648246551</v>
          </cell>
          <cell r="U294">
            <v>0.51483357452966716</v>
          </cell>
        </row>
        <row r="320">
          <cell r="A320" t="str">
            <v>Aggregate Book:Bill</v>
          </cell>
        </row>
        <row r="322">
          <cell r="A322" t="str">
            <v>Book: Bill</v>
          </cell>
        </row>
        <row r="323">
          <cell r="B323">
            <v>1990</v>
          </cell>
          <cell r="C323">
            <v>1991</v>
          </cell>
          <cell r="D323" t="str">
            <v>1992</v>
          </cell>
          <cell r="E323" t="str">
            <v>1993</v>
          </cell>
          <cell r="F323" t="str">
            <v>1994</v>
          </cell>
          <cell r="G323" t="str">
            <v>1995</v>
          </cell>
          <cell r="H323" t="str">
            <v>1996</v>
          </cell>
          <cell r="I323" t="str">
            <v>1997</v>
          </cell>
          <cell r="J323" t="str">
            <v>1998</v>
          </cell>
          <cell r="K323">
            <v>1999</v>
          </cell>
          <cell r="L323">
            <v>2000</v>
          </cell>
          <cell r="M323">
            <v>2001</v>
          </cell>
          <cell r="N323">
            <v>2002</v>
          </cell>
          <cell r="O323">
            <v>2003</v>
          </cell>
          <cell r="P323">
            <v>2004</v>
          </cell>
          <cell r="Q323">
            <v>2005</v>
          </cell>
          <cell r="R323">
            <v>2006</v>
          </cell>
          <cell r="S323">
            <v>2007</v>
          </cell>
        </row>
        <row r="324">
          <cell r="A324" t="str">
            <v>Airbus</v>
          </cell>
          <cell r="B324">
            <v>3.0210526315789474</v>
          </cell>
          <cell r="C324">
            <v>0.61963190184049077</v>
          </cell>
          <cell r="D324">
            <v>0.86624203821656054</v>
          </cell>
          <cell r="E324">
            <v>0.27536231884057971</v>
          </cell>
          <cell r="F324">
            <v>0.99206349206349209</v>
          </cell>
          <cell r="G324">
            <v>0.87603305785123964</v>
          </cell>
          <cell r="H324">
            <v>3.3968253968253967</v>
          </cell>
          <cell r="I324">
            <v>2.5274725274725274</v>
          </cell>
          <cell r="J324">
            <v>2.427947598253275</v>
          </cell>
          <cell r="K324">
            <v>1.6190476190476191</v>
          </cell>
          <cell r="L324">
            <v>1.6903225806451614</v>
          </cell>
          <cell r="M324">
            <v>1.1538461538461537</v>
          </cell>
          <cell r="N324">
            <v>0.99009900990099009</v>
          </cell>
          <cell r="O324">
            <v>0.93114754098360653</v>
          </cell>
          <cell r="P324">
            <v>1.15625</v>
          </cell>
          <cell r="Q324">
            <v>2.9391534391534391</v>
          </cell>
          <cell r="R324">
            <v>1.8986175115207373</v>
          </cell>
          <cell r="S324">
            <v>2.9602649006622515</v>
          </cell>
        </row>
        <row r="325">
          <cell r="A325" t="str">
            <v>Boeing</v>
          </cell>
          <cell r="B325">
            <v>1.2352941176470589</v>
          </cell>
          <cell r="C325">
            <v>0.36138613861386137</v>
          </cell>
          <cell r="D325">
            <v>0.49206349206349204</v>
          </cell>
          <cell r="E325">
            <v>0.58186397984886651</v>
          </cell>
          <cell r="F325">
            <v>0.39482200647249188</v>
          </cell>
          <cell r="G325">
            <v>1.66015625</v>
          </cell>
          <cell r="H325">
            <v>2.2575757575757578</v>
          </cell>
          <cell r="I325">
            <v>1.5734072022160666</v>
          </cell>
          <cell r="J325">
            <v>1.1735241502683362</v>
          </cell>
          <cell r="K325">
            <v>0.63064516129032255</v>
          </cell>
          <cell r="L325">
            <v>1.2494887525562373</v>
          </cell>
          <cell r="M325">
            <v>0.635673624288425</v>
          </cell>
          <cell r="N325">
            <v>0.65879265091863515</v>
          </cell>
          <cell r="O325">
            <v>0.88967971530249113</v>
          </cell>
          <cell r="P325">
            <v>0.95438596491228067</v>
          </cell>
          <cell r="Q325">
            <v>3.5551724137931036</v>
          </cell>
          <cell r="R325">
            <v>2.658291457286432</v>
          </cell>
          <cell r="S325">
            <v>3.2267573696145124</v>
          </cell>
        </row>
        <row r="326">
          <cell r="A326" t="str">
            <v>YTD</v>
          </cell>
        </row>
        <row r="350">
          <cell r="R350" t="str">
            <v>Large Commercial OEs Order/Delivery History</v>
          </cell>
        </row>
        <row r="352">
          <cell r="S352">
            <v>2000</v>
          </cell>
          <cell r="T352">
            <v>2001</v>
          </cell>
          <cell r="U352">
            <v>2002</v>
          </cell>
          <cell r="V352">
            <v>2003</v>
          </cell>
          <cell r="W352">
            <v>2004</v>
          </cell>
          <cell r="X352">
            <v>2005</v>
          </cell>
          <cell r="Y352">
            <v>2006</v>
          </cell>
          <cell r="Z352">
            <v>2007</v>
          </cell>
          <cell r="AA352" t="str">
            <v>2008E</v>
          </cell>
        </row>
        <row r="353">
          <cell r="R353" t="str">
            <v>Orders</v>
          </cell>
          <cell r="S353">
            <v>1135</v>
          </cell>
          <cell r="T353">
            <v>710</v>
          </cell>
          <cell r="U353">
            <v>551</v>
          </cell>
          <cell r="V353">
            <v>534</v>
          </cell>
          <cell r="W353">
            <v>642</v>
          </cell>
          <cell r="X353">
            <v>2142</v>
          </cell>
          <cell r="Y353">
            <v>1882</v>
          </cell>
          <cell r="Z353">
            <v>2764</v>
          </cell>
          <cell r="AA353">
            <v>1600</v>
          </cell>
        </row>
        <row r="354">
          <cell r="R354" t="str">
            <v>Deliveries</v>
          </cell>
          <cell r="S354">
            <v>799</v>
          </cell>
          <cell r="T354">
            <v>852</v>
          </cell>
          <cell r="U354">
            <v>684</v>
          </cell>
          <cell r="V354">
            <v>586</v>
          </cell>
          <cell r="W354">
            <v>605</v>
          </cell>
          <cell r="X354">
            <v>668</v>
          </cell>
          <cell r="Y354">
            <v>832</v>
          </cell>
          <cell r="Z354">
            <v>894</v>
          </cell>
          <cell r="AA354">
            <v>1020</v>
          </cell>
        </row>
        <row r="355">
          <cell r="R355" t="str">
            <v>Book:Bill</v>
          </cell>
          <cell r="S355">
            <v>1.4205256570713392</v>
          </cell>
          <cell r="T355">
            <v>0.83333333333333337</v>
          </cell>
          <cell r="U355">
            <v>0.80555555555555558</v>
          </cell>
          <cell r="V355">
            <v>0.9112627986348123</v>
          </cell>
          <cell r="W355">
            <v>1.0611570247933884</v>
          </cell>
          <cell r="X355">
            <v>3.2065868263473054</v>
          </cell>
          <cell r="Y355">
            <v>2.2620192307692308</v>
          </cell>
          <cell r="Z355">
            <v>3.0917225950782998</v>
          </cell>
          <cell r="AA355">
            <v>1.5686274509803921</v>
          </cell>
        </row>
      </sheetData>
      <sheetData sheetId="21">
        <row r="4">
          <cell r="B4" t="str">
            <v>2005 Paris Air Show Orders</v>
          </cell>
        </row>
      </sheetData>
      <sheetData sheetId="22" refreshError="1"/>
      <sheetData sheetId="23" refreshError="1"/>
      <sheetData sheetId="24">
        <row r="2">
          <cell r="C2" t="str">
            <v>Boeing Farnborough 2008 Air Show Orders</v>
          </cell>
        </row>
      </sheetData>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__FDSCACHE__"/>
      <sheetName val="TXT Tables"/>
      <sheetName val="Output"/>
      <sheetName val="TCFC Liquid analysis"/>
      <sheetName val="Fin, Output"/>
      <sheetName val="Debt"/>
      <sheetName val="Capital Raise"/>
      <sheetName val="Variance Analysis"/>
      <sheetName val="Quarterly P&amp;L"/>
      <sheetName val="Finance"/>
      <sheetName val="TFC Roll-Off Analysis"/>
      <sheetName val="Finance Senario Analysis"/>
      <sheetName val="Cessna"/>
      <sheetName val="Bell"/>
      <sheetName val="Industrial"/>
      <sheetName val="TXT Systems"/>
      <sheetName val="Valuation- Multiples (2)"/>
      <sheetName val="MWA RR"/>
      <sheetName val="Open Platform- Assumptions"/>
      <sheetName val="Covenant Checks"/>
      <sheetName val="Debt Schedule"/>
      <sheetName val="Valuation- Sum of Parts"/>
      <sheetName val="Valuation- Multiples"/>
      <sheetName val="DCF"/>
      <sheetName val="Key Ratios"/>
      <sheetName val="MW-Cache"/>
      <sheetName val="CessnaDetail"/>
      <sheetName val="Bell-Detail"/>
      <sheetName val="Revenue by Segment"/>
      <sheetName val="Backlog- Time to Fill"/>
      <sheetName val="Backlog- Govt. vs Commerical"/>
      <sheetName val="R&amp;D Spend"/>
      <sheetName val="Revs, Assets Per Employee"/>
      <sheetName val="Revs &amp; Manufacturing Space "/>
      <sheetName val="Historical"/>
      <sheetName val="Management"/>
      <sheetName val="mwareDates"/>
      <sheetName val="Roll off Speed"/>
      <sheetName val="Chart1"/>
      <sheetName val="Chart2"/>
      <sheetName val="Chart3"/>
      <sheetName val="Chart4"/>
      <sheetName val="Chart5"/>
      <sheetName val="SOTP Guidance"/>
      <sheetName val="SOTP Guidance (2)"/>
      <sheetName val="mwareSettings"/>
      <sheetName val="XOM"/>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ow r="12">
          <cell r="W12">
            <v>0.25</v>
          </cell>
          <cell r="X12">
            <v>1064</v>
          </cell>
        </row>
        <row r="13">
          <cell r="W13">
            <v>0.24</v>
          </cell>
        </row>
        <row r="14">
          <cell r="W14">
            <v>0.22999999999999998</v>
          </cell>
        </row>
        <row r="15">
          <cell r="W15">
            <v>0.21999999999999997</v>
          </cell>
        </row>
        <row r="16">
          <cell r="W16">
            <v>0.20999999999999996</v>
          </cell>
        </row>
        <row r="17">
          <cell r="W17">
            <v>0.19999999999999996</v>
          </cell>
        </row>
        <row r="18">
          <cell r="W18">
            <v>0.18999999999999995</v>
          </cell>
        </row>
        <row r="19">
          <cell r="W19">
            <v>0.17999999999999994</v>
          </cell>
        </row>
        <row r="20">
          <cell r="W20">
            <v>0.16999999999999993</v>
          </cell>
        </row>
        <row r="21">
          <cell r="W21">
            <v>0.15999999999999992</v>
          </cell>
        </row>
        <row r="22">
          <cell r="W22">
            <v>0.14999999999999991</v>
          </cell>
        </row>
        <row r="23">
          <cell r="W23">
            <v>0.1399999999999999</v>
          </cell>
        </row>
        <row r="24">
          <cell r="W24">
            <v>0.12999999999999989</v>
          </cell>
        </row>
        <row r="25">
          <cell r="W25">
            <v>0.1199999999999999</v>
          </cell>
        </row>
        <row r="26">
          <cell r="W26">
            <v>0.1099999999999999</v>
          </cell>
        </row>
        <row r="27">
          <cell r="W27">
            <v>9.9999999999999908E-2</v>
          </cell>
        </row>
        <row r="28">
          <cell r="W28">
            <v>8.9999999999999913E-2</v>
          </cell>
        </row>
        <row r="29">
          <cell r="W29">
            <v>7.9999999999999918E-2</v>
          </cell>
        </row>
        <row r="30">
          <cell r="W30">
            <v>6.9999999999999923E-2</v>
          </cell>
        </row>
        <row r="31">
          <cell r="W31">
            <v>5.9999999999999921E-2</v>
          </cell>
        </row>
        <row r="32">
          <cell r="W32">
            <v>4.999999999999992E-2</v>
          </cell>
        </row>
        <row r="33">
          <cell r="W33">
            <v>3.9999999999999918E-2</v>
          </cell>
        </row>
        <row r="34">
          <cell r="W34">
            <v>2.9999999999999916E-2</v>
          </cell>
        </row>
        <row r="35">
          <cell r="W35">
            <v>1.9999999999999914E-2</v>
          </cell>
        </row>
        <row r="36">
          <cell r="W36">
            <v>9.9999999999999135E-3</v>
          </cell>
        </row>
        <row r="37">
          <cell r="W37">
            <v>-8.6736173798840355E-17</v>
          </cell>
        </row>
        <row r="38">
          <cell r="W38">
            <v>-1.0000000000000087E-2</v>
          </cell>
        </row>
        <row r="39">
          <cell r="W39">
            <v>-2.0000000000000087E-2</v>
          </cell>
        </row>
        <row r="40">
          <cell r="W40">
            <v>-3.0000000000000089E-2</v>
          </cell>
        </row>
        <row r="41">
          <cell r="W41">
            <v>-4.0000000000000091E-2</v>
          </cell>
        </row>
        <row r="42">
          <cell r="W42">
            <v>-5.0000000000000093E-2</v>
          </cell>
        </row>
        <row r="43">
          <cell r="W43">
            <v>-6.0000000000000095E-2</v>
          </cell>
        </row>
        <row r="44">
          <cell r="W44">
            <v>-7.000000000000009E-2</v>
          </cell>
        </row>
        <row r="45">
          <cell r="W45">
            <v>-8.0000000000000085E-2</v>
          </cell>
        </row>
        <row r="46">
          <cell r="W46">
            <v>-9.000000000000008E-2</v>
          </cell>
        </row>
        <row r="47">
          <cell r="W47">
            <v>-0.10000000000000007</v>
          </cell>
        </row>
        <row r="48">
          <cell r="W48">
            <v>-0.11000000000000007</v>
          </cell>
        </row>
        <row r="49">
          <cell r="W49">
            <v>-0.12000000000000006</v>
          </cell>
        </row>
        <row r="50">
          <cell r="W50">
            <v>-0.13000000000000006</v>
          </cell>
        </row>
        <row r="51">
          <cell r="W51">
            <v>-0.14000000000000007</v>
          </cell>
        </row>
        <row r="52">
          <cell r="W52">
            <v>-0.15000000000000008</v>
          </cell>
        </row>
        <row r="53">
          <cell r="W53">
            <v>-0.16000000000000009</v>
          </cell>
        </row>
        <row r="54">
          <cell r="W54">
            <v>-0.1700000000000001</v>
          </cell>
        </row>
        <row r="55">
          <cell r="W55">
            <v>-0.1800000000000001</v>
          </cell>
        </row>
        <row r="56">
          <cell r="W56">
            <v>-0.19000000000000011</v>
          </cell>
        </row>
        <row r="57">
          <cell r="W57">
            <v>-0.20000000000000012</v>
          </cell>
        </row>
        <row r="58">
          <cell r="W58">
            <v>-0.21000000000000013</v>
          </cell>
        </row>
        <row r="59">
          <cell r="W59">
            <v>-0.22000000000000014</v>
          </cell>
        </row>
        <row r="60">
          <cell r="W60">
            <v>-0.23000000000000015</v>
          </cell>
        </row>
        <row r="61">
          <cell r="W61">
            <v>-0.24000000000000016</v>
          </cell>
        </row>
        <row r="62">
          <cell r="W62">
            <v>-0.25000000000000017</v>
          </cell>
        </row>
        <row r="63">
          <cell r="W63" t="b">
            <v>0</v>
          </cell>
        </row>
        <row r="64">
          <cell r="W64" t="b">
            <v>0</v>
          </cell>
        </row>
        <row r="65">
          <cell r="W65" t="b">
            <v>0</v>
          </cell>
        </row>
        <row r="66">
          <cell r="W66" t="b">
            <v>0</v>
          </cell>
        </row>
        <row r="67">
          <cell r="W67" t="b">
            <v>0</v>
          </cell>
        </row>
        <row r="68">
          <cell r="W68" t="b">
            <v>0</v>
          </cell>
        </row>
        <row r="69">
          <cell r="W69" t="b">
            <v>0</v>
          </cell>
        </row>
        <row r="70">
          <cell r="W70" t="b">
            <v>0</v>
          </cell>
        </row>
        <row r="71">
          <cell r="W71" t="b">
            <v>0</v>
          </cell>
        </row>
        <row r="72">
          <cell r="W72" t="b">
            <v>0</v>
          </cell>
        </row>
        <row r="73">
          <cell r="W73" t="b">
            <v>0</v>
          </cell>
        </row>
        <row r="74">
          <cell r="W74" t="b">
            <v>0</v>
          </cell>
        </row>
        <row r="75">
          <cell r="W75" t="b">
            <v>0</v>
          </cell>
        </row>
        <row r="76">
          <cell r="W76" t="b">
            <v>0</v>
          </cell>
        </row>
        <row r="77">
          <cell r="W77" t="b">
            <v>0</v>
          </cell>
        </row>
        <row r="78">
          <cell r="W78" t="b">
            <v>0</v>
          </cell>
        </row>
        <row r="79">
          <cell r="W79" t="b">
            <v>0</v>
          </cell>
        </row>
        <row r="80">
          <cell r="W80" t="b">
            <v>0</v>
          </cell>
        </row>
        <row r="81">
          <cell r="W81" t="b">
            <v>0</v>
          </cell>
        </row>
        <row r="82">
          <cell r="W82" t="b">
            <v>0</v>
          </cell>
        </row>
        <row r="83">
          <cell r="W83" t="b">
            <v>0</v>
          </cell>
        </row>
        <row r="84">
          <cell r="W84" t="b">
            <v>0</v>
          </cell>
        </row>
        <row r="85">
          <cell r="W85" t="b">
            <v>0</v>
          </cell>
        </row>
        <row r="86">
          <cell r="W86" t="b">
            <v>0</v>
          </cell>
        </row>
        <row r="87">
          <cell r="W87" t="b">
            <v>0</v>
          </cell>
        </row>
        <row r="88">
          <cell r="W88" t="b">
            <v>0</v>
          </cell>
        </row>
        <row r="89">
          <cell r="W89" t="b">
            <v>0</v>
          </cell>
        </row>
        <row r="90">
          <cell r="W90" t="b">
            <v>0</v>
          </cell>
        </row>
        <row r="91">
          <cell r="W91" t="b">
            <v>0</v>
          </cell>
        </row>
        <row r="92">
          <cell r="W92" t="b">
            <v>0</v>
          </cell>
        </row>
        <row r="93">
          <cell r="W93" t="b">
            <v>0</v>
          </cell>
        </row>
        <row r="94">
          <cell r="W94" t="b">
            <v>0</v>
          </cell>
        </row>
        <row r="95">
          <cell r="W95" t="b">
            <v>0</v>
          </cell>
        </row>
        <row r="96">
          <cell r="W96" t="b">
            <v>0</v>
          </cell>
        </row>
        <row r="97">
          <cell r="W97" t="b">
            <v>0</v>
          </cell>
        </row>
        <row r="98">
          <cell r="W98" t="b">
            <v>0</v>
          </cell>
        </row>
        <row r="99">
          <cell r="W99" t="b">
            <v>0</v>
          </cell>
        </row>
        <row r="100">
          <cell r="W100" t="b">
            <v>0</v>
          </cell>
        </row>
        <row r="101">
          <cell r="W101" t="b">
            <v>0</v>
          </cell>
        </row>
        <row r="102">
          <cell r="W102" t="b">
            <v>0</v>
          </cell>
        </row>
        <row r="103">
          <cell r="W103" t="b">
            <v>0</v>
          </cell>
        </row>
        <row r="104">
          <cell r="W104" t="b">
            <v>0</v>
          </cell>
        </row>
        <row r="105">
          <cell r="W105" t="b">
            <v>0</v>
          </cell>
        </row>
        <row r="106">
          <cell r="W106" t="b">
            <v>0</v>
          </cell>
        </row>
        <row r="107">
          <cell r="W107" t="b">
            <v>0</v>
          </cell>
        </row>
        <row r="108">
          <cell r="W108" t="b">
            <v>0</v>
          </cell>
        </row>
        <row r="109">
          <cell r="W109" t="b">
            <v>0</v>
          </cell>
        </row>
        <row r="110">
          <cell r="W110" t="b">
            <v>0</v>
          </cell>
        </row>
        <row r="111">
          <cell r="W111" t="b">
            <v>0</v>
          </cell>
        </row>
        <row r="112">
          <cell r="W112" t="b">
            <v>0</v>
          </cell>
        </row>
        <row r="113">
          <cell r="W113" t="b">
            <v>0</v>
          </cell>
        </row>
        <row r="114">
          <cell r="W114" t="b">
            <v>0</v>
          </cell>
        </row>
        <row r="115">
          <cell r="W115" t="b">
            <v>0</v>
          </cell>
        </row>
        <row r="116">
          <cell r="W116" t="b">
            <v>0</v>
          </cell>
        </row>
        <row r="117">
          <cell r="W117" t="b">
            <v>0</v>
          </cell>
        </row>
        <row r="118">
          <cell r="W118" t="b">
            <v>0</v>
          </cell>
        </row>
        <row r="119">
          <cell r="W119" t="b">
            <v>0</v>
          </cell>
        </row>
        <row r="120">
          <cell r="W120" t="b">
            <v>0</v>
          </cell>
        </row>
        <row r="121">
          <cell r="W121" t="b">
            <v>0</v>
          </cell>
        </row>
        <row r="122">
          <cell r="W122" t="b">
            <v>0</v>
          </cell>
        </row>
        <row r="123">
          <cell r="W123" t="b">
            <v>0</v>
          </cell>
        </row>
        <row r="124">
          <cell r="W124" t="b">
            <v>0</v>
          </cell>
        </row>
        <row r="125">
          <cell r="W125" t="b">
            <v>0</v>
          </cell>
        </row>
        <row r="126">
          <cell r="W126" t="b">
            <v>0</v>
          </cell>
        </row>
        <row r="127">
          <cell r="W127" t="b">
            <v>0</v>
          </cell>
        </row>
        <row r="128">
          <cell r="W128" t="b">
            <v>0</v>
          </cell>
        </row>
        <row r="129">
          <cell r="W129" t="b">
            <v>0</v>
          </cell>
        </row>
        <row r="130">
          <cell r="W130" t="b">
            <v>0</v>
          </cell>
        </row>
        <row r="131">
          <cell r="W131" t="b">
            <v>0</v>
          </cell>
        </row>
        <row r="132">
          <cell r="W132" t="b">
            <v>0</v>
          </cell>
        </row>
        <row r="133">
          <cell r="W133" t="b">
            <v>0</v>
          </cell>
        </row>
        <row r="134">
          <cell r="W134" t="b">
            <v>0</v>
          </cell>
        </row>
        <row r="135">
          <cell r="W135" t="b">
            <v>0</v>
          </cell>
        </row>
        <row r="136">
          <cell r="W136" t="b">
            <v>0</v>
          </cell>
        </row>
        <row r="137">
          <cell r="W137" t="b">
            <v>0</v>
          </cell>
        </row>
        <row r="138">
          <cell r="W138" t="b">
            <v>0</v>
          </cell>
        </row>
        <row r="139">
          <cell r="W139" t="b">
            <v>0</v>
          </cell>
        </row>
        <row r="140">
          <cell r="W140" t="b">
            <v>0</v>
          </cell>
        </row>
        <row r="141">
          <cell r="W141" t="b">
            <v>0</v>
          </cell>
        </row>
        <row r="142">
          <cell r="W142" t="b">
            <v>0</v>
          </cell>
        </row>
        <row r="143">
          <cell r="W143" t="b">
            <v>0</v>
          </cell>
        </row>
        <row r="144">
          <cell r="W144" t="b">
            <v>0</v>
          </cell>
        </row>
        <row r="145">
          <cell r="W145" t="b">
            <v>0</v>
          </cell>
        </row>
        <row r="146">
          <cell r="W146" t="b">
            <v>0</v>
          </cell>
        </row>
        <row r="147">
          <cell r="W147" t="b">
            <v>0</v>
          </cell>
        </row>
        <row r="148">
          <cell r="W148" t="b">
            <v>0</v>
          </cell>
        </row>
        <row r="149">
          <cell r="W149" t="b">
            <v>0</v>
          </cell>
        </row>
        <row r="150">
          <cell r="W150" t="b">
            <v>0</v>
          </cell>
        </row>
        <row r="151">
          <cell r="W151" t="b">
            <v>0</v>
          </cell>
        </row>
        <row r="152">
          <cell r="W152" t="b">
            <v>0</v>
          </cell>
        </row>
        <row r="153">
          <cell r="W153" t="b">
            <v>0</v>
          </cell>
        </row>
        <row r="154">
          <cell r="W154" t="b">
            <v>0</v>
          </cell>
        </row>
        <row r="155">
          <cell r="W155" t="b">
            <v>0</v>
          </cell>
        </row>
        <row r="156">
          <cell r="W156" t="b">
            <v>0</v>
          </cell>
        </row>
        <row r="157">
          <cell r="W157" t="b">
            <v>0</v>
          </cell>
        </row>
        <row r="158">
          <cell r="W158" t="b">
            <v>0</v>
          </cell>
        </row>
        <row r="159">
          <cell r="W159" t="b">
            <v>0</v>
          </cell>
        </row>
        <row r="160">
          <cell r="W160" t="b">
            <v>0</v>
          </cell>
        </row>
        <row r="161">
          <cell r="W161" t="b">
            <v>0</v>
          </cell>
        </row>
        <row r="162">
          <cell r="W162" t="b">
            <v>0</v>
          </cell>
        </row>
        <row r="163">
          <cell r="W163" t="b">
            <v>0</v>
          </cell>
        </row>
        <row r="164">
          <cell r="W164" t="b">
            <v>0</v>
          </cell>
        </row>
        <row r="165">
          <cell r="W165" t="b">
            <v>0</v>
          </cell>
        </row>
        <row r="166">
          <cell r="W166" t="b">
            <v>0</v>
          </cell>
        </row>
        <row r="167">
          <cell r="W167" t="b">
            <v>0</v>
          </cell>
        </row>
        <row r="168">
          <cell r="W168" t="b">
            <v>0</v>
          </cell>
        </row>
        <row r="169">
          <cell r="W169" t="b">
            <v>0</v>
          </cell>
        </row>
        <row r="170">
          <cell r="W170" t="b">
            <v>0</v>
          </cell>
        </row>
        <row r="171">
          <cell r="W171" t="b">
            <v>0</v>
          </cell>
        </row>
        <row r="172">
          <cell r="W172" t="b">
            <v>0</v>
          </cell>
        </row>
        <row r="173">
          <cell r="W173" t="b">
            <v>0</v>
          </cell>
        </row>
        <row r="174">
          <cell r="W174" t="b">
            <v>0</v>
          </cell>
        </row>
        <row r="175">
          <cell r="W175" t="b">
            <v>0</v>
          </cell>
        </row>
        <row r="176">
          <cell r="W176" t="b">
            <v>0</v>
          </cell>
        </row>
        <row r="177">
          <cell r="W177" t="b">
            <v>0</v>
          </cell>
        </row>
        <row r="178">
          <cell r="W178" t="b">
            <v>0</v>
          </cell>
        </row>
        <row r="179">
          <cell r="W179" t="b">
            <v>0</v>
          </cell>
        </row>
        <row r="180">
          <cell r="W180" t="b">
            <v>0</v>
          </cell>
        </row>
        <row r="181">
          <cell r="W181" t="b">
            <v>0</v>
          </cell>
        </row>
        <row r="182">
          <cell r="W182" t="b">
            <v>0</v>
          </cell>
        </row>
        <row r="183">
          <cell r="W183" t="b">
            <v>0</v>
          </cell>
        </row>
        <row r="184">
          <cell r="W184" t="b">
            <v>0</v>
          </cell>
        </row>
        <row r="185">
          <cell r="W185" t="b">
            <v>0</v>
          </cell>
        </row>
        <row r="186">
          <cell r="W186" t="b">
            <v>0</v>
          </cell>
        </row>
        <row r="187">
          <cell r="W187" t="b">
            <v>0</v>
          </cell>
        </row>
        <row r="188">
          <cell r="W188" t="b">
            <v>0</v>
          </cell>
        </row>
        <row r="189">
          <cell r="W189" t="b">
            <v>0</v>
          </cell>
        </row>
        <row r="190">
          <cell r="W190" t="b">
            <v>0</v>
          </cell>
        </row>
        <row r="191">
          <cell r="W191" t="b">
            <v>0</v>
          </cell>
        </row>
        <row r="192">
          <cell r="W192" t="b">
            <v>0</v>
          </cell>
        </row>
        <row r="193">
          <cell r="W193" t="b">
            <v>0</v>
          </cell>
        </row>
        <row r="194">
          <cell r="W194" t="b">
            <v>0</v>
          </cell>
        </row>
        <row r="195">
          <cell r="W195" t="b">
            <v>0</v>
          </cell>
        </row>
        <row r="196">
          <cell r="W196" t="b">
            <v>0</v>
          </cell>
        </row>
        <row r="197">
          <cell r="W197" t="b">
            <v>0</v>
          </cell>
        </row>
        <row r="198">
          <cell r="W198" t="b">
            <v>0</v>
          </cell>
        </row>
        <row r="199">
          <cell r="W199" t="b">
            <v>0</v>
          </cell>
        </row>
        <row r="200">
          <cell r="W200" t="b">
            <v>0</v>
          </cell>
        </row>
        <row r="201">
          <cell r="W201" t="b">
            <v>0</v>
          </cell>
        </row>
        <row r="202">
          <cell r="W202" t="b">
            <v>0</v>
          </cell>
        </row>
        <row r="203">
          <cell r="W203" t="b">
            <v>0</v>
          </cell>
        </row>
        <row r="204">
          <cell r="W204" t="b">
            <v>0</v>
          </cell>
        </row>
        <row r="205">
          <cell r="W205" t="b">
            <v>0</v>
          </cell>
        </row>
        <row r="206">
          <cell r="W206" t="b">
            <v>0</v>
          </cell>
        </row>
        <row r="207">
          <cell r="W207" t="b">
            <v>0</v>
          </cell>
        </row>
        <row r="208">
          <cell r="W208" t="b">
            <v>0</v>
          </cell>
        </row>
        <row r="209">
          <cell r="W209" t="b">
            <v>0</v>
          </cell>
        </row>
        <row r="210">
          <cell r="W210" t="b">
            <v>0</v>
          </cell>
        </row>
        <row r="211">
          <cell r="W211" t="b">
            <v>0</v>
          </cell>
        </row>
        <row r="212">
          <cell r="W212" t="b">
            <v>0</v>
          </cell>
        </row>
        <row r="213">
          <cell r="W213" t="b">
            <v>0</v>
          </cell>
        </row>
        <row r="214">
          <cell r="W214" t="b">
            <v>0</v>
          </cell>
        </row>
        <row r="215">
          <cell r="W215" t="b">
            <v>0</v>
          </cell>
        </row>
        <row r="216">
          <cell r="W216" t="b">
            <v>0</v>
          </cell>
        </row>
        <row r="217">
          <cell r="W217" t="b">
            <v>0</v>
          </cell>
        </row>
        <row r="218">
          <cell r="W218" t="b">
            <v>0</v>
          </cell>
        </row>
        <row r="219">
          <cell r="W219" t="b">
            <v>0</v>
          </cell>
        </row>
        <row r="220">
          <cell r="W220" t="b">
            <v>0</v>
          </cell>
        </row>
        <row r="221">
          <cell r="W221" t="b">
            <v>0</v>
          </cell>
        </row>
        <row r="222">
          <cell r="W222" t="b">
            <v>0</v>
          </cell>
        </row>
        <row r="223">
          <cell r="W223" t="b">
            <v>0</v>
          </cell>
        </row>
        <row r="224">
          <cell r="W224" t="b">
            <v>0</v>
          </cell>
        </row>
        <row r="225">
          <cell r="W225" t="b">
            <v>0</v>
          </cell>
        </row>
        <row r="226">
          <cell r="W226" t="b">
            <v>0</v>
          </cell>
        </row>
        <row r="227">
          <cell r="W227" t="b">
            <v>0</v>
          </cell>
        </row>
        <row r="228">
          <cell r="W228" t="b">
            <v>0</v>
          </cell>
        </row>
        <row r="229">
          <cell r="W229" t="b">
            <v>0</v>
          </cell>
        </row>
        <row r="230">
          <cell r="W230" t="b">
            <v>0</v>
          </cell>
        </row>
        <row r="231">
          <cell r="W231" t="b">
            <v>0</v>
          </cell>
        </row>
        <row r="232">
          <cell r="W232" t="b">
            <v>0</v>
          </cell>
        </row>
        <row r="233">
          <cell r="W233" t="b">
            <v>0</v>
          </cell>
        </row>
        <row r="234">
          <cell r="W234" t="b">
            <v>0</v>
          </cell>
        </row>
        <row r="235">
          <cell r="W235" t="b">
            <v>0</v>
          </cell>
        </row>
        <row r="236">
          <cell r="W236" t="b">
            <v>0</v>
          </cell>
        </row>
        <row r="237">
          <cell r="W237" t="b">
            <v>0</v>
          </cell>
        </row>
        <row r="238">
          <cell r="W238" t="b">
            <v>0</v>
          </cell>
        </row>
        <row r="239">
          <cell r="W239" t="b">
            <v>0</v>
          </cell>
        </row>
        <row r="240">
          <cell r="W240" t="b">
            <v>0</v>
          </cell>
        </row>
        <row r="241">
          <cell r="W241" t="b">
            <v>0</v>
          </cell>
        </row>
        <row r="242">
          <cell r="W242" t="b">
            <v>0</v>
          </cell>
        </row>
        <row r="243">
          <cell r="W243" t="b">
            <v>0</v>
          </cell>
        </row>
        <row r="244">
          <cell r="W244" t="b">
            <v>0</v>
          </cell>
        </row>
        <row r="245">
          <cell r="W245" t="b">
            <v>0</v>
          </cell>
        </row>
        <row r="246">
          <cell r="W246" t="b">
            <v>0</v>
          </cell>
        </row>
        <row r="247">
          <cell r="W247" t="b">
            <v>0</v>
          </cell>
        </row>
        <row r="248">
          <cell r="W248" t="b">
            <v>0</v>
          </cell>
        </row>
        <row r="249">
          <cell r="W249" t="b">
            <v>0</v>
          </cell>
        </row>
        <row r="250">
          <cell r="W250" t="b">
            <v>0</v>
          </cell>
        </row>
        <row r="251">
          <cell r="W251" t="b">
            <v>0</v>
          </cell>
        </row>
        <row r="252">
          <cell r="W252" t="b">
            <v>0</v>
          </cell>
        </row>
        <row r="253">
          <cell r="W253" t="b">
            <v>0</v>
          </cell>
        </row>
        <row r="254">
          <cell r="W254" t="b">
            <v>0</v>
          </cell>
        </row>
        <row r="255">
          <cell r="W255" t="b">
            <v>0</v>
          </cell>
        </row>
        <row r="256">
          <cell r="W256" t="b">
            <v>0</v>
          </cell>
        </row>
        <row r="257">
          <cell r="W257" t="b">
            <v>0</v>
          </cell>
        </row>
        <row r="258">
          <cell r="W258" t="b">
            <v>0</v>
          </cell>
        </row>
        <row r="259">
          <cell r="W259" t="b">
            <v>0</v>
          </cell>
        </row>
        <row r="260">
          <cell r="W260" t="b">
            <v>0</v>
          </cell>
        </row>
        <row r="261">
          <cell r="W261" t="b">
            <v>0</v>
          </cell>
        </row>
        <row r="262">
          <cell r="W262" t="b">
            <v>0</v>
          </cell>
        </row>
        <row r="263">
          <cell r="W263" t="b">
            <v>0</v>
          </cell>
        </row>
        <row r="264">
          <cell r="W264" t="b">
            <v>0</v>
          </cell>
        </row>
        <row r="265">
          <cell r="W265" t="b">
            <v>0</v>
          </cell>
        </row>
        <row r="266">
          <cell r="W266" t="b">
            <v>0</v>
          </cell>
        </row>
        <row r="267">
          <cell r="W267" t="b">
            <v>0</v>
          </cell>
        </row>
        <row r="268">
          <cell r="W268" t="b">
            <v>0</v>
          </cell>
        </row>
        <row r="269">
          <cell r="W269" t="b">
            <v>0</v>
          </cell>
        </row>
        <row r="270">
          <cell r="W270" t="b">
            <v>0</v>
          </cell>
        </row>
        <row r="271">
          <cell r="W271" t="b">
            <v>0</v>
          </cell>
        </row>
        <row r="272">
          <cell r="W272" t="b">
            <v>0</v>
          </cell>
        </row>
        <row r="273">
          <cell r="W273" t="b">
            <v>0</v>
          </cell>
        </row>
        <row r="274">
          <cell r="W274" t="b">
            <v>0</v>
          </cell>
        </row>
        <row r="275">
          <cell r="W275" t="b">
            <v>0</v>
          </cell>
        </row>
        <row r="276">
          <cell r="W276" t="b">
            <v>0</v>
          </cell>
        </row>
        <row r="277">
          <cell r="W277" t="b">
            <v>0</v>
          </cell>
        </row>
        <row r="278">
          <cell r="W278" t="b">
            <v>0</v>
          </cell>
        </row>
        <row r="279">
          <cell r="W279" t="b">
            <v>0</v>
          </cell>
        </row>
        <row r="280">
          <cell r="W280" t="b">
            <v>0</v>
          </cell>
        </row>
        <row r="281">
          <cell r="W281" t="b">
            <v>0</v>
          </cell>
        </row>
        <row r="282">
          <cell r="W282" t="b">
            <v>0</v>
          </cell>
        </row>
        <row r="283">
          <cell r="W283" t="b">
            <v>0</v>
          </cell>
        </row>
        <row r="284">
          <cell r="W284" t="b">
            <v>0</v>
          </cell>
        </row>
        <row r="285">
          <cell r="W285" t="b">
            <v>0</v>
          </cell>
        </row>
        <row r="286">
          <cell r="W286" t="b">
            <v>0</v>
          </cell>
        </row>
        <row r="287">
          <cell r="W287" t="b">
            <v>0</v>
          </cell>
        </row>
        <row r="288">
          <cell r="W288" t="b">
            <v>0</v>
          </cell>
        </row>
        <row r="289">
          <cell r="W289" t="b">
            <v>0</v>
          </cell>
        </row>
        <row r="290">
          <cell r="W290" t="b">
            <v>0</v>
          </cell>
        </row>
        <row r="291">
          <cell r="W291" t="b">
            <v>0</v>
          </cell>
        </row>
        <row r="292">
          <cell r="W292" t="b">
            <v>0</v>
          </cell>
        </row>
        <row r="293">
          <cell r="W293" t="b">
            <v>0</v>
          </cell>
        </row>
        <row r="294">
          <cell r="W294" t="b">
            <v>0</v>
          </cell>
        </row>
        <row r="295">
          <cell r="W295" t="b">
            <v>0</v>
          </cell>
        </row>
        <row r="296">
          <cell r="W296" t="b">
            <v>0</v>
          </cell>
        </row>
        <row r="297">
          <cell r="W297" t="b">
            <v>0</v>
          </cell>
        </row>
        <row r="298">
          <cell r="W298" t="b">
            <v>0</v>
          </cell>
        </row>
        <row r="299">
          <cell r="W299" t="b">
            <v>0</v>
          </cell>
        </row>
        <row r="300">
          <cell r="W300" t="b">
            <v>0</v>
          </cell>
        </row>
        <row r="301">
          <cell r="W301" t="b">
            <v>0</v>
          </cell>
        </row>
        <row r="302">
          <cell r="W302" t="b">
            <v>0</v>
          </cell>
        </row>
        <row r="303">
          <cell r="W303" t="b">
            <v>0</v>
          </cell>
        </row>
        <row r="304">
          <cell r="W304" t="b">
            <v>0</v>
          </cell>
        </row>
        <row r="305">
          <cell r="W305" t="b">
            <v>0</v>
          </cell>
        </row>
        <row r="306">
          <cell r="W306" t="b">
            <v>0</v>
          </cell>
        </row>
        <row r="307">
          <cell r="W307" t="b">
            <v>0</v>
          </cell>
        </row>
        <row r="308">
          <cell r="W308" t="b">
            <v>0</v>
          </cell>
        </row>
        <row r="309">
          <cell r="W309" t="b">
            <v>0</v>
          </cell>
        </row>
        <row r="310">
          <cell r="W310" t="b">
            <v>0</v>
          </cell>
        </row>
        <row r="311">
          <cell r="W311" t="b">
            <v>0</v>
          </cell>
        </row>
        <row r="312">
          <cell r="W312" t="b">
            <v>0</v>
          </cell>
        </row>
        <row r="313">
          <cell r="W313" t="b">
            <v>0</v>
          </cell>
        </row>
        <row r="314">
          <cell r="W314" t="b">
            <v>0</v>
          </cell>
        </row>
        <row r="315">
          <cell r="W315" t="b">
            <v>0</v>
          </cell>
        </row>
        <row r="316">
          <cell r="W316" t="b">
            <v>0</v>
          </cell>
        </row>
        <row r="317">
          <cell r="W317" t="b">
            <v>0</v>
          </cell>
        </row>
        <row r="318">
          <cell r="W318" t="b">
            <v>0</v>
          </cell>
        </row>
        <row r="319">
          <cell r="W319" t="b">
            <v>0</v>
          </cell>
        </row>
        <row r="320">
          <cell r="W320" t="b">
            <v>0</v>
          </cell>
        </row>
        <row r="321">
          <cell r="W321" t="b">
            <v>0</v>
          </cell>
        </row>
        <row r="322">
          <cell r="W322" t="b">
            <v>0</v>
          </cell>
        </row>
        <row r="323">
          <cell r="W323" t="b">
            <v>0</v>
          </cell>
        </row>
        <row r="324">
          <cell r="W324" t="b">
            <v>0</v>
          </cell>
        </row>
        <row r="325">
          <cell r="W325" t="b">
            <v>0</v>
          </cell>
        </row>
        <row r="326">
          <cell r="W326" t="b">
            <v>0</v>
          </cell>
        </row>
        <row r="327">
          <cell r="W327" t="b">
            <v>0</v>
          </cell>
        </row>
        <row r="328">
          <cell r="W328" t="b">
            <v>0</v>
          </cell>
        </row>
        <row r="329">
          <cell r="W329" t="b">
            <v>0</v>
          </cell>
        </row>
        <row r="330">
          <cell r="W330" t="b">
            <v>0</v>
          </cell>
        </row>
        <row r="331">
          <cell r="W331" t="b">
            <v>0</v>
          </cell>
        </row>
        <row r="332">
          <cell r="W332" t="b">
            <v>0</v>
          </cell>
        </row>
        <row r="333">
          <cell r="W333" t="b">
            <v>0</v>
          </cell>
        </row>
        <row r="334">
          <cell r="W334" t="b">
            <v>0</v>
          </cell>
        </row>
        <row r="335">
          <cell r="W335" t="b">
            <v>0</v>
          </cell>
        </row>
        <row r="336">
          <cell r="W336" t="b">
            <v>0</v>
          </cell>
        </row>
        <row r="337">
          <cell r="W337" t="b">
            <v>0</v>
          </cell>
        </row>
        <row r="338">
          <cell r="W338" t="b">
            <v>0</v>
          </cell>
        </row>
        <row r="339">
          <cell r="W339" t="b">
            <v>0</v>
          </cell>
        </row>
        <row r="340">
          <cell r="W340" t="b">
            <v>0</v>
          </cell>
        </row>
        <row r="341">
          <cell r="W341" t="b">
            <v>0</v>
          </cell>
        </row>
        <row r="342">
          <cell r="W342" t="b">
            <v>0</v>
          </cell>
        </row>
        <row r="343">
          <cell r="W343" t="b">
            <v>0</v>
          </cell>
        </row>
        <row r="344">
          <cell r="W344" t="b">
            <v>0</v>
          </cell>
        </row>
        <row r="345">
          <cell r="W345" t="b">
            <v>0</v>
          </cell>
        </row>
        <row r="346">
          <cell r="W346" t="b">
            <v>0</v>
          </cell>
        </row>
        <row r="347">
          <cell r="W347" t="b">
            <v>0</v>
          </cell>
        </row>
        <row r="348">
          <cell r="W348" t="b">
            <v>0</v>
          </cell>
        </row>
        <row r="349">
          <cell r="W349" t="b">
            <v>0</v>
          </cell>
        </row>
        <row r="350">
          <cell r="W350" t="b">
            <v>0</v>
          </cell>
        </row>
        <row r="351">
          <cell r="W351" t="b">
            <v>0</v>
          </cell>
        </row>
        <row r="352">
          <cell r="W352" t="b">
            <v>0</v>
          </cell>
        </row>
        <row r="353">
          <cell r="W353" t="b">
            <v>0</v>
          </cell>
        </row>
        <row r="354">
          <cell r="W354" t="b">
            <v>0</v>
          </cell>
        </row>
        <row r="355">
          <cell r="W355" t="b">
            <v>0</v>
          </cell>
        </row>
        <row r="356">
          <cell r="W356" t="b">
            <v>0</v>
          </cell>
        </row>
        <row r="357">
          <cell r="W357" t="b">
            <v>0</v>
          </cell>
        </row>
        <row r="358">
          <cell r="W358" t="b">
            <v>0</v>
          </cell>
        </row>
        <row r="359">
          <cell r="W359" t="b">
            <v>0</v>
          </cell>
        </row>
        <row r="360">
          <cell r="W360" t="b">
            <v>0</v>
          </cell>
        </row>
        <row r="361">
          <cell r="W361" t="b">
            <v>0</v>
          </cell>
        </row>
        <row r="362">
          <cell r="W362" t="b">
            <v>0</v>
          </cell>
        </row>
        <row r="363">
          <cell r="W363" t="b">
            <v>0</v>
          </cell>
        </row>
        <row r="364">
          <cell r="W364" t="b">
            <v>0</v>
          </cell>
        </row>
        <row r="365">
          <cell r="W365" t="b">
            <v>0</v>
          </cell>
        </row>
        <row r="366">
          <cell r="W366" t="b">
            <v>0</v>
          </cell>
        </row>
        <row r="367">
          <cell r="W367" t="b">
            <v>0</v>
          </cell>
        </row>
        <row r="368">
          <cell r="W368" t="b">
            <v>0</v>
          </cell>
        </row>
        <row r="369">
          <cell r="W369" t="b">
            <v>0</v>
          </cell>
        </row>
        <row r="370">
          <cell r="W370" t="b">
            <v>0</v>
          </cell>
        </row>
        <row r="371">
          <cell r="W371" t="b">
            <v>0</v>
          </cell>
        </row>
        <row r="372">
          <cell r="W372" t="b">
            <v>0</v>
          </cell>
        </row>
        <row r="373">
          <cell r="W373" t="b">
            <v>0</v>
          </cell>
        </row>
        <row r="374">
          <cell r="W374" t="b">
            <v>0</v>
          </cell>
        </row>
        <row r="375">
          <cell r="W375" t="b">
            <v>0</v>
          </cell>
        </row>
        <row r="376">
          <cell r="W376" t="b">
            <v>0</v>
          </cell>
        </row>
        <row r="377">
          <cell r="W377" t="b">
            <v>0</v>
          </cell>
        </row>
        <row r="378">
          <cell r="W378" t="b">
            <v>0</v>
          </cell>
        </row>
        <row r="379">
          <cell r="W379" t="b">
            <v>0</v>
          </cell>
        </row>
        <row r="380">
          <cell r="W380" t="b">
            <v>0</v>
          </cell>
        </row>
        <row r="381">
          <cell r="W381" t="b">
            <v>0</v>
          </cell>
        </row>
        <row r="382">
          <cell r="W382" t="b">
            <v>0</v>
          </cell>
        </row>
        <row r="383">
          <cell r="W383" t="b">
            <v>0</v>
          </cell>
        </row>
        <row r="384">
          <cell r="W384" t="b">
            <v>0</v>
          </cell>
        </row>
        <row r="385">
          <cell r="W385" t="b">
            <v>0</v>
          </cell>
        </row>
        <row r="386">
          <cell r="W386" t="b">
            <v>0</v>
          </cell>
        </row>
        <row r="387">
          <cell r="W387" t="b">
            <v>0</v>
          </cell>
        </row>
        <row r="388">
          <cell r="W388" t="b">
            <v>0</v>
          </cell>
        </row>
        <row r="389">
          <cell r="W389" t="b">
            <v>0</v>
          </cell>
        </row>
        <row r="390">
          <cell r="W390" t="b">
            <v>0</v>
          </cell>
        </row>
        <row r="391">
          <cell r="W391" t="b">
            <v>0</v>
          </cell>
        </row>
        <row r="392">
          <cell r="W392" t="b">
            <v>0</v>
          </cell>
        </row>
        <row r="393">
          <cell r="W393" t="b">
            <v>0</v>
          </cell>
        </row>
        <row r="394">
          <cell r="W394" t="b">
            <v>0</v>
          </cell>
        </row>
        <row r="395">
          <cell r="W395" t="b">
            <v>0</v>
          </cell>
        </row>
        <row r="396">
          <cell r="W396" t="b">
            <v>0</v>
          </cell>
        </row>
        <row r="397">
          <cell r="W397" t="b">
            <v>0</v>
          </cell>
        </row>
        <row r="398">
          <cell r="W398" t="b">
            <v>0</v>
          </cell>
        </row>
        <row r="399">
          <cell r="W399" t="b">
            <v>0</v>
          </cell>
        </row>
        <row r="400">
          <cell r="W400" t="b">
            <v>0</v>
          </cell>
        </row>
        <row r="401">
          <cell r="W401" t="b">
            <v>0</v>
          </cell>
        </row>
        <row r="402">
          <cell r="W402" t="b">
            <v>0</v>
          </cell>
        </row>
        <row r="403">
          <cell r="W403" t="b">
            <v>0</v>
          </cell>
        </row>
        <row r="404">
          <cell r="W404" t="b">
            <v>0</v>
          </cell>
        </row>
        <row r="405">
          <cell r="W405" t="b">
            <v>0</v>
          </cell>
        </row>
        <row r="406">
          <cell r="W406" t="b">
            <v>0</v>
          </cell>
        </row>
        <row r="407">
          <cell r="W407" t="b">
            <v>0</v>
          </cell>
        </row>
        <row r="408">
          <cell r="W408" t="b">
            <v>0</v>
          </cell>
        </row>
        <row r="409">
          <cell r="W409" t="b">
            <v>0</v>
          </cell>
        </row>
        <row r="410">
          <cell r="W410" t="b">
            <v>0</v>
          </cell>
        </row>
        <row r="411">
          <cell r="W411" t="b">
            <v>0</v>
          </cell>
        </row>
        <row r="412">
          <cell r="W412" t="b">
            <v>0</v>
          </cell>
        </row>
        <row r="413">
          <cell r="W413" t="b">
            <v>0</v>
          </cell>
        </row>
        <row r="414">
          <cell r="W414" t="b">
            <v>0</v>
          </cell>
        </row>
        <row r="415">
          <cell r="W415" t="b">
            <v>0</v>
          </cell>
        </row>
        <row r="416">
          <cell r="W416" t="b">
            <v>0</v>
          </cell>
        </row>
        <row r="417">
          <cell r="W417" t="b">
            <v>0</v>
          </cell>
        </row>
        <row r="418">
          <cell r="W418" t="b">
            <v>0</v>
          </cell>
        </row>
        <row r="419">
          <cell r="W419" t="b">
            <v>0</v>
          </cell>
        </row>
        <row r="420">
          <cell r="W420" t="b">
            <v>0</v>
          </cell>
        </row>
        <row r="421">
          <cell r="W421" t="b">
            <v>0</v>
          </cell>
        </row>
        <row r="422">
          <cell r="W422" t="b">
            <v>0</v>
          </cell>
        </row>
        <row r="423">
          <cell r="W423" t="b">
            <v>0</v>
          </cell>
        </row>
        <row r="424">
          <cell r="W424" t="b">
            <v>0</v>
          </cell>
        </row>
        <row r="425">
          <cell r="W425" t="b">
            <v>0</v>
          </cell>
        </row>
        <row r="426">
          <cell r="W426" t="b">
            <v>0</v>
          </cell>
        </row>
        <row r="427">
          <cell r="W427" t="b">
            <v>0</v>
          </cell>
        </row>
        <row r="428">
          <cell r="W428" t="b">
            <v>0</v>
          </cell>
        </row>
        <row r="429">
          <cell r="W429" t="b">
            <v>0</v>
          </cell>
        </row>
        <row r="430">
          <cell r="W430" t="b">
            <v>0</v>
          </cell>
        </row>
        <row r="431">
          <cell r="W431" t="b">
            <v>0</v>
          </cell>
        </row>
        <row r="432">
          <cell r="W432" t="b">
            <v>0</v>
          </cell>
        </row>
        <row r="433">
          <cell r="W433" t="b">
            <v>0</v>
          </cell>
        </row>
        <row r="434">
          <cell r="W434" t="b">
            <v>0</v>
          </cell>
        </row>
        <row r="435">
          <cell r="W435" t="b">
            <v>0</v>
          </cell>
        </row>
        <row r="436">
          <cell r="W436" t="b">
            <v>0</v>
          </cell>
        </row>
        <row r="437">
          <cell r="W437" t="b">
            <v>0</v>
          </cell>
        </row>
        <row r="438">
          <cell r="W438" t="b">
            <v>0</v>
          </cell>
        </row>
        <row r="439">
          <cell r="W439" t="b">
            <v>0</v>
          </cell>
        </row>
        <row r="440">
          <cell r="W440" t="b">
            <v>0</v>
          </cell>
        </row>
        <row r="441">
          <cell r="W441" t="b">
            <v>0</v>
          </cell>
        </row>
        <row r="442">
          <cell r="W442" t="b">
            <v>0</v>
          </cell>
        </row>
        <row r="443">
          <cell r="W443" t="b">
            <v>0</v>
          </cell>
        </row>
        <row r="444">
          <cell r="W444" t="b">
            <v>0</v>
          </cell>
        </row>
        <row r="445">
          <cell r="W445" t="b">
            <v>0</v>
          </cell>
        </row>
        <row r="446">
          <cell r="W446" t="b">
            <v>0</v>
          </cell>
        </row>
        <row r="447">
          <cell r="W447" t="b">
            <v>0</v>
          </cell>
        </row>
        <row r="448">
          <cell r="W448" t="b">
            <v>0</v>
          </cell>
        </row>
        <row r="449">
          <cell r="W449" t="b">
            <v>0</v>
          </cell>
        </row>
        <row r="450">
          <cell r="W450" t="b">
            <v>0</v>
          </cell>
        </row>
        <row r="451">
          <cell r="W451" t="b">
            <v>0</v>
          </cell>
        </row>
        <row r="452">
          <cell r="W452" t="b">
            <v>0</v>
          </cell>
        </row>
        <row r="453">
          <cell r="W453" t="b">
            <v>0</v>
          </cell>
        </row>
        <row r="454">
          <cell r="W454" t="b">
            <v>0</v>
          </cell>
        </row>
        <row r="455">
          <cell r="W455" t="b">
            <v>0</v>
          </cell>
        </row>
        <row r="456">
          <cell r="W456" t="b">
            <v>0</v>
          </cell>
        </row>
        <row r="457">
          <cell r="W457" t="b">
            <v>0</v>
          </cell>
        </row>
        <row r="458">
          <cell r="W458" t="b">
            <v>0</v>
          </cell>
        </row>
        <row r="459">
          <cell r="W459" t="b">
            <v>0</v>
          </cell>
        </row>
        <row r="460">
          <cell r="W460" t="b">
            <v>0</v>
          </cell>
        </row>
        <row r="461">
          <cell r="W461" t="b">
            <v>0</v>
          </cell>
        </row>
        <row r="462">
          <cell r="W462" t="b">
            <v>0</v>
          </cell>
        </row>
        <row r="463">
          <cell r="W463" t="b">
            <v>0</v>
          </cell>
        </row>
        <row r="464">
          <cell r="W464" t="b">
            <v>0</v>
          </cell>
        </row>
        <row r="465">
          <cell r="W465" t="b">
            <v>0</v>
          </cell>
        </row>
        <row r="466">
          <cell r="W466" t="b">
            <v>0</v>
          </cell>
        </row>
        <row r="467">
          <cell r="W467" t="b">
            <v>0</v>
          </cell>
        </row>
        <row r="468">
          <cell r="W468" t="b">
            <v>0</v>
          </cell>
        </row>
        <row r="469">
          <cell r="W469" t="b">
            <v>0</v>
          </cell>
        </row>
        <row r="470">
          <cell r="W470" t="b">
            <v>0</v>
          </cell>
        </row>
        <row r="471">
          <cell r="W471" t="b">
            <v>0</v>
          </cell>
        </row>
        <row r="472">
          <cell r="W472" t="b">
            <v>0</v>
          </cell>
        </row>
        <row r="473">
          <cell r="W473" t="b">
            <v>0</v>
          </cell>
        </row>
        <row r="474">
          <cell r="W474" t="b">
            <v>0</v>
          </cell>
        </row>
        <row r="475">
          <cell r="W475" t="b">
            <v>0</v>
          </cell>
        </row>
        <row r="476">
          <cell r="W476" t="b">
            <v>0</v>
          </cell>
        </row>
        <row r="477">
          <cell r="W477" t="b">
            <v>0</v>
          </cell>
        </row>
        <row r="478">
          <cell r="W478" t="b">
            <v>0</v>
          </cell>
        </row>
        <row r="479">
          <cell r="W479" t="b">
            <v>0</v>
          </cell>
        </row>
        <row r="480">
          <cell r="W480" t="b">
            <v>0</v>
          </cell>
        </row>
        <row r="481">
          <cell r="W481" t="b">
            <v>0</v>
          </cell>
        </row>
        <row r="482">
          <cell r="W482" t="b">
            <v>0</v>
          </cell>
        </row>
        <row r="483">
          <cell r="W483" t="b">
            <v>0</v>
          </cell>
        </row>
        <row r="484">
          <cell r="W484" t="b">
            <v>0</v>
          </cell>
        </row>
        <row r="485">
          <cell r="W485" t="b">
            <v>0</v>
          </cell>
        </row>
        <row r="486">
          <cell r="W486" t="b">
            <v>0</v>
          </cell>
        </row>
        <row r="487">
          <cell r="W487" t="b">
            <v>0</v>
          </cell>
        </row>
        <row r="488">
          <cell r="W488" t="b">
            <v>0</v>
          </cell>
        </row>
        <row r="489">
          <cell r="W489" t="b">
            <v>0</v>
          </cell>
        </row>
        <row r="490">
          <cell r="W490" t="b">
            <v>0</v>
          </cell>
        </row>
        <row r="491">
          <cell r="W491" t="b">
            <v>0</v>
          </cell>
        </row>
        <row r="492">
          <cell r="W492" t="b">
            <v>0</v>
          </cell>
        </row>
        <row r="493">
          <cell r="W493" t="b">
            <v>0</v>
          </cell>
        </row>
        <row r="494">
          <cell r="W494" t="b">
            <v>0</v>
          </cell>
        </row>
        <row r="495">
          <cell r="W495" t="b">
            <v>0</v>
          </cell>
        </row>
        <row r="496">
          <cell r="W496" t="b">
            <v>0</v>
          </cell>
        </row>
        <row r="497">
          <cell r="W497" t="b">
            <v>0</v>
          </cell>
        </row>
        <row r="498">
          <cell r="W498" t="b">
            <v>0</v>
          </cell>
        </row>
        <row r="499">
          <cell r="W499" t="b">
            <v>0</v>
          </cell>
        </row>
        <row r="500">
          <cell r="W500" t="b">
            <v>0</v>
          </cell>
        </row>
        <row r="501">
          <cell r="W501" t="b">
            <v>0</v>
          </cell>
        </row>
        <row r="502">
          <cell r="W502" t="b">
            <v>0</v>
          </cell>
        </row>
        <row r="503">
          <cell r="W503" t="b">
            <v>0</v>
          </cell>
        </row>
        <row r="504">
          <cell r="W504" t="b">
            <v>0</v>
          </cell>
        </row>
        <row r="505">
          <cell r="W505" t="b">
            <v>0</v>
          </cell>
        </row>
        <row r="506">
          <cell r="W506" t="b">
            <v>0</v>
          </cell>
        </row>
        <row r="507">
          <cell r="W507" t="b">
            <v>0</v>
          </cell>
        </row>
        <row r="508">
          <cell r="W508" t="b">
            <v>0</v>
          </cell>
        </row>
        <row r="509">
          <cell r="W509" t="b">
            <v>0</v>
          </cell>
        </row>
        <row r="510">
          <cell r="W510" t="b">
            <v>0</v>
          </cell>
        </row>
        <row r="511">
          <cell r="W511" t="b">
            <v>0</v>
          </cell>
        </row>
        <row r="512">
          <cell r="W512" t="b">
            <v>0</v>
          </cell>
        </row>
        <row r="513">
          <cell r="W513" t="b">
            <v>0</v>
          </cell>
        </row>
        <row r="514">
          <cell r="W514" t="b">
            <v>0</v>
          </cell>
        </row>
        <row r="515">
          <cell r="W515" t="b">
            <v>0</v>
          </cell>
        </row>
        <row r="516">
          <cell r="W516" t="b">
            <v>0</v>
          </cell>
        </row>
        <row r="517">
          <cell r="W517" t="b">
            <v>0</v>
          </cell>
        </row>
        <row r="518">
          <cell r="W518" t="b">
            <v>0</v>
          </cell>
        </row>
        <row r="519">
          <cell r="W519" t="b">
            <v>0</v>
          </cell>
        </row>
        <row r="520">
          <cell r="W520" t="b">
            <v>0</v>
          </cell>
        </row>
        <row r="521">
          <cell r="W521" t="b">
            <v>0</v>
          </cell>
        </row>
        <row r="522">
          <cell r="W522" t="b">
            <v>0</v>
          </cell>
        </row>
        <row r="523">
          <cell r="W523" t="b">
            <v>0</v>
          </cell>
        </row>
        <row r="524">
          <cell r="W524" t="b">
            <v>0</v>
          </cell>
        </row>
        <row r="525">
          <cell r="W525" t="b">
            <v>0</v>
          </cell>
        </row>
        <row r="526">
          <cell r="W526" t="b">
            <v>0</v>
          </cell>
        </row>
        <row r="527">
          <cell r="W527" t="b">
            <v>0</v>
          </cell>
        </row>
        <row r="528">
          <cell r="W528" t="b">
            <v>0</v>
          </cell>
        </row>
        <row r="529">
          <cell r="W529" t="b">
            <v>0</v>
          </cell>
        </row>
        <row r="530">
          <cell r="W530" t="b">
            <v>0</v>
          </cell>
        </row>
        <row r="531">
          <cell r="W531" t="b">
            <v>0</v>
          </cell>
        </row>
        <row r="532">
          <cell r="W532" t="b">
            <v>0</v>
          </cell>
        </row>
        <row r="533">
          <cell r="W533" t="b">
            <v>0</v>
          </cell>
        </row>
        <row r="534">
          <cell r="W534" t="b">
            <v>0</v>
          </cell>
        </row>
        <row r="535">
          <cell r="W535" t="b">
            <v>0</v>
          </cell>
        </row>
        <row r="536">
          <cell r="W536" t="b">
            <v>0</v>
          </cell>
        </row>
        <row r="537">
          <cell r="W537" t="b">
            <v>0</v>
          </cell>
        </row>
        <row r="538">
          <cell r="W538" t="b">
            <v>0</v>
          </cell>
        </row>
        <row r="539">
          <cell r="W539" t="b">
            <v>0</v>
          </cell>
        </row>
        <row r="540">
          <cell r="W540" t="b">
            <v>0</v>
          </cell>
        </row>
        <row r="541">
          <cell r="W541" t="b">
            <v>0</v>
          </cell>
        </row>
        <row r="542">
          <cell r="W542" t="b">
            <v>0</v>
          </cell>
        </row>
        <row r="543">
          <cell r="W543" t="b">
            <v>0</v>
          </cell>
        </row>
        <row r="544">
          <cell r="W544" t="b">
            <v>0</v>
          </cell>
        </row>
        <row r="545">
          <cell r="W545" t="b">
            <v>0</v>
          </cell>
        </row>
        <row r="546">
          <cell r="W546" t="b">
            <v>0</v>
          </cell>
        </row>
        <row r="547">
          <cell r="W547" t="b">
            <v>0</v>
          </cell>
        </row>
        <row r="548">
          <cell r="W548" t="b">
            <v>0</v>
          </cell>
        </row>
        <row r="549">
          <cell r="W549" t="b">
            <v>0</v>
          </cell>
        </row>
        <row r="550">
          <cell r="W550" t="b">
            <v>0</v>
          </cell>
        </row>
        <row r="551">
          <cell r="W551" t="b">
            <v>0</v>
          </cell>
        </row>
        <row r="552">
          <cell r="W552" t="b">
            <v>0</v>
          </cell>
        </row>
        <row r="553">
          <cell r="W553" t="b">
            <v>0</v>
          </cell>
        </row>
        <row r="554">
          <cell r="W554" t="b">
            <v>0</v>
          </cell>
        </row>
        <row r="555">
          <cell r="W555" t="b">
            <v>0</v>
          </cell>
        </row>
        <row r="556">
          <cell r="W556" t="b">
            <v>0</v>
          </cell>
        </row>
        <row r="557">
          <cell r="W557" t="b">
            <v>0</v>
          </cell>
        </row>
        <row r="558">
          <cell r="W558" t="b">
            <v>0</v>
          </cell>
        </row>
        <row r="559">
          <cell r="W559" t="b">
            <v>0</v>
          </cell>
        </row>
        <row r="560">
          <cell r="W560" t="b">
            <v>0</v>
          </cell>
        </row>
        <row r="561">
          <cell r="W561" t="b">
            <v>0</v>
          </cell>
        </row>
        <row r="562">
          <cell r="W562" t="b">
            <v>0</v>
          </cell>
        </row>
        <row r="563">
          <cell r="W563" t="b">
            <v>0</v>
          </cell>
        </row>
        <row r="564">
          <cell r="W564" t="b">
            <v>0</v>
          </cell>
        </row>
        <row r="565">
          <cell r="W565" t="b">
            <v>0</v>
          </cell>
        </row>
        <row r="566">
          <cell r="W566" t="b">
            <v>0</v>
          </cell>
        </row>
        <row r="567">
          <cell r="W567" t="b">
            <v>0</v>
          </cell>
        </row>
        <row r="568">
          <cell r="W568" t="b">
            <v>0</v>
          </cell>
        </row>
        <row r="569">
          <cell r="W569" t="b">
            <v>0</v>
          </cell>
        </row>
        <row r="570">
          <cell r="W570" t="b">
            <v>0</v>
          </cell>
        </row>
        <row r="571">
          <cell r="W571" t="b">
            <v>0</v>
          </cell>
        </row>
        <row r="572">
          <cell r="W572" t="b">
            <v>0</v>
          </cell>
        </row>
        <row r="573">
          <cell r="W573" t="b">
            <v>0</v>
          </cell>
        </row>
        <row r="574">
          <cell r="W574" t="b">
            <v>0</v>
          </cell>
        </row>
        <row r="575">
          <cell r="W575" t="b">
            <v>0</v>
          </cell>
        </row>
        <row r="576">
          <cell r="W576" t="b">
            <v>0</v>
          </cell>
        </row>
        <row r="577">
          <cell r="W577" t="b">
            <v>0</v>
          </cell>
        </row>
        <row r="578">
          <cell r="W578" t="b">
            <v>0</v>
          </cell>
        </row>
        <row r="579">
          <cell r="W579" t="b">
            <v>0</v>
          </cell>
        </row>
        <row r="580">
          <cell r="W580" t="b">
            <v>0</v>
          </cell>
        </row>
        <row r="581">
          <cell r="W581" t="b">
            <v>0</v>
          </cell>
        </row>
        <row r="582">
          <cell r="W582" t="b">
            <v>0</v>
          </cell>
        </row>
        <row r="583">
          <cell r="W583" t="b">
            <v>0</v>
          </cell>
        </row>
        <row r="584">
          <cell r="W584" t="b">
            <v>0</v>
          </cell>
        </row>
        <row r="585">
          <cell r="W585" t="b">
            <v>0</v>
          </cell>
        </row>
        <row r="586">
          <cell r="W586" t="b">
            <v>0</v>
          </cell>
        </row>
        <row r="587">
          <cell r="W587" t="b">
            <v>0</v>
          </cell>
        </row>
        <row r="588">
          <cell r="W588" t="b">
            <v>0</v>
          </cell>
        </row>
        <row r="589">
          <cell r="W589" t="b">
            <v>0</v>
          </cell>
        </row>
        <row r="590">
          <cell r="W590" t="b">
            <v>0</v>
          </cell>
        </row>
        <row r="591">
          <cell r="W591" t="b">
            <v>0</v>
          </cell>
        </row>
        <row r="592">
          <cell r="W592" t="b">
            <v>0</v>
          </cell>
        </row>
        <row r="593">
          <cell r="W593" t="b">
            <v>0</v>
          </cell>
        </row>
        <row r="594">
          <cell r="W594" t="b">
            <v>0</v>
          </cell>
        </row>
        <row r="595">
          <cell r="W595" t="b">
            <v>0</v>
          </cell>
        </row>
        <row r="596">
          <cell r="W596" t="b">
            <v>0</v>
          </cell>
        </row>
        <row r="597">
          <cell r="W597" t="b">
            <v>0</v>
          </cell>
        </row>
        <row r="598">
          <cell r="W598" t="b">
            <v>0</v>
          </cell>
        </row>
        <row r="599">
          <cell r="W599" t="b">
            <v>0</v>
          </cell>
        </row>
        <row r="600">
          <cell r="W600" t="b">
            <v>0</v>
          </cell>
        </row>
        <row r="601">
          <cell r="W601" t="b">
            <v>0</v>
          </cell>
        </row>
        <row r="602">
          <cell r="W602" t="b">
            <v>0</v>
          </cell>
        </row>
        <row r="603">
          <cell r="W603" t="b">
            <v>0</v>
          </cell>
        </row>
        <row r="604">
          <cell r="W604" t="b">
            <v>0</v>
          </cell>
        </row>
        <row r="605">
          <cell r="W605" t="b">
            <v>0</v>
          </cell>
        </row>
        <row r="606">
          <cell r="W606" t="b">
            <v>0</v>
          </cell>
        </row>
        <row r="607">
          <cell r="W607" t="b">
            <v>0</v>
          </cell>
        </row>
        <row r="608">
          <cell r="W608" t="b">
            <v>0</v>
          </cell>
        </row>
        <row r="609">
          <cell r="W609" t="b">
            <v>0</v>
          </cell>
        </row>
        <row r="610">
          <cell r="W610" t="b">
            <v>0</v>
          </cell>
        </row>
        <row r="611">
          <cell r="W611" t="b">
            <v>0</v>
          </cell>
        </row>
        <row r="612">
          <cell r="W612" t="b">
            <v>0</v>
          </cell>
        </row>
        <row r="613">
          <cell r="W613" t="b">
            <v>0</v>
          </cell>
        </row>
        <row r="614">
          <cell r="W614" t="b">
            <v>0</v>
          </cell>
        </row>
        <row r="615">
          <cell r="W615" t="b">
            <v>0</v>
          </cell>
        </row>
        <row r="616">
          <cell r="W616" t="b">
            <v>0</v>
          </cell>
        </row>
        <row r="617">
          <cell r="W617" t="b">
            <v>0</v>
          </cell>
        </row>
        <row r="618">
          <cell r="W618" t="b">
            <v>0</v>
          </cell>
        </row>
        <row r="619">
          <cell r="W619" t="b">
            <v>0</v>
          </cell>
        </row>
        <row r="620">
          <cell r="W620" t="b">
            <v>0</v>
          </cell>
        </row>
        <row r="621">
          <cell r="W621" t="b">
            <v>0</v>
          </cell>
        </row>
        <row r="622">
          <cell r="W622" t="b">
            <v>0</v>
          </cell>
        </row>
        <row r="623">
          <cell r="W623" t="b">
            <v>0</v>
          </cell>
        </row>
        <row r="624">
          <cell r="W624" t="b">
            <v>0</v>
          </cell>
        </row>
        <row r="625">
          <cell r="W625" t="b">
            <v>0</v>
          </cell>
        </row>
        <row r="626">
          <cell r="W626" t="b">
            <v>0</v>
          </cell>
        </row>
        <row r="627">
          <cell r="W627" t="b">
            <v>0</v>
          </cell>
        </row>
        <row r="628">
          <cell r="W628" t="b">
            <v>0</v>
          </cell>
        </row>
        <row r="629">
          <cell r="W629" t="b">
            <v>0</v>
          </cell>
        </row>
        <row r="630">
          <cell r="W630" t="b">
            <v>0</v>
          </cell>
        </row>
        <row r="631">
          <cell r="W631" t="b">
            <v>0</v>
          </cell>
        </row>
        <row r="632">
          <cell r="W632" t="b">
            <v>0</v>
          </cell>
        </row>
        <row r="633">
          <cell r="W633" t="b">
            <v>0</v>
          </cell>
        </row>
        <row r="634">
          <cell r="W634" t="b">
            <v>0</v>
          </cell>
        </row>
        <row r="635">
          <cell r="W635" t="b">
            <v>0</v>
          </cell>
        </row>
        <row r="636">
          <cell r="W636" t="b">
            <v>0</v>
          </cell>
        </row>
        <row r="637">
          <cell r="W637" t="b">
            <v>0</v>
          </cell>
        </row>
        <row r="638">
          <cell r="W638" t="b">
            <v>0</v>
          </cell>
        </row>
        <row r="639">
          <cell r="W639" t="b">
            <v>0</v>
          </cell>
        </row>
        <row r="640">
          <cell r="W640" t="b">
            <v>0</v>
          </cell>
        </row>
        <row r="641">
          <cell r="W641" t="b">
            <v>0</v>
          </cell>
        </row>
        <row r="642">
          <cell r="W642" t="b">
            <v>0</v>
          </cell>
        </row>
        <row r="643">
          <cell r="W643" t="b">
            <v>0</v>
          </cell>
        </row>
        <row r="644">
          <cell r="W644" t="b">
            <v>0</v>
          </cell>
        </row>
        <row r="645">
          <cell r="W645" t="b">
            <v>0</v>
          </cell>
        </row>
        <row r="646">
          <cell r="W646" t="b">
            <v>0</v>
          </cell>
        </row>
        <row r="647">
          <cell r="W647" t="b">
            <v>0</v>
          </cell>
        </row>
        <row r="648">
          <cell r="W648" t="b">
            <v>0</v>
          </cell>
        </row>
        <row r="649">
          <cell r="W649" t="b">
            <v>0</v>
          </cell>
        </row>
        <row r="650">
          <cell r="W650" t="b">
            <v>0</v>
          </cell>
        </row>
        <row r="651">
          <cell r="W651" t="b">
            <v>0</v>
          </cell>
        </row>
        <row r="652">
          <cell r="W652" t="b">
            <v>0</v>
          </cell>
        </row>
        <row r="653">
          <cell r="W653" t="b">
            <v>0</v>
          </cell>
        </row>
        <row r="654">
          <cell r="W654" t="b">
            <v>0</v>
          </cell>
        </row>
        <row r="655">
          <cell r="W655" t="b">
            <v>0</v>
          </cell>
        </row>
        <row r="656">
          <cell r="W656" t="b">
            <v>0</v>
          </cell>
        </row>
        <row r="657">
          <cell r="W657" t="b">
            <v>0</v>
          </cell>
        </row>
        <row r="658">
          <cell r="W658" t="b">
            <v>0</v>
          </cell>
        </row>
        <row r="659">
          <cell r="W659" t="b">
            <v>0</v>
          </cell>
        </row>
        <row r="660">
          <cell r="W660" t="b">
            <v>0</v>
          </cell>
        </row>
        <row r="661">
          <cell r="W661" t="b">
            <v>0</v>
          </cell>
        </row>
        <row r="662">
          <cell r="W662" t="b">
            <v>0</v>
          </cell>
        </row>
        <row r="663">
          <cell r="W663" t="b">
            <v>0</v>
          </cell>
        </row>
        <row r="664">
          <cell r="W664" t="b">
            <v>0</v>
          </cell>
        </row>
        <row r="665">
          <cell r="W665" t="b">
            <v>0</v>
          </cell>
        </row>
        <row r="666">
          <cell r="W666" t="b">
            <v>0</v>
          </cell>
        </row>
        <row r="667">
          <cell r="W667" t="b">
            <v>0</v>
          </cell>
        </row>
        <row r="668">
          <cell r="W668" t="b">
            <v>0</v>
          </cell>
        </row>
        <row r="669">
          <cell r="W669" t="b">
            <v>0</v>
          </cell>
        </row>
        <row r="670">
          <cell r="W670" t="b">
            <v>0</v>
          </cell>
        </row>
        <row r="671">
          <cell r="W671" t="b">
            <v>0</v>
          </cell>
        </row>
        <row r="672">
          <cell r="W672" t="b">
            <v>0</v>
          </cell>
        </row>
        <row r="673">
          <cell r="W673" t="b">
            <v>0</v>
          </cell>
        </row>
        <row r="674">
          <cell r="W674" t="b">
            <v>0</v>
          </cell>
        </row>
        <row r="675">
          <cell r="W675" t="b">
            <v>0</v>
          </cell>
        </row>
        <row r="676">
          <cell r="W676" t="b">
            <v>0</v>
          </cell>
        </row>
        <row r="677">
          <cell r="W677" t="b">
            <v>0</v>
          </cell>
        </row>
        <row r="678">
          <cell r="W678" t="b">
            <v>0</v>
          </cell>
        </row>
        <row r="679">
          <cell r="W679" t="b">
            <v>0</v>
          </cell>
        </row>
        <row r="680">
          <cell r="W680" t="b">
            <v>0</v>
          </cell>
        </row>
        <row r="681">
          <cell r="W681" t="b">
            <v>0</v>
          </cell>
        </row>
        <row r="682">
          <cell r="W682" t="b">
            <v>0</v>
          </cell>
        </row>
        <row r="683">
          <cell r="W683" t="b">
            <v>0</v>
          </cell>
        </row>
        <row r="684">
          <cell r="W684" t="b">
            <v>0</v>
          </cell>
        </row>
        <row r="685">
          <cell r="W685" t="b">
            <v>0</v>
          </cell>
        </row>
        <row r="686">
          <cell r="W686" t="b">
            <v>0</v>
          </cell>
        </row>
        <row r="687">
          <cell r="W687" t="b">
            <v>0</v>
          </cell>
        </row>
        <row r="688">
          <cell r="W688" t="b">
            <v>0</v>
          </cell>
        </row>
        <row r="689">
          <cell r="W689" t="b">
            <v>0</v>
          </cell>
        </row>
        <row r="690">
          <cell r="W690" t="b">
            <v>0</v>
          </cell>
        </row>
        <row r="691">
          <cell r="W691" t="b">
            <v>0</v>
          </cell>
        </row>
        <row r="692">
          <cell r="W692" t="b">
            <v>0</v>
          </cell>
        </row>
        <row r="693">
          <cell r="W693" t="b">
            <v>0</v>
          </cell>
        </row>
        <row r="694">
          <cell r="W694" t="b">
            <v>0</v>
          </cell>
        </row>
        <row r="695">
          <cell r="W695" t="b">
            <v>0</v>
          </cell>
        </row>
        <row r="696">
          <cell r="W696" t="b">
            <v>0</v>
          </cell>
        </row>
        <row r="697">
          <cell r="W697" t="b">
            <v>0</v>
          </cell>
        </row>
        <row r="698">
          <cell r="W698" t="b">
            <v>0</v>
          </cell>
        </row>
        <row r="699">
          <cell r="W699" t="b">
            <v>0</v>
          </cell>
        </row>
        <row r="700">
          <cell r="W700" t="b">
            <v>0</v>
          </cell>
        </row>
        <row r="701">
          <cell r="W701" t="b">
            <v>0</v>
          </cell>
        </row>
        <row r="702">
          <cell r="W702" t="b">
            <v>0</v>
          </cell>
        </row>
        <row r="703">
          <cell r="W703" t="b">
            <v>0</v>
          </cell>
        </row>
        <row r="704">
          <cell r="W704" t="b">
            <v>0</v>
          </cell>
        </row>
        <row r="705">
          <cell r="W705" t="b">
            <v>0</v>
          </cell>
        </row>
        <row r="706">
          <cell r="W706" t="b">
            <v>0</v>
          </cell>
        </row>
        <row r="707">
          <cell r="W707" t="b">
            <v>0</v>
          </cell>
        </row>
        <row r="708">
          <cell r="W708" t="b">
            <v>0</v>
          </cell>
        </row>
        <row r="709">
          <cell r="W709" t="b">
            <v>0</v>
          </cell>
        </row>
        <row r="710">
          <cell r="W710" t="b">
            <v>0</v>
          </cell>
        </row>
        <row r="711">
          <cell r="W711" t="b">
            <v>0</v>
          </cell>
        </row>
        <row r="712">
          <cell r="W712" t="b">
            <v>0</v>
          </cell>
        </row>
        <row r="713">
          <cell r="W713" t="b">
            <v>0</v>
          </cell>
        </row>
        <row r="714">
          <cell r="W714" t="b">
            <v>0</v>
          </cell>
        </row>
        <row r="715">
          <cell r="W715" t="b">
            <v>0</v>
          </cell>
        </row>
        <row r="716">
          <cell r="W716" t="b">
            <v>0</v>
          </cell>
        </row>
        <row r="717">
          <cell r="W717" t="b">
            <v>0</v>
          </cell>
        </row>
        <row r="718">
          <cell r="W718" t="b">
            <v>0</v>
          </cell>
        </row>
        <row r="719">
          <cell r="W719" t="b">
            <v>0</v>
          </cell>
        </row>
        <row r="720">
          <cell r="W720" t="b">
            <v>0</v>
          </cell>
        </row>
        <row r="721">
          <cell r="W721" t="b">
            <v>0</v>
          </cell>
        </row>
        <row r="722">
          <cell r="W722" t="b">
            <v>0</v>
          </cell>
        </row>
        <row r="723">
          <cell r="W723" t="b">
            <v>0</v>
          </cell>
        </row>
        <row r="724">
          <cell r="W724" t="b">
            <v>0</v>
          </cell>
        </row>
        <row r="725">
          <cell r="W725" t="b">
            <v>0</v>
          </cell>
        </row>
        <row r="726">
          <cell r="W726" t="b">
            <v>0</v>
          </cell>
        </row>
        <row r="727">
          <cell r="W727" t="b">
            <v>0</v>
          </cell>
        </row>
        <row r="728">
          <cell r="W728" t="b">
            <v>0</v>
          </cell>
        </row>
        <row r="729">
          <cell r="W729" t="b">
            <v>0</v>
          </cell>
        </row>
        <row r="730">
          <cell r="W730" t="b">
            <v>0</v>
          </cell>
        </row>
        <row r="731">
          <cell r="W731" t="b">
            <v>0</v>
          </cell>
        </row>
        <row r="732">
          <cell r="W732" t="b">
            <v>0</v>
          </cell>
        </row>
        <row r="733">
          <cell r="W733" t="b">
            <v>0</v>
          </cell>
        </row>
        <row r="734">
          <cell r="W734" t="b">
            <v>0</v>
          </cell>
        </row>
        <row r="735">
          <cell r="W735" t="b">
            <v>0</v>
          </cell>
        </row>
        <row r="736">
          <cell r="W736" t="b">
            <v>0</v>
          </cell>
        </row>
        <row r="737">
          <cell r="W737" t="b">
            <v>0</v>
          </cell>
        </row>
        <row r="738">
          <cell r="W738" t="b">
            <v>0</v>
          </cell>
        </row>
        <row r="739">
          <cell r="W739" t="b">
            <v>0</v>
          </cell>
        </row>
        <row r="740">
          <cell r="W740" t="b">
            <v>0</v>
          </cell>
        </row>
        <row r="741">
          <cell r="W741" t="b">
            <v>0</v>
          </cell>
        </row>
        <row r="742">
          <cell r="W742" t="b">
            <v>0</v>
          </cell>
        </row>
        <row r="743">
          <cell r="W743" t="b">
            <v>0</v>
          </cell>
        </row>
        <row r="744">
          <cell r="W744" t="b">
            <v>0</v>
          </cell>
        </row>
        <row r="745">
          <cell r="W745" t="b">
            <v>0</v>
          </cell>
        </row>
        <row r="746">
          <cell r="W746" t="b">
            <v>0</v>
          </cell>
        </row>
        <row r="747">
          <cell r="W747" t="b">
            <v>0</v>
          </cell>
        </row>
        <row r="748">
          <cell r="W748" t="b">
            <v>0</v>
          </cell>
        </row>
        <row r="749">
          <cell r="W749" t="b">
            <v>0</v>
          </cell>
        </row>
        <row r="750">
          <cell r="W750" t="b">
            <v>0</v>
          </cell>
        </row>
        <row r="751">
          <cell r="W751" t="b">
            <v>0</v>
          </cell>
        </row>
        <row r="752">
          <cell r="W752" t="b">
            <v>0</v>
          </cell>
        </row>
        <row r="753">
          <cell r="W753" t="b">
            <v>0</v>
          </cell>
        </row>
        <row r="754">
          <cell r="W754" t="b">
            <v>0</v>
          </cell>
        </row>
        <row r="755">
          <cell r="W755" t="b">
            <v>0</v>
          </cell>
        </row>
        <row r="756">
          <cell r="W756" t="b">
            <v>0</v>
          </cell>
        </row>
        <row r="757">
          <cell r="W757" t="b">
            <v>0</v>
          </cell>
        </row>
        <row r="758">
          <cell r="W758" t="b">
            <v>0</v>
          </cell>
        </row>
        <row r="759">
          <cell r="W759" t="b">
            <v>0</v>
          </cell>
        </row>
        <row r="760">
          <cell r="W760" t="b">
            <v>0</v>
          </cell>
        </row>
        <row r="761">
          <cell r="W761" t="b">
            <v>0</v>
          </cell>
        </row>
        <row r="762">
          <cell r="W762" t="b">
            <v>0</v>
          </cell>
        </row>
        <row r="763">
          <cell r="W763" t="b">
            <v>0</v>
          </cell>
        </row>
        <row r="764">
          <cell r="W764" t="b">
            <v>0</v>
          </cell>
        </row>
        <row r="765">
          <cell r="W765" t="b">
            <v>0</v>
          </cell>
        </row>
        <row r="766">
          <cell r="W766" t="b">
            <v>0</v>
          </cell>
        </row>
        <row r="767">
          <cell r="W767" t="b">
            <v>0</v>
          </cell>
        </row>
        <row r="768">
          <cell r="W768" t="b">
            <v>0</v>
          </cell>
        </row>
        <row r="769">
          <cell r="W769" t="b">
            <v>0</v>
          </cell>
        </row>
        <row r="770">
          <cell r="W770" t="b">
            <v>0</v>
          </cell>
        </row>
        <row r="771">
          <cell r="W771" t="b">
            <v>0</v>
          </cell>
        </row>
        <row r="772">
          <cell r="W772" t="b">
            <v>0</v>
          </cell>
        </row>
        <row r="773">
          <cell r="W773" t="b">
            <v>0</v>
          </cell>
        </row>
        <row r="774">
          <cell r="W774" t="b">
            <v>0</v>
          </cell>
        </row>
        <row r="775">
          <cell r="W775" t="b">
            <v>0</v>
          </cell>
        </row>
        <row r="776">
          <cell r="W776" t="b">
            <v>0</v>
          </cell>
        </row>
        <row r="777">
          <cell r="W777" t="b">
            <v>0</v>
          </cell>
        </row>
        <row r="778">
          <cell r="W778" t="b">
            <v>0</v>
          </cell>
        </row>
        <row r="779">
          <cell r="W779" t="b">
            <v>0</v>
          </cell>
        </row>
        <row r="780">
          <cell r="W780" t="b">
            <v>0</v>
          </cell>
        </row>
        <row r="781">
          <cell r="W781" t="b">
            <v>0</v>
          </cell>
        </row>
        <row r="782">
          <cell r="W782" t="b">
            <v>0</v>
          </cell>
        </row>
        <row r="783">
          <cell r="W783" t="b">
            <v>0</v>
          </cell>
        </row>
        <row r="784">
          <cell r="W784" t="b">
            <v>0</v>
          </cell>
        </row>
        <row r="785">
          <cell r="W785" t="b">
            <v>0</v>
          </cell>
        </row>
        <row r="786">
          <cell r="W786" t="b">
            <v>0</v>
          </cell>
        </row>
        <row r="787">
          <cell r="W787" t="b">
            <v>0</v>
          </cell>
        </row>
        <row r="788">
          <cell r="W788" t="b">
            <v>0</v>
          </cell>
        </row>
        <row r="789">
          <cell r="W789" t="b">
            <v>0</v>
          </cell>
        </row>
        <row r="790">
          <cell r="W790" t="b">
            <v>0</v>
          </cell>
        </row>
        <row r="791">
          <cell r="W791" t="b">
            <v>0</v>
          </cell>
        </row>
        <row r="792">
          <cell r="W792" t="b">
            <v>0</v>
          </cell>
        </row>
        <row r="793">
          <cell r="W793" t="b">
            <v>0</v>
          </cell>
        </row>
        <row r="794">
          <cell r="W794" t="b">
            <v>0</v>
          </cell>
        </row>
        <row r="795">
          <cell r="W795" t="b">
            <v>0</v>
          </cell>
        </row>
        <row r="796">
          <cell r="W796" t="b">
            <v>0</v>
          </cell>
        </row>
        <row r="797">
          <cell r="W797" t="b">
            <v>0</v>
          </cell>
        </row>
        <row r="798">
          <cell r="W798" t="b">
            <v>0</v>
          </cell>
        </row>
        <row r="799">
          <cell r="W799" t="b">
            <v>0</v>
          </cell>
        </row>
        <row r="800">
          <cell r="W800" t="b">
            <v>0</v>
          </cell>
        </row>
        <row r="801">
          <cell r="W801" t="b">
            <v>0</v>
          </cell>
        </row>
        <row r="802">
          <cell r="W802" t="b">
            <v>0</v>
          </cell>
        </row>
        <row r="803">
          <cell r="W803" t="b">
            <v>0</v>
          </cell>
        </row>
        <row r="804">
          <cell r="W804" t="b">
            <v>0</v>
          </cell>
        </row>
        <row r="805">
          <cell r="W805" t="b">
            <v>0</v>
          </cell>
        </row>
        <row r="806">
          <cell r="W806" t="b">
            <v>0</v>
          </cell>
        </row>
        <row r="807">
          <cell r="W807" t="b">
            <v>0</v>
          </cell>
        </row>
        <row r="808">
          <cell r="W808" t="b">
            <v>0</v>
          </cell>
        </row>
        <row r="809">
          <cell r="W809" t="b">
            <v>0</v>
          </cell>
        </row>
        <row r="810">
          <cell r="W810" t="b">
            <v>0</v>
          </cell>
        </row>
        <row r="811">
          <cell r="W811" t="b">
            <v>0</v>
          </cell>
        </row>
        <row r="812">
          <cell r="W812" t="b">
            <v>0</v>
          </cell>
        </row>
        <row r="813">
          <cell r="W813" t="b">
            <v>0</v>
          </cell>
        </row>
        <row r="814">
          <cell r="W814" t="b">
            <v>0</v>
          </cell>
        </row>
        <row r="815">
          <cell r="W815" t="b">
            <v>0</v>
          </cell>
        </row>
        <row r="816">
          <cell r="W816" t="b">
            <v>0</v>
          </cell>
        </row>
        <row r="817">
          <cell r="W817" t="b">
            <v>0</v>
          </cell>
        </row>
        <row r="818">
          <cell r="W818" t="b">
            <v>0</v>
          </cell>
        </row>
        <row r="819">
          <cell r="W819" t="b">
            <v>0</v>
          </cell>
        </row>
        <row r="820">
          <cell r="W820" t="b">
            <v>0</v>
          </cell>
        </row>
        <row r="821">
          <cell r="W821" t="b">
            <v>0</v>
          </cell>
        </row>
        <row r="822">
          <cell r="W822" t="b">
            <v>0</v>
          </cell>
        </row>
        <row r="823">
          <cell r="W823" t="b">
            <v>0</v>
          </cell>
        </row>
        <row r="824">
          <cell r="W824" t="b">
            <v>0</v>
          </cell>
        </row>
        <row r="825">
          <cell r="W825" t="b">
            <v>0</v>
          </cell>
        </row>
        <row r="826">
          <cell r="W826" t="b">
            <v>0</v>
          </cell>
        </row>
        <row r="827">
          <cell r="W827" t="b">
            <v>0</v>
          </cell>
        </row>
        <row r="828">
          <cell r="W828" t="b">
            <v>0</v>
          </cell>
        </row>
        <row r="829">
          <cell r="W829" t="b">
            <v>0</v>
          </cell>
        </row>
        <row r="830">
          <cell r="W830" t="b">
            <v>0</v>
          </cell>
        </row>
        <row r="831">
          <cell r="W831" t="b">
            <v>0</v>
          </cell>
        </row>
        <row r="832">
          <cell r="W832" t="b">
            <v>0</v>
          </cell>
        </row>
        <row r="833">
          <cell r="W833" t="b">
            <v>0</v>
          </cell>
        </row>
        <row r="834">
          <cell r="W834" t="b">
            <v>0</v>
          </cell>
        </row>
        <row r="835">
          <cell r="W835" t="b">
            <v>0</v>
          </cell>
        </row>
        <row r="836">
          <cell r="W836" t="b">
            <v>0</v>
          </cell>
        </row>
        <row r="837">
          <cell r="W837" t="b">
            <v>0</v>
          </cell>
        </row>
        <row r="838">
          <cell r="W838" t="b">
            <v>0</v>
          </cell>
        </row>
        <row r="839">
          <cell r="W839" t="b">
            <v>0</v>
          </cell>
        </row>
        <row r="840">
          <cell r="W840" t="b">
            <v>0</v>
          </cell>
        </row>
        <row r="841">
          <cell r="W841" t="b">
            <v>0</v>
          </cell>
        </row>
        <row r="842">
          <cell r="W842" t="b">
            <v>0</v>
          </cell>
        </row>
        <row r="843">
          <cell r="W843" t="b">
            <v>0</v>
          </cell>
        </row>
        <row r="844">
          <cell r="W844" t="b">
            <v>0</v>
          </cell>
        </row>
        <row r="845">
          <cell r="W845" t="b">
            <v>0</v>
          </cell>
        </row>
        <row r="846">
          <cell r="W846" t="b">
            <v>0</v>
          </cell>
        </row>
        <row r="847">
          <cell r="W847" t="b">
            <v>0</v>
          </cell>
        </row>
        <row r="848">
          <cell r="W848" t="b">
            <v>0</v>
          </cell>
        </row>
        <row r="849">
          <cell r="W849" t="b">
            <v>0</v>
          </cell>
        </row>
        <row r="850">
          <cell r="W850" t="b">
            <v>0</v>
          </cell>
        </row>
        <row r="851">
          <cell r="W851" t="b">
            <v>0</v>
          </cell>
        </row>
        <row r="852">
          <cell r="W852" t="b">
            <v>0</v>
          </cell>
        </row>
        <row r="853">
          <cell r="W853" t="b">
            <v>0</v>
          </cell>
        </row>
        <row r="854">
          <cell r="W854" t="b">
            <v>0</v>
          </cell>
        </row>
        <row r="855">
          <cell r="W855" t="b">
            <v>0</v>
          </cell>
        </row>
        <row r="856">
          <cell r="W856" t="b">
            <v>0</v>
          </cell>
        </row>
        <row r="857">
          <cell r="W857" t="b">
            <v>0</v>
          </cell>
        </row>
        <row r="858">
          <cell r="W858" t="b">
            <v>0</v>
          </cell>
        </row>
        <row r="859">
          <cell r="W859" t="b">
            <v>0</v>
          </cell>
        </row>
        <row r="860">
          <cell r="W860" t="b">
            <v>0</v>
          </cell>
        </row>
        <row r="861">
          <cell r="W861" t="b">
            <v>0</v>
          </cell>
        </row>
        <row r="862">
          <cell r="W862" t="b">
            <v>0</v>
          </cell>
        </row>
        <row r="863">
          <cell r="W863" t="b">
            <v>0</v>
          </cell>
        </row>
        <row r="864">
          <cell r="W864" t="b">
            <v>0</v>
          </cell>
        </row>
        <row r="865">
          <cell r="W865" t="b">
            <v>0</v>
          </cell>
        </row>
        <row r="866">
          <cell r="W866" t="b">
            <v>0</v>
          </cell>
        </row>
        <row r="867">
          <cell r="W867" t="b">
            <v>0</v>
          </cell>
        </row>
        <row r="868">
          <cell r="W868" t="b">
            <v>0</v>
          </cell>
        </row>
        <row r="869">
          <cell r="W869" t="b">
            <v>0</v>
          </cell>
        </row>
        <row r="870">
          <cell r="W870" t="b">
            <v>0</v>
          </cell>
        </row>
        <row r="871">
          <cell r="W871" t="b">
            <v>0</v>
          </cell>
        </row>
        <row r="872">
          <cell r="W872" t="b">
            <v>0</v>
          </cell>
        </row>
        <row r="873">
          <cell r="W873" t="b">
            <v>0</v>
          </cell>
        </row>
        <row r="874">
          <cell r="W874" t="b">
            <v>0</v>
          </cell>
        </row>
        <row r="875">
          <cell r="W875" t="b">
            <v>0</v>
          </cell>
        </row>
        <row r="876">
          <cell r="W876" t="b">
            <v>0</v>
          </cell>
        </row>
        <row r="877">
          <cell r="W877" t="b">
            <v>0</v>
          </cell>
        </row>
        <row r="878">
          <cell r="W878" t="b">
            <v>0</v>
          </cell>
        </row>
        <row r="879">
          <cell r="W879" t="b">
            <v>0</v>
          </cell>
        </row>
        <row r="880">
          <cell r="W880" t="b">
            <v>0</v>
          </cell>
        </row>
        <row r="881">
          <cell r="W881" t="b">
            <v>0</v>
          </cell>
        </row>
        <row r="882">
          <cell r="W882" t="b">
            <v>0</v>
          </cell>
        </row>
        <row r="883">
          <cell r="W883" t="b">
            <v>0</v>
          </cell>
        </row>
        <row r="884">
          <cell r="W884" t="b">
            <v>0</v>
          </cell>
        </row>
        <row r="885">
          <cell r="W885" t="b">
            <v>0</v>
          </cell>
        </row>
        <row r="886">
          <cell r="W886" t="b">
            <v>0</v>
          </cell>
        </row>
        <row r="887">
          <cell r="W887" t="b">
            <v>0</v>
          </cell>
        </row>
        <row r="888">
          <cell r="W888" t="b">
            <v>0</v>
          </cell>
        </row>
        <row r="889">
          <cell r="W889" t="b">
            <v>0</v>
          </cell>
        </row>
        <row r="890">
          <cell r="W890" t="b">
            <v>0</v>
          </cell>
        </row>
        <row r="891">
          <cell r="W891" t="b">
            <v>0</v>
          </cell>
        </row>
        <row r="892">
          <cell r="W892" t="b">
            <v>0</v>
          </cell>
        </row>
        <row r="893">
          <cell r="W893" t="b">
            <v>0</v>
          </cell>
        </row>
        <row r="894">
          <cell r="W894" t="b">
            <v>0</v>
          </cell>
        </row>
        <row r="895">
          <cell r="W895" t="b">
            <v>0</v>
          </cell>
        </row>
        <row r="896">
          <cell r="W896" t="b">
            <v>0</v>
          </cell>
        </row>
        <row r="897">
          <cell r="W897" t="b">
            <v>0</v>
          </cell>
        </row>
        <row r="898">
          <cell r="W898" t="b">
            <v>0</v>
          </cell>
        </row>
        <row r="899">
          <cell r="W899" t="b">
            <v>0</v>
          </cell>
        </row>
        <row r="900">
          <cell r="W900" t="b">
            <v>0</v>
          </cell>
        </row>
        <row r="901">
          <cell r="W901" t="b">
            <v>0</v>
          </cell>
        </row>
        <row r="902">
          <cell r="W902" t="b">
            <v>0</v>
          </cell>
        </row>
        <row r="903">
          <cell r="W903" t="b">
            <v>0</v>
          </cell>
        </row>
        <row r="904">
          <cell r="W904" t="b">
            <v>0</v>
          </cell>
        </row>
        <row r="905">
          <cell r="W905" t="b">
            <v>0</v>
          </cell>
        </row>
        <row r="906">
          <cell r="W906" t="b">
            <v>0</v>
          </cell>
        </row>
        <row r="907">
          <cell r="W907" t="b">
            <v>0</v>
          </cell>
        </row>
        <row r="908">
          <cell r="W908" t="b">
            <v>0</v>
          </cell>
        </row>
        <row r="909">
          <cell r="W909" t="b">
            <v>0</v>
          </cell>
        </row>
        <row r="910">
          <cell r="W910" t="b">
            <v>0</v>
          </cell>
        </row>
        <row r="911">
          <cell r="W911" t="b">
            <v>0</v>
          </cell>
        </row>
        <row r="912">
          <cell r="W912" t="b">
            <v>0</v>
          </cell>
        </row>
        <row r="913">
          <cell r="W913" t="b">
            <v>0</v>
          </cell>
        </row>
        <row r="914">
          <cell r="W914" t="b">
            <v>0</v>
          </cell>
        </row>
        <row r="915">
          <cell r="W915" t="b">
            <v>0</v>
          </cell>
        </row>
        <row r="916">
          <cell r="W916" t="b">
            <v>0</v>
          </cell>
        </row>
        <row r="917">
          <cell r="W917" t="b">
            <v>0</v>
          </cell>
        </row>
        <row r="918">
          <cell r="W918" t="b">
            <v>0</v>
          </cell>
        </row>
        <row r="919">
          <cell r="W919" t="b">
            <v>0</v>
          </cell>
        </row>
        <row r="920">
          <cell r="W920" t="b">
            <v>0</v>
          </cell>
        </row>
        <row r="921">
          <cell r="W921" t="b">
            <v>0</v>
          </cell>
        </row>
        <row r="922">
          <cell r="W922" t="b">
            <v>0</v>
          </cell>
        </row>
        <row r="923">
          <cell r="W923" t="b">
            <v>0</v>
          </cell>
        </row>
        <row r="924">
          <cell r="W924" t="b">
            <v>0</v>
          </cell>
        </row>
        <row r="925">
          <cell r="W925" t="b">
            <v>0</v>
          </cell>
        </row>
        <row r="926">
          <cell r="W926" t="b">
            <v>0</v>
          </cell>
        </row>
        <row r="927">
          <cell r="W927" t="b">
            <v>0</v>
          </cell>
        </row>
        <row r="928">
          <cell r="W928" t="b">
            <v>0</v>
          </cell>
        </row>
        <row r="929">
          <cell r="W929" t="b">
            <v>0</v>
          </cell>
        </row>
        <row r="930">
          <cell r="W930" t="b">
            <v>0</v>
          </cell>
        </row>
        <row r="931">
          <cell r="W931" t="b">
            <v>0</v>
          </cell>
        </row>
        <row r="932">
          <cell r="W932" t="b">
            <v>0</v>
          </cell>
        </row>
        <row r="933">
          <cell r="W933" t="b">
            <v>0</v>
          </cell>
        </row>
        <row r="934">
          <cell r="W934" t="b">
            <v>0</v>
          </cell>
        </row>
        <row r="935">
          <cell r="W935" t="b">
            <v>0</v>
          </cell>
        </row>
        <row r="936">
          <cell r="W936" t="b">
            <v>0</v>
          </cell>
        </row>
        <row r="937">
          <cell r="W937" t="b">
            <v>0</v>
          </cell>
        </row>
        <row r="938">
          <cell r="W938" t="b">
            <v>0</v>
          </cell>
        </row>
        <row r="939">
          <cell r="W939" t="b">
            <v>0</v>
          </cell>
        </row>
        <row r="940">
          <cell r="W940" t="b">
            <v>0</v>
          </cell>
        </row>
        <row r="941">
          <cell r="W941" t="b">
            <v>0</v>
          </cell>
        </row>
        <row r="942">
          <cell r="W942" t="b">
            <v>0</v>
          </cell>
        </row>
        <row r="943">
          <cell r="W943" t="b">
            <v>0</v>
          </cell>
        </row>
        <row r="944">
          <cell r="W944" t="b">
            <v>0</v>
          </cell>
        </row>
        <row r="945">
          <cell r="W945" t="b">
            <v>0</v>
          </cell>
        </row>
        <row r="946">
          <cell r="W946" t="b">
            <v>0</v>
          </cell>
        </row>
        <row r="947">
          <cell r="W947" t="b">
            <v>0</v>
          </cell>
        </row>
        <row r="948">
          <cell r="W948" t="b">
            <v>0</v>
          </cell>
        </row>
        <row r="949">
          <cell r="W949" t="b">
            <v>0</v>
          </cell>
        </row>
        <row r="950">
          <cell r="W950" t="b">
            <v>0</v>
          </cell>
        </row>
        <row r="951">
          <cell r="W951" t="b">
            <v>0</v>
          </cell>
        </row>
        <row r="952">
          <cell r="W952" t="b">
            <v>0</v>
          </cell>
        </row>
        <row r="953">
          <cell r="W953" t="b">
            <v>0</v>
          </cell>
        </row>
        <row r="954">
          <cell r="W954" t="b">
            <v>0</v>
          </cell>
        </row>
        <row r="955">
          <cell r="W955" t="b">
            <v>0</v>
          </cell>
        </row>
        <row r="956">
          <cell r="W956" t="b">
            <v>0</v>
          </cell>
        </row>
        <row r="957">
          <cell r="W957" t="b">
            <v>0</v>
          </cell>
        </row>
        <row r="958">
          <cell r="W958" t="b">
            <v>0</v>
          </cell>
        </row>
        <row r="959">
          <cell r="W959" t="b">
            <v>0</v>
          </cell>
        </row>
        <row r="960">
          <cell r="W960" t="b">
            <v>0</v>
          </cell>
        </row>
        <row r="961">
          <cell r="W961" t="b">
            <v>0</v>
          </cell>
        </row>
        <row r="962">
          <cell r="W962" t="b">
            <v>0</v>
          </cell>
        </row>
        <row r="963">
          <cell r="W963" t="b">
            <v>0</v>
          </cell>
        </row>
        <row r="964">
          <cell r="W964" t="b">
            <v>0</v>
          </cell>
        </row>
        <row r="965">
          <cell r="W965" t="b">
            <v>0</v>
          </cell>
        </row>
        <row r="966">
          <cell r="W966" t="b">
            <v>0</v>
          </cell>
        </row>
        <row r="967">
          <cell r="W967" t="b">
            <v>0</v>
          </cell>
        </row>
        <row r="968">
          <cell r="W968" t="b">
            <v>0</v>
          </cell>
        </row>
        <row r="969">
          <cell r="W969" t="b">
            <v>0</v>
          </cell>
        </row>
        <row r="970">
          <cell r="W970" t="b">
            <v>0</v>
          </cell>
        </row>
        <row r="971">
          <cell r="W971" t="b">
            <v>0</v>
          </cell>
        </row>
        <row r="972">
          <cell r="W972" t="b">
            <v>0</v>
          </cell>
        </row>
        <row r="973">
          <cell r="W973" t="b">
            <v>0</v>
          </cell>
        </row>
        <row r="974">
          <cell r="W974" t="b">
            <v>0</v>
          </cell>
        </row>
        <row r="975">
          <cell r="W975" t="b">
            <v>0</v>
          </cell>
        </row>
        <row r="976">
          <cell r="W976" t="b">
            <v>0</v>
          </cell>
        </row>
        <row r="977">
          <cell r="W977" t="b">
            <v>0</v>
          </cell>
        </row>
        <row r="978">
          <cell r="W978" t="b">
            <v>0</v>
          </cell>
        </row>
        <row r="979">
          <cell r="W979" t="b">
            <v>0</v>
          </cell>
        </row>
        <row r="980">
          <cell r="W980" t="b">
            <v>0</v>
          </cell>
        </row>
        <row r="981">
          <cell r="W981" t="b">
            <v>0</v>
          </cell>
        </row>
        <row r="982">
          <cell r="W982" t="b">
            <v>0</v>
          </cell>
        </row>
        <row r="983">
          <cell r="W983" t="b">
            <v>0</v>
          </cell>
        </row>
        <row r="984">
          <cell r="W984" t="b">
            <v>0</v>
          </cell>
        </row>
        <row r="985">
          <cell r="W985" t="b">
            <v>0</v>
          </cell>
        </row>
        <row r="986">
          <cell r="W986" t="b">
            <v>0</v>
          </cell>
        </row>
        <row r="987">
          <cell r="W987" t="b">
            <v>0</v>
          </cell>
        </row>
        <row r="988">
          <cell r="W988" t="b">
            <v>0</v>
          </cell>
        </row>
        <row r="989">
          <cell r="W989" t="b">
            <v>0</v>
          </cell>
        </row>
        <row r="990">
          <cell r="W990" t="b">
            <v>0</v>
          </cell>
        </row>
        <row r="991">
          <cell r="W991" t="b">
            <v>0</v>
          </cell>
        </row>
        <row r="992">
          <cell r="W992" t="b">
            <v>0</v>
          </cell>
        </row>
        <row r="993">
          <cell r="W993" t="b">
            <v>0</v>
          </cell>
        </row>
        <row r="994">
          <cell r="W994" t="b">
            <v>0</v>
          </cell>
        </row>
        <row r="995">
          <cell r="W995" t="b">
            <v>0</v>
          </cell>
        </row>
        <row r="996">
          <cell r="W996" t="b">
            <v>0</v>
          </cell>
        </row>
        <row r="997">
          <cell r="W997" t="b">
            <v>0</v>
          </cell>
        </row>
        <row r="998">
          <cell r="W998" t="b">
            <v>0</v>
          </cell>
        </row>
        <row r="999">
          <cell r="W999" t="b">
            <v>0</v>
          </cell>
        </row>
        <row r="1000">
          <cell r="W1000" t="b">
            <v>0</v>
          </cell>
        </row>
        <row r="1001">
          <cell r="W1001" t="b">
            <v>0</v>
          </cell>
        </row>
        <row r="1002">
          <cell r="W1002" t="b">
            <v>0</v>
          </cell>
        </row>
        <row r="1003">
          <cell r="W1003" t="b">
            <v>0</v>
          </cell>
        </row>
        <row r="1004">
          <cell r="W1004" t="b">
            <v>0</v>
          </cell>
        </row>
        <row r="1005">
          <cell r="W1005" t="b">
            <v>0</v>
          </cell>
        </row>
        <row r="1006">
          <cell r="W1006" t="b">
            <v>0</v>
          </cell>
        </row>
        <row r="1007">
          <cell r="W1007" t="b">
            <v>0</v>
          </cell>
        </row>
        <row r="1008">
          <cell r="W1008" t="b">
            <v>0</v>
          </cell>
        </row>
        <row r="1009">
          <cell r="W1009" t="b">
            <v>0</v>
          </cell>
        </row>
        <row r="1010">
          <cell r="W1010" t="b">
            <v>0</v>
          </cell>
        </row>
        <row r="1011">
          <cell r="W1011" t="b">
            <v>0</v>
          </cell>
        </row>
        <row r="1012">
          <cell r="W1012" t="b">
            <v>0</v>
          </cell>
        </row>
        <row r="1013">
          <cell r="W1013" t="b">
            <v>0</v>
          </cell>
        </row>
        <row r="1014">
          <cell r="W1014" t="b">
            <v>0</v>
          </cell>
        </row>
        <row r="1015">
          <cell r="W1015" t="b">
            <v>0</v>
          </cell>
        </row>
        <row r="1016">
          <cell r="W1016" t="b">
            <v>0</v>
          </cell>
        </row>
        <row r="1017">
          <cell r="W1017" t="b">
            <v>0</v>
          </cell>
        </row>
        <row r="1018">
          <cell r="W1018" t="b">
            <v>0</v>
          </cell>
        </row>
        <row r="1019">
          <cell r="W1019" t="b">
            <v>0</v>
          </cell>
        </row>
        <row r="1020">
          <cell r="W1020" t="b">
            <v>0</v>
          </cell>
        </row>
        <row r="1021">
          <cell r="W1021" t="b">
            <v>0</v>
          </cell>
        </row>
        <row r="1022">
          <cell r="W1022" t="b">
            <v>0</v>
          </cell>
        </row>
        <row r="1023">
          <cell r="W1023" t="b">
            <v>0</v>
          </cell>
        </row>
        <row r="1024">
          <cell r="W1024" t="b">
            <v>0</v>
          </cell>
        </row>
        <row r="1025">
          <cell r="W1025" t="b">
            <v>0</v>
          </cell>
        </row>
        <row r="1026">
          <cell r="W1026" t="b">
            <v>0</v>
          </cell>
        </row>
        <row r="1027">
          <cell r="W1027" t="b">
            <v>0</v>
          </cell>
        </row>
        <row r="1028">
          <cell r="W1028" t="b">
            <v>0</v>
          </cell>
        </row>
        <row r="1029">
          <cell r="W1029" t="b">
            <v>0</v>
          </cell>
        </row>
        <row r="1030">
          <cell r="W1030" t="b">
            <v>0</v>
          </cell>
        </row>
        <row r="1031">
          <cell r="W1031" t="b">
            <v>0</v>
          </cell>
        </row>
        <row r="1032">
          <cell r="W1032" t="b">
            <v>0</v>
          </cell>
        </row>
        <row r="1033">
          <cell r="W1033" t="b">
            <v>0</v>
          </cell>
        </row>
        <row r="1034">
          <cell r="W1034" t="b">
            <v>0</v>
          </cell>
        </row>
        <row r="1035">
          <cell r="W1035" t="b">
            <v>0</v>
          </cell>
        </row>
        <row r="1036">
          <cell r="W1036" t="b">
            <v>0</v>
          </cell>
        </row>
        <row r="1037">
          <cell r="W1037" t="b">
            <v>0</v>
          </cell>
        </row>
        <row r="1038">
          <cell r="W1038" t="b">
            <v>0</v>
          </cell>
        </row>
        <row r="1039">
          <cell r="W1039" t="b">
            <v>0</v>
          </cell>
        </row>
        <row r="1040">
          <cell r="W1040" t="b">
            <v>0</v>
          </cell>
        </row>
        <row r="1041">
          <cell r="W1041" t="b">
            <v>0</v>
          </cell>
        </row>
        <row r="1042">
          <cell r="W1042" t="b">
            <v>0</v>
          </cell>
        </row>
        <row r="1043">
          <cell r="W1043" t="b">
            <v>0</v>
          </cell>
        </row>
        <row r="1044">
          <cell r="W1044" t="b">
            <v>0</v>
          </cell>
        </row>
        <row r="1045">
          <cell r="W1045" t="b">
            <v>0</v>
          </cell>
        </row>
        <row r="1046">
          <cell r="W1046" t="b">
            <v>0</v>
          </cell>
        </row>
        <row r="1047">
          <cell r="W1047" t="b">
            <v>0</v>
          </cell>
        </row>
        <row r="1048">
          <cell r="W1048" t="b">
            <v>0</v>
          </cell>
        </row>
        <row r="1049">
          <cell r="W1049" t="b">
            <v>0</v>
          </cell>
        </row>
        <row r="1050">
          <cell r="W1050" t="b">
            <v>0</v>
          </cell>
        </row>
        <row r="1051">
          <cell r="W1051" t="b">
            <v>0</v>
          </cell>
        </row>
        <row r="1052">
          <cell r="W1052" t="b">
            <v>0</v>
          </cell>
        </row>
        <row r="1053">
          <cell r="W1053" t="b">
            <v>0</v>
          </cell>
        </row>
        <row r="1054">
          <cell r="W1054" t="b">
            <v>0</v>
          </cell>
        </row>
        <row r="1055">
          <cell r="W1055" t="b">
            <v>0</v>
          </cell>
        </row>
        <row r="1056">
          <cell r="W1056" t="b">
            <v>0</v>
          </cell>
        </row>
        <row r="1057">
          <cell r="W1057" t="b">
            <v>0</v>
          </cell>
        </row>
        <row r="1058">
          <cell r="W1058" t="b">
            <v>0</v>
          </cell>
        </row>
        <row r="1059">
          <cell r="W1059" t="b">
            <v>0</v>
          </cell>
        </row>
        <row r="1060">
          <cell r="W1060" t="b">
            <v>0</v>
          </cell>
        </row>
        <row r="1061">
          <cell r="W1061" t="b">
            <v>0</v>
          </cell>
        </row>
        <row r="1062">
          <cell r="W1062" t="b">
            <v>0</v>
          </cell>
        </row>
        <row r="1063">
          <cell r="W1063" t="b">
            <v>0</v>
          </cell>
        </row>
        <row r="1064">
          <cell r="W1064" t="b">
            <v>0</v>
          </cell>
        </row>
        <row r="1065">
          <cell r="W1065" t="b">
            <v>0</v>
          </cell>
        </row>
        <row r="1066">
          <cell r="W1066" t="b">
            <v>0</v>
          </cell>
        </row>
        <row r="1067">
          <cell r="W1067" t="b">
            <v>0</v>
          </cell>
        </row>
        <row r="1068">
          <cell r="W1068" t="b">
            <v>0</v>
          </cell>
        </row>
        <row r="1069">
          <cell r="W1069" t="b">
            <v>0</v>
          </cell>
        </row>
        <row r="1070">
          <cell r="W1070" t="b">
            <v>0</v>
          </cell>
        </row>
        <row r="1071">
          <cell r="W1071" t="b">
            <v>0</v>
          </cell>
        </row>
        <row r="1072">
          <cell r="W1072" t="b">
            <v>0</v>
          </cell>
        </row>
        <row r="1073">
          <cell r="W1073" t="b">
            <v>0</v>
          </cell>
        </row>
        <row r="1074">
          <cell r="W1074" t="b">
            <v>0</v>
          </cell>
        </row>
        <row r="1075">
          <cell r="W1075" t="b">
            <v>0</v>
          </cell>
        </row>
        <row r="1076">
          <cell r="W1076" t="b">
            <v>0</v>
          </cell>
        </row>
        <row r="1077">
          <cell r="W1077" t="b">
            <v>0</v>
          </cell>
        </row>
        <row r="1078">
          <cell r="W1078" t="b">
            <v>0</v>
          </cell>
        </row>
        <row r="1079">
          <cell r="W1079" t="b">
            <v>0</v>
          </cell>
        </row>
        <row r="1080">
          <cell r="W1080" t="b">
            <v>0</v>
          </cell>
        </row>
        <row r="1081">
          <cell r="W1081" t="b">
            <v>0</v>
          </cell>
        </row>
        <row r="1082">
          <cell r="W1082" t="b">
            <v>0</v>
          </cell>
        </row>
        <row r="1083">
          <cell r="W1083" t="b">
            <v>0</v>
          </cell>
        </row>
        <row r="1084">
          <cell r="W1084" t="b">
            <v>0</v>
          </cell>
        </row>
        <row r="1085">
          <cell r="W1085" t="b">
            <v>0</v>
          </cell>
        </row>
        <row r="1086">
          <cell r="W1086" t="b">
            <v>0</v>
          </cell>
        </row>
        <row r="1087">
          <cell r="W1087" t="b">
            <v>0</v>
          </cell>
        </row>
        <row r="1088">
          <cell r="W1088" t="b">
            <v>0</v>
          </cell>
        </row>
        <row r="1089">
          <cell r="W1089" t="b">
            <v>0</v>
          </cell>
        </row>
        <row r="1090">
          <cell r="W1090" t="b">
            <v>0</v>
          </cell>
        </row>
        <row r="1091">
          <cell r="W1091" t="b">
            <v>0</v>
          </cell>
        </row>
        <row r="1092">
          <cell r="W1092" t="b">
            <v>0</v>
          </cell>
        </row>
        <row r="1093">
          <cell r="W1093" t="b">
            <v>0</v>
          </cell>
        </row>
        <row r="1094">
          <cell r="W1094" t="b">
            <v>0</v>
          </cell>
        </row>
        <row r="1095">
          <cell r="W1095" t="b">
            <v>0</v>
          </cell>
        </row>
        <row r="1096">
          <cell r="W1096" t="b">
            <v>0</v>
          </cell>
        </row>
        <row r="1097">
          <cell r="W1097" t="b">
            <v>0</v>
          </cell>
        </row>
        <row r="1098">
          <cell r="W1098" t="b">
            <v>0</v>
          </cell>
        </row>
        <row r="1099">
          <cell r="W1099" t="b">
            <v>0</v>
          </cell>
        </row>
        <row r="1100">
          <cell r="W1100" t="b">
            <v>0</v>
          </cell>
        </row>
        <row r="1101">
          <cell r="W1101" t="b">
            <v>0</v>
          </cell>
        </row>
        <row r="1102">
          <cell r="W1102" t="b">
            <v>0</v>
          </cell>
        </row>
        <row r="1103">
          <cell r="W1103" t="b">
            <v>0</v>
          </cell>
        </row>
        <row r="1104">
          <cell r="W1104" t="b">
            <v>0</v>
          </cell>
        </row>
        <row r="1105">
          <cell r="W1105" t="b">
            <v>0</v>
          </cell>
        </row>
        <row r="1106">
          <cell r="W1106" t="b">
            <v>0</v>
          </cell>
        </row>
        <row r="1107">
          <cell r="W1107" t="b">
            <v>0</v>
          </cell>
        </row>
        <row r="1108">
          <cell r="W1108" t="b">
            <v>0</v>
          </cell>
        </row>
        <row r="1109">
          <cell r="W1109" t="b">
            <v>0</v>
          </cell>
        </row>
        <row r="1110">
          <cell r="W1110" t="b">
            <v>0</v>
          </cell>
        </row>
        <row r="1111">
          <cell r="W1111" t="b">
            <v>0</v>
          </cell>
        </row>
        <row r="1112">
          <cell r="W1112" t="b">
            <v>0</v>
          </cell>
        </row>
        <row r="1113">
          <cell r="W1113" t="b">
            <v>0</v>
          </cell>
        </row>
        <row r="1114">
          <cell r="W1114" t="b">
            <v>0</v>
          </cell>
        </row>
        <row r="1115">
          <cell r="W1115" t="b">
            <v>0</v>
          </cell>
        </row>
        <row r="1116">
          <cell r="W1116" t="b">
            <v>0</v>
          </cell>
        </row>
        <row r="1117">
          <cell r="W1117" t="b">
            <v>0</v>
          </cell>
        </row>
        <row r="1118">
          <cell r="W1118" t="b">
            <v>0</v>
          </cell>
        </row>
        <row r="1119">
          <cell r="W1119" t="b">
            <v>0</v>
          </cell>
        </row>
        <row r="1120">
          <cell r="W1120" t="b">
            <v>0</v>
          </cell>
        </row>
        <row r="1121">
          <cell r="W1121" t="b">
            <v>0</v>
          </cell>
        </row>
        <row r="1122">
          <cell r="W1122" t="b">
            <v>0</v>
          </cell>
        </row>
        <row r="1123">
          <cell r="W1123" t="b">
            <v>0</v>
          </cell>
        </row>
        <row r="1124">
          <cell r="W1124" t="b">
            <v>0</v>
          </cell>
        </row>
        <row r="1125">
          <cell r="W1125" t="b">
            <v>0</v>
          </cell>
        </row>
        <row r="1126">
          <cell r="W1126" t="b">
            <v>0</v>
          </cell>
        </row>
        <row r="1127">
          <cell r="W1127" t="b">
            <v>0</v>
          </cell>
        </row>
        <row r="1128">
          <cell r="W1128" t="b">
            <v>0</v>
          </cell>
        </row>
        <row r="1129">
          <cell r="W1129" t="b">
            <v>0</v>
          </cell>
        </row>
        <row r="1130">
          <cell r="W1130" t="b">
            <v>0</v>
          </cell>
        </row>
        <row r="1131">
          <cell r="W1131" t="b">
            <v>0</v>
          </cell>
        </row>
        <row r="1132">
          <cell r="W1132" t="b">
            <v>0</v>
          </cell>
        </row>
        <row r="1133">
          <cell r="W1133" t="b">
            <v>0</v>
          </cell>
        </row>
        <row r="1134">
          <cell r="W1134" t="b">
            <v>0</v>
          </cell>
        </row>
        <row r="1135">
          <cell r="W1135" t="b">
            <v>0</v>
          </cell>
        </row>
        <row r="1136">
          <cell r="W1136" t="b">
            <v>0</v>
          </cell>
        </row>
        <row r="1137">
          <cell r="W1137" t="b">
            <v>0</v>
          </cell>
        </row>
        <row r="1138">
          <cell r="W1138" t="b">
            <v>0</v>
          </cell>
        </row>
        <row r="1139">
          <cell r="W1139" t="b">
            <v>0</v>
          </cell>
        </row>
        <row r="1140">
          <cell r="W1140" t="b">
            <v>0</v>
          </cell>
        </row>
        <row r="1141">
          <cell r="W1141" t="b">
            <v>0</v>
          </cell>
        </row>
        <row r="1142">
          <cell r="W1142" t="b">
            <v>0</v>
          </cell>
        </row>
        <row r="1143">
          <cell r="W1143" t="b">
            <v>0</v>
          </cell>
        </row>
        <row r="1144">
          <cell r="W1144" t="b">
            <v>0</v>
          </cell>
        </row>
        <row r="1145">
          <cell r="W1145" t="b">
            <v>0</v>
          </cell>
        </row>
        <row r="1146">
          <cell r="W1146" t="b">
            <v>0</v>
          </cell>
        </row>
        <row r="1147">
          <cell r="W1147" t="b">
            <v>0</v>
          </cell>
        </row>
        <row r="1148">
          <cell r="W1148" t="b">
            <v>0</v>
          </cell>
        </row>
        <row r="1149">
          <cell r="W1149" t="b">
            <v>0</v>
          </cell>
        </row>
        <row r="1150">
          <cell r="W1150" t="b">
            <v>0</v>
          </cell>
        </row>
        <row r="1151">
          <cell r="W1151" t="b">
            <v>0</v>
          </cell>
        </row>
        <row r="1152">
          <cell r="W1152" t="b">
            <v>0</v>
          </cell>
        </row>
        <row r="1153">
          <cell r="W1153" t="b">
            <v>0</v>
          </cell>
        </row>
        <row r="1154">
          <cell r="W1154" t="b">
            <v>0</v>
          </cell>
        </row>
        <row r="1155">
          <cell r="W1155" t="b">
            <v>0</v>
          </cell>
        </row>
        <row r="1156">
          <cell r="W1156" t="b">
            <v>0</v>
          </cell>
        </row>
        <row r="1157">
          <cell r="W1157" t="b">
            <v>0</v>
          </cell>
        </row>
        <row r="1158">
          <cell r="W1158" t="b">
            <v>0</v>
          </cell>
        </row>
        <row r="1159">
          <cell r="W1159" t="b">
            <v>0</v>
          </cell>
        </row>
        <row r="1160">
          <cell r="W1160" t="b">
            <v>0</v>
          </cell>
        </row>
        <row r="1161">
          <cell r="W1161" t="b">
            <v>0</v>
          </cell>
        </row>
        <row r="1162">
          <cell r="W1162" t="b">
            <v>0</v>
          </cell>
        </row>
        <row r="1163">
          <cell r="W1163" t="b">
            <v>0</v>
          </cell>
        </row>
        <row r="1164">
          <cell r="W1164" t="b">
            <v>0</v>
          </cell>
        </row>
        <row r="1165">
          <cell r="W1165" t="b">
            <v>0</v>
          </cell>
        </row>
        <row r="1166">
          <cell r="W1166" t="b">
            <v>0</v>
          </cell>
        </row>
        <row r="1167">
          <cell r="W1167" t="b">
            <v>0</v>
          </cell>
        </row>
        <row r="1168">
          <cell r="W1168" t="b">
            <v>0</v>
          </cell>
        </row>
        <row r="1169">
          <cell r="W1169" t="b">
            <v>0</v>
          </cell>
        </row>
        <row r="1170">
          <cell r="W1170" t="b">
            <v>0</v>
          </cell>
        </row>
        <row r="1171">
          <cell r="W1171" t="b">
            <v>0</v>
          </cell>
        </row>
        <row r="1172">
          <cell r="W1172" t="b">
            <v>0</v>
          </cell>
        </row>
        <row r="1173">
          <cell r="W1173" t="b">
            <v>0</v>
          </cell>
        </row>
        <row r="1174">
          <cell r="W1174" t="b">
            <v>0</v>
          </cell>
        </row>
        <row r="1175">
          <cell r="W1175" t="b">
            <v>0</v>
          </cell>
        </row>
        <row r="1176">
          <cell r="W1176" t="b">
            <v>0</v>
          </cell>
        </row>
        <row r="1177">
          <cell r="W1177" t="b">
            <v>0</v>
          </cell>
        </row>
        <row r="1178">
          <cell r="W1178" t="b">
            <v>0</v>
          </cell>
        </row>
        <row r="1179">
          <cell r="W1179" t="b">
            <v>0</v>
          </cell>
        </row>
        <row r="1180">
          <cell r="W1180" t="b">
            <v>0</v>
          </cell>
        </row>
        <row r="1181">
          <cell r="W1181" t="b">
            <v>0</v>
          </cell>
        </row>
        <row r="1182">
          <cell r="W1182" t="b">
            <v>0</v>
          </cell>
        </row>
        <row r="1183">
          <cell r="W1183" t="b">
            <v>0</v>
          </cell>
        </row>
        <row r="1184">
          <cell r="W1184" t="b">
            <v>0</v>
          </cell>
        </row>
        <row r="1185">
          <cell r="W1185" t="b">
            <v>0</v>
          </cell>
        </row>
        <row r="1186">
          <cell r="W1186" t="b">
            <v>0</v>
          </cell>
        </row>
        <row r="1187">
          <cell r="W1187" t="b">
            <v>0</v>
          </cell>
        </row>
        <row r="1188">
          <cell r="W1188" t="b">
            <v>0</v>
          </cell>
        </row>
        <row r="1189">
          <cell r="W1189" t="b">
            <v>0</v>
          </cell>
        </row>
        <row r="1190">
          <cell r="W1190" t="b">
            <v>0</v>
          </cell>
        </row>
        <row r="1191">
          <cell r="W1191" t="b">
            <v>0</v>
          </cell>
        </row>
        <row r="1192">
          <cell r="W1192" t="b">
            <v>0</v>
          </cell>
        </row>
        <row r="1193">
          <cell r="W1193" t="b">
            <v>0</v>
          </cell>
        </row>
        <row r="1194">
          <cell r="W1194" t="b">
            <v>0</v>
          </cell>
        </row>
        <row r="1195">
          <cell r="W1195" t="b">
            <v>0</v>
          </cell>
        </row>
        <row r="1196">
          <cell r="W1196" t="b">
            <v>0</v>
          </cell>
        </row>
        <row r="1197">
          <cell r="W1197" t="b">
            <v>0</v>
          </cell>
        </row>
        <row r="1198">
          <cell r="W1198" t="b">
            <v>0</v>
          </cell>
        </row>
        <row r="1199">
          <cell r="W1199" t="b">
            <v>0</v>
          </cell>
        </row>
        <row r="1200">
          <cell r="W1200" t="b">
            <v>0</v>
          </cell>
        </row>
        <row r="1201">
          <cell r="W1201" t="b">
            <v>0</v>
          </cell>
        </row>
        <row r="1202">
          <cell r="W1202" t="b">
            <v>0</v>
          </cell>
        </row>
        <row r="1203">
          <cell r="W1203" t="b">
            <v>0</v>
          </cell>
        </row>
        <row r="1204">
          <cell r="W1204" t="b">
            <v>0</v>
          </cell>
        </row>
        <row r="1205">
          <cell r="W1205" t="b">
            <v>0</v>
          </cell>
        </row>
        <row r="1206">
          <cell r="W1206" t="b">
            <v>0</v>
          </cell>
        </row>
        <row r="1207">
          <cell r="W1207" t="b">
            <v>0</v>
          </cell>
        </row>
        <row r="1208">
          <cell r="W1208" t="b">
            <v>0</v>
          </cell>
        </row>
        <row r="1209">
          <cell r="W1209" t="b">
            <v>0</v>
          </cell>
        </row>
        <row r="1210">
          <cell r="W1210" t="b">
            <v>0</v>
          </cell>
        </row>
        <row r="1211">
          <cell r="W1211" t="b">
            <v>0</v>
          </cell>
        </row>
        <row r="1212">
          <cell r="W1212" t="b">
            <v>0</v>
          </cell>
        </row>
        <row r="1213">
          <cell r="W1213" t="b">
            <v>0</v>
          </cell>
        </row>
        <row r="1214">
          <cell r="W1214" t="b">
            <v>0</v>
          </cell>
        </row>
        <row r="1215">
          <cell r="W1215" t="b">
            <v>0</v>
          </cell>
        </row>
        <row r="1216">
          <cell r="W1216" t="b">
            <v>0</v>
          </cell>
        </row>
        <row r="1217">
          <cell r="W1217" t="b">
            <v>0</v>
          </cell>
        </row>
        <row r="1218">
          <cell r="W1218" t="b">
            <v>0</v>
          </cell>
        </row>
        <row r="1219">
          <cell r="W1219" t="b">
            <v>0</v>
          </cell>
        </row>
        <row r="1220">
          <cell r="W1220" t="b">
            <v>0</v>
          </cell>
        </row>
        <row r="1221">
          <cell r="W1221" t="b">
            <v>0</v>
          </cell>
        </row>
        <row r="1222">
          <cell r="W1222" t="b">
            <v>0</v>
          </cell>
        </row>
        <row r="1223">
          <cell r="W1223" t="b">
            <v>0</v>
          </cell>
        </row>
        <row r="1224">
          <cell r="W1224" t="b">
            <v>0</v>
          </cell>
        </row>
        <row r="1225">
          <cell r="W1225" t="b">
            <v>0</v>
          </cell>
        </row>
        <row r="1226">
          <cell r="W1226" t="b">
            <v>0</v>
          </cell>
        </row>
        <row r="1227">
          <cell r="W1227" t="b">
            <v>0</v>
          </cell>
        </row>
        <row r="1228">
          <cell r="W1228" t="b">
            <v>0</v>
          </cell>
        </row>
        <row r="1229">
          <cell r="W1229" t="b">
            <v>0</v>
          </cell>
        </row>
        <row r="1230">
          <cell r="W1230" t="b">
            <v>0</v>
          </cell>
        </row>
        <row r="1231">
          <cell r="W1231" t="b">
            <v>0</v>
          </cell>
        </row>
      </sheetData>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TOC"/>
      <sheetName val="Main"/>
      <sheetName val="Guidance History"/>
      <sheetName val="QTR Analysis"/>
      <sheetName val="Earnings Analysis"/>
      <sheetName val="Valuation"/>
      <sheetName val="DCF"/>
      <sheetName val="PT valuation"/>
      <sheetName val="Act &amp; Landing"/>
      <sheetName val="Nac &amp; Interior"/>
      <sheetName val="Electronic Systems"/>
      <sheetName val="Revs by Market Channel"/>
      <sheetName val="Large Aircraft Build-Up"/>
      <sheetName val="Scratch"/>
      <sheetName val="EPS Walk"/>
      <sheetName val="M&amp;A"/>
      <sheetName val="Valuation Summary"/>
      <sheetName val="Ship Set Values"/>
      <sheetName val="Bull Base Bear"/>
      <sheetName val="Aftermarket"/>
      <sheetName val="Aircraft Content"/>
      <sheetName val="Output"/>
      <sheetName val="Sheet1"/>
      <sheetName val="MW-Cache"/>
      <sheetName val="MWA RR"/>
      <sheetName val="mwareDates"/>
      <sheetName val="To Do's"/>
      <sheetName val="mwareSettings"/>
      <sheetName val="Capital Deployment"/>
      <sheetName val="C1500"/>
      <sheetName val="FBO MRO EBITDA ACT-BUD YTD"/>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row r="1">
          <cell r="A1" t="str">
            <v>Goodrich Corp.</v>
          </cell>
        </row>
        <row r="27">
          <cell r="A27" t="str">
            <v>DCF</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AFOSHEET"/>
      <sheetName val="Cover"/>
      <sheetName val="Valuation"/>
      <sheetName val="Model"/>
      <sheetName val="Comm.Aero.Prod "/>
      <sheetName val="mwareDates"/>
      <sheetName val="Margin Analysis"/>
      <sheetName val="MWA RR"/>
      <sheetName val="Inventory"/>
      <sheetName val="MW-Cache"/>
      <sheetName val="mwareSettings"/>
      <sheetName val="Notes"/>
      <sheetName val="10Q"/>
      <sheetName val="10K "/>
      <sheetName val="ExportData"/>
      <sheetName val="Bull.Base.Bear"/>
      <sheetName val="MWA Pension"/>
      <sheetName val="MWA OPEB"/>
      <sheetName val="Working Capital"/>
      <sheetName val="MW Valuation"/>
    </sheetNames>
    <sheetDataSet>
      <sheetData sheetId="0"/>
      <sheetData sheetId="1"/>
      <sheetData sheetId="2"/>
      <sheetData sheetId="3"/>
      <sheetData sheetId="4"/>
      <sheetData sheetId="5"/>
      <sheetData sheetId="6">
        <row r="2">
          <cell r="B2" t="str">
            <v>2006-Q1</v>
          </cell>
          <cell r="C2">
            <v>38718</v>
          </cell>
          <cell r="D2">
            <v>38807</v>
          </cell>
          <cell r="E2" t="str">
            <v>A</v>
          </cell>
        </row>
        <row r="3">
          <cell r="B3" t="str">
            <v>2006-Q2</v>
          </cell>
          <cell r="C3">
            <v>38808</v>
          </cell>
          <cell r="D3">
            <v>38898</v>
          </cell>
          <cell r="E3" t="str">
            <v>A</v>
          </cell>
        </row>
        <row r="4">
          <cell r="B4" t="str">
            <v>2006-Q3</v>
          </cell>
          <cell r="C4">
            <v>38899</v>
          </cell>
          <cell r="D4">
            <v>38990</v>
          </cell>
          <cell r="E4" t="str">
            <v>A</v>
          </cell>
        </row>
        <row r="5">
          <cell r="B5" t="str">
            <v>2006-Q4</v>
          </cell>
          <cell r="C5">
            <v>38991</v>
          </cell>
          <cell r="D5">
            <v>39082</v>
          </cell>
          <cell r="E5" t="str">
            <v>A</v>
          </cell>
        </row>
        <row r="6">
          <cell r="B6" t="str">
            <v>2006-FY</v>
          </cell>
          <cell r="C6">
            <v>38718</v>
          </cell>
          <cell r="D6">
            <v>39082</v>
          </cell>
          <cell r="E6" t="str">
            <v>A</v>
          </cell>
        </row>
        <row r="7">
          <cell r="B7" t="str">
            <v>2007-Q1</v>
          </cell>
          <cell r="C7">
            <v>39083</v>
          </cell>
          <cell r="D7">
            <v>39172</v>
          </cell>
          <cell r="E7" t="str">
            <v>A</v>
          </cell>
        </row>
        <row r="8">
          <cell r="B8" t="str">
            <v>2007-Q2</v>
          </cell>
          <cell r="C8">
            <v>39173</v>
          </cell>
          <cell r="D8">
            <v>39263</v>
          </cell>
          <cell r="E8" t="str">
            <v>A</v>
          </cell>
        </row>
        <row r="9">
          <cell r="B9" t="str">
            <v>2007-Q3</v>
          </cell>
          <cell r="C9">
            <v>39264</v>
          </cell>
          <cell r="D9">
            <v>39355</v>
          </cell>
          <cell r="E9" t="str">
            <v>A</v>
          </cell>
        </row>
        <row r="10">
          <cell r="B10" t="str">
            <v>2007-Q4</v>
          </cell>
          <cell r="C10">
            <v>39356</v>
          </cell>
          <cell r="D10">
            <v>39447</v>
          </cell>
          <cell r="E10" t="str">
            <v>A</v>
          </cell>
        </row>
        <row r="11">
          <cell r="B11" t="str">
            <v>2007-FY</v>
          </cell>
          <cell r="C11">
            <v>39083</v>
          </cell>
          <cell r="D11">
            <v>39447</v>
          </cell>
          <cell r="E11" t="str">
            <v>A</v>
          </cell>
        </row>
        <row r="12">
          <cell r="B12" t="str">
            <v>2008-Q1</v>
          </cell>
          <cell r="C12">
            <v>39448</v>
          </cell>
          <cell r="D12">
            <v>39538</v>
          </cell>
          <cell r="E12" t="str">
            <v>A</v>
          </cell>
        </row>
        <row r="13">
          <cell r="B13" t="str">
            <v>2008-Q2</v>
          </cell>
          <cell r="C13">
            <v>39539</v>
          </cell>
          <cell r="D13">
            <v>39629</v>
          </cell>
          <cell r="E13" t="str">
            <v>A</v>
          </cell>
        </row>
        <row r="14">
          <cell r="B14" t="str">
            <v>2008-Q3</v>
          </cell>
          <cell r="C14">
            <v>39630</v>
          </cell>
          <cell r="D14">
            <v>39721</v>
          </cell>
          <cell r="E14" t="str">
            <v>A</v>
          </cell>
        </row>
        <row r="15">
          <cell r="B15" t="str">
            <v>2008-Q4</v>
          </cell>
          <cell r="C15">
            <v>39722</v>
          </cell>
          <cell r="D15">
            <v>39813</v>
          </cell>
          <cell r="E15" t="str">
            <v>A</v>
          </cell>
        </row>
        <row r="16">
          <cell r="B16" t="str">
            <v>2008-FY</v>
          </cell>
          <cell r="C16">
            <v>39448</v>
          </cell>
          <cell r="D16">
            <v>39813</v>
          </cell>
          <cell r="E16" t="str">
            <v>A</v>
          </cell>
        </row>
        <row r="17">
          <cell r="B17" t="str">
            <v>2009-Q1</v>
          </cell>
          <cell r="C17">
            <v>39814</v>
          </cell>
          <cell r="D17">
            <v>39903</v>
          </cell>
          <cell r="E17" t="str">
            <v>A</v>
          </cell>
        </row>
        <row r="18">
          <cell r="B18" t="str">
            <v>2009-Q2</v>
          </cell>
          <cell r="C18">
            <v>39904</v>
          </cell>
          <cell r="D18">
            <v>39994</v>
          </cell>
          <cell r="E18" t="str">
            <v>A</v>
          </cell>
        </row>
        <row r="19">
          <cell r="B19" t="str">
            <v>2009-Q3</v>
          </cell>
          <cell r="C19">
            <v>39995</v>
          </cell>
          <cell r="D19">
            <v>40086</v>
          </cell>
          <cell r="E19" t="str">
            <v>A</v>
          </cell>
        </row>
        <row r="20">
          <cell r="B20" t="str">
            <v>2009-Q4</v>
          </cell>
          <cell r="C20">
            <v>40087</v>
          </cell>
          <cell r="D20">
            <v>40178</v>
          </cell>
          <cell r="E20" t="str">
            <v>A</v>
          </cell>
        </row>
        <row r="21">
          <cell r="B21" t="str">
            <v>2009-FY</v>
          </cell>
          <cell r="C21">
            <v>39814</v>
          </cell>
          <cell r="D21">
            <v>40178</v>
          </cell>
          <cell r="E21" t="str">
            <v>A</v>
          </cell>
        </row>
      </sheetData>
      <sheetData sheetId="7"/>
      <sheetData sheetId="8"/>
      <sheetData sheetId="9"/>
      <sheetData sheetId="10"/>
      <sheetData sheetId="1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ultipleSecurities"/>
      <sheetName val="Model_Template"/>
      <sheetName val="Q&amp;A"/>
      <sheetName val="mwareDates"/>
      <sheetName val="mwareSettings"/>
      <sheetName val="INPUT"/>
      <sheetName val="Val"/>
      <sheetName val="PRINT SHEET"/>
      <sheetName val="Key Metrics"/>
      <sheetName val="Profile"/>
      <sheetName val="STA GRAPHS"/>
      <sheetName val="RESIDUAL INCOME"/>
      <sheetName val="Employee"/>
      <sheetName val="Individual"/>
      <sheetName val="Assumptions"/>
      <sheetName val="BS"/>
      <sheetName val="UPS-GAS"/>
      <sheetName val="Quarterly"/>
      <sheetName val="Combo Box"/>
      <sheetName val="MMD"/>
      <sheetName val="Model"/>
      <sheetName val="MATQTRS"/>
      <sheetName val="UNIV-EBS DATA"/>
      <sheetName val="Ratios"/>
      <sheetName val="MATINC"/>
      <sheetName val="MATBAL"/>
      <sheetName val="Macro1"/>
      <sheetName val="Macro2"/>
      <sheetName val="Valuation"/>
      <sheetName val="yearly"/>
      <sheetName val="OnAir"/>
      <sheetName val="Analysis"/>
      <sheetName val="MACRS"/>
      <sheetName val="FutureAcq"/>
      <sheetName val="Credit Output"/>
      <sheetName val="CalcsMO"/>
      <sheetName val=" Capital"/>
      <sheetName val="New Business"/>
      <sheetName val="LXK"/>
      <sheetName val="RELPE"/>
      <sheetName val="SALESCAT"/>
      <sheetName val="MATCASH"/>
      <sheetName val="FinSum"/>
      <sheetName val="Scenario"/>
      <sheetName val="Aladdin Macro1"/>
      <sheetName val="DATA"/>
      <sheetName val="Gas"/>
      <sheetName val="Off Peak"/>
      <sheetName val="Peak"/>
      <sheetName val="WY"/>
      <sheetName val="changes in EST"/>
      <sheetName val="US peers EBIT Margins"/>
      <sheetName val="Sheet7"/>
      <sheetName val="Model (Euro)"/>
      <sheetName val="Monthly Spot"/>
      <sheetName val="NKEBALST"/>
      <sheetName val="NKEQTRIN"/>
      <sheetName val="main"/>
      <sheetName val="Sheet1"/>
      <sheetName val="premium detail - P&amp;C"/>
      <sheetName val="DMK"/>
      <sheetName val="Monthly figures"/>
      <sheetName val="Cashflow Mode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ssues Sheet"/>
      <sheetName val="#REF"/>
      <sheetName val="MultipleSecurities"/>
      <sheetName val="XOM"/>
    </sheetNames>
    <sheetDataSet>
      <sheetData sheetId="0" refreshError="1"/>
      <sheetData sheetId="1" refreshError="1"/>
      <sheetData sheetId="2" refreshError="1"/>
      <sheetData sheetId="3" refreshError="1"/>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China"/>
      <sheetName val="Corp Profits"/>
      <sheetName val="Backlogs"/>
      <sheetName val="Plane Models"/>
      <sheetName val="Biz Jets Takeoffs Landings&gt;&gt;"/>
      <sheetName val="Sheet1"/>
      <sheetName val="GAMA Annual Data"/>
      <sheetName val="Delivs Condensed"/>
      <sheetName val="Deliveries"/>
      <sheetName val="BizJet Deliveries"/>
      <sheetName val="Biz Jet Output Data"/>
      <sheetName val="Quart. &amp; Annual Summary"/>
      <sheetName val="Sheet2"/>
      <sheetName val="BJs charts"/>
      <sheetName val="__FDSCACHE__"/>
      <sheetName val="BBD Data"/>
      <sheetName val="AFOSHEET"/>
      <sheetName val="Source Data All Biz Jets"/>
      <sheetName val="Source Data Gulfstream "/>
      <sheetName val="Source Data Cessna"/>
      <sheetName val="Source Data Bombardier"/>
      <sheetName val="Source Data Embraer"/>
      <sheetName val="Source Data Hawker-Beechcraft"/>
      <sheetName val="Amstat Inventories"/>
      <sheetName val="Delivs by Regions"/>
      <sheetName val="Feb"/>
      <sheetName val="mwareDates"/>
      <sheetName val="Model"/>
      <sheetName val="Exclusion List"/>
    </sheetNames>
    <sheetDataSet>
      <sheetData sheetId="0"/>
      <sheetData sheetId="1"/>
      <sheetData sheetId="2"/>
      <sheetData sheetId="3"/>
      <sheetData sheetId="4"/>
      <sheetData sheetId="5"/>
      <sheetData sheetId="6"/>
      <sheetData sheetId="7"/>
      <sheetData sheetId="8"/>
      <sheetData sheetId="9">
        <row r="1">
          <cell r="A1" t="str">
            <v>Annual Deliveries</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refreshError="1"/>
      <sheetData sheetId="25" refreshError="1"/>
      <sheetData sheetId="26" refreshError="1"/>
      <sheetData sheetId="27" refreshError="1"/>
      <sheetData sheetId="28" refreshError="1"/>
      <sheetData sheetId="29" refreshError="1"/>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sclaimer"/>
      <sheetName val="TOS"/>
      <sheetName val="BS"/>
      <sheetName val="Nymex"/>
      <sheetName val="Stats"/>
      <sheetName val="Variance"/>
      <sheetName val="quarterly"/>
      <sheetName val="ROCE"/>
      <sheetName val="XON Acq."/>
      <sheetName val="Wood R. Avon"/>
      <sheetName val="Alliance"/>
      <sheetName val="Cork"/>
      <sheetName val="INPC-Whitegate"/>
      <sheetName val="Retail"/>
      <sheetName val="WACC"/>
      <sheetName val="Book Value"/>
      <sheetName val="Chart"/>
      <sheetName val="E PWR"/>
      <sheetName val="Acq."/>
      <sheetName val="UCL"/>
      <sheetName val="Notes"/>
      <sheetName val="Old - Refineries"/>
      <sheetName val="Debt"/>
      <sheetName val="Data"/>
      <sheetName val="GE Data"/>
      <sheetName val="IndexInformation"/>
      <sheetName val="MainCode"/>
      <sheetName val="NY UPLOAD.bak"/>
      <sheetName val="NY UPLOAD Shadow.bak"/>
      <sheetName val="NY UPLOAD"/>
      <sheetName val="NY UPLOAD Shadow"/>
      <sheetName val="P"/>
      <sheetName val="DCF + ROCE"/>
      <sheetName val="Report Stats"/>
      <sheetName val="Report CFBS"/>
      <sheetName val="VLOVAL"/>
      <sheetName val="R-Stats1"/>
      <sheetName val="Diffs"/>
      <sheetName val="NEWREF"/>
      <sheetName val="REPLCOST"/>
      <sheetName val="PBook"/>
      <sheetName val="CAPEX"/>
      <sheetName val="VLOVAL1"/>
      <sheetName val="VLO"/>
      <sheetName val="Front Page"/>
      <sheetName val="Report Income Statement"/>
      <sheetName val="Divisional Comps"/>
    </sheetNames>
    <definedNames>
      <definedName name="Update_This"/>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efreshError="1"/>
      <sheetData sheetId="27"/>
      <sheetData sheetId="28"/>
      <sheetData sheetId="29"/>
      <sheetData sheetId="30"/>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s>

</file>

<file path=xl/worksheets/_rels/sheet2.xml.rels><?xml version="1.0" encoding="UTF-8" standalone="yes"?>
<Relationships xmlns="http://schemas.openxmlformats.org/package/2006/relationships">
<Relationship Id="rId1" Target="../printerSettings/printerSettings2.bin" Type="http://schemas.openxmlformats.org/officeDocument/2006/relationships/printerSettings"/>
<Relationship Id="rId2" Target="../drawings/drawing1.xml" Type="http://schemas.openxmlformats.org/officeDocument/2006/relationships/drawing"/>
</Relationships>

</file>

<file path=xl/worksheets/_rels/sheet3.xml.rels><?xml version="1.0" encoding="UTF-8" standalone="yes"?>
<Relationships xmlns="http://schemas.openxmlformats.org/package/2006/relationships">
<Relationship Id="rId1" Target="../printerSettings/printerSettings3.bin" Type="http://schemas.openxmlformats.org/officeDocument/2006/relationships/printerSettings"/>
</Relationships>

</file>

<file path=xl/worksheets/_rels/sheet4.xml.rels><?xml version="1.0" encoding="UTF-8" standalone="yes"?>
<Relationships xmlns="http://schemas.openxmlformats.org/package/2006/relationships">
<Relationship Id="rId1" Target="../printerSettings/printerSettings4.bin" Type="http://schemas.openxmlformats.org/officeDocument/2006/relationships/printerSettings"/>
</Relationships>

</file>

<file path=xl/worksheets/_rels/sheet5.xml.rels><?xml version="1.0" encoding="UTF-8" standalone="yes"?>
<Relationships xmlns="http://schemas.openxmlformats.org/package/2006/relationships">
<Relationship Id="rId1" Target="../printerSettings/printerSettings5.bin" Type="http://schemas.openxmlformats.org/officeDocument/2006/relationships/printerSettings"/>
<Relationship Id="rId2" Target="../drawings/vmlDrawing1.vml" Type="http://schemas.openxmlformats.org/officeDocument/2006/relationships/vmlDrawing"/>
<Relationship Id="rId3" Target="../comments1.xml" Type="http://schemas.openxmlformats.org/officeDocument/2006/relationships/comments"/>
</Relationships>

</file>

<file path=xl/worksheets/_rels/sheet6.xml.rels><?xml version="1.0" encoding="UTF-8" standalone="yes"?>
<Relationships xmlns="http://schemas.openxmlformats.org/package/2006/relationships">
<Relationship Id="rId1" Target="../printerSettings/printerSettings6.bin" Type="http://schemas.openxmlformats.org/officeDocument/2006/relationships/printerSettings"/>
</Relationships>

</file>

<file path=xl/worksheets/_rels/sheet8.xml.rels><?xml version="1.0" encoding="UTF-8" standalone="yes"?>
<Relationships xmlns="http://schemas.openxmlformats.org/package/2006/relationships">
<Relationship Id="rId1" Target="../printerSettings/printerSettings7.bin" Type="http://schemas.openxmlformats.org/officeDocument/2006/relationships/printerSettings"/>
<Relationship Id="rId2" Target="../drawings/vmlDrawing2.vml" Type="http://schemas.openxmlformats.org/officeDocument/2006/relationships/vmlDrawing"/>
<Relationship Id="rId3" Target="../comments2.xml" Type="http://schemas.openxmlformats.org/officeDocument/2006/relationships/comments"/>
</Relationships>

</file>

<file path=xl/worksheets/_rels/sheet9.xml.rels><?xml version="1.0" encoding="UTF-8" standalone="yes"?>
<Relationships xmlns="http://schemas.openxmlformats.org/package/2006/relationships">
<Relationship Id="rId1" Target="../printerSettings/printerSettings8.bin" Type="http://schemas.openxmlformats.org/officeDocument/2006/relationships/printerSettings"/>
</Relationships>

</file>

<file path=xl/worksheets/_rels/sheet10.xml.rels><?xml version="1.0" encoding="UTF-8" standalone="yes"?>
<Relationships xmlns="http://schemas.openxmlformats.org/package/2006/relationships">
<Relationship Id="rId1" Target="../printerSettings/printerSettings9.bin" Type="http://schemas.openxmlformats.org/officeDocument/2006/relationships/printerSettings"/>
<Relationship Id="rId2" Target="../customProperty1.bin" Type="http://schemas.openxmlformats.org/officeDocument/2006/relationships/customProperty"/>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
  <sheetViews>
    <sheetView workbookViewId="0"/>
  </sheetViews>
  <sheetFormatPr defaultRowHeight="12.75"/>
  <sheetData>
    <row r="1" spans="1:1">
      <c r="A1" s="4"/>
    </row>
  </sheetData>
  <phoneticPr fontId="3" type="noConversion"/>
  <pageMargins left="0.75" right="0.75" top="1" bottom="1" header="0.5" footer="0.5"/>
  <pageSetup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H394"/>
  <sheetViews>
    <sheetView showGridLines="0" tabSelected="1" workbookViewId="0">
      <selection activeCell="B26" sqref="B26"/>
    </sheetView>
  </sheetViews>
  <sheetFormatPr defaultRowHeight="12.75"/>
  <cols>
    <col min="1" max="1" width="25.7109375" style="1309" customWidth="1"/>
    <col min="2" max="5" width="9.140625" style="1309"/>
    <col min="6" max="6" width="18.7109375" style="1309" customWidth="1"/>
    <col min="7" max="256" width="9.140625" style="1309"/>
    <col min="257" max="257" width="100.7109375" style="1309" customWidth="1"/>
    <col min="258" max="512" width="9.140625" style="1309"/>
    <col min="513" max="513" width="100.7109375" style="1309" customWidth="1"/>
    <col min="514" max="768" width="9.140625" style="1309"/>
    <col min="769" max="769" width="100.7109375" style="1309" customWidth="1"/>
    <col min="770" max="1024" width="9.140625" style="1309"/>
    <col min="1025" max="1025" width="100.7109375" style="1309" customWidth="1"/>
    <col min="1026" max="1280" width="9.140625" style="1309"/>
    <col min="1281" max="1281" width="100.7109375" style="1309" customWidth="1"/>
    <col min="1282" max="1536" width="9.140625" style="1309"/>
    <col min="1537" max="1537" width="100.7109375" style="1309" customWidth="1"/>
    <col min="1538" max="1792" width="9.140625" style="1309"/>
    <col min="1793" max="1793" width="100.7109375" style="1309" customWidth="1"/>
    <col min="1794" max="2048" width="9.140625" style="1309"/>
    <col min="2049" max="2049" width="100.7109375" style="1309" customWidth="1"/>
    <col min="2050" max="2304" width="9.140625" style="1309"/>
    <col min="2305" max="2305" width="100.7109375" style="1309" customWidth="1"/>
    <col min="2306" max="2560" width="9.140625" style="1309"/>
    <col min="2561" max="2561" width="100.7109375" style="1309" customWidth="1"/>
    <col min="2562" max="2816" width="9.140625" style="1309"/>
    <col min="2817" max="2817" width="100.7109375" style="1309" customWidth="1"/>
    <col min="2818" max="3072" width="9.140625" style="1309"/>
    <col min="3073" max="3073" width="100.7109375" style="1309" customWidth="1"/>
    <col min="3074" max="3328" width="9.140625" style="1309"/>
    <col min="3329" max="3329" width="100.7109375" style="1309" customWidth="1"/>
    <col min="3330" max="3584" width="9.140625" style="1309"/>
    <col min="3585" max="3585" width="100.7109375" style="1309" customWidth="1"/>
    <col min="3586" max="3840" width="9.140625" style="1309"/>
    <col min="3841" max="3841" width="100.7109375" style="1309" customWidth="1"/>
    <col min="3842" max="4096" width="9.140625" style="1309"/>
    <col min="4097" max="4097" width="100.7109375" style="1309" customWidth="1"/>
    <col min="4098" max="4352" width="9.140625" style="1309"/>
    <col min="4353" max="4353" width="100.7109375" style="1309" customWidth="1"/>
    <col min="4354" max="4608" width="9.140625" style="1309"/>
    <col min="4609" max="4609" width="100.7109375" style="1309" customWidth="1"/>
    <col min="4610" max="4864" width="9.140625" style="1309"/>
    <col min="4865" max="4865" width="100.7109375" style="1309" customWidth="1"/>
    <col min="4866" max="5120" width="9.140625" style="1309"/>
    <col min="5121" max="5121" width="100.7109375" style="1309" customWidth="1"/>
    <col min="5122" max="5376" width="9.140625" style="1309"/>
    <col min="5377" max="5377" width="100.7109375" style="1309" customWidth="1"/>
    <col min="5378" max="5632" width="9.140625" style="1309"/>
    <col min="5633" max="5633" width="100.7109375" style="1309" customWidth="1"/>
    <col min="5634" max="5888" width="9.140625" style="1309"/>
    <col min="5889" max="5889" width="100.7109375" style="1309" customWidth="1"/>
    <col min="5890" max="6144" width="9.140625" style="1309"/>
    <col min="6145" max="6145" width="100.7109375" style="1309" customWidth="1"/>
    <col min="6146" max="6400" width="9.140625" style="1309"/>
    <col min="6401" max="6401" width="100.7109375" style="1309" customWidth="1"/>
    <col min="6402" max="6656" width="9.140625" style="1309"/>
    <col min="6657" max="6657" width="100.7109375" style="1309" customWidth="1"/>
    <col min="6658" max="6912" width="9.140625" style="1309"/>
    <col min="6913" max="6913" width="100.7109375" style="1309" customWidth="1"/>
    <col min="6914" max="7168" width="9.140625" style="1309"/>
    <col min="7169" max="7169" width="100.7109375" style="1309" customWidth="1"/>
    <col min="7170" max="7424" width="9.140625" style="1309"/>
    <col min="7425" max="7425" width="100.7109375" style="1309" customWidth="1"/>
    <col min="7426" max="7680" width="9.140625" style="1309"/>
    <col min="7681" max="7681" width="100.7109375" style="1309" customWidth="1"/>
    <col min="7682" max="7936" width="9.140625" style="1309"/>
    <col min="7937" max="7937" width="100.7109375" style="1309" customWidth="1"/>
    <col min="7938" max="8192" width="9.140625" style="1309"/>
    <col min="8193" max="8193" width="100.7109375" style="1309" customWidth="1"/>
    <col min="8194" max="8448" width="9.140625" style="1309"/>
    <col min="8449" max="8449" width="100.7109375" style="1309" customWidth="1"/>
    <col min="8450" max="8704" width="9.140625" style="1309"/>
    <col min="8705" max="8705" width="100.7109375" style="1309" customWidth="1"/>
    <col min="8706" max="8960" width="9.140625" style="1309"/>
    <col min="8961" max="8961" width="100.7109375" style="1309" customWidth="1"/>
    <col min="8962" max="9216" width="9.140625" style="1309"/>
    <col min="9217" max="9217" width="100.7109375" style="1309" customWidth="1"/>
    <col min="9218" max="9472" width="9.140625" style="1309"/>
    <col min="9473" max="9473" width="100.7109375" style="1309" customWidth="1"/>
    <col min="9474" max="9728" width="9.140625" style="1309"/>
    <col min="9729" max="9729" width="100.7109375" style="1309" customWidth="1"/>
    <col min="9730" max="9984" width="9.140625" style="1309"/>
    <col min="9985" max="9985" width="100.7109375" style="1309" customWidth="1"/>
    <col min="9986" max="10240" width="9.140625" style="1309"/>
    <col min="10241" max="10241" width="100.7109375" style="1309" customWidth="1"/>
    <col min="10242" max="10496" width="9.140625" style="1309"/>
    <col min="10497" max="10497" width="100.7109375" style="1309" customWidth="1"/>
    <col min="10498" max="10752" width="9.140625" style="1309"/>
    <col min="10753" max="10753" width="100.7109375" style="1309" customWidth="1"/>
    <col min="10754" max="11008" width="9.140625" style="1309"/>
    <col min="11009" max="11009" width="100.7109375" style="1309" customWidth="1"/>
    <col min="11010" max="11264" width="9.140625" style="1309"/>
    <col min="11265" max="11265" width="100.7109375" style="1309" customWidth="1"/>
    <col min="11266" max="11520" width="9.140625" style="1309"/>
    <col min="11521" max="11521" width="100.7109375" style="1309" customWidth="1"/>
    <col min="11522" max="11776" width="9.140625" style="1309"/>
    <col min="11777" max="11777" width="100.7109375" style="1309" customWidth="1"/>
    <col min="11778" max="12032" width="9.140625" style="1309"/>
    <col min="12033" max="12033" width="100.7109375" style="1309" customWidth="1"/>
    <col min="12034" max="12288" width="9.140625" style="1309"/>
    <col min="12289" max="12289" width="100.7109375" style="1309" customWidth="1"/>
    <col min="12290" max="12544" width="9.140625" style="1309"/>
    <col min="12545" max="12545" width="100.7109375" style="1309" customWidth="1"/>
    <col min="12546" max="12800" width="9.140625" style="1309"/>
    <col min="12801" max="12801" width="100.7109375" style="1309" customWidth="1"/>
    <col min="12802" max="13056" width="9.140625" style="1309"/>
    <col min="13057" max="13057" width="100.7109375" style="1309" customWidth="1"/>
    <col min="13058" max="13312" width="9.140625" style="1309"/>
    <col min="13313" max="13313" width="100.7109375" style="1309" customWidth="1"/>
    <col min="13314" max="13568" width="9.140625" style="1309"/>
    <col min="13569" max="13569" width="100.7109375" style="1309" customWidth="1"/>
    <col min="13570" max="13824" width="9.140625" style="1309"/>
    <col min="13825" max="13825" width="100.7109375" style="1309" customWidth="1"/>
    <col min="13826" max="14080" width="9.140625" style="1309"/>
    <col min="14081" max="14081" width="100.7109375" style="1309" customWidth="1"/>
    <col min="14082" max="14336" width="9.140625" style="1309"/>
    <col min="14337" max="14337" width="100.7109375" style="1309" customWidth="1"/>
    <col min="14338" max="14592" width="9.140625" style="1309"/>
    <col min="14593" max="14593" width="100.7109375" style="1309" customWidth="1"/>
    <col min="14594" max="14848" width="9.140625" style="1309"/>
    <col min="14849" max="14849" width="100.7109375" style="1309" customWidth="1"/>
    <col min="14850" max="15104" width="9.140625" style="1309"/>
    <col min="15105" max="15105" width="100.7109375" style="1309" customWidth="1"/>
    <col min="15106" max="15360" width="9.140625" style="1309"/>
    <col min="15361" max="15361" width="100.7109375" style="1309" customWidth="1"/>
    <col min="15362" max="15616" width="9.140625" style="1309"/>
    <col min="15617" max="15617" width="100.7109375" style="1309" customWidth="1"/>
    <col min="15618" max="15872" width="9.140625" style="1309"/>
    <col min="15873" max="15873" width="100.7109375" style="1309" customWidth="1"/>
    <col min="15874" max="16128" width="9.140625" style="1309"/>
    <col min="16129" max="16129" width="100.7109375" style="1309" customWidth="1"/>
    <col min="16130" max="16384" width="9.140625" style="1309"/>
  </cols>
  <sheetData>
    <row r="1" spans="1:8" ht="30" customHeight="1">
      <c r="A1" s="1307"/>
      <c r="B1" s="1308"/>
      <c r="C1" s="1308"/>
      <c r="D1" s="1308"/>
      <c r="E1" s="1308"/>
      <c r="F1" s="1308"/>
      <c r="G1" s="1308"/>
      <c r="H1" s="1308"/>
    </row>
    <row r="2" spans="1:8" ht="14.25">
      <c r="A2" s="1310" t="s">
        <v>418</v>
      </c>
      <c r="B2" s="1308"/>
      <c r="C2" s="1308"/>
      <c r="D2" s="1308"/>
      <c r="E2" s="1308"/>
      <c r="F2" s="1308"/>
      <c r="G2" s="1308"/>
      <c r="H2" s="1308"/>
    </row>
    <row r="3" spans="1:8" ht="14.25">
      <c r="A3" s="1310" t="s">
        <v>419</v>
      </c>
      <c r="B3" s="1308"/>
      <c r="C3" s="1308"/>
      <c r="D3" s="1308"/>
      <c r="E3" s="1308"/>
      <c r="F3" s="1308"/>
      <c r="G3" s="1308"/>
      <c r="H3" s="1308"/>
    </row>
    <row r="4" spans="1:8" ht="14.25">
      <c r="A4" s="1310" t="s">
        <v>420</v>
      </c>
      <c r="B4" s="1308"/>
      <c r="C4" s="1308"/>
      <c r="D4" s="1308"/>
      <c r="E4" s="1308"/>
      <c r="F4" s="1308"/>
      <c r="G4" s="1308"/>
      <c r="H4" s="1308"/>
    </row>
    <row r="5" spans="1:8" ht="14.25">
      <c r="A5" s="1310" t="s">
        <v>421</v>
      </c>
      <c r="B5" s="1308"/>
      <c r="C5" s="1308"/>
      <c r="D5" s="1308"/>
      <c r="E5" s="1308"/>
      <c r="F5" s="1308"/>
      <c r="G5" s="1308"/>
      <c r="H5" s="1308"/>
    </row>
    <row r="6" spans="1:8" ht="14.25">
      <c r="A6" s="1310"/>
      <c r="B6" s="1308"/>
      <c r="C6" s="1308"/>
      <c r="D6" s="1308"/>
      <c r="E6" s="1308"/>
      <c r="F6" s="1308"/>
      <c r="G6" s="1308"/>
      <c r="H6" s="1308"/>
    </row>
    <row r="7" spans="1:8">
      <c r="A7" s="1307" t="s">
        <v>422</v>
      </c>
      <c r="B7" s="1308"/>
      <c r="C7" s="1308"/>
      <c r="D7" s="1308"/>
      <c r="E7" s="1308"/>
      <c r="F7" s="1308"/>
      <c r="G7" s="1308"/>
      <c r="H7" s="1308"/>
    </row>
    <row r="8" spans="1:8">
      <c r="A8" s="1307" t="s">
        <v>423</v>
      </c>
      <c r="B8" s="1308"/>
      <c r="C8" s="1308"/>
      <c r="D8" s="1308"/>
      <c r="E8" s="1308"/>
      <c r="F8" s="1308"/>
      <c r="G8" s="1308"/>
      <c r="H8" s="1308"/>
    </row>
    <row r="9" spans="1:8">
      <c r="A9" s="1307"/>
      <c r="B9" s="1308"/>
      <c r="C9" s="1308"/>
      <c r="D9" s="1308"/>
      <c r="E9" s="1308"/>
      <c r="F9" s="1308"/>
      <c r="G9" s="1308"/>
      <c r="H9" s="1308"/>
    </row>
    <row r="10" spans="1:8">
      <c r="A10" s="1311" t="s">
        <v>424</v>
      </c>
      <c r="B10" s="1308"/>
      <c r="C10" s="1308"/>
      <c r="D10" s="1308"/>
      <c r="E10" s="1308"/>
      <c r="F10" s="1308"/>
      <c r="G10" s="1308"/>
      <c r="H10" s="1308"/>
    </row>
    <row r="11" spans="1:8">
      <c r="A11" s="1311" t="s">
        <v>425</v>
      </c>
      <c r="B11" s="1308"/>
      <c r="C11" s="1308"/>
      <c r="D11" s="1308"/>
      <c r="E11" s="1308"/>
      <c r="F11" s="1308"/>
      <c r="G11" s="1308"/>
      <c r="H11" s="1308"/>
    </row>
    <row r="12" spans="1:8">
      <c r="A12" s="1311" t="s">
        <v>426</v>
      </c>
      <c r="B12" s="1308"/>
      <c r="C12" s="1308"/>
      <c r="D12" s="1308"/>
      <c r="E12" s="1308"/>
      <c r="F12" s="1308"/>
      <c r="G12" s="1308"/>
      <c r="H12" s="1308"/>
    </row>
    <row r="13" spans="1:8">
      <c r="A13" s="1311" t="s">
        <v>427</v>
      </c>
      <c r="B13" s="1308"/>
      <c r="C13" s="1308"/>
      <c r="D13" s="1308"/>
      <c r="E13" s="1308"/>
      <c r="F13" s="1308"/>
      <c r="G13" s="1308"/>
      <c r="H13" s="1308"/>
    </row>
    <row r="14" spans="1:8">
      <c r="A14" s="1311" t="s">
        <v>428</v>
      </c>
      <c r="B14" s="1308"/>
      <c r="C14" s="1308"/>
      <c r="D14" s="1308"/>
      <c r="E14" s="1308"/>
      <c r="F14" s="1308"/>
      <c r="G14" s="1308"/>
      <c r="H14" s="1308"/>
    </row>
    <row r="15" spans="1:8">
      <c r="A15" s="1311" t="s">
        <v>429</v>
      </c>
      <c r="B15" s="1308"/>
      <c r="C15" s="1308"/>
      <c r="D15" s="1308"/>
      <c r="E15" s="1308"/>
      <c r="F15" s="1308"/>
      <c r="G15" s="1308"/>
      <c r="H15" s="1308"/>
    </row>
    <row r="16" spans="1:8">
      <c r="A16" s="1311"/>
      <c r="B16" s="1308"/>
      <c r="C16" s="1308"/>
      <c r="D16" s="1308"/>
      <c r="E16" s="1308"/>
      <c r="F16" s="1308"/>
      <c r="G16" s="1308"/>
      <c r="H16" s="1308"/>
    </row>
    <row r="17" spans="1:8">
      <c r="A17" s="1311" t="s">
        <v>415</v>
      </c>
      <c r="B17" s="1308"/>
      <c r="C17" s="1308"/>
      <c r="D17" s="1308"/>
      <c r="E17" s="1308"/>
      <c r="F17" s="1308"/>
      <c r="G17" s="1308"/>
      <c r="H17" s="1308"/>
    </row>
    <row r="18" spans="1:8">
      <c r="A18" s="1311"/>
      <c r="B18" s="1308"/>
      <c r="C18" s="1308"/>
      <c r="D18" s="1308"/>
      <c r="E18" s="1308"/>
      <c r="F18" s="1308"/>
      <c r="G18" s="1308"/>
      <c r="H18" s="1308"/>
    </row>
    <row r="19" spans="1:8">
      <c r="A19" s="1311" t="s">
        <v>416</v>
      </c>
      <c r="B19" s="1308"/>
      <c r="C19" s="1308"/>
      <c r="D19" s="1308"/>
      <c r="E19" s="1308"/>
      <c r="F19" s="1308"/>
      <c r="G19" s="1308"/>
      <c r="H19" s="1308"/>
    </row>
    <row r="20" spans="1:8">
      <c r="A20" s="1307"/>
      <c r="B20" s="1308"/>
      <c r="C20" s="1308"/>
      <c r="D20" s="1308"/>
      <c r="E20" s="1308"/>
      <c r="F20" s="1308"/>
      <c r="G20" s="1308"/>
      <c r="H20" s="1308"/>
    </row>
    <row r="21" spans="1:8">
      <c r="A21" s="1312" t="s">
        <v>417</v>
      </c>
      <c r="B21" s="1308"/>
      <c r="C21" s="1308"/>
      <c r="D21" s="1308"/>
      <c r="E21" s="1308"/>
      <c r="F21" s="1308"/>
      <c r="G21" s="1308"/>
      <c r="H21" s="1308"/>
    </row>
    <row r="22" spans="1:8">
      <c r="A22" s="1313"/>
      <c r="B22" s="1313"/>
      <c r="C22" s="1313"/>
      <c r="D22" s="1313"/>
      <c r="E22" s="1313"/>
      <c r="F22" s="1313"/>
      <c r="G22" s="1313"/>
      <c r="H22" s="1313"/>
    </row>
    <row r="23" spans="1:8">
      <c r="A23" s="1314" t="s">
        <v>710</v>
      </c>
      <c r="B23" s="1313"/>
      <c r="C23" s="1313"/>
      <c r="D23" s="1313"/>
      <c r="E23" s="1313"/>
      <c r="F23" s="1313"/>
      <c r="G23" s="1313"/>
      <c r="H23" s="1313"/>
    </row>
    <row r="24" spans="1:8">
      <c r="A24" s="1314" t="s">
        <v>711</v>
      </c>
      <c r="B24" s="1313"/>
      <c r="C24" s="1313"/>
      <c r="D24" s="1313"/>
      <c r="E24" s="1313"/>
      <c r="F24" s="1313"/>
      <c r="G24" s="1313"/>
      <c r="H24" s="1313"/>
    </row>
    <row r="25" spans="1:8">
      <c r="A25" s="1314" t="s">
        <v>712</v>
      </c>
      <c r="B25" s="1313"/>
      <c r="C25" s="1313"/>
      <c r="D25" s="1313"/>
      <c r="E25" s="1313"/>
      <c r="F25" s="1313"/>
      <c r="G25" s="1313"/>
      <c r="H25" s="1313"/>
    </row>
    <row r="26" spans="1:8">
      <c r="A26" s="1314" t="s">
        <v>713</v>
      </c>
      <c r="B26" s="1313"/>
      <c r="C26" s="1313"/>
      <c r="D26" s="1313"/>
      <c r="E26" s="1313"/>
      <c r="F26" s="1313"/>
      <c r="G26" s="1313"/>
      <c r="H26" s="1313"/>
    </row>
    <row r="27" spans="1:8">
      <c r="A27" s="1313"/>
      <c r="B27" s="1313"/>
      <c r="C27" s="1313"/>
      <c r="D27" s="1313"/>
      <c r="E27" s="1313"/>
      <c r="F27" s="1313"/>
      <c r="G27" s="1313"/>
      <c r="H27" s="1313"/>
    </row>
    <row r="28" spans="1:8">
      <c r="A28" s="1313"/>
      <c r="B28" s="1313"/>
      <c r="C28" s="1313"/>
      <c r="D28" s="1313"/>
      <c r="E28" s="1313"/>
      <c r="F28" s="1313"/>
      <c r="G28" s="1313"/>
      <c r="H28" s="1313"/>
    </row>
    <row r="29" spans="1:8">
      <c r="A29" s="1314" t="s">
        <v>705</v>
      </c>
      <c r="B29" s="1313"/>
      <c r="C29" s="1313"/>
      <c r="D29" s="1313"/>
      <c r="E29" s="1313"/>
      <c r="F29" s="1313"/>
      <c r="G29" s="1313"/>
      <c r="H29" s="1313"/>
    </row>
    <row r="30" spans="1:8">
      <c r="A30" s="1314" t="s">
        <v>706</v>
      </c>
      <c r="B30" s="1313"/>
      <c r="C30" s="1313"/>
      <c r="D30" s="1313"/>
      <c r="E30" s="1313"/>
      <c r="F30" s="1313"/>
      <c r="G30" s="1313"/>
      <c r="H30" s="1313"/>
    </row>
    <row r="31" spans="1:8">
      <c r="A31" s="1314" t="s">
        <v>707</v>
      </c>
      <c r="B31" s="1313"/>
      <c r="C31" s="1313"/>
      <c r="D31" s="1313"/>
      <c r="E31" s="1313"/>
      <c r="F31" s="1313"/>
      <c r="G31" s="1313"/>
      <c r="H31" s="1313"/>
    </row>
    <row r="32" spans="1:8">
      <c r="A32" s="1314" t="s">
        <v>708</v>
      </c>
      <c r="B32" s="1313"/>
      <c r="C32" s="1313"/>
      <c r="D32" s="1313"/>
      <c r="E32" s="1313"/>
      <c r="F32" s="1313"/>
      <c r="G32" s="1313"/>
      <c r="H32" s="1313"/>
    </row>
    <row r="33" spans="1:8">
      <c r="A33" s="1314" t="s">
        <v>709</v>
      </c>
      <c r="B33" s="1313"/>
      <c r="C33" s="1313"/>
      <c r="D33" s="1313"/>
      <c r="E33" s="1313"/>
      <c r="F33" s="1313"/>
      <c r="G33" s="1313"/>
      <c r="H33" s="1313"/>
    </row>
    <row r="34" spans="1:8">
      <c r="A34" s="1313"/>
      <c r="B34" s="1313"/>
      <c r="C34" s="1313"/>
      <c r="D34" s="1313"/>
      <c r="E34" s="1313"/>
      <c r="F34" s="1313"/>
      <c r="G34" s="1313"/>
      <c r="H34" s="1313"/>
    </row>
    <row r="35" spans="1:8">
      <c r="A35" s="1314" t="s">
        <v>701</v>
      </c>
      <c r="B35" s="1313"/>
      <c r="C35" s="1313"/>
      <c r="D35" s="1313"/>
      <c r="E35" s="1313"/>
      <c r="F35" s="1313"/>
      <c r="G35" s="1313"/>
      <c r="H35" s="1313"/>
    </row>
    <row r="36" spans="1:8">
      <c r="A36" s="1314" t="s">
        <v>702</v>
      </c>
      <c r="B36" s="1313"/>
      <c r="C36" s="1313"/>
      <c r="D36" s="1313"/>
      <c r="E36" s="1313"/>
      <c r="F36" s="1313"/>
      <c r="G36" s="1313"/>
      <c r="H36" s="1313"/>
    </row>
    <row r="37" spans="1:8">
      <c r="A37" s="1314" t="s">
        <v>703</v>
      </c>
      <c r="B37" s="1313"/>
      <c r="C37" s="1313"/>
      <c r="D37" s="1313"/>
      <c r="E37" s="1313"/>
      <c r="F37" s="1313"/>
      <c r="G37" s="1313"/>
      <c r="H37" s="1313"/>
    </row>
    <row r="38" spans="1:8">
      <c r="A38" s="1314" t="s">
        <v>704</v>
      </c>
      <c r="B38" s="1313"/>
      <c r="C38" s="1313"/>
      <c r="D38" s="1313"/>
      <c r="E38" s="1313"/>
      <c r="F38" s="1313"/>
      <c r="G38" s="1313"/>
      <c r="H38" s="1313"/>
    </row>
    <row r="39" spans="1:8">
      <c r="A39" s="1313"/>
      <c r="B39" s="1313"/>
      <c r="C39" s="1313"/>
      <c r="D39" s="1313"/>
      <c r="E39" s="1313"/>
      <c r="F39" s="1313"/>
      <c r="G39" s="1313"/>
      <c r="H39" s="1313"/>
    </row>
    <row r="40" spans="1:8">
      <c r="A40" s="1314" t="s">
        <v>695</v>
      </c>
      <c r="B40" s="1313"/>
      <c r="C40" s="1313"/>
      <c r="D40" s="1313"/>
      <c r="E40" s="1313"/>
      <c r="F40" s="1313"/>
      <c r="G40" s="1313"/>
      <c r="H40" s="1313"/>
    </row>
    <row r="41" spans="1:8">
      <c r="A41" s="1314" t="s">
        <v>696</v>
      </c>
      <c r="B41" s="1313"/>
      <c r="C41" s="1313"/>
      <c r="D41" s="1313"/>
      <c r="E41" s="1313"/>
      <c r="F41" s="1313"/>
      <c r="G41" s="1313"/>
      <c r="H41" s="1313"/>
    </row>
    <row r="42" spans="1:8">
      <c r="A42" s="1314" t="s">
        <v>697</v>
      </c>
      <c r="B42" s="1313"/>
      <c r="C42" s="1313"/>
      <c r="D42" s="1313"/>
      <c r="E42" s="1313"/>
      <c r="F42" s="1313"/>
      <c r="G42" s="1313"/>
      <c r="H42" s="1313"/>
    </row>
    <row r="43" spans="1:8">
      <c r="A43" s="1314" t="s">
        <v>698</v>
      </c>
      <c r="B43" s="1313"/>
      <c r="C43" s="1313"/>
      <c r="D43" s="1313"/>
      <c r="E43" s="1313"/>
      <c r="F43" s="1313"/>
      <c r="G43" s="1313"/>
      <c r="H43" s="1313"/>
    </row>
    <row r="44" spans="1:8">
      <c r="A44" s="1314" t="s">
        <v>699</v>
      </c>
      <c r="B44" s="1313"/>
      <c r="C44" s="1313"/>
      <c r="D44" s="1313"/>
      <c r="E44" s="1313"/>
      <c r="F44" s="1313"/>
      <c r="G44" s="1313"/>
      <c r="H44" s="1313"/>
    </row>
    <row r="45" spans="1:8">
      <c r="A45" s="1314" t="s">
        <v>700</v>
      </c>
      <c r="B45" s="1313"/>
      <c r="C45" s="1313"/>
      <c r="D45" s="1313"/>
      <c r="E45" s="1313"/>
      <c r="F45" s="1313"/>
      <c r="G45" s="1313"/>
      <c r="H45" s="1313"/>
    </row>
    <row r="46" spans="1:8">
      <c r="A46" s="1313"/>
      <c r="B46" s="1313"/>
      <c r="C46" s="1313"/>
      <c r="D46" s="1313"/>
      <c r="E46" s="1313"/>
      <c r="F46" s="1313"/>
      <c r="G46" s="1313"/>
      <c r="H46" s="1313"/>
    </row>
    <row r="47" spans="1:8" ht="15.75">
      <c r="A47" s="1315" t="s">
        <v>430</v>
      </c>
      <c r="B47" s="1313"/>
      <c r="C47" s="1313"/>
      <c r="D47" s="1313"/>
      <c r="E47" s="1313"/>
      <c r="F47" s="1313"/>
      <c r="G47" s="1313"/>
      <c r="H47" s="1313"/>
    </row>
    <row r="48" spans="1:8">
      <c r="A48" s="1313"/>
      <c r="B48" s="1313"/>
      <c r="C48" s="1313"/>
      <c r="D48" s="1313"/>
      <c r="E48" s="1313"/>
      <c r="F48" s="1313"/>
      <c r="G48" s="1313"/>
      <c r="H48" s="1313"/>
    </row>
    <row r="49" spans="1:8">
      <c r="A49" s="1314" t="s">
        <v>691</v>
      </c>
      <c r="B49" s="1313"/>
      <c r="C49" s="1313"/>
      <c r="D49" s="1313"/>
      <c r="E49" s="1313"/>
      <c r="F49" s="1313"/>
      <c r="G49" s="1313"/>
      <c r="H49" s="1313"/>
    </row>
    <row r="50" spans="1:8">
      <c r="A50" s="1314" t="s">
        <v>692</v>
      </c>
      <c r="B50" s="1313"/>
      <c r="C50" s="1313"/>
      <c r="D50" s="1313"/>
      <c r="E50" s="1313"/>
      <c r="F50" s="1313"/>
      <c r="G50" s="1313"/>
      <c r="H50" s="1313"/>
    </row>
    <row r="51" spans="1:8">
      <c r="A51" s="1314" t="s">
        <v>693</v>
      </c>
      <c r="B51" s="1313"/>
      <c r="C51" s="1313"/>
      <c r="D51" s="1313"/>
      <c r="E51" s="1313"/>
      <c r="F51" s="1313"/>
      <c r="G51" s="1313"/>
      <c r="H51" s="1313"/>
    </row>
    <row r="52" spans="1:8">
      <c r="A52" s="1314" t="s">
        <v>694</v>
      </c>
      <c r="B52" s="1313"/>
      <c r="C52" s="1313"/>
      <c r="D52" s="1313"/>
      <c r="E52" s="1313"/>
      <c r="F52" s="1313"/>
      <c r="G52" s="1313"/>
      <c r="H52" s="1313"/>
    </row>
    <row r="53" spans="1:8">
      <c r="A53" s="1313"/>
      <c r="B53" s="1313"/>
      <c r="C53" s="1313"/>
      <c r="D53" s="1313"/>
      <c r="E53" s="1313"/>
      <c r="F53" s="1313"/>
      <c r="G53" s="1313"/>
      <c r="H53" s="1313"/>
    </row>
    <row r="54" spans="1:8">
      <c r="A54" s="1314" t="s">
        <v>431</v>
      </c>
      <c r="B54" s="1313"/>
      <c r="C54" s="1313"/>
      <c r="D54" s="1313"/>
      <c r="E54" s="1313"/>
      <c r="F54" s="1313"/>
      <c r="G54" s="1313"/>
      <c r="H54" s="1313"/>
    </row>
    <row r="55" spans="1:8">
      <c r="A55" s="1313"/>
      <c r="B55" s="1313"/>
      <c r="C55" s="1313"/>
      <c r="D55" s="1313"/>
      <c r="E55" s="1313"/>
      <c r="F55" s="1313"/>
      <c r="G55" s="1313"/>
      <c r="H55" s="1313"/>
    </row>
    <row r="56" spans="1:8" ht="15.75">
      <c r="A56" s="1315" t="s">
        <v>432</v>
      </c>
      <c r="B56" s="1313"/>
      <c r="C56" s="1313"/>
      <c r="D56" s="1313"/>
      <c r="E56" s="1313"/>
      <c r="F56" s="1313"/>
      <c r="G56" s="1313"/>
      <c r="H56" s="1313"/>
    </row>
    <row r="57" spans="1:8">
      <c r="A57" s="1313"/>
      <c r="B57" s="1313"/>
      <c r="C57" s="1313"/>
      <c r="D57" s="1313"/>
      <c r="E57" s="1313"/>
      <c r="F57" s="1313"/>
      <c r="G57" s="1313"/>
      <c r="H57" s="1313"/>
    </row>
    <row r="58" spans="1:8">
      <c r="A58" s="1314" t="s">
        <v>689</v>
      </c>
      <c r="B58" s="1313"/>
      <c r="C58" s="1313"/>
      <c r="D58" s="1313"/>
      <c r="E58" s="1313"/>
      <c r="F58" s="1313"/>
      <c r="G58" s="1313"/>
      <c r="H58" s="1313"/>
    </row>
    <row r="59" spans="1:8">
      <c r="A59" s="1314" t="s">
        <v>690</v>
      </c>
      <c r="B59" s="1313"/>
      <c r="C59" s="1313"/>
      <c r="D59" s="1313"/>
      <c r="E59" s="1313"/>
      <c r="F59" s="1313"/>
      <c r="G59" s="1313"/>
      <c r="H59" s="1313"/>
    </row>
    <row r="60" spans="1:8">
      <c r="A60" s="1313"/>
      <c r="B60" s="1313"/>
      <c r="C60" s="1313"/>
      <c r="D60" s="1313"/>
      <c r="E60" s="1313"/>
      <c r="F60" s="1313"/>
      <c r="G60" s="1313"/>
      <c r="H60" s="1313"/>
    </row>
    <row r="61" spans="1:8" ht="15.75">
      <c r="A61" s="1315" t="s">
        <v>433</v>
      </c>
      <c r="B61" s="1313"/>
      <c r="C61" s="1313"/>
      <c r="D61" s="1313"/>
      <c r="E61" s="1313"/>
      <c r="F61" s="1313"/>
      <c r="G61" s="1313"/>
      <c r="H61" s="1313"/>
    </row>
    <row r="62" spans="1:8">
      <c r="A62" s="1313"/>
      <c r="B62" s="1313"/>
      <c r="C62" s="1313"/>
      <c r="D62" s="1313"/>
      <c r="E62" s="1313"/>
      <c r="F62" s="1313"/>
      <c r="G62" s="1313"/>
      <c r="H62" s="1313"/>
    </row>
    <row r="63" spans="1:8">
      <c r="A63" s="1314" t="s">
        <v>687</v>
      </c>
      <c r="B63" s="1313"/>
      <c r="C63" s="1313"/>
      <c r="D63" s="1313"/>
      <c r="E63" s="1313"/>
      <c r="F63" s="1313"/>
      <c r="G63" s="1313"/>
      <c r="H63" s="1313"/>
    </row>
    <row r="64" spans="1:8">
      <c r="A64" s="1314" t="s">
        <v>688</v>
      </c>
      <c r="B64" s="1313"/>
      <c r="C64" s="1313"/>
      <c r="D64" s="1313"/>
      <c r="E64" s="1313"/>
      <c r="F64" s="1313"/>
      <c r="G64" s="1313"/>
      <c r="H64" s="1313"/>
    </row>
    <row r="65" spans="1:8">
      <c r="A65" s="1313"/>
      <c r="B65" s="1313"/>
      <c r="C65" s="1313"/>
      <c r="D65" s="1313"/>
      <c r="E65" s="1313"/>
      <c r="F65" s="1313"/>
      <c r="G65" s="1313"/>
      <c r="H65" s="1313"/>
    </row>
    <row r="66" spans="1:8">
      <c r="A66" s="1314" t="s">
        <v>685</v>
      </c>
      <c r="B66" s="1313"/>
      <c r="C66" s="1313"/>
      <c r="D66" s="1313"/>
      <c r="E66" s="1313"/>
      <c r="F66" s="1313"/>
      <c r="G66" s="1313"/>
      <c r="H66" s="1313"/>
    </row>
    <row r="67" spans="1:8">
      <c r="A67" s="1314" t="s">
        <v>686</v>
      </c>
      <c r="B67" s="1313"/>
      <c r="C67" s="1313"/>
      <c r="D67" s="1313"/>
      <c r="E67" s="1313"/>
      <c r="F67" s="1313"/>
      <c r="G67" s="1313"/>
      <c r="H67" s="1313"/>
    </row>
    <row r="68" spans="1:8">
      <c r="A68" s="1313"/>
      <c r="B68" s="1313"/>
      <c r="C68" s="1313"/>
      <c r="D68" s="1313"/>
      <c r="E68" s="1313"/>
      <c r="F68" s="1313"/>
      <c r="G68" s="1313"/>
      <c r="H68" s="1313"/>
    </row>
    <row r="69" spans="1:8">
      <c r="A69" s="1314" t="s">
        <v>683</v>
      </c>
      <c r="B69" s="1313"/>
      <c r="C69" s="1313"/>
      <c r="D69" s="1313"/>
      <c r="E69" s="1313"/>
      <c r="F69" s="1313"/>
      <c r="G69" s="1313"/>
      <c r="H69" s="1313"/>
    </row>
    <row r="70" spans="1:8">
      <c r="A70" s="1314" t="s">
        <v>684</v>
      </c>
      <c r="B70" s="1313"/>
      <c r="C70" s="1313"/>
      <c r="D70" s="1313"/>
      <c r="E70" s="1313"/>
      <c r="F70" s="1313"/>
      <c r="G70" s="1313"/>
      <c r="H70" s="1313"/>
    </row>
    <row r="71" spans="1:8">
      <c r="A71" s="1313"/>
      <c r="B71" s="1313"/>
      <c r="C71" s="1313"/>
      <c r="D71" s="1313"/>
      <c r="E71" s="1313"/>
      <c r="F71" s="1313"/>
      <c r="G71" s="1313"/>
      <c r="H71" s="1313"/>
    </row>
    <row r="72" spans="1:8">
      <c r="A72" s="1314" t="s">
        <v>681</v>
      </c>
      <c r="B72" s="1313"/>
      <c r="C72" s="1313"/>
      <c r="D72" s="1313"/>
      <c r="E72" s="1313"/>
      <c r="F72" s="1313"/>
      <c r="G72" s="1313"/>
      <c r="H72" s="1313"/>
    </row>
    <row r="73" spans="1:8">
      <c r="A73" s="1314" t="s">
        <v>682</v>
      </c>
      <c r="B73" s="1313"/>
      <c r="C73" s="1313"/>
      <c r="D73" s="1313"/>
      <c r="E73" s="1313"/>
      <c r="F73" s="1313"/>
      <c r="G73" s="1313"/>
      <c r="H73" s="1313"/>
    </row>
    <row r="74" spans="1:8">
      <c r="A74" s="1313"/>
      <c r="B74" s="1313"/>
      <c r="C74" s="1313"/>
      <c r="D74" s="1313"/>
      <c r="E74" s="1313"/>
      <c r="F74" s="1313"/>
      <c r="G74" s="1313"/>
      <c r="H74" s="1313"/>
    </row>
    <row r="75" spans="1:8">
      <c r="A75" s="1314" t="s">
        <v>678</v>
      </c>
      <c r="B75" s="1313"/>
      <c r="C75" s="1313"/>
      <c r="D75" s="1313"/>
      <c r="E75" s="1313"/>
      <c r="F75" s="1313"/>
      <c r="G75" s="1313"/>
      <c r="H75" s="1313"/>
    </row>
    <row r="76" spans="1:8">
      <c r="A76" s="1314" t="s">
        <v>679</v>
      </c>
      <c r="B76" s="1313"/>
      <c r="C76" s="1313"/>
      <c r="D76" s="1313"/>
      <c r="E76" s="1313"/>
      <c r="F76" s="1313"/>
      <c r="G76" s="1313"/>
      <c r="H76" s="1313"/>
    </row>
    <row r="77" spans="1:8">
      <c r="A77" s="1314" t="s">
        <v>680</v>
      </c>
      <c r="B77" s="1313"/>
      <c r="C77" s="1313"/>
      <c r="D77" s="1313"/>
      <c r="E77" s="1313"/>
      <c r="F77" s="1313"/>
      <c r="G77" s="1313"/>
      <c r="H77" s="1313"/>
    </row>
    <row r="78" spans="1:8">
      <c r="A78" s="1313"/>
      <c r="B78" s="1313"/>
      <c r="C78" s="1313"/>
      <c r="D78" s="1313"/>
      <c r="E78" s="1313"/>
      <c r="F78" s="1313"/>
      <c r="G78" s="1313"/>
      <c r="H78" s="1313"/>
    </row>
    <row r="79" spans="1:8">
      <c r="A79" s="1314" t="s">
        <v>434</v>
      </c>
      <c r="B79" s="1313"/>
      <c r="C79" s="1313"/>
      <c r="D79" s="1313"/>
      <c r="E79" s="1313"/>
      <c r="F79" s="1313"/>
      <c r="G79" s="1313"/>
      <c r="H79" s="1313"/>
    </row>
    <row r="80" spans="1:8">
      <c r="A80" s="1313"/>
      <c r="B80" s="1313"/>
      <c r="C80" s="1313"/>
      <c r="D80" s="1313"/>
      <c r="E80" s="1313"/>
      <c r="F80" s="1313"/>
      <c r="G80" s="1313"/>
      <c r="H80" s="1313"/>
    </row>
    <row r="81" spans="1:8">
      <c r="A81" s="1314" t="s">
        <v>673</v>
      </c>
      <c r="B81" s="1313"/>
      <c r="C81" s="1313"/>
      <c r="D81" s="1313"/>
      <c r="E81" s="1313"/>
      <c r="F81" s="1313"/>
      <c r="G81" s="1313"/>
      <c r="H81" s="1313"/>
    </row>
    <row r="82" spans="1:8">
      <c r="A82" s="1314" t="s">
        <v>674</v>
      </c>
      <c r="B82" s="1313"/>
      <c r="C82" s="1313"/>
      <c r="D82" s="1313"/>
      <c r="E82" s="1313"/>
      <c r="F82" s="1313"/>
      <c r="G82" s="1313"/>
      <c r="H82" s="1313"/>
    </row>
    <row r="83" spans="1:8">
      <c r="A83" s="1314" t="s">
        <v>675</v>
      </c>
      <c r="B83" s="1313"/>
      <c r="C83" s="1313"/>
      <c r="D83" s="1313"/>
      <c r="E83" s="1313"/>
      <c r="F83" s="1313"/>
      <c r="G83" s="1313"/>
      <c r="H83" s="1313"/>
    </row>
    <row r="84" spans="1:8">
      <c r="A84" s="1314" t="s">
        <v>676</v>
      </c>
      <c r="B84" s="1313"/>
      <c r="C84" s="1313"/>
      <c r="D84" s="1313"/>
      <c r="E84" s="1313"/>
      <c r="F84" s="1313"/>
      <c r="G84" s="1313"/>
      <c r="H84" s="1313"/>
    </row>
    <row r="85" spans="1:8">
      <c r="A85" s="1314" t="s">
        <v>677</v>
      </c>
      <c r="B85" s="1313"/>
      <c r="C85" s="1313"/>
      <c r="D85" s="1313"/>
      <c r="E85" s="1313"/>
      <c r="F85" s="1313"/>
      <c r="G85" s="1313"/>
      <c r="H85" s="1313"/>
    </row>
    <row r="86" spans="1:8">
      <c r="A86" s="1314" t="s">
        <v>560</v>
      </c>
      <c r="B86" s="1313"/>
      <c r="C86" s="1313"/>
      <c r="D86" s="1313"/>
      <c r="E86" s="1313"/>
      <c r="F86" s="1313"/>
      <c r="G86" s="1313"/>
      <c r="H86" s="1313"/>
    </row>
    <row r="87" spans="1:8">
      <c r="A87" s="1313"/>
      <c r="B87" s="1313"/>
      <c r="C87" s="1313"/>
      <c r="D87" s="1313"/>
      <c r="E87" s="1313"/>
      <c r="F87" s="1313"/>
      <c r="G87" s="1313"/>
      <c r="H87" s="1313"/>
    </row>
    <row r="88" spans="1:8">
      <c r="A88" s="1314" t="s">
        <v>666</v>
      </c>
      <c r="B88" s="1313"/>
      <c r="C88" s="1313"/>
      <c r="D88" s="1313"/>
      <c r="E88" s="1313"/>
      <c r="F88" s="1313"/>
      <c r="G88" s="1313"/>
      <c r="H88" s="1313"/>
    </row>
    <row r="89" spans="1:8">
      <c r="A89" s="1314" t="s">
        <v>667</v>
      </c>
      <c r="B89" s="1313"/>
      <c r="C89" s="1313"/>
      <c r="D89" s="1313"/>
      <c r="E89" s="1313"/>
      <c r="F89" s="1313"/>
      <c r="G89" s="1313"/>
      <c r="H89" s="1313"/>
    </row>
    <row r="90" spans="1:8">
      <c r="A90" s="1314" t="s">
        <v>668</v>
      </c>
      <c r="B90" s="1313"/>
      <c r="C90" s="1313"/>
      <c r="D90" s="1313"/>
      <c r="E90" s="1313"/>
      <c r="F90" s="1313"/>
      <c r="G90" s="1313"/>
      <c r="H90" s="1313"/>
    </row>
    <row r="91" spans="1:8">
      <c r="A91" s="1314" t="s">
        <v>669</v>
      </c>
      <c r="B91" s="1313"/>
      <c r="C91" s="1313"/>
      <c r="D91" s="1313"/>
      <c r="E91" s="1313"/>
      <c r="F91" s="1313"/>
      <c r="G91" s="1313"/>
      <c r="H91" s="1313"/>
    </row>
    <row r="92" spans="1:8">
      <c r="A92" s="1314" t="s">
        <v>670</v>
      </c>
      <c r="B92" s="1313"/>
      <c r="C92" s="1313"/>
      <c r="D92" s="1313"/>
      <c r="E92" s="1313"/>
      <c r="F92" s="1313"/>
      <c r="G92" s="1313"/>
      <c r="H92" s="1313"/>
    </row>
    <row r="93" spans="1:8">
      <c r="A93" s="1314" t="s">
        <v>671</v>
      </c>
      <c r="B93" s="1313"/>
      <c r="C93" s="1313"/>
      <c r="D93" s="1313"/>
      <c r="E93" s="1313"/>
      <c r="F93" s="1313"/>
      <c r="G93" s="1313"/>
      <c r="H93" s="1313"/>
    </row>
    <row r="94" spans="1:8">
      <c r="A94" s="1314" t="s">
        <v>672</v>
      </c>
      <c r="B94" s="1313"/>
      <c r="C94" s="1313"/>
      <c r="D94" s="1313"/>
      <c r="E94" s="1313"/>
      <c r="F94" s="1313"/>
      <c r="G94" s="1313"/>
      <c r="H94" s="1313"/>
    </row>
    <row r="95" spans="1:8">
      <c r="A95" s="1313"/>
      <c r="B95" s="1313"/>
      <c r="C95" s="1313"/>
      <c r="D95" s="1313"/>
      <c r="E95" s="1313"/>
      <c r="F95" s="1313"/>
      <c r="G95" s="1313"/>
      <c r="H95" s="1313"/>
    </row>
    <row r="96" spans="1:8">
      <c r="A96" s="1314" t="s">
        <v>664</v>
      </c>
      <c r="B96" s="1313"/>
      <c r="C96" s="1313"/>
      <c r="D96" s="1313"/>
      <c r="E96" s="1313"/>
      <c r="F96" s="1313"/>
      <c r="G96" s="1313"/>
      <c r="H96" s="1313"/>
    </row>
    <row r="97" spans="1:8">
      <c r="A97" s="1314" t="s">
        <v>665</v>
      </c>
      <c r="B97" s="1313"/>
      <c r="C97" s="1313"/>
      <c r="D97" s="1313"/>
      <c r="E97" s="1313"/>
      <c r="F97" s="1313"/>
      <c r="G97" s="1313"/>
      <c r="H97" s="1313"/>
    </row>
    <row r="98" spans="1:8">
      <c r="A98" s="1313"/>
      <c r="B98" s="1313"/>
      <c r="C98" s="1313"/>
      <c r="D98" s="1313"/>
      <c r="E98" s="1313"/>
      <c r="F98" s="1313"/>
      <c r="G98" s="1313"/>
      <c r="H98" s="1313"/>
    </row>
    <row r="99" spans="1:8" ht="15.75">
      <c r="A99" s="1315" t="s">
        <v>435</v>
      </c>
      <c r="B99" s="1313"/>
      <c r="C99" s="1313"/>
      <c r="D99" s="1313"/>
      <c r="E99" s="1313"/>
      <c r="F99" s="1313"/>
      <c r="G99" s="1313"/>
      <c r="H99" s="1313"/>
    </row>
    <row r="100" spans="1:8">
      <c r="A100" s="1313"/>
      <c r="B100" s="1313"/>
      <c r="C100" s="1313"/>
      <c r="D100" s="1313"/>
      <c r="E100" s="1313"/>
      <c r="F100" s="1313"/>
      <c r="G100" s="1313"/>
      <c r="H100" s="1313"/>
    </row>
    <row r="101" spans="1:8">
      <c r="A101" s="1314" t="s">
        <v>655</v>
      </c>
      <c r="B101" s="1313"/>
      <c r="C101" s="1313"/>
      <c r="D101" s="1313"/>
      <c r="E101" s="1313"/>
      <c r="F101" s="1313"/>
      <c r="G101" s="1313"/>
      <c r="H101" s="1313"/>
    </row>
    <row r="102" spans="1:8">
      <c r="A102" s="1314" t="s">
        <v>656</v>
      </c>
      <c r="B102" s="1313"/>
      <c r="C102" s="1313"/>
      <c r="D102" s="1313"/>
      <c r="E102" s="1313"/>
      <c r="F102" s="1313"/>
      <c r="G102" s="1313"/>
      <c r="H102" s="1313"/>
    </row>
    <row r="103" spans="1:8">
      <c r="A103" s="1314" t="s">
        <v>657</v>
      </c>
      <c r="B103" s="1313"/>
      <c r="C103" s="1313"/>
      <c r="D103" s="1313"/>
      <c r="E103" s="1313"/>
      <c r="F103" s="1313"/>
      <c r="G103" s="1313"/>
      <c r="H103" s="1313"/>
    </row>
    <row r="104" spans="1:8">
      <c r="A104" s="1314" t="s">
        <v>658</v>
      </c>
      <c r="B104" s="1313"/>
      <c r="C104" s="1313"/>
      <c r="D104" s="1313"/>
      <c r="E104" s="1313"/>
      <c r="F104" s="1313"/>
      <c r="G104" s="1313"/>
      <c r="H104" s="1313"/>
    </row>
    <row r="105" spans="1:8">
      <c r="A105" s="1314" t="s">
        <v>659</v>
      </c>
      <c r="B105" s="1313"/>
      <c r="C105" s="1313"/>
      <c r="D105" s="1313"/>
      <c r="E105" s="1313"/>
      <c r="F105" s="1313"/>
      <c r="G105" s="1313"/>
      <c r="H105" s="1313"/>
    </row>
    <row r="106" spans="1:8">
      <c r="A106" s="1314" t="s">
        <v>660</v>
      </c>
      <c r="B106" s="1313"/>
      <c r="C106" s="1313"/>
      <c r="D106" s="1313"/>
      <c r="E106" s="1313"/>
      <c r="F106" s="1313"/>
      <c r="G106" s="1313"/>
      <c r="H106" s="1313"/>
    </row>
    <row r="107" spans="1:8">
      <c r="A107" s="1314" t="s">
        <v>661</v>
      </c>
      <c r="B107" s="1313"/>
      <c r="C107" s="1313"/>
      <c r="D107" s="1313"/>
      <c r="E107" s="1313"/>
      <c r="F107" s="1313"/>
      <c r="G107" s="1313"/>
      <c r="H107" s="1313"/>
    </row>
    <row r="108" spans="1:8">
      <c r="A108" s="1314" t="s">
        <v>662</v>
      </c>
      <c r="B108" s="1313"/>
      <c r="C108" s="1313"/>
      <c r="D108" s="1313"/>
      <c r="E108" s="1313"/>
      <c r="F108" s="1313"/>
      <c r="G108" s="1313"/>
      <c r="H108" s="1313"/>
    </row>
    <row r="109" spans="1:8">
      <c r="A109" s="1314" t="s">
        <v>663</v>
      </c>
      <c r="B109" s="1313"/>
      <c r="C109" s="1313"/>
      <c r="D109" s="1313"/>
      <c r="E109" s="1313"/>
      <c r="F109" s="1313"/>
      <c r="G109" s="1313"/>
      <c r="H109" s="1313"/>
    </row>
    <row r="110" spans="1:8">
      <c r="A110" s="1313"/>
      <c r="B110" s="1313"/>
      <c r="C110" s="1313"/>
      <c r="D110" s="1313"/>
      <c r="E110" s="1313"/>
      <c r="F110" s="1313"/>
      <c r="G110" s="1313"/>
      <c r="H110" s="1313"/>
    </row>
    <row r="111" spans="1:8" ht="15.75">
      <c r="A111" s="1330" t="s">
        <v>436</v>
      </c>
      <c r="B111" s="1330"/>
      <c r="C111" s="1330"/>
      <c r="D111" s="1330"/>
      <c r="E111" s="1330"/>
      <c r="F111" s="1330"/>
      <c r="G111" s="1330"/>
      <c r="H111" s="1330"/>
    </row>
    <row r="112" spans="1:8">
      <c r="A112" s="1326" t="s">
        <v>437</v>
      </c>
      <c r="B112" s="1326"/>
      <c r="C112" s="1326"/>
      <c r="D112" s="1326"/>
      <c r="E112" s="1326"/>
      <c r="F112" s="1326"/>
      <c r="G112" s="1326"/>
      <c r="H112" s="1326"/>
    </row>
    <row r="113" spans="1:8">
      <c r="A113" s="1331"/>
      <c r="B113" s="1331"/>
      <c r="C113" s="1331"/>
      <c r="D113" s="1331"/>
      <c r="E113" s="1331"/>
      <c r="F113" s="1331"/>
      <c r="G113" s="1331"/>
      <c r="H113" s="1331"/>
    </row>
    <row r="114" spans="1:8">
      <c r="A114" s="1326" t="s">
        <v>653</v>
      </c>
      <c r="B114" s="1326"/>
      <c r="C114" s="1326"/>
      <c r="D114" s="1326"/>
      <c r="E114" s="1326"/>
      <c r="F114" s="1326"/>
      <c r="G114" s="1326"/>
      <c r="H114" s="1326"/>
    </row>
    <row r="115" spans="1:8">
      <c r="A115" s="1314" t="s">
        <v>654</v>
      </c>
      <c r="B115" s="1314"/>
      <c r="C115" s="1314"/>
      <c r="D115" s="1314"/>
      <c r="E115" s="1314"/>
      <c r="F115" s="1314"/>
      <c r="G115" s="1314"/>
      <c r="H115" s="1314"/>
    </row>
    <row r="116" spans="1:8">
      <c r="A116" s="1331"/>
      <c r="B116" s="1331"/>
      <c r="C116" s="1331"/>
      <c r="D116" s="1331"/>
      <c r="E116" s="1331"/>
      <c r="F116" s="1331"/>
      <c r="G116" s="1331"/>
      <c r="H116" s="1331"/>
    </row>
    <row r="117" spans="1:8">
      <c r="A117" s="1326" t="s">
        <v>646</v>
      </c>
      <c r="B117" s="1326"/>
      <c r="C117" s="1326"/>
      <c r="D117" s="1326"/>
      <c r="E117" s="1326"/>
      <c r="F117" s="1326"/>
      <c r="G117" s="1326"/>
      <c r="H117" s="1326"/>
    </row>
    <row r="118" spans="1:8">
      <c r="A118" s="1314" t="s">
        <v>647</v>
      </c>
      <c r="B118" s="1314"/>
      <c r="C118" s="1314"/>
      <c r="D118" s="1314"/>
      <c r="E118" s="1314"/>
      <c r="F118" s="1314"/>
      <c r="G118" s="1314"/>
      <c r="H118" s="1314"/>
    </row>
    <row r="119" spans="1:8">
      <c r="A119" s="1314" t="s">
        <v>648</v>
      </c>
      <c r="B119" s="1314"/>
      <c r="C119" s="1314"/>
      <c r="D119" s="1314"/>
      <c r="E119" s="1314"/>
      <c r="F119" s="1314"/>
      <c r="G119" s="1314"/>
      <c r="H119" s="1314"/>
    </row>
    <row r="120" spans="1:8">
      <c r="A120" s="1314" t="s">
        <v>649</v>
      </c>
      <c r="B120" s="1314"/>
      <c r="C120" s="1314"/>
      <c r="D120" s="1314"/>
      <c r="E120" s="1314"/>
      <c r="F120" s="1314"/>
      <c r="G120" s="1314"/>
      <c r="H120" s="1314"/>
    </row>
    <row r="121" spans="1:8">
      <c r="A121" s="1314" t="s">
        <v>650</v>
      </c>
      <c r="B121" s="1314"/>
      <c r="C121" s="1314"/>
      <c r="D121" s="1314"/>
      <c r="E121" s="1314"/>
      <c r="F121" s="1314"/>
      <c r="G121" s="1314"/>
      <c r="H121" s="1314"/>
    </row>
    <row r="122" spans="1:8">
      <c r="A122" s="1314" t="s">
        <v>651</v>
      </c>
      <c r="B122" s="1314"/>
      <c r="C122" s="1314"/>
      <c r="D122" s="1314"/>
      <c r="E122" s="1314"/>
      <c r="F122" s="1314"/>
      <c r="G122" s="1314"/>
      <c r="H122" s="1314"/>
    </row>
    <row r="123" spans="1:8">
      <c r="A123" s="1314" t="s">
        <v>652</v>
      </c>
      <c r="B123" s="1314"/>
      <c r="C123" s="1314"/>
      <c r="D123" s="1314"/>
      <c r="E123" s="1314"/>
      <c r="F123" s="1314"/>
      <c r="G123" s="1314"/>
      <c r="H123" s="1314"/>
    </row>
    <row r="124" spans="1:8">
      <c r="A124" s="1332"/>
      <c r="B124" s="1332"/>
      <c r="C124" s="1332"/>
      <c r="D124" s="1332"/>
      <c r="E124" s="1332"/>
      <c r="F124" s="1332"/>
      <c r="G124" s="1332"/>
      <c r="H124" s="1332"/>
    </row>
    <row r="125" spans="1:8">
      <c r="A125" s="1316"/>
      <c r="B125" s="1327" t="s">
        <v>438</v>
      </c>
      <c r="C125" s="1328"/>
      <c r="D125" s="1327" t="s">
        <v>439</v>
      </c>
      <c r="E125" s="1329"/>
      <c r="F125" s="1328"/>
      <c r="G125" s="1327" t="s">
        <v>440</v>
      </c>
      <c r="H125" s="1328"/>
    </row>
    <row r="126" spans="1:8">
      <c r="A126" s="1316" t="s">
        <v>441</v>
      </c>
      <c r="B126" s="1316" t="s">
        <v>164</v>
      </c>
      <c r="C126" s="1316" t="s">
        <v>442</v>
      </c>
      <c r="D126" s="1316" t="s">
        <v>164</v>
      </c>
      <c r="E126" s="1316" t="s">
        <v>443</v>
      </c>
      <c r="F126" s="1316" t="s">
        <v>444</v>
      </c>
      <c r="G126" s="1316" t="s">
        <v>164</v>
      </c>
      <c r="H126" s="1316" t="s">
        <v>445</v>
      </c>
    </row>
    <row r="127" spans="1:8">
      <c r="A127" s="1316" t="s">
        <v>446</v>
      </c>
      <c r="B127" s="1316">
        <v>1189</v>
      </c>
      <c r="C127" s="1317">
        <v>0.38</v>
      </c>
      <c r="D127" s="1316">
        <v>315</v>
      </c>
      <c r="E127" s="1317">
        <v>0.41</v>
      </c>
      <c r="F127" s="1317">
        <v>0.26</v>
      </c>
      <c r="G127" s="1316">
        <v>555</v>
      </c>
      <c r="H127" s="1317">
        <v>0.39</v>
      </c>
    </row>
    <row r="128" spans="1:8">
      <c r="A128" s="1316" t="s">
        <v>447</v>
      </c>
      <c r="B128" s="1316">
        <v>1355</v>
      </c>
      <c r="C128" s="1317">
        <v>0.43</v>
      </c>
      <c r="D128" s="1316">
        <v>364</v>
      </c>
      <c r="E128" s="1317">
        <v>0.47</v>
      </c>
      <c r="F128" s="1317">
        <v>0.27</v>
      </c>
      <c r="G128" s="1316">
        <v>644</v>
      </c>
      <c r="H128" s="1317">
        <v>0.45</v>
      </c>
    </row>
    <row r="129" spans="1:8">
      <c r="A129" s="1316" t="s">
        <v>448</v>
      </c>
      <c r="B129" s="1316">
        <v>53</v>
      </c>
      <c r="C129" s="1317">
        <v>0.02</v>
      </c>
      <c r="D129" s="1316">
        <v>4</v>
      </c>
      <c r="E129" s="1317">
        <v>0.01</v>
      </c>
      <c r="F129" s="1317">
        <v>0.08</v>
      </c>
      <c r="G129" s="1316">
        <v>7</v>
      </c>
      <c r="H129" s="1317">
        <v>0</v>
      </c>
    </row>
    <row r="130" spans="1:8">
      <c r="A130" s="1316" t="s">
        <v>449</v>
      </c>
      <c r="B130" s="1316">
        <v>545</v>
      </c>
      <c r="C130" s="1317">
        <v>0.17</v>
      </c>
      <c r="D130" s="1316">
        <v>84</v>
      </c>
      <c r="E130" s="1317">
        <v>0.11</v>
      </c>
      <c r="F130" s="1317">
        <v>0.15</v>
      </c>
      <c r="G130" s="1316">
        <v>214</v>
      </c>
      <c r="H130" s="1317">
        <v>0.15</v>
      </c>
    </row>
    <row r="131" spans="1:8">
      <c r="A131" s="1316" t="s">
        <v>149</v>
      </c>
      <c r="B131" s="1318">
        <v>3142</v>
      </c>
      <c r="C131" s="1316"/>
      <c r="D131" s="1316">
        <v>767</v>
      </c>
      <c r="E131" s="1316"/>
      <c r="F131" s="1316"/>
      <c r="G131" s="1316">
        <v>1420</v>
      </c>
      <c r="H131" s="1316"/>
    </row>
    <row r="132" spans="1:8">
      <c r="A132" s="1325"/>
      <c r="B132" s="1325"/>
      <c r="C132" s="1325"/>
      <c r="D132" s="1325"/>
      <c r="E132" s="1325"/>
      <c r="F132" s="1325"/>
      <c r="G132" s="1325"/>
      <c r="H132" s="1325"/>
    </row>
    <row r="133" spans="1:8">
      <c r="A133" s="1326" t="s">
        <v>642</v>
      </c>
      <c r="B133" s="1326"/>
      <c r="C133" s="1326"/>
      <c r="D133" s="1326"/>
      <c r="E133" s="1326"/>
      <c r="F133" s="1326"/>
      <c r="G133" s="1326"/>
      <c r="H133" s="1326"/>
    </row>
    <row r="134" spans="1:8">
      <c r="A134" s="1314" t="s">
        <v>643</v>
      </c>
      <c r="B134" s="1314"/>
      <c r="C134" s="1314"/>
      <c r="D134" s="1314"/>
      <c r="E134" s="1314"/>
      <c r="F134" s="1314"/>
      <c r="G134" s="1314"/>
      <c r="H134" s="1314"/>
    </row>
    <row r="135" spans="1:8">
      <c r="A135" s="1314" t="s">
        <v>644</v>
      </c>
      <c r="B135" s="1314"/>
      <c r="C135" s="1314"/>
      <c r="D135" s="1314"/>
      <c r="E135" s="1314"/>
      <c r="F135" s="1314"/>
      <c r="G135" s="1314"/>
      <c r="H135" s="1314"/>
    </row>
    <row r="136" spans="1:8">
      <c r="A136" s="1314" t="s">
        <v>645</v>
      </c>
      <c r="B136" s="1314"/>
      <c r="C136" s="1314"/>
      <c r="D136" s="1314"/>
      <c r="E136" s="1314"/>
      <c r="F136" s="1314"/>
      <c r="G136" s="1314"/>
      <c r="H136" s="1314"/>
    </row>
    <row r="137" spans="1:8">
      <c r="A137" s="1313"/>
      <c r="B137" s="1313"/>
      <c r="C137" s="1313"/>
      <c r="D137" s="1313"/>
      <c r="E137" s="1313"/>
      <c r="F137" s="1313"/>
      <c r="G137" s="1313"/>
      <c r="H137" s="1313"/>
    </row>
    <row r="138" spans="1:8" ht="15.75">
      <c r="A138" s="1315" t="s">
        <v>450</v>
      </c>
      <c r="B138" s="1313"/>
      <c r="C138" s="1313"/>
      <c r="D138" s="1313"/>
      <c r="E138" s="1313"/>
      <c r="F138" s="1313"/>
      <c r="G138" s="1313"/>
      <c r="H138" s="1313"/>
    </row>
    <row r="139" spans="1:8">
      <c r="A139" s="1313"/>
      <c r="B139" s="1313"/>
      <c r="C139" s="1313"/>
      <c r="D139" s="1313"/>
      <c r="E139" s="1313"/>
      <c r="F139" s="1313"/>
      <c r="G139" s="1313"/>
      <c r="H139" s="1313"/>
    </row>
    <row r="140" spans="1:8">
      <c r="A140" s="1314" t="s">
        <v>640</v>
      </c>
      <c r="B140" s="1313"/>
      <c r="C140" s="1313"/>
      <c r="D140" s="1313"/>
      <c r="E140" s="1313"/>
      <c r="F140" s="1313"/>
      <c r="G140" s="1313"/>
      <c r="H140" s="1313"/>
    </row>
    <row r="141" spans="1:8">
      <c r="A141" s="1314" t="s">
        <v>641</v>
      </c>
      <c r="B141" s="1313"/>
      <c r="C141" s="1313"/>
      <c r="D141" s="1313"/>
      <c r="E141" s="1313"/>
      <c r="F141" s="1313"/>
      <c r="G141" s="1313"/>
      <c r="H141" s="1313"/>
    </row>
    <row r="142" spans="1:8">
      <c r="A142" s="1313"/>
      <c r="B142" s="1313"/>
      <c r="C142" s="1313"/>
      <c r="D142" s="1313"/>
      <c r="E142" s="1313"/>
      <c r="F142" s="1313"/>
      <c r="G142" s="1313"/>
      <c r="H142" s="1313"/>
    </row>
    <row r="143" spans="1:8">
      <c r="A143" s="1314" t="s">
        <v>637</v>
      </c>
      <c r="B143" s="1313"/>
      <c r="C143" s="1313"/>
      <c r="D143" s="1313"/>
      <c r="E143" s="1313"/>
      <c r="F143" s="1313"/>
      <c r="G143" s="1313"/>
      <c r="H143" s="1313"/>
    </row>
    <row r="144" spans="1:8">
      <c r="A144" s="1314" t="s">
        <v>638</v>
      </c>
      <c r="B144" s="1313"/>
      <c r="C144" s="1313"/>
      <c r="D144" s="1313"/>
      <c r="E144" s="1313"/>
      <c r="F144" s="1313"/>
      <c r="G144" s="1313"/>
      <c r="H144" s="1313"/>
    </row>
    <row r="145" spans="1:8">
      <c r="A145" s="1314" t="s">
        <v>639</v>
      </c>
      <c r="B145" s="1313"/>
      <c r="C145" s="1313"/>
      <c r="D145" s="1313"/>
      <c r="E145" s="1313"/>
      <c r="F145" s="1313"/>
      <c r="G145" s="1313"/>
      <c r="H145" s="1313"/>
    </row>
    <row r="146" spans="1:8">
      <c r="A146" s="1313"/>
      <c r="B146" s="1313"/>
      <c r="C146" s="1313"/>
      <c r="D146" s="1313"/>
      <c r="E146" s="1313"/>
      <c r="F146" s="1313"/>
      <c r="G146" s="1313"/>
      <c r="H146" s="1313"/>
    </row>
    <row r="147" spans="1:8">
      <c r="A147" s="1314" t="s">
        <v>634</v>
      </c>
      <c r="B147" s="1313"/>
      <c r="C147" s="1313"/>
      <c r="D147" s="1313"/>
      <c r="E147" s="1313"/>
      <c r="F147" s="1313"/>
      <c r="G147" s="1313"/>
      <c r="H147" s="1313"/>
    </row>
    <row r="148" spans="1:8">
      <c r="A148" s="1314" t="s">
        <v>635</v>
      </c>
      <c r="B148" s="1313"/>
      <c r="C148" s="1313"/>
      <c r="D148" s="1313"/>
      <c r="E148" s="1313"/>
      <c r="F148" s="1313"/>
      <c r="G148" s="1313"/>
      <c r="H148" s="1313"/>
    </row>
    <row r="149" spans="1:8">
      <c r="A149" s="1314" t="s">
        <v>636</v>
      </c>
      <c r="B149" s="1313"/>
      <c r="C149" s="1313"/>
      <c r="D149" s="1313"/>
      <c r="E149" s="1313"/>
      <c r="F149" s="1313"/>
      <c r="G149" s="1313"/>
      <c r="H149" s="1313"/>
    </row>
    <row r="150" spans="1:8">
      <c r="A150" s="1313"/>
      <c r="B150" s="1313"/>
      <c r="C150" s="1313"/>
      <c r="D150" s="1313"/>
      <c r="E150" s="1313"/>
      <c r="F150" s="1313"/>
      <c r="G150" s="1313"/>
      <c r="H150" s="1313"/>
    </row>
    <row r="151" spans="1:8">
      <c r="A151" s="1314" t="s">
        <v>631</v>
      </c>
      <c r="B151" s="1313"/>
      <c r="C151" s="1313"/>
      <c r="D151" s="1313"/>
      <c r="E151" s="1313"/>
      <c r="F151" s="1313"/>
      <c r="G151" s="1313"/>
      <c r="H151" s="1313"/>
    </row>
    <row r="152" spans="1:8">
      <c r="A152" s="1314" t="s">
        <v>632</v>
      </c>
      <c r="B152" s="1313"/>
      <c r="C152" s="1313"/>
      <c r="D152" s="1313"/>
      <c r="E152" s="1313"/>
      <c r="F152" s="1313"/>
      <c r="G152" s="1313"/>
      <c r="H152" s="1313"/>
    </row>
    <row r="153" spans="1:8">
      <c r="A153" s="1314" t="s">
        <v>633</v>
      </c>
      <c r="B153" s="1313"/>
      <c r="C153" s="1313"/>
      <c r="D153" s="1313"/>
      <c r="E153" s="1313"/>
      <c r="F153" s="1313"/>
      <c r="G153" s="1313"/>
      <c r="H153" s="1313"/>
    </row>
    <row r="154" spans="1:8">
      <c r="A154" s="1313"/>
      <c r="B154" s="1313"/>
      <c r="C154" s="1313"/>
      <c r="D154" s="1313"/>
      <c r="E154" s="1313"/>
      <c r="F154" s="1313"/>
      <c r="G154" s="1313"/>
      <c r="H154" s="1313"/>
    </row>
    <row r="155" spans="1:8">
      <c r="A155" s="1314" t="s">
        <v>629</v>
      </c>
      <c r="B155" s="1313"/>
      <c r="C155" s="1313"/>
      <c r="D155" s="1313"/>
      <c r="E155" s="1313"/>
      <c r="F155" s="1313"/>
      <c r="G155" s="1313"/>
      <c r="H155" s="1313"/>
    </row>
    <row r="156" spans="1:8">
      <c r="A156" s="1314" t="s">
        <v>630</v>
      </c>
      <c r="B156" s="1313"/>
      <c r="C156" s="1313"/>
      <c r="D156" s="1313"/>
      <c r="E156" s="1313"/>
      <c r="F156" s="1313"/>
      <c r="G156" s="1313"/>
      <c r="H156" s="1313"/>
    </row>
    <row r="157" spans="1:8">
      <c r="A157" s="1313"/>
      <c r="B157" s="1313"/>
      <c r="C157" s="1313"/>
      <c r="D157" s="1313"/>
      <c r="E157" s="1313"/>
      <c r="F157" s="1313"/>
      <c r="G157" s="1313"/>
      <c r="H157" s="1313"/>
    </row>
    <row r="158" spans="1:8" ht="15.75">
      <c r="A158" s="1315" t="s">
        <v>451</v>
      </c>
      <c r="B158" s="1313"/>
      <c r="C158" s="1313"/>
      <c r="D158" s="1313"/>
      <c r="E158" s="1313"/>
      <c r="F158" s="1313"/>
      <c r="G158" s="1313"/>
      <c r="H158" s="1313"/>
    </row>
    <row r="159" spans="1:8">
      <c r="A159" s="1313"/>
      <c r="B159" s="1313"/>
      <c r="C159" s="1313"/>
      <c r="D159" s="1313"/>
      <c r="E159" s="1313"/>
      <c r="F159" s="1313"/>
      <c r="G159" s="1313"/>
      <c r="H159" s="1313"/>
    </row>
    <row r="160" spans="1:8">
      <c r="A160" s="1314" t="s">
        <v>627</v>
      </c>
      <c r="B160" s="1313"/>
      <c r="C160" s="1313"/>
      <c r="D160" s="1313"/>
      <c r="E160" s="1313"/>
      <c r="F160" s="1313"/>
      <c r="G160" s="1313"/>
      <c r="H160" s="1313"/>
    </row>
    <row r="161" spans="1:8">
      <c r="A161" s="1314" t="s">
        <v>628</v>
      </c>
      <c r="B161" s="1313"/>
      <c r="C161" s="1313"/>
      <c r="D161" s="1313"/>
      <c r="E161" s="1313"/>
      <c r="F161" s="1313"/>
      <c r="G161" s="1313"/>
      <c r="H161" s="1313"/>
    </row>
    <row r="162" spans="1:8">
      <c r="A162" s="1313"/>
      <c r="B162" s="1313"/>
      <c r="C162" s="1313"/>
      <c r="D162" s="1313"/>
      <c r="E162" s="1313"/>
      <c r="F162" s="1313"/>
      <c r="G162" s="1313"/>
      <c r="H162" s="1313"/>
    </row>
    <row r="163" spans="1:8">
      <c r="A163" s="1314" t="s">
        <v>625</v>
      </c>
      <c r="B163" s="1313"/>
      <c r="C163" s="1313"/>
      <c r="D163" s="1313"/>
      <c r="E163" s="1313"/>
      <c r="F163" s="1313"/>
      <c r="G163" s="1313"/>
      <c r="H163" s="1313"/>
    </row>
    <row r="164" spans="1:8">
      <c r="A164" s="1314" t="s">
        <v>626</v>
      </c>
      <c r="B164" s="1313"/>
      <c r="C164" s="1313"/>
      <c r="D164" s="1313"/>
      <c r="E164" s="1313"/>
      <c r="F164" s="1313"/>
      <c r="G164" s="1313"/>
      <c r="H164" s="1313"/>
    </row>
    <row r="165" spans="1:8">
      <c r="A165" s="1313"/>
      <c r="B165" s="1313"/>
      <c r="C165" s="1313"/>
      <c r="D165" s="1313"/>
      <c r="E165" s="1313"/>
      <c r="F165" s="1313"/>
      <c r="G165" s="1313"/>
      <c r="H165" s="1313"/>
    </row>
    <row r="166" spans="1:8">
      <c r="A166" s="1314" t="s">
        <v>623</v>
      </c>
      <c r="B166" s="1313"/>
      <c r="C166" s="1313"/>
      <c r="D166" s="1313"/>
      <c r="E166" s="1313"/>
      <c r="F166" s="1313"/>
      <c r="G166" s="1313"/>
      <c r="H166" s="1313"/>
    </row>
    <row r="167" spans="1:8">
      <c r="A167" s="1314" t="s">
        <v>624</v>
      </c>
      <c r="B167" s="1313"/>
      <c r="C167" s="1313"/>
      <c r="D167" s="1313"/>
      <c r="E167" s="1313"/>
      <c r="F167" s="1313"/>
      <c r="G167" s="1313"/>
      <c r="H167" s="1313"/>
    </row>
    <row r="168" spans="1:8">
      <c r="A168" s="1313"/>
      <c r="B168" s="1313"/>
      <c r="C168" s="1313"/>
      <c r="D168" s="1313"/>
      <c r="E168" s="1313"/>
      <c r="F168" s="1313"/>
      <c r="G168" s="1313"/>
      <c r="H168" s="1313"/>
    </row>
    <row r="169" spans="1:8">
      <c r="A169" s="1314" t="s">
        <v>620</v>
      </c>
      <c r="B169" s="1313"/>
      <c r="C169" s="1313"/>
      <c r="D169" s="1313"/>
      <c r="E169" s="1313"/>
      <c r="F169" s="1313"/>
      <c r="G169" s="1313"/>
      <c r="H169" s="1313"/>
    </row>
    <row r="170" spans="1:8">
      <c r="A170" s="1314" t="s">
        <v>621</v>
      </c>
      <c r="B170" s="1313"/>
      <c r="C170" s="1313"/>
      <c r="D170" s="1313"/>
      <c r="E170" s="1313"/>
      <c r="F170" s="1313"/>
      <c r="G170" s="1313"/>
      <c r="H170" s="1313"/>
    </row>
    <row r="171" spans="1:8">
      <c r="A171" s="1314" t="s">
        <v>622</v>
      </c>
      <c r="B171" s="1313"/>
      <c r="C171" s="1313"/>
      <c r="D171" s="1313"/>
      <c r="E171" s="1313"/>
      <c r="F171" s="1313"/>
      <c r="G171" s="1313"/>
      <c r="H171" s="1313"/>
    </row>
    <row r="172" spans="1:8">
      <c r="A172" s="1313"/>
      <c r="B172" s="1313"/>
      <c r="C172" s="1313"/>
      <c r="D172" s="1313"/>
      <c r="E172" s="1313"/>
      <c r="F172" s="1313"/>
      <c r="G172" s="1313"/>
      <c r="H172" s="1313"/>
    </row>
    <row r="173" spans="1:8">
      <c r="A173" s="1313"/>
      <c r="B173" s="1313"/>
      <c r="C173" s="1313"/>
      <c r="D173" s="1313"/>
      <c r="E173" s="1313"/>
      <c r="F173" s="1313"/>
      <c r="G173" s="1313"/>
      <c r="H173" s="1313"/>
    </row>
    <row r="174" spans="1:8">
      <c r="A174" s="1314" t="s">
        <v>452</v>
      </c>
      <c r="B174" s="1313"/>
      <c r="C174" s="1313"/>
      <c r="D174" s="1313"/>
      <c r="E174" s="1313"/>
      <c r="F174" s="1313"/>
      <c r="G174" s="1313"/>
      <c r="H174" s="1313"/>
    </row>
    <row r="175" spans="1:8">
      <c r="A175" s="1313"/>
      <c r="B175" s="1313"/>
      <c r="C175" s="1313"/>
      <c r="D175" s="1313"/>
      <c r="E175" s="1313"/>
      <c r="F175" s="1313"/>
      <c r="G175" s="1313"/>
      <c r="H175" s="1313"/>
    </row>
    <row r="176" spans="1:8" ht="15.75">
      <c r="A176" s="1315" t="s">
        <v>453</v>
      </c>
      <c r="B176" s="1313"/>
      <c r="C176" s="1313"/>
      <c r="D176" s="1313"/>
      <c r="E176" s="1313"/>
      <c r="F176" s="1313"/>
      <c r="G176" s="1313"/>
      <c r="H176" s="1313"/>
    </row>
    <row r="177" spans="1:8">
      <c r="A177" s="1313"/>
      <c r="B177" s="1313"/>
      <c r="C177" s="1313"/>
      <c r="D177" s="1313"/>
      <c r="E177" s="1313"/>
      <c r="F177" s="1313"/>
      <c r="G177" s="1313"/>
      <c r="H177" s="1313"/>
    </row>
    <row r="178" spans="1:8">
      <c r="A178" s="1313"/>
      <c r="B178" s="1313"/>
      <c r="C178" s="1313"/>
      <c r="D178" s="1313"/>
      <c r="E178" s="1313"/>
      <c r="F178" s="1313"/>
      <c r="G178" s="1313"/>
      <c r="H178" s="1313"/>
    </row>
    <row r="179" spans="1:8">
      <c r="A179" s="1313"/>
      <c r="B179" s="1313"/>
      <c r="C179" s="1313"/>
      <c r="D179" s="1313"/>
      <c r="E179" s="1313"/>
      <c r="F179" s="1313"/>
      <c r="G179" s="1313"/>
      <c r="H179" s="1313"/>
    </row>
    <row r="180" spans="1:8">
      <c r="A180" s="1313"/>
      <c r="B180" s="1313"/>
      <c r="C180" s="1313"/>
      <c r="D180" s="1313"/>
      <c r="E180" s="1313"/>
      <c r="F180" s="1313"/>
      <c r="G180" s="1313"/>
      <c r="H180" s="1313"/>
    </row>
    <row r="181" spans="1:8">
      <c r="A181" s="1313"/>
      <c r="B181" s="1313"/>
      <c r="C181" s="1313"/>
      <c r="D181" s="1313"/>
      <c r="E181" s="1313"/>
      <c r="F181" s="1313"/>
      <c r="G181" s="1313"/>
      <c r="H181" s="1313"/>
    </row>
    <row r="182" spans="1:8">
      <c r="A182" s="1313"/>
      <c r="B182" s="1313"/>
      <c r="C182" s="1313"/>
      <c r="D182" s="1313"/>
      <c r="E182" s="1313"/>
      <c r="F182" s="1313"/>
      <c r="G182" s="1313"/>
      <c r="H182" s="1313"/>
    </row>
    <row r="183" spans="1:8">
      <c r="A183" s="1313"/>
      <c r="B183" s="1313"/>
      <c r="C183" s="1313"/>
      <c r="D183" s="1313"/>
      <c r="E183" s="1313"/>
      <c r="F183" s="1313"/>
      <c r="G183" s="1313"/>
      <c r="H183" s="1313"/>
    </row>
    <row r="184" spans="1:8">
      <c r="A184" s="1313"/>
      <c r="B184" s="1313"/>
      <c r="C184" s="1313"/>
      <c r="D184" s="1313"/>
      <c r="E184" s="1313"/>
      <c r="F184" s="1313"/>
      <c r="G184" s="1313"/>
      <c r="H184" s="1313"/>
    </row>
    <row r="185" spans="1:8">
      <c r="A185" s="1313"/>
      <c r="B185" s="1313"/>
      <c r="C185" s="1313"/>
      <c r="D185" s="1313"/>
      <c r="E185" s="1313"/>
      <c r="F185" s="1313"/>
      <c r="G185" s="1313"/>
      <c r="H185" s="1313"/>
    </row>
    <row r="186" spans="1:8">
      <c r="A186" s="1313"/>
      <c r="B186" s="1313"/>
      <c r="C186" s="1313"/>
      <c r="D186" s="1313"/>
      <c r="E186" s="1313"/>
      <c r="F186" s="1313"/>
      <c r="G186" s="1313"/>
      <c r="H186" s="1313"/>
    </row>
    <row r="187" spans="1:8">
      <c r="A187" s="1313"/>
      <c r="B187" s="1313"/>
      <c r="C187" s="1313"/>
      <c r="D187" s="1313"/>
      <c r="E187" s="1313"/>
      <c r="F187" s="1313"/>
      <c r="G187" s="1313"/>
      <c r="H187" s="1313"/>
    </row>
    <row r="188" spans="1:8">
      <c r="A188" s="1313"/>
      <c r="B188" s="1313"/>
      <c r="C188" s="1313"/>
      <c r="D188" s="1313"/>
      <c r="E188" s="1313"/>
      <c r="F188" s="1313"/>
      <c r="G188" s="1313"/>
      <c r="H188" s="1313"/>
    </row>
    <row r="189" spans="1:8">
      <c r="A189" s="1313"/>
      <c r="B189" s="1313"/>
      <c r="C189" s="1313"/>
      <c r="D189" s="1313"/>
      <c r="E189" s="1313"/>
      <c r="F189" s="1313"/>
      <c r="G189" s="1313"/>
      <c r="H189" s="1313"/>
    </row>
    <row r="190" spans="1:8">
      <c r="A190" s="1313"/>
      <c r="B190" s="1313"/>
      <c r="C190" s="1313"/>
      <c r="D190" s="1313"/>
      <c r="E190" s="1313"/>
      <c r="F190" s="1313"/>
      <c r="G190" s="1313"/>
      <c r="H190" s="1313"/>
    </row>
    <row r="191" spans="1:8">
      <c r="A191" s="1313"/>
      <c r="B191" s="1313"/>
      <c r="C191" s="1313"/>
      <c r="D191" s="1313"/>
      <c r="E191" s="1313"/>
      <c r="F191" s="1313"/>
      <c r="G191" s="1313"/>
      <c r="H191" s="1313"/>
    </row>
    <row r="192" spans="1:8">
      <c r="A192" s="1313"/>
      <c r="B192" s="1313"/>
      <c r="C192" s="1313"/>
      <c r="D192" s="1313"/>
      <c r="E192" s="1313"/>
      <c r="F192" s="1313"/>
      <c r="G192" s="1313"/>
      <c r="H192" s="1313"/>
    </row>
    <row r="193" spans="1:8">
      <c r="A193" s="1313"/>
      <c r="B193" s="1313"/>
      <c r="C193" s="1313"/>
      <c r="D193" s="1313"/>
      <c r="E193" s="1313"/>
      <c r="F193" s="1313"/>
      <c r="G193" s="1313"/>
      <c r="H193" s="1313"/>
    </row>
    <row r="194" spans="1:8">
      <c r="A194" s="1313"/>
      <c r="B194" s="1313"/>
      <c r="C194" s="1313"/>
      <c r="D194" s="1313"/>
      <c r="E194" s="1313"/>
      <c r="F194" s="1313"/>
      <c r="G194" s="1313"/>
      <c r="H194" s="1313"/>
    </row>
    <row r="195" spans="1:8">
      <c r="A195" s="1313"/>
      <c r="B195" s="1313"/>
      <c r="C195" s="1313"/>
      <c r="D195" s="1313"/>
      <c r="E195" s="1313"/>
      <c r="F195" s="1313"/>
      <c r="G195" s="1313"/>
      <c r="H195" s="1313"/>
    </row>
    <row r="196" spans="1:8">
      <c r="A196" s="1313"/>
      <c r="B196" s="1313"/>
      <c r="C196" s="1313"/>
      <c r="D196" s="1313"/>
      <c r="E196" s="1313"/>
      <c r="F196" s="1313"/>
      <c r="G196" s="1313"/>
      <c r="H196" s="1313"/>
    </row>
    <row r="197" spans="1:8">
      <c r="A197" s="1313"/>
      <c r="B197" s="1313"/>
      <c r="C197" s="1313"/>
      <c r="D197" s="1313"/>
      <c r="E197" s="1313"/>
      <c r="F197" s="1313"/>
      <c r="G197" s="1313"/>
      <c r="H197" s="1313"/>
    </row>
    <row r="198" spans="1:8">
      <c r="A198" s="1313"/>
      <c r="B198" s="1313"/>
      <c r="C198" s="1313"/>
      <c r="D198" s="1313"/>
      <c r="E198" s="1313"/>
      <c r="F198" s="1313"/>
      <c r="G198" s="1313"/>
      <c r="H198" s="1313"/>
    </row>
    <row r="199" spans="1:8">
      <c r="A199" s="1313"/>
      <c r="B199" s="1313"/>
      <c r="C199" s="1313"/>
      <c r="D199" s="1313"/>
      <c r="E199" s="1313"/>
      <c r="F199" s="1313"/>
      <c r="G199" s="1313"/>
      <c r="H199" s="1313"/>
    </row>
    <row r="200" spans="1:8">
      <c r="A200" s="1313"/>
      <c r="B200" s="1313"/>
      <c r="C200" s="1313"/>
      <c r="D200" s="1313"/>
      <c r="E200" s="1313"/>
      <c r="F200" s="1313"/>
      <c r="G200" s="1313"/>
      <c r="H200" s="1313"/>
    </row>
    <row r="201" spans="1:8">
      <c r="A201" s="1313"/>
      <c r="B201" s="1313"/>
      <c r="C201" s="1313"/>
      <c r="D201" s="1313"/>
      <c r="E201" s="1313"/>
      <c r="F201" s="1313"/>
      <c r="G201" s="1313"/>
      <c r="H201" s="1313"/>
    </row>
    <row r="202" spans="1:8">
      <c r="A202" s="1313"/>
      <c r="B202" s="1313"/>
      <c r="C202" s="1313"/>
      <c r="D202" s="1313"/>
      <c r="E202" s="1313"/>
      <c r="F202" s="1313"/>
      <c r="G202" s="1313"/>
      <c r="H202" s="1313"/>
    </row>
    <row r="203" spans="1:8" ht="15.75">
      <c r="A203" s="1315" t="s">
        <v>454</v>
      </c>
      <c r="B203" s="1313"/>
      <c r="C203" s="1313"/>
      <c r="D203" s="1313"/>
      <c r="E203" s="1313"/>
      <c r="F203" s="1313"/>
      <c r="G203" s="1313"/>
      <c r="H203" s="1313"/>
    </row>
    <row r="204" spans="1:8">
      <c r="A204" s="1313"/>
      <c r="B204" s="1313"/>
      <c r="C204" s="1313"/>
      <c r="D204" s="1313"/>
      <c r="E204" s="1313"/>
      <c r="F204" s="1313"/>
      <c r="G204" s="1313"/>
      <c r="H204" s="1313"/>
    </row>
    <row r="205" spans="1:8">
      <c r="A205" s="1314" t="s">
        <v>615</v>
      </c>
      <c r="B205" s="1313"/>
      <c r="C205" s="1313"/>
      <c r="D205" s="1313"/>
      <c r="E205" s="1313"/>
      <c r="F205" s="1313"/>
      <c r="G205" s="1313"/>
      <c r="H205" s="1313"/>
    </row>
    <row r="206" spans="1:8">
      <c r="A206" s="1314" t="s">
        <v>616</v>
      </c>
      <c r="B206" s="1313"/>
      <c r="C206" s="1313"/>
      <c r="D206" s="1313"/>
      <c r="E206" s="1313"/>
      <c r="F206" s="1313"/>
      <c r="G206" s="1313"/>
      <c r="H206" s="1313"/>
    </row>
    <row r="207" spans="1:8">
      <c r="A207" s="1314" t="s">
        <v>617</v>
      </c>
      <c r="B207" s="1313"/>
      <c r="C207" s="1313"/>
      <c r="D207" s="1313"/>
      <c r="E207" s="1313"/>
      <c r="F207" s="1313"/>
      <c r="G207" s="1313"/>
      <c r="H207" s="1313"/>
    </row>
    <row r="208" spans="1:8">
      <c r="A208" s="1314" t="s">
        <v>618</v>
      </c>
      <c r="B208" s="1313"/>
      <c r="C208" s="1313"/>
      <c r="D208" s="1313"/>
      <c r="E208" s="1313"/>
      <c r="F208" s="1313"/>
      <c r="G208" s="1313"/>
      <c r="H208" s="1313"/>
    </row>
    <row r="209" spans="1:8">
      <c r="A209" s="1314" t="s">
        <v>619</v>
      </c>
      <c r="B209" s="1313"/>
      <c r="C209" s="1313"/>
      <c r="D209" s="1313"/>
      <c r="E209" s="1313"/>
      <c r="F209" s="1313"/>
      <c r="G209" s="1313"/>
      <c r="H209" s="1313"/>
    </row>
    <row r="210" spans="1:8">
      <c r="A210" s="1313"/>
      <c r="B210" s="1313"/>
      <c r="C210" s="1313"/>
      <c r="D210" s="1313"/>
      <c r="E210" s="1313"/>
      <c r="F210" s="1313"/>
      <c r="G210" s="1313"/>
      <c r="H210" s="1313"/>
    </row>
    <row r="211" spans="1:8">
      <c r="A211" s="1314" t="s">
        <v>612</v>
      </c>
      <c r="B211" s="1313"/>
      <c r="C211" s="1313"/>
      <c r="D211" s="1313"/>
      <c r="E211" s="1313"/>
      <c r="F211" s="1313"/>
      <c r="G211" s="1313"/>
      <c r="H211" s="1313"/>
    </row>
    <row r="212" spans="1:8">
      <c r="A212" s="1314" t="s">
        <v>613</v>
      </c>
      <c r="B212" s="1313"/>
      <c r="C212" s="1313"/>
      <c r="D212" s="1313"/>
      <c r="E212" s="1313"/>
      <c r="F212" s="1313"/>
      <c r="G212" s="1313"/>
      <c r="H212" s="1313"/>
    </row>
    <row r="213" spans="1:8">
      <c r="A213" s="1314" t="s">
        <v>614</v>
      </c>
      <c r="B213" s="1313"/>
      <c r="C213" s="1313"/>
      <c r="D213" s="1313"/>
      <c r="E213" s="1313"/>
      <c r="F213" s="1313"/>
      <c r="G213" s="1313"/>
      <c r="H213" s="1313"/>
    </row>
    <row r="214" spans="1:8" ht="15.75">
      <c r="A214" s="1315" t="s">
        <v>455</v>
      </c>
      <c r="B214" s="1313"/>
      <c r="C214" s="1313"/>
      <c r="D214" s="1313"/>
      <c r="E214" s="1313"/>
      <c r="F214" s="1313"/>
      <c r="G214" s="1313"/>
      <c r="H214" s="1313"/>
    </row>
    <row r="215" spans="1:8">
      <c r="A215" s="1313"/>
      <c r="B215" s="1313"/>
      <c r="C215" s="1313"/>
      <c r="D215" s="1313"/>
      <c r="E215" s="1313"/>
      <c r="F215" s="1313"/>
      <c r="G215" s="1313"/>
      <c r="H215" s="1313"/>
    </row>
    <row r="216" spans="1:8">
      <c r="A216" s="1314" t="s">
        <v>610</v>
      </c>
      <c r="B216" s="1313"/>
      <c r="C216" s="1313"/>
      <c r="D216" s="1313"/>
      <c r="E216" s="1313"/>
      <c r="F216" s="1313"/>
      <c r="G216" s="1313"/>
      <c r="H216" s="1313"/>
    </row>
    <row r="217" spans="1:8">
      <c r="A217" s="1314" t="s">
        <v>611</v>
      </c>
      <c r="B217" s="1313"/>
      <c r="C217" s="1313"/>
      <c r="D217" s="1313"/>
      <c r="E217" s="1313"/>
      <c r="F217" s="1313"/>
      <c r="G217" s="1313"/>
      <c r="H217" s="1313"/>
    </row>
    <row r="218" spans="1:8">
      <c r="A218" s="1313"/>
      <c r="B218" s="1313"/>
      <c r="C218" s="1313"/>
      <c r="D218" s="1313"/>
      <c r="E218" s="1313"/>
      <c r="F218" s="1313"/>
      <c r="G218" s="1313"/>
      <c r="H218" s="1313"/>
    </row>
    <row r="219" spans="1:8">
      <c r="A219" s="1314" t="s">
        <v>603</v>
      </c>
      <c r="B219" s="1313"/>
      <c r="C219" s="1313"/>
      <c r="D219" s="1313"/>
      <c r="E219" s="1313"/>
      <c r="F219" s="1313"/>
      <c r="G219" s="1313"/>
      <c r="H219" s="1313"/>
    </row>
    <row r="220" spans="1:8">
      <c r="A220" s="1314" t="s">
        <v>604</v>
      </c>
      <c r="B220" s="1313"/>
      <c r="C220" s="1313"/>
      <c r="D220" s="1313"/>
      <c r="E220" s="1313"/>
      <c r="F220" s="1313"/>
      <c r="G220" s="1313"/>
      <c r="H220" s="1313"/>
    </row>
    <row r="221" spans="1:8">
      <c r="A221" s="1314" t="s">
        <v>605</v>
      </c>
      <c r="B221" s="1313"/>
      <c r="C221" s="1313"/>
      <c r="D221" s="1313"/>
      <c r="E221" s="1313"/>
      <c r="F221" s="1313"/>
      <c r="G221" s="1313"/>
      <c r="H221" s="1313"/>
    </row>
    <row r="222" spans="1:8">
      <c r="A222" s="1314" t="s">
        <v>606</v>
      </c>
      <c r="B222" s="1313"/>
      <c r="C222" s="1313"/>
      <c r="D222" s="1313"/>
      <c r="E222" s="1313"/>
      <c r="F222" s="1313"/>
      <c r="G222" s="1313"/>
      <c r="H222" s="1313"/>
    </row>
    <row r="223" spans="1:8">
      <c r="A223" s="1314" t="s">
        <v>607</v>
      </c>
      <c r="B223" s="1313"/>
      <c r="C223" s="1313"/>
      <c r="D223" s="1313"/>
      <c r="E223" s="1313"/>
      <c r="F223" s="1313"/>
      <c r="G223" s="1313"/>
      <c r="H223" s="1313"/>
    </row>
    <row r="224" spans="1:8">
      <c r="A224" s="1314" t="s">
        <v>608</v>
      </c>
      <c r="B224" s="1313"/>
      <c r="C224" s="1313"/>
      <c r="D224" s="1313"/>
      <c r="E224" s="1313"/>
      <c r="F224" s="1313"/>
      <c r="G224" s="1313"/>
      <c r="H224" s="1313"/>
    </row>
    <row r="225" spans="1:8">
      <c r="A225" s="1314" t="s">
        <v>609</v>
      </c>
      <c r="B225" s="1313"/>
      <c r="C225" s="1313"/>
      <c r="D225" s="1313"/>
      <c r="E225" s="1313"/>
      <c r="F225" s="1313"/>
      <c r="G225" s="1313"/>
      <c r="H225" s="1313"/>
    </row>
    <row r="226" spans="1:8">
      <c r="A226" s="1313"/>
      <c r="B226" s="1313"/>
      <c r="C226" s="1313"/>
      <c r="D226" s="1313"/>
      <c r="E226" s="1313"/>
      <c r="F226" s="1313"/>
      <c r="G226" s="1313"/>
      <c r="H226" s="1313"/>
    </row>
    <row r="227" spans="1:8">
      <c r="A227" s="1314" t="s">
        <v>600</v>
      </c>
      <c r="B227" s="1313"/>
      <c r="C227" s="1313"/>
      <c r="D227" s="1313"/>
      <c r="E227" s="1313"/>
      <c r="F227" s="1313"/>
      <c r="G227" s="1313"/>
      <c r="H227" s="1313"/>
    </row>
    <row r="228" spans="1:8">
      <c r="A228" s="1314" t="s">
        <v>601</v>
      </c>
      <c r="B228" s="1313"/>
      <c r="C228" s="1313"/>
      <c r="D228" s="1313"/>
      <c r="E228" s="1313"/>
      <c r="F228" s="1313"/>
      <c r="G228" s="1313"/>
      <c r="H228" s="1313"/>
    </row>
    <row r="229" spans="1:8">
      <c r="A229" s="1314" t="s">
        <v>602</v>
      </c>
      <c r="B229" s="1313"/>
      <c r="C229" s="1313"/>
      <c r="D229" s="1313"/>
      <c r="E229" s="1313"/>
      <c r="F229" s="1313"/>
      <c r="G229" s="1313"/>
      <c r="H229" s="1313"/>
    </row>
    <row r="230" spans="1:8">
      <c r="A230" s="1313"/>
      <c r="B230" s="1313"/>
      <c r="C230" s="1313"/>
      <c r="D230" s="1313"/>
      <c r="E230" s="1313"/>
      <c r="F230" s="1313"/>
      <c r="G230" s="1313"/>
      <c r="H230" s="1313"/>
    </row>
    <row r="231" spans="1:8">
      <c r="A231" s="1314" t="s">
        <v>595</v>
      </c>
      <c r="B231" s="1313"/>
      <c r="C231" s="1313"/>
      <c r="D231" s="1313"/>
      <c r="E231" s="1313"/>
      <c r="F231" s="1313"/>
      <c r="G231" s="1313"/>
      <c r="H231" s="1313"/>
    </row>
    <row r="232" spans="1:8">
      <c r="A232" s="1314" t="s">
        <v>596</v>
      </c>
      <c r="B232" s="1313"/>
      <c r="C232" s="1313"/>
      <c r="D232" s="1313"/>
      <c r="E232" s="1313"/>
      <c r="F232" s="1313"/>
      <c r="G232" s="1313"/>
      <c r="H232" s="1313"/>
    </row>
    <row r="233" spans="1:8">
      <c r="A233" s="1314" t="s">
        <v>597</v>
      </c>
      <c r="B233" s="1313"/>
      <c r="C233" s="1313"/>
      <c r="D233" s="1313"/>
      <c r="E233" s="1313"/>
      <c r="F233" s="1313"/>
      <c r="G233" s="1313"/>
      <c r="H233" s="1313"/>
    </row>
    <row r="234" spans="1:8">
      <c r="A234" s="1314" t="s">
        <v>598</v>
      </c>
      <c r="B234" s="1313"/>
      <c r="C234" s="1313"/>
      <c r="D234" s="1313"/>
      <c r="E234" s="1313"/>
      <c r="F234" s="1313"/>
      <c r="G234" s="1313"/>
      <c r="H234" s="1313"/>
    </row>
    <row r="235" spans="1:8">
      <c r="A235" s="1314" t="s">
        <v>599</v>
      </c>
      <c r="B235" s="1313"/>
      <c r="C235" s="1313"/>
      <c r="D235" s="1313"/>
      <c r="E235" s="1313"/>
      <c r="F235" s="1313"/>
      <c r="G235" s="1313"/>
      <c r="H235" s="1313"/>
    </row>
    <row r="236" spans="1:8">
      <c r="A236" s="1313"/>
      <c r="B236" s="1313"/>
      <c r="C236" s="1313"/>
      <c r="D236" s="1313"/>
      <c r="E236" s="1313"/>
      <c r="F236" s="1313"/>
      <c r="G236" s="1313"/>
      <c r="H236" s="1313"/>
    </row>
    <row r="237" spans="1:8">
      <c r="A237" s="1314" t="s">
        <v>589</v>
      </c>
      <c r="B237" s="1313"/>
      <c r="C237" s="1313"/>
      <c r="D237" s="1313"/>
      <c r="E237" s="1313"/>
      <c r="F237" s="1313"/>
      <c r="G237" s="1313"/>
      <c r="H237" s="1313"/>
    </row>
    <row r="238" spans="1:8">
      <c r="A238" s="1314" t="s">
        <v>590</v>
      </c>
      <c r="B238" s="1313"/>
      <c r="C238" s="1313"/>
      <c r="D238" s="1313"/>
      <c r="E238" s="1313"/>
      <c r="F238" s="1313"/>
      <c r="G238" s="1313"/>
      <c r="H238" s="1313"/>
    </row>
    <row r="239" spans="1:8">
      <c r="A239" s="1314" t="s">
        <v>591</v>
      </c>
      <c r="B239" s="1313"/>
      <c r="C239" s="1313"/>
      <c r="D239" s="1313"/>
      <c r="E239" s="1313"/>
      <c r="F239" s="1313"/>
      <c r="G239" s="1313"/>
      <c r="H239" s="1313"/>
    </row>
    <row r="240" spans="1:8">
      <c r="A240" s="1314" t="s">
        <v>592</v>
      </c>
      <c r="B240" s="1313"/>
      <c r="C240" s="1313"/>
      <c r="D240" s="1313"/>
      <c r="E240" s="1313"/>
      <c r="F240" s="1313"/>
      <c r="G240" s="1313"/>
      <c r="H240" s="1313"/>
    </row>
    <row r="241" spans="1:8">
      <c r="A241" s="1314" t="s">
        <v>593</v>
      </c>
      <c r="B241" s="1313"/>
      <c r="C241" s="1313"/>
      <c r="D241" s="1313"/>
      <c r="E241" s="1313"/>
      <c r="F241" s="1313"/>
      <c r="G241" s="1313"/>
      <c r="H241" s="1313"/>
    </row>
    <row r="242" spans="1:8">
      <c r="A242" s="1314" t="s">
        <v>594</v>
      </c>
      <c r="B242" s="1313"/>
      <c r="C242" s="1313"/>
      <c r="D242" s="1313"/>
      <c r="E242" s="1313"/>
      <c r="F242" s="1313"/>
      <c r="G242" s="1313"/>
      <c r="H242" s="1313"/>
    </row>
    <row r="243" spans="1:8">
      <c r="A243" s="1313"/>
      <c r="B243" s="1313"/>
      <c r="C243" s="1313"/>
      <c r="D243" s="1313"/>
      <c r="E243" s="1313"/>
      <c r="F243" s="1313"/>
      <c r="G243" s="1313"/>
      <c r="H243" s="1313"/>
    </row>
    <row r="244" spans="1:8">
      <c r="A244" s="1314" t="s">
        <v>579</v>
      </c>
      <c r="B244" s="1313"/>
      <c r="C244" s="1313"/>
      <c r="D244" s="1313"/>
      <c r="E244" s="1313"/>
      <c r="F244" s="1313"/>
      <c r="G244" s="1313"/>
      <c r="H244" s="1313"/>
    </row>
    <row r="245" spans="1:8">
      <c r="A245" s="1314" t="s">
        <v>580</v>
      </c>
      <c r="B245" s="1313"/>
      <c r="C245" s="1313"/>
      <c r="D245" s="1313"/>
      <c r="E245" s="1313"/>
      <c r="F245" s="1313"/>
      <c r="G245" s="1313"/>
      <c r="H245" s="1313"/>
    </row>
    <row r="246" spans="1:8">
      <c r="A246" s="1314" t="s">
        <v>581</v>
      </c>
      <c r="B246" s="1313"/>
      <c r="C246" s="1313"/>
      <c r="D246" s="1313"/>
      <c r="E246" s="1313"/>
      <c r="F246" s="1313"/>
      <c r="G246" s="1313"/>
      <c r="H246" s="1313"/>
    </row>
    <row r="247" spans="1:8">
      <c r="A247" s="1314" t="s">
        <v>582</v>
      </c>
      <c r="B247" s="1313"/>
      <c r="C247" s="1313"/>
      <c r="D247" s="1313"/>
      <c r="E247" s="1313"/>
      <c r="F247" s="1313"/>
      <c r="G247" s="1313"/>
      <c r="H247" s="1313"/>
    </row>
    <row r="248" spans="1:8">
      <c r="A248" s="1314" t="s">
        <v>583</v>
      </c>
      <c r="B248" s="1313"/>
      <c r="C248" s="1313"/>
      <c r="D248" s="1313"/>
      <c r="E248" s="1313"/>
      <c r="F248" s="1313"/>
      <c r="G248" s="1313"/>
      <c r="H248" s="1313"/>
    </row>
    <row r="249" spans="1:8">
      <c r="A249" s="1314" t="s">
        <v>584</v>
      </c>
      <c r="B249" s="1313"/>
      <c r="C249" s="1313"/>
      <c r="D249" s="1313"/>
      <c r="E249" s="1313"/>
      <c r="F249" s="1313"/>
      <c r="G249" s="1313"/>
      <c r="H249" s="1313"/>
    </row>
    <row r="250" spans="1:8">
      <c r="A250" s="1314" t="s">
        <v>585</v>
      </c>
      <c r="B250" s="1313"/>
      <c r="C250" s="1313"/>
      <c r="D250" s="1313"/>
      <c r="E250" s="1313"/>
      <c r="F250" s="1313"/>
      <c r="G250" s="1313"/>
      <c r="H250" s="1313"/>
    </row>
    <row r="251" spans="1:8">
      <c r="A251" s="1314" t="s">
        <v>586</v>
      </c>
      <c r="B251" s="1313"/>
      <c r="C251" s="1313"/>
      <c r="D251" s="1313"/>
      <c r="E251" s="1313"/>
      <c r="F251" s="1313"/>
      <c r="G251" s="1313"/>
      <c r="H251" s="1313"/>
    </row>
    <row r="252" spans="1:8">
      <c r="A252" s="1314" t="s">
        <v>587</v>
      </c>
      <c r="B252" s="1313"/>
      <c r="C252" s="1313"/>
      <c r="D252" s="1313"/>
      <c r="E252" s="1313"/>
      <c r="F252" s="1313"/>
      <c r="G252" s="1313"/>
      <c r="H252" s="1313"/>
    </row>
    <row r="253" spans="1:8">
      <c r="A253" s="1314" t="s">
        <v>588</v>
      </c>
      <c r="B253" s="1313"/>
      <c r="C253" s="1313"/>
      <c r="D253" s="1313"/>
      <c r="E253" s="1313"/>
      <c r="F253" s="1313"/>
      <c r="G253" s="1313"/>
      <c r="H253" s="1313"/>
    </row>
    <row r="254" spans="1:8">
      <c r="A254" s="1313"/>
      <c r="B254" s="1313"/>
      <c r="C254" s="1313"/>
      <c r="D254" s="1313"/>
      <c r="E254" s="1313"/>
      <c r="F254" s="1313"/>
      <c r="G254" s="1313"/>
      <c r="H254" s="1313"/>
    </row>
    <row r="255" spans="1:8">
      <c r="A255" s="1314" t="s">
        <v>577</v>
      </c>
      <c r="B255" s="1313"/>
      <c r="C255" s="1313"/>
      <c r="D255" s="1313"/>
      <c r="E255" s="1313"/>
      <c r="F255" s="1313"/>
      <c r="G255" s="1313"/>
      <c r="H255" s="1313"/>
    </row>
    <row r="256" spans="1:8">
      <c r="A256" s="1314" t="s">
        <v>578</v>
      </c>
      <c r="B256" s="1313"/>
      <c r="C256" s="1313"/>
      <c r="D256" s="1313"/>
      <c r="E256" s="1313"/>
      <c r="F256" s="1313"/>
      <c r="G256" s="1313"/>
      <c r="H256" s="1313"/>
    </row>
    <row r="257" spans="1:8">
      <c r="A257" s="1313"/>
      <c r="B257" s="1313"/>
      <c r="C257" s="1313"/>
      <c r="D257" s="1313"/>
      <c r="E257" s="1313"/>
      <c r="F257" s="1313"/>
      <c r="G257" s="1313"/>
      <c r="H257" s="1313"/>
    </row>
    <row r="258" spans="1:8">
      <c r="A258" s="1314" t="s">
        <v>561</v>
      </c>
      <c r="B258" s="1313"/>
      <c r="C258" s="1313"/>
      <c r="D258" s="1313"/>
      <c r="E258" s="1313"/>
      <c r="F258" s="1313"/>
      <c r="G258" s="1313"/>
      <c r="H258" s="1313"/>
    </row>
    <row r="259" spans="1:8">
      <c r="A259" s="1314" t="s">
        <v>562</v>
      </c>
      <c r="B259" s="1313"/>
      <c r="C259" s="1313"/>
      <c r="D259" s="1313"/>
      <c r="E259" s="1313"/>
      <c r="F259" s="1313"/>
      <c r="G259" s="1313"/>
      <c r="H259" s="1313"/>
    </row>
    <row r="260" spans="1:8">
      <c r="A260" s="1314" t="s">
        <v>563</v>
      </c>
      <c r="B260" s="1313"/>
      <c r="C260" s="1313"/>
      <c r="D260" s="1313"/>
      <c r="E260" s="1313"/>
      <c r="F260" s="1313"/>
      <c r="G260" s="1313"/>
      <c r="H260" s="1313"/>
    </row>
    <row r="261" spans="1:8">
      <c r="A261" s="1314" t="s">
        <v>564</v>
      </c>
      <c r="B261" s="1313"/>
      <c r="C261" s="1313"/>
      <c r="D261" s="1313"/>
      <c r="E261" s="1313"/>
      <c r="F261" s="1313"/>
      <c r="G261" s="1313"/>
      <c r="H261" s="1313"/>
    </row>
    <row r="262" spans="1:8">
      <c r="A262" s="1314" t="s">
        <v>565</v>
      </c>
      <c r="B262" s="1313"/>
      <c r="C262" s="1313"/>
      <c r="D262" s="1313"/>
      <c r="E262" s="1313"/>
      <c r="F262" s="1313"/>
      <c r="G262" s="1313"/>
      <c r="H262" s="1313"/>
    </row>
    <row r="263" spans="1:8">
      <c r="A263" s="1314" t="s">
        <v>566</v>
      </c>
      <c r="B263" s="1313"/>
      <c r="C263" s="1313"/>
      <c r="D263" s="1313"/>
      <c r="E263" s="1313"/>
      <c r="F263" s="1313"/>
      <c r="G263" s="1313"/>
      <c r="H263" s="1313"/>
    </row>
    <row r="264" spans="1:8">
      <c r="A264" s="1314" t="s">
        <v>567</v>
      </c>
      <c r="B264" s="1313"/>
      <c r="C264" s="1313"/>
      <c r="D264" s="1313"/>
      <c r="E264" s="1313"/>
      <c r="F264" s="1313"/>
      <c r="G264" s="1313"/>
      <c r="H264" s="1313"/>
    </row>
    <row r="265" spans="1:8">
      <c r="A265" s="1314" t="s">
        <v>568</v>
      </c>
      <c r="B265" s="1313"/>
      <c r="C265" s="1313"/>
      <c r="D265" s="1313"/>
      <c r="E265" s="1313"/>
      <c r="F265" s="1313"/>
      <c r="G265" s="1313"/>
      <c r="H265" s="1313"/>
    </row>
    <row r="266" spans="1:8">
      <c r="A266" s="1314" t="s">
        <v>569</v>
      </c>
      <c r="B266" s="1313"/>
      <c r="C266" s="1313"/>
      <c r="D266" s="1313"/>
      <c r="E266" s="1313"/>
      <c r="F266" s="1313"/>
      <c r="G266" s="1313"/>
      <c r="H266" s="1313"/>
    </row>
    <row r="267" spans="1:8">
      <c r="A267" s="1314" t="s">
        <v>570</v>
      </c>
      <c r="B267" s="1313"/>
      <c r="C267" s="1313"/>
      <c r="D267" s="1313"/>
      <c r="E267" s="1313"/>
      <c r="F267" s="1313"/>
      <c r="G267" s="1313"/>
      <c r="H267" s="1313"/>
    </row>
    <row r="268" spans="1:8">
      <c r="A268" s="1314" t="s">
        <v>571</v>
      </c>
      <c r="B268" s="1313"/>
      <c r="C268" s="1313"/>
      <c r="D268" s="1313"/>
      <c r="E268" s="1313"/>
      <c r="F268" s="1313"/>
      <c r="G268" s="1313"/>
      <c r="H268" s="1313"/>
    </row>
    <row r="269" spans="1:8">
      <c r="A269" s="1314" t="s">
        <v>572</v>
      </c>
      <c r="B269" s="1313"/>
      <c r="C269" s="1313"/>
      <c r="D269" s="1313"/>
      <c r="E269" s="1313"/>
      <c r="F269" s="1313"/>
      <c r="G269" s="1313"/>
      <c r="H269" s="1313"/>
    </row>
    <row r="270" spans="1:8">
      <c r="A270" s="1314" t="s">
        <v>573</v>
      </c>
      <c r="B270" s="1313"/>
      <c r="C270" s="1313"/>
      <c r="D270" s="1313"/>
      <c r="E270" s="1313"/>
      <c r="F270" s="1313"/>
      <c r="G270" s="1313"/>
      <c r="H270" s="1313"/>
    </row>
    <row r="271" spans="1:8">
      <c r="A271" s="1314" t="s">
        <v>574</v>
      </c>
      <c r="B271" s="1313"/>
      <c r="C271" s="1313"/>
      <c r="D271" s="1313"/>
      <c r="E271" s="1313"/>
      <c r="F271" s="1313"/>
      <c r="G271" s="1313"/>
      <c r="H271" s="1313"/>
    </row>
    <row r="272" spans="1:8">
      <c r="A272" s="1314" t="s">
        <v>575</v>
      </c>
      <c r="B272" s="1313"/>
      <c r="C272" s="1313"/>
      <c r="D272" s="1313"/>
      <c r="E272" s="1313"/>
      <c r="F272" s="1313"/>
      <c r="G272" s="1313"/>
      <c r="H272" s="1313"/>
    </row>
    <row r="273" spans="1:8">
      <c r="A273" s="1314" t="s">
        <v>576</v>
      </c>
      <c r="B273" s="1313"/>
      <c r="C273" s="1313"/>
      <c r="D273" s="1313"/>
      <c r="E273" s="1313"/>
      <c r="F273" s="1313"/>
      <c r="G273" s="1313"/>
      <c r="H273" s="1313"/>
    </row>
    <row r="274" spans="1:8">
      <c r="A274" s="1313"/>
      <c r="B274" s="1313"/>
      <c r="C274" s="1313"/>
      <c r="D274" s="1313"/>
      <c r="E274" s="1313"/>
      <c r="F274" s="1313"/>
      <c r="G274" s="1313"/>
      <c r="H274" s="1313"/>
    </row>
    <row r="275" spans="1:8">
      <c r="A275" s="1314" t="s">
        <v>554</v>
      </c>
      <c r="B275" s="1313"/>
      <c r="C275" s="1313"/>
      <c r="D275" s="1313"/>
      <c r="E275" s="1313"/>
      <c r="F275" s="1313"/>
      <c r="G275" s="1313"/>
      <c r="H275" s="1313"/>
    </row>
    <row r="276" spans="1:8">
      <c r="A276" s="1314" t="s">
        <v>555</v>
      </c>
      <c r="B276" s="1313"/>
      <c r="C276" s="1313"/>
      <c r="D276" s="1313"/>
      <c r="E276" s="1313"/>
      <c r="F276" s="1313"/>
      <c r="G276" s="1313"/>
      <c r="H276" s="1313"/>
    </row>
    <row r="277" spans="1:8">
      <c r="A277" s="1314" t="s">
        <v>556</v>
      </c>
      <c r="B277" s="1313"/>
      <c r="C277" s="1313"/>
      <c r="D277" s="1313"/>
      <c r="E277" s="1313"/>
      <c r="F277" s="1313"/>
      <c r="G277" s="1313"/>
      <c r="H277" s="1313"/>
    </row>
    <row r="278" spans="1:8">
      <c r="A278" s="1314" t="s">
        <v>557</v>
      </c>
      <c r="B278" s="1313"/>
      <c r="C278" s="1313"/>
      <c r="D278" s="1313"/>
      <c r="E278" s="1313"/>
      <c r="F278" s="1313"/>
      <c r="G278" s="1313"/>
      <c r="H278" s="1313"/>
    </row>
    <row r="279" spans="1:8">
      <c r="A279" s="1314" t="s">
        <v>558</v>
      </c>
      <c r="B279" s="1313"/>
      <c r="C279" s="1313"/>
      <c r="D279" s="1313"/>
      <c r="E279" s="1313"/>
      <c r="F279" s="1313"/>
      <c r="G279" s="1313"/>
      <c r="H279" s="1313"/>
    </row>
    <row r="280" spans="1:8">
      <c r="A280" s="1314" t="s">
        <v>559</v>
      </c>
      <c r="B280" s="1313"/>
      <c r="C280" s="1313"/>
      <c r="D280" s="1313"/>
      <c r="E280" s="1313"/>
      <c r="F280" s="1313"/>
      <c r="G280" s="1313"/>
      <c r="H280" s="1313"/>
    </row>
    <row r="281" spans="1:8">
      <c r="A281" s="1314" t="s">
        <v>560</v>
      </c>
      <c r="B281" s="1313"/>
      <c r="C281" s="1313"/>
      <c r="D281" s="1313"/>
      <c r="E281" s="1313"/>
      <c r="F281" s="1313"/>
      <c r="G281" s="1313"/>
      <c r="H281" s="1313"/>
    </row>
    <row r="282" spans="1:8">
      <c r="A282" s="1313"/>
      <c r="B282" s="1313"/>
      <c r="C282" s="1313"/>
      <c r="D282" s="1313"/>
      <c r="E282" s="1313"/>
      <c r="F282" s="1313"/>
      <c r="G282" s="1313"/>
      <c r="H282" s="1313"/>
    </row>
    <row r="283" spans="1:8">
      <c r="A283" s="1314" t="s">
        <v>545</v>
      </c>
      <c r="B283" s="1313"/>
      <c r="C283" s="1313"/>
      <c r="D283" s="1313"/>
      <c r="E283" s="1313"/>
      <c r="F283" s="1313"/>
      <c r="G283" s="1313"/>
      <c r="H283" s="1313"/>
    </row>
    <row r="284" spans="1:8">
      <c r="A284" s="1314" t="s">
        <v>546</v>
      </c>
      <c r="B284" s="1313"/>
      <c r="C284" s="1313"/>
      <c r="D284" s="1313"/>
      <c r="E284" s="1313"/>
      <c r="F284" s="1313"/>
      <c r="G284" s="1313"/>
      <c r="H284" s="1313"/>
    </row>
    <row r="285" spans="1:8">
      <c r="A285" s="1314" t="s">
        <v>547</v>
      </c>
      <c r="B285" s="1313"/>
      <c r="C285" s="1313"/>
      <c r="D285" s="1313"/>
      <c r="E285" s="1313"/>
      <c r="F285" s="1313"/>
      <c r="G285" s="1313"/>
      <c r="H285" s="1313"/>
    </row>
    <row r="286" spans="1:8">
      <c r="A286" s="1314" t="s">
        <v>548</v>
      </c>
      <c r="B286" s="1313"/>
      <c r="C286" s="1313"/>
      <c r="D286" s="1313"/>
      <c r="E286" s="1313"/>
      <c r="F286" s="1313"/>
      <c r="G286" s="1313"/>
      <c r="H286" s="1313"/>
    </row>
    <row r="287" spans="1:8">
      <c r="A287" s="1314" t="s">
        <v>549</v>
      </c>
      <c r="B287" s="1313"/>
      <c r="C287" s="1313"/>
      <c r="D287" s="1313"/>
      <c r="E287" s="1313"/>
      <c r="F287" s="1313"/>
      <c r="G287" s="1313"/>
      <c r="H287" s="1313"/>
    </row>
    <row r="288" spans="1:8">
      <c r="A288" s="1314" t="s">
        <v>550</v>
      </c>
      <c r="B288" s="1313"/>
      <c r="C288" s="1313"/>
      <c r="D288" s="1313"/>
      <c r="E288" s="1313"/>
      <c r="F288" s="1313"/>
      <c r="G288" s="1313"/>
      <c r="H288" s="1313"/>
    </row>
    <row r="289" spans="1:8">
      <c r="A289" s="1314" t="s">
        <v>551</v>
      </c>
      <c r="B289" s="1313"/>
      <c r="C289" s="1313"/>
      <c r="D289" s="1313"/>
      <c r="E289" s="1313"/>
      <c r="F289" s="1313"/>
      <c r="G289" s="1313"/>
      <c r="H289" s="1313"/>
    </row>
    <row r="290" spans="1:8">
      <c r="A290" s="1314" t="s">
        <v>552</v>
      </c>
      <c r="B290" s="1313"/>
      <c r="C290" s="1313"/>
      <c r="D290" s="1313"/>
      <c r="E290" s="1313"/>
      <c r="F290" s="1313"/>
      <c r="G290" s="1313"/>
      <c r="H290" s="1313"/>
    </row>
    <row r="291" spans="1:8">
      <c r="A291" s="1314" t="s">
        <v>553</v>
      </c>
      <c r="B291" s="1313"/>
      <c r="C291" s="1313"/>
      <c r="D291" s="1313"/>
      <c r="E291" s="1313"/>
      <c r="F291" s="1313"/>
      <c r="G291" s="1313"/>
      <c r="H291" s="1313"/>
    </row>
    <row r="292" spans="1:8">
      <c r="A292" s="1313"/>
      <c r="B292" s="1313"/>
      <c r="C292" s="1313"/>
      <c r="D292" s="1313"/>
      <c r="E292" s="1313"/>
      <c r="F292" s="1313"/>
      <c r="G292" s="1313"/>
      <c r="H292" s="1313"/>
    </row>
    <row r="293" spans="1:8">
      <c r="A293" s="1314" t="s">
        <v>538</v>
      </c>
      <c r="B293" s="1313"/>
      <c r="C293" s="1313"/>
      <c r="D293" s="1313"/>
      <c r="E293" s="1313"/>
      <c r="F293" s="1313"/>
      <c r="G293" s="1313"/>
      <c r="H293" s="1313"/>
    </row>
    <row r="294" spans="1:8">
      <c r="A294" s="1314" t="s">
        <v>539</v>
      </c>
      <c r="B294" s="1313"/>
      <c r="C294" s="1313"/>
      <c r="D294" s="1313"/>
      <c r="E294" s="1313"/>
      <c r="F294" s="1313"/>
      <c r="G294" s="1313"/>
      <c r="H294" s="1313"/>
    </row>
    <row r="295" spans="1:8">
      <c r="A295" s="1314" t="s">
        <v>540</v>
      </c>
      <c r="B295" s="1313"/>
      <c r="C295" s="1313"/>
      <c r="D295" s="1313"/>
      <c r="E295" s="1313"/>
      <c r="F295" s="1313"/>
      <c r="G295" s="1313"/>
      <c r="H295" s="1313"/>
    </row>
    <row r="296" spans="1:8">
      <c r="A296" s="1314" t="s">
        <v>541</v>
      </c>
      <c r="B296" s="1313"/>
      <c r="C296" s="1313"/>
      <c r="D296" s="1313"/>
      <c r="E296" s="1313"/>
      <c r="F296" s="1313"/>
      <c r="G296" s="1313"/>
      <c r="H296" s="1313"/>
    </row>
    <row r="297" spans="1:8">
      <c r="A297" s="1314" t="s">
        <v>542</v>
      </c>
      <c r="B297" s="1313"/>
      <c r="C297" s="1313"/>
      <c r="D297" s="1313"/>
      <c r="E297" s="1313"/>
      <c r="F297" s="1313"/>
      <c r="G297" s="1313"/>
      <c r="H297" s="1313"/>
    </row>
    <row r="298" spans="1:8">
      <c r="A298" s="1314" t="s">
        <v>543</v>
      </c>
      <c r="B298" s="1313"/>
      <c r="C298" s="1313"/>
      <c r="D298" s="1313"/>
      <c r="E298" s="1313"/>
      <c r="F298" s="1313"/>
      <c r="G298" s="1313"/>
      <c r="H298" s="1313"/>
    </row>
    <row r="299" spans="1:8">
      <c r="A299" s="1314" t="s">
        <v>544</v>
      </c>
      <c r="B299" s="1313"/>
      <c r="C299" s="1313"/>
      <c r="D299" s="1313"/>
      <c r="E299" s="1313"/>
      <c r="F299" s="1313"/>
      <c r="G299" s="1313"/>
      <c r="H299" s="1313"/>
    </row>
    <row r="300" spans="1:8">
      <c r="A300" s="1313"/>
      <c r="B300" s="1313"/>
      <c r="C300" s="1313"/>
      <c r="D300" s="1313"/>
      <c r="E300" s="1313"/>
      <c r="F300" s="1313"/>
      <c r="G300" s="1313"/>
      <c r="H300" s="1313"/>
    </row>
    <row r="301" spans="1:8">
      <c r="A301" s="1314" t="s">
        <v>535</v>
      </c>
      <c r="B301" s="1313"/>
      <c r="C301" s="1313"/>
      <c r="D301" s="1313"/>
      <c r="E301" s="1313"/>
      <c r="F301" s="1313"/>
      <c r="G301" s="1313"/>
      <c r="H301" s="1313"/>
    </row>
    <row r="302" spans="1:8">
      <c r="A302" s="1314" t="s">
        <v>536</v>
      </c>
      <c r="B302" s="1313"/>
      <c r="C302" s="1313"/>
      <c r="D302" s="1313"/>
      <c r="E302" s="1313"/>
      <c r="F302" s="1313"/>
      <c r="G302" s="1313"/>
      <c r="H302" s="1313"/>
    </row>
    <row r="303" spans="1:8">
      <c r="A303" s="1314" t="s">
        <v>537</v>
      </c>
      <c r="B303" s="1313"/>
      <c r="C303" s="1313"/>
      <c r="D303" s="1313"/>
      <c r="E303" s="1313"/>
      <c r="F303" s="1313"/>
      <c r="G303" s="1313"/>
      <c r="H303" s="1313"/>
    </row>
    <row r="304" spans="1:8">
      <c r="A304" s="1313"/>
      <c r="B304" s="1313"/>
      <c r="C304" s="1313"/>
      <c r="D304" s="1313"/>
      <c r="E304" s="1313"/>
      <c r="F304" s="1313"/>
      <c r="G304" s="1313"/>
      <c r="H304" s="1313"/>
    </row>
    <row r="305" spans="1:8">
      <c r="A305" s="1314" t="s">
        <v>533</v>
      </c>
      <c r="B305" s="1313"/>
      <c r="C305" s="1313"/>
      <c r="D305" s="1313"/>
      <c r="E305" s="1313"/>
      <c r="F305" s="1313"/>
      <c r="G305" s="1313"/>
      <c r="H305" s="1313"/>
    </row>
    <row r="306" spans="1:8">
      <c r="A306" s="1314" t="s">
        <v>534</v>
      </c>
      <c r="B306" s="1313"/>
      <c r="C306" s="1313"/>
      <c r="D306" s="1313"/>
      <c r="E306" s="1313"/>
      <c r="F306" s="1313"/>
      <c r="G306" s="1313"/>
      <c r="H306" s="1313"/>
    </row>
    <row r="307" spans="1:8">
      <c r="A307" s="1313"/>
      <c r="B307" s="1313"/>
      <c r="C307" s="1313"/>
      <c r="D307" s="1313"/>
      <c r="E307" s="1313"/>
      <c r="F307" s="1313"/>
      <c r="G307" s="1313"/>
      <c r="H307" s="1313"/>
    </row>
    <row r="308" spans="1:8">
      <c r="A308" s="1314" t="s">
        <v>520</v>
      </c>
      <c r="B308" s="1313"/>
      <c r="C308" s="1313"/>
      <c r="D308" s="1313"/>
      <c r="E308" s="1313"/>
      <c r="F308" s="1313"/>
      <c r="G308" s="1313"/>
      <c r="H308" s="1313"/>
    </row>
    <row r="309" spans="1:8">
      <c r="A309" s="1314" t="s">
        <v>521</v>
      </c>
      <c r="B309" s="1313"/>
      <c r="C309" s="1313"/>
      <c r="D309" s="1313"/>
      <c r="E309" s="1313"/>
      <c r="F309" s="1313"/>
      <c r="G309" s="1313"/>
      <c r="H309" s="1313"/>
    </row>
    <row r="310" spans="1:8">
      <c r="A310" s="1314" t="s">
        <v>522</v>
      </c>
      <c r="B310" s="1313"/>
      <c r="C310" s="1313"/>
      <c r="D310" s="1313"/>
      <c r="E310" s="1313"/>
      <c r="F310" s="1313"/>
      <c r="G310" s="1313"/>
      <c r="H310" s="1313"/>
    </row>
    <row r="311" spans="1:8">
      <c r="A311" s="1314" t="s">
        <v>523</v>
      </c>
      <c r="B311" s="1313"/>
      <c r="C311" s="1313"/>
      <c r="D311" s="1313"/>
      <c r="E311" s="1313"/>
      <c r="F311" s="1313"/>
      <c r="G311" s="1313"/>
      <c r="H311" s="1313"/>
    </row>
    <row r="312" spans="1:8">
      <c r="A312" s="1314" t="s">
        <v>524</v>
      </c>
      <c r="B312" s="1313"/>
      <c r="C312" s="1313"/>
      <c r="D312" s="1313"/>
      <c r="E312" s="1313"/>
      <c r="F312" s="1313"/>
      <c r="G312" s="1313"/>
      <c r="H312" s="1313"/>
    </row>
    <row r="313" spans="1:8">
      <c r="A313" s="1314" t="s">
        <v>525</v>
      </c>
      <c r="B313" s="1313"/>
      <c r="C313" s="1313"/>
      <c r="D313" s="1313"/>
      <c r="E313" s="1313"/>
      <c r="F313" s="1313"/>
      <c r="G313" s="1313"/>
      <c r="H313" s="1313"/>
    </row>
    <row r="314" spans="1:8">
      <c r="A314" s="1314" t="s">
        <v>526</v>
      </c>
      <c r="B314" s="1313"/>
      <c r="C314" s="1313"/>
      <c r="D314" s="1313"/>
      <c r="E314" s="1313"/>
      <c r="F314" s="1313"/>
      <c r="G314" s="1313"/>
      <c r="H314" s="1313"/>
    </row>
    <row r="315" spans="1:8">
      <c r="A315" s="1314" t="s">
        <v>527</v>
      </c>
      <c r="B315" s="1313"/>
      <c r="C315" s="1313"/>
      <c r="D315" s="1313"/>
      <c r="E315" s="1313"/>
      <c r="F315" s="1313"/>
      <c r="G315" s="1313"/>
      <c r="H315" s="1313"/>
    </row>
    <row r="316" spans="1:8">
      <c r="A316" s="1314" t="s">
        <v>528</v>
      </c>
      <c r="B316" s="1313"/>
      <c r="C316" s="1313"/>
      <c r="D316" s="1313"/>
      <c r="E316" s="1313"/>
      <c r="F316" s="1313"/>
      <c r="G316" s="1313"/>
      <c r="H316" s="1313"/>
    </row>
    <row r="317" spans="1:8">
      <c r="A317" s="1314" t="s">
        <v>529</v>
      </c>
      <c r="B317" s="1313"/>
      <c r="C317" s="1313"/>
      <c r="D317" s="1313"/>
      <c r="E317" s="1313"/>
      <c r="F317" s="1313"/>
      <c r="G317" s="1313"/>
      <c r="H317" s="1313"/>
    </row>
    <row r="318" spans="1:8">
      <c r="A318" s="1314" t="s">
        <v>530</v>
      </c>
      <c r="B318" s="1313"/>
      <c r="C318" s="1313"/>
      <c r="D318" s="1313"/>
      <c r="E318" s="1313"/>
      <c r="F318" s="1313"/>
      <c r="G318" s="1313"/>
      <c r="H318" s="1313"/>
    </row>
    <row r="319" spans="1:8">
      <c r="A319" s="1314" t="s">
        <v>531</v>
      </c>
      <c r="B319" s="1313"/>
      <c r="C319" s="1313"/>
      <c r="D319" s="1313"/>
      <c r="E319" s="1313"/>
      <c r="F319" s="1313"/>
      <c r="G319" s="1313"/>
      <c r="H319" s="1313"/>
    </row>
    <row r="320" spans="1:8">
      <c r="A320" s="1314" t="s">
        <v>532</v>
      </c>
      <c r="B320" s="1313"/>
      <c r="C320" s="1313"/>
      <c r="D320" s="1313"/>
      <c r="E320" s="1313"/>
      <c r="F320" s="1313"/>
      <c r="G320" s="1313"/>
      <c r="H320" s="1313"/>
    </row>
    <row r="321" spans="1:8">
      <c r="A321" s="1313"/>
      <c r="B321" s="1313"/>
      <c r="C321" s="1313"/>
      <c r="D321" s="1313"/>
      <c r="E321" s="1313"/>
      <c r="F321" s="1313"/>
      <c r="G321" s="1313"/>
      <c r="H321" s="1313"/>
    </row>
    <row r="322" spans="1:8">
      <c r="A322" s="1314" t="s">
        <v>512</v>
      </c>
      <c r="B322" s="1313"/>
      <c r="C322" s="1313"/>
      <c r="D322" s="1313"/>
      <c r="E322" s="1313"/>
      <c r="F322" s="1313"/>
      <c r="G322" s="1313"/>
      <c r="H322" s="1313"/>
    </row>
    <row r="323" spans="1:8">
      <c r="A323" s="1314" t="s">
        <v>513</v>
      </c>
      <c r="B323" s="1313"/>
      <c r="C323" s="1313"/>
      <c r="D323" s="1313"/>
      <c r="E323" s="1313"/>
      <c r="F323" s="1313"/>
      <c r="G323" s="1313"/>
      <c r="H323" s="1313"/>
    </row>
    <row r="324" spans="1:8">
      <c r="A324" s="1314" t="s">
        <v>514</v>
      </c>
      <c r="B324" s="1313"/>
      <c r="C324" s="1313"/>
      <c r="D324" s="1313"/>
      <c r="E324" s="1313"/>
      <c r="F324" s="1313"/>
      <c r="G324" s="1313"/>
      <c r="H324" s="1313"/>
    </row>
    <row r="325" spans="1:8">
      <c r="A325" s="1314" t="s">
        <v>515</v>
      </c>
      <c r="B325" s="1313"/>
      <c r="C325" s="1313"/>
      <c r="D325" s="1313"/>
      <c r="E325" s="1313"/>
      <c r="F325" s="1313"/>
      <c r="G325" s="1313"/>
      <c r="H325" s="1313"/>
    </row>
    <row r="326" spans="1:8">
      <c r="A326" s="1314" t="s">
        <v>516</v>
      </c>
      <c r="B326" s="1313"/>
      <c r="C326" s="1313"/>
      <c r="D326" s="1313"/>
      <c r="E326" s="1313"/>
      <c r="F326" s="1313"/>
      <c r="G326" s="1313"/>
      <c r="H326" s="1313"/>
    </row>
    <row r="327" spans="1:8">
      <c r="A327" s="1314" t="s">
        <v>517</v>
      </c>
      <c r="B327" s="1313"/>
      <c r="C327" s="1313"/>
      <c r="D327" s="1313"/>
      <c r="E327" s="1313"/>
      <c r="F327" s="1313"/>
      <c r="G327" s="1313"/>
      <c r="H327" s="1313"/>
    </row>
    <row r="328" spans="1:8">
      <c r="A328" s="1314" t="s">
        <v>518</v>
      </c>
      <c r="B328" s="1313"/>
      <c r="C328" s="1313"/>
      <c r="D328" s="1313"/>
      <c r="E328" s="1313"/>
      <c r="F328" s="1313"/>
      <c r="G328" s="1313"/>
      <c r="H328" s="1313"/>
    </row>
    <row r="329" spans="1:8">
      <c r="A329" s="1314" t="s">
        <v>519</v>
      </c>
      <c r="B329" s="1313"/>
      <c r="C329" s="1313"/>
      <c r="D329" s="1313"/>
      <c r="E329" s="1313"/>
      <c r="F329" s="1313"/>
      <c r="G329" s="1313"/>
      <c r="H329" s="1313"/>
    </row>
    <row r="330" spans="1:8">
      <c r="A330" s="1313"/>
      <c r="B330" s="1313"/>
      <c r="C330" s="1313"/>
      <c r="D330" s="1313"/>
      <c r="E330" s="1313"/>
      <c r="F330" s="1313"/>
      <c r="G330" s="1313"/>
      <c r="H330" s="1313"/>
    </row>
    <row r="331" spans="1:8">
      <c r="A331" s="1314" t="s">
        <v>477</v>
      </c>
      <c r="B331" s="1313"/>
      <c r="C331" s="1313"/>
      <c r="D331" s="1313"/>
      <c r="E331" s="1313"/>
      <c r="F331" s="1313"/>
      <c r="G331" s="1313"/>
      <c r="H331" s="1313"/>
    </row>
    <row r="332" spans="1:8">
      <c r="A332" s="1314" t="s">
        <v>478</v>
      </c>
      <c r="B332" s="1313"/>
      <c r="C332" s="1313"/>
      <c r="D332" s="1313"/>
      <c r="E332" s="1313"/>
      <c r="F332" s="1313"/>
      <c r="G332" s="1313"/>
      <c r="H332" s="1313"/>
    </row>
    <row r="333" spans="1:8">
      <c r="A333" s="1314" t="s">
        <v>479</v>
      </c>
      <c r="B333" s="1313"/>
      <c r="C333" s="1313"/>
      <c r="D333" s="1313"/>
      <c r="E333" s="1313"/>
      <c r="F333" s="1313"/>
      <c r="G333" s="1313"/>
      <c r="H333" s="1313"/>
    </row>
    <row r="334" spans="1:8">
      <c r="A334" s="1314" t="s">
        <v>480</v>
      </c>
      <c r="B334" s="1313"/>
      <c r="C334" s="1313"/>
      <c r="D334" s="1313"/>
      <c r="E334" s="1313"/>
      <c r="F334" s="1313"/>
      <c r="G334" s="1313"/>
      <c r="H334" s="1313"/>
    </row>
    <row r="335" spans="1:8">
      <c r="A335" s="1314" t="s">
        <v>481</v>
      </c>
      <c r="B335" s="1313"/>
      <c r="C335" s="1313"/>
      <c r="D335" s="1313"/>
      <c r="E335" s="1313"/>
      <c r="F335" s="1313"/>
      <c r="G335" s="1313"/>
      <c r="H335" s="1313"/>
    </row>
    <row r="336" spans="1:8">
      <c r="A336" s="1314" t="s">
        <v>482</v>
      </c>
      <c r="B336" s="1313"/>
      <c r="C336" s="1313"/>
      <c r="D336" s="1313"/>
      <c r="E336" s="1313"/>
      <c r="F336" s="1313"/>
      <c r="G336" s="1313"/>
      <c r="H336" s="1313"/>
    </row>
    <row r="337" spans="1:8">
      <c r="A337" s="1314" t="s">
        <v>483</v>
      </c>
      <c r="B337" s="1313"/>
      <c r="C337" s="1313"/>
      <c r="D337" s="1313"/>
      <c r="E337" s="1313"/>
      <c r="F337" s="1313"/>
      <c r="G337" s="1313"/>
      <c r="H337" s="1313"/>
    </row>
    <row r="338" spans="1:8">
      <c r="A338" s="1314" t="s">
        <v>484</v>
      </c>
      <c r="B338" s="1313"/>
      <c r="C338" s="1313"/>
      <c r="D338" s="1313"/>
      <c r="E338" s="1313"/>
      <c r="F338" s="1313"/>
      <c r="G338" s="1313"/>
      <c r="H338" s="1313"/>
    </row>
    <row r="339" spans="1:8">
      <c r="A339" s="1314" t="s">
        <v>485</v>
      </c>
      <c r="B339" s="1313"/>
      <c r="C339" s="1313"/>
      <c r="D339" s="1313"/>
      <c r="E339" s="1313"/>
      <c r="F339" s="1313"/>
      <c r="G339" s="1313"/>
      <c r="H339" s="1313"/>
    </row>
    <row r="340" spans="1:8">
      <c r="A340" s="1314" t="s">
        <v>486</v>
      </c>
      <c r="B340" s="1313"/>
      <c r="C340" s="1313"/>
      <c r="D340" s="1313"/>
      <c r="E340" s="1313"/>
      <c r="F340" s="1313"/>
      <c r="G340" s="1313"/>
      <c r="H340" s="1313"/>
    </row>
    <row r="341" spans="1:8">
      <c r="A341" s="1314" t="s">
        <v>487</v>
      </c>
      <c r="B341" s="1313"/>
      <c r="C341" s="1313"/>
      <c r="D341" s="1313"/>
      <c r="E341" s="1313"/>
      <c r="F341" s="1313"/>
      <c r="G341" s="1313"/>
      <c r="H341" s="1313"/>
    </row>
    <row r="342" spans="1:8">
      <c r="A342" s="1314" t="s">
        <v>488</v>
      </c>
      <c r="B342" s="1313"/>
      <c r="C342" s="1313"/>
      <c r="D342" s="1313"/>
      <c r="E342" s="1313"/>
      <c r="F342" s="1313"/>
      <c r="G342" s="1313"/>
      <c r="H342" s="1313"/>
    </row>
    <row r="343" spans="1:8">
      <c r="A343" s="1314" t="s">
        <v>489</v>
      </c>
      <c r="B343" s="1313"/>
      <c r="C343" s="1313"/>
      <c r="D343" s="1313"/>
      <c r="E343" s="1313"/>
      <c r="F343" s="1313"/>
      <c r="G343" s="1313"/>
      <c r="H343" s="1313"/>
    </row>
    <row r="344" spans="1:8">
      <c r="A344" s="1314" t="s">
        <v>490</v>
      </c>
      <c r="B344" s="1313"/>
      <c r="C344" s="1313"/>
      <c r="D344" s="1313"/>
      <c r="E344" s="1313"/>
      <c r="F344" s="1313"/>
      <c r="G344" s="1313"/>
      <c r="H344" s="1313"/>
    </row>
    <row r="345" spans="1:8">
      <c r="A345" s="1314" t="s">
        <v>491</v>
      </c>
      <c r="B345" s="1313"/>
      <c r="C345" s="1313"/>
      <c r="D345" s="1313"/>
      <c r="E345" s="1313"/>
      <c r="F345" s="1313"/>
      <c r="G345" s="1313"/>
      <c r="H345" s="1313"/>
    </row>
    <row r="346" spans="1:8">
      <c r="A346" s="1314" t="s">
        <v>492</v>
      </c>
      <c r="B346" s="1313"/>
      <c r="C346" s="1313"/>
      <c r="D346" s="1313"/>
      <c r="E346" s="1313"/>
      <c r="F346" s="1313"/>
      <c r="G346" s="1313"/>
      <c r="H346" s="1313"/>
    </row>
    <row r="347" spans="1:8">
      <c r="A347" s="1314" t="s">
        <v>493</v>
      </c>
      <c r="B347" s="1313"/>
      <c r="C347" s="1313"/>
      <c r="D347" s="1313"/>
      <c r="E347" s="1313"/>
      <c r="F347" s="1313"/>
      <c r="G347" s="1313"/>
      <c r="H347" s="1313"/>
    </row>
    <row r="348" spans="1:8">
      <c r="A348" s="1314" t="s">
        <v>494</v>
      </c>
      <c r="B348" s="1313"/>
      <c r="C348" s="1313"/>
      <c r="D348" s="1313"/>
      <c r="E348" s="1313"/>
      <c r="F348" s="1313"/>
      <c r="G348" s="1313"/>
      <c r="H348" s="1313"/>
    </row>
    <row r="349" spans="1:8">
      <c r="A349" s="1314" t="s">
        <v>495</v>
      </c>
      <c r="B349" s="1313"/>
      <c r="C349" s="1313"/>
      <c r="D349" s="1313"/>
      <c r="E349" s="1313"/>
      <c r="F349" s="1313"/>
      <c r="G349" s="1313"/>
      <c r="H349" s="1313"/>
    </row>
    <row r="350" spans="1:8">
      <c r="A350" s="1314" t="s">
        <v>496</v>
      </c>
      <c r="B350" s="1313"/>
      <c r="C350" s="1313"/>
      <c r="D350" s="1313"/>
      <c r="E350" s="1313"/>
      <c r="F350" s="1313"/>
      <c r="G350" s="1313"/>
      <c r="H350" s="1313"/>
    </row>
    <row r="351" spans="1:8">
      <c r="A351" s="1314" t="s">
        <v>497</v>
      </c>
      <c r="B351" s="1313"/>
      <c r="C351" s="1313"/>
      <c r="D351" s="1313"/>
      <c r="E351" s="1313"/>
      <c r="F351" s="1313"/>
      <c r="G351" s="1313"/>
      <c r="H351" s="1313"/>
    </row>
    <row r="352" spans="1:8">
      <c r="A352" s="1314" t="s">
        <v>498</v>
      </c>
      <c r="B352" s="1313"/>
      <c r="C352" s="1313"/>
      <c r="D352" s="1313"/>
      <c r="E352" s="1313"/>
      <c r="F352" s="1313"/>
      <c r="G352" s="1313"/>
      <c r="H352" s="1313"/>
    </row>
    <row r="353" spans="1:8">
      <c r="A353" s="1314" t="s">
        <v>499</v>
      </c>
      <c r="B353" s="1313"/>
      <c r="C353" s="1313"/>
      <c r="D353" s="1313"/>
      <c r="E353" s="1313"/>
      <c r="F353" s="1313"/>
      <c r="G353" s="1313"/>
      <c r="H353" s="1313"/>
    </row>
    <row r="354" spans="1:8">
      <c r="A354" s="1314" t="s">
        <v>500</v>
      </c>
      <c r="B354" s="1313"/>
      <c r="C354" s="1313"/>
      <c r="D354" s="1313"/>
      <c r="E354" s="1313"/>
      <c r="F354" s="1313"/>
      <c r="G354" s="1313"/>
      <c r="H354" s="1313"/>
    </row>
    <row r="355" spans="1:8">
      <c r="A355" s="1314" t="s">
        <v>501</v>
      </c>
      <c r="B355" s="1313"/>
      <c r="C355" s="1313"/>
      <c r="D355" s="1313"/>
      <c r="E355" s="1313"/>
      <c r="F355" s="1313"/>
      <c r="G355" s="1313"/>
      <c r="H355" s="1313"/>
    </row>
    <row r="356" spans="1:8">
      <c r="A356" s="1314" t="s">
        <v>502</v>
      </c>
      <c r="B356" s="1313"/>
      <c r="C356" s="1313"/>
      <c r="D356" s="1313"/>
      <c r="E356" s="1313"/>
      <c r="F356" s="1313"/>
      <c r="G356" s="1313"/>
      <c r="H356" s="1313"/>
    </row>
    <row r="357" spans="1:8">
      <c r="A357" s="1314" t="s">
        <v>503</v>
      </c>
      <c r="B357" s="1313"/>
      <c r="C357" s="1313"/>
      <c r="D357" s="1313"/>
      <c r="E357" s="1313"/>
      <c r="F357" s="1313"/>
      <c r="G357" s="1313"/>
      <c r="H357" s="1313"/>
    </row>
    <row r="358" spans="1:8">
      <c r="A358" s="1314" t="s">
        <v>504</v>
      </c>
      <c r="B358" s="1313"/>
      <c r="C358" s="1313"/>
      <c r="D358" s="1313"/>
      <c r="E358" s="1313"/>
      <c r="F358" s="1313"/>
      <c r="G358" s="1313"/>
      <c r="H358" s="1313"/>
    </row>
    <row r="359" spans="1:8">
      <c r="A359" s="1314" t="s">
        <v>505</v>
      </c>
      <c r="B359" s="1313"/>
      <c r="C359" s="1313"/>
      <c r="D359" s="1313"/>
      <c r="E359" s="1313"/>
      <c r="F359" s="1313"/>
      <c r="G359" s="1313"/>
      <c r="H359" s="1313"/>
    </row>
    <row r="360" spans="1:8">
      <c r="A360" s="1314" t="s">
        <v>506</v>
      </c>
      <c r="B360" s="1313"/>
      <c r="C360" s="1313"/>
      <c r="D360" s="1313"/>
      <c r="E360" s="1313"/>
      <c r="F360" s="1313"/>
      <c r="G360" s="1313"/>
      <c r="H360" s="1313"/>
    </row>
    <row r="361" spans="1:8">
      <c r="A361" s="1314" t="s">
        <v>507</v>
      </c>
      <c r="B361" s="1313"/>
      <c r="C361" s="1313"/>
      <c r="D361" s="1313"/>
      <c r="E361" s="1313"/>
      <c r="F361" s="1313"/>
      <c r="G361" s="1313"/>
      <c r="H361" s="1313"/>
    </row>
    <row r="362" spans="1:8">
      <c r="A362" s="1314" t="s">
        <v>508</v>
      </c>
      <c r="B362" s="1313"/>
      <c r="C362" s="1313"/>
      <c r="D362" s="1313"/>
      <c r="E362" s="1313"/>
      <c r="F362" s="1313"/>
      <c r="G362" s="1313"/>
      <c r="H362" s="1313"/>
    </row>
    <row r="363" spans="1:8">
      <c r="A363" s="1314" t="s">
        <v>509</v>
      </c>
      <c r="B363" s="1313"/>
      <c r="C363" s="1313"/>
      <c r="D363" s="1313"/>
      <c r="E363" s="1313"/>
      <c r="F363" s="1313"/>
      <c r="G363" s="1313"/>
      <c r="H363" s="1313"/>
    </row>
    <row r="364" spans="1:8">
      <c r="A364" s="1314" t="s">
        <v>510</v>
      </c>
      <c r="B364" s="1313"/>
      <c r="C364" s="1313"/>
      <c r="D364" s="1313"/>
      <c r="E364" s="1313"/>
      <c r="F364" s="1313"/>
      <c r="G364" s="1313"/>
      <c r="H364" s="1313"/>
    </row>
    <row r="365" spans="1:8">
      <c r="A365" s="1314" t="s">
        <v>511</v>
      </c>
      <c r="B365" s="1313"/>
      <c r="C365" s="1313"/>
      <c r="D365" s="1313"/>
      <c r="E365" s="1313"/>
      <c r="F365" s="1313"/>
      <c r="G365" s="1313"/>
      <c r="H365" s="1313"/>
    </row>
    <row r="366" spans="1:8">
      <c r="A366" s="1313"/>
      <c r="B366" s="1313"/>
      <c r="C366" s="1313"/>
      <c r="D366" s="1313"/>
      <c r="E366" s="1313"/>
      <c r="F366" s="1313"/>
      <c r="G366" s="1313"/>
      <c r="H366" s="1313"/>
    </row>
    <row r="367" spans="1:8">
      <c r="A367" s="1314" t="s">
        <v>469</v>
      </c>
      <c r="B367" s="1313"/>
      <c r="C367" s="1313"/>
      <c r="D367" s="1313"/>
      <c r="E367" s="1313"/>
      <c r="F367" s="1313"/>
      <c r="G367" s="1313"/>
      <c r="H367" s="1313"/>
    </row>
    <row r="368" spans="1:8">
      <c r="A368" s="1314" t="s">
        <v>473</v>
      </c>
      <c r="B368" s="1313"/>
      <c r="C368" s="1313"/>
      <c r="D368" s="1313"/>
      <c r="E368" s="1313"/>
      <c r="F368" s="1313"/>
      <c r="G368" s="1313"/>
      <c r="H368" s="1313"/>
    </row>
    <row r="369" spans="1:8">
      <c r="A369" s="1314" t="s">
        <v>474</v>
      </c>
      <c r="B369" s="1313"/>
      <c r="C369" s="1313"/>
      <c r="D369" s="1313"/>
      <c r="E369" s="1313"/>
      <c r="F369" s="1313"/>
      <c r="G369" s="1313"/>
      <c r="H369" s="1313"/>
    </row>
    <row r="370" spans="1:8">
      <c r="A370" s="1314" t="s">
        <v>475</v>
      </c>
      <c r="B370" s="1313"/>
      <c r="C370" s="1313"/>
      <c r="D370" s="1313"/>
      <c r="E370" s="1313"/>
      <c r="F370" s="1313"/>
      <c r="G370" s="1313"/>
      <c r="H370" s="1313"/>
    </row>
    <row r="371" spans="1:8">
      <c r="A371" s="1314" t="s">
        <v>476</v>
      </c>
      <c r="B371" s="1313"/>
      <c r="C371" s="1313"/>
      <c r="D371" s="1313"/>
      <c r="E371" s="1313"/>
      <c r="F371" s="1313"/>
      <c r="G371" s="1313"/>
      <c r="H371" s="1313"/>
    </row>
    <row r="372" spans="1:8">
      <c r="A372" s="1313"/>
      <c r="B372" s="1313"/>
      <c r="C372" s="1313"/>
      <c r="D372" s="1313"/>
      <c r="E372" s="1313"/>
      <c r="F372" s="1313"/>
      <c r="G372" s="1313"/>
      <c r="H372" s="1313"/>
    </row>
    <row r="373" spans="1:8">
      <c r="A373" s="1314" t="s">
        <v>469</v>
      </c>
      <c r="B373" s="1313"/>
      <c r="C373" s="1313"/>
      <c r="D373" s="1313"/>
      <c r="E373" s="1313"/>
      <c r="F373" s="1313"/>
      <c r="G373" s="1313"/>
      <c r="H373" s="1313"/>
    </row>
    <row r="374" spans="1:8">
      <c r="A374" s="1314" t="s">
        <v>470</v>
      </c>
      <c r="B374" s="1313"/>
      <c r="C374" s="1313"/>
      <c r="D374" s="1313"/>
      <c r="E374" s="1313"/>
      <c r="F374" s="1313"/>
      <c r="G374" s="1313"/>
      <c r="H374" s="1313"/>
    </row>
    <row r="375" spans="1:8">
      <c r="A375" s="1314" t="s">
        <v>471</v>
      </c>
      <c r="B375" s="1313"/>
      <c r="C375" s="1313"/>
      <c r="D375" s="1313"/>
      <c r="E375" s="1313"/>
      <c r="F375" s="1313"/>
      <c r="G375" s="1313"/>
      <c r="H375" s="1313"/>
    </row>
    <row r="376" spans="1:8">
      <c r="A376" s="1314" t="s">
        <v>472</v>
      </c>
      <c r="B376" s="1313"/>
      <c r="C376" s="1313"/>
      <c r="D376" s="1313"/>
      <c r="E376" s="1313"/>
      <c r="F376" s="1313"/>
      <c r="G376" s="1313"/>
      <c r="H376" s="1313"/>
    </row>
    <row r="377" spans="1:8">
      <c r="A377" s="1313"/>
      <c r="B377" s="1313"/>
      <c r="C377" s="1313"/>
      <c r="D377" s="1313"/>
      <c r="E377" s="1313"/>
      <c r="F377" s="1313"/>
      <c r="G377" s="1313"/>
      <c r="H377" s="1313"/>
    </row>
    <row r="378" spans="1:8">
      <c r="A378" s="1314" t="s">
        <v>463</v>
      </c>
      <c r="B378" s="1313"/>
      <c r="C378" s="1313"/>
      <c r="D378" s="1313"/>
      <c r="E378" s="1313"/>
      <c r="F378" s="1313"/>
      <c r="G378" s="1313"/>
      <c r="H378" s="1313"/>
    </row>
    <row r="379" spans="1:8">
      <c r="A379" s="1314" t="s">
        <v>464</v>
      </c>
      <c r="B379" s="1313"/>
      <c r="C379" s="1313"/>
      <c r="D379" s="1313"/>
      <c r="E379" s="1313"/>
      <c r="F379" s="1313"/>
      <c r="G379" s="1313"/>
      <c r="H379" s="1313"/>
    </row>
    <row r="380" spans="1:8">
      <c r="A380" s="1314" t="s">
        <v>465</v>
      </c>
      <c r="B380" s="1313"/>
      <c r="C380" s="1313"/>
      <c r="D380" s="1313"/>
      <c r="E380" s="1313"/>
      <c r="F380" s="1313"/>
      <c r="G380" s="1313"/>
      <c r="H380" s="1313"/>
    </row>
    <row r="381" spans="1:8">
      <c r="A381" s="1314" t="s">
        <v>466</v>
      </c>
      <c r="B381" s="1313"/>
      <c r="C381" s="1313"/>
      <c r="D381" s="1313"/>
      <c r="E381" s="1313"/>
      <c r="F381" s="1313"/>
      <c r="G381" s="1313"/>
      <c r="H381" s="1313"/>
    </row>
    <row r="382" spans="1:8">
      <c r="A382" s="1314" t="s">
        <v>467</v>
      </c>
      <c r="B382" s="1313"/>
      <c r="C382" s="1313"/>
      <c r="D382" s="1313"/>
      <c r="E382" s="1313"/>
      <c r="F382" s="1313"/>
      <c r="G382" s="1313"/>
      <c r="H382" s="1313"/>
    </row>
    <row r="383" spans="1:8">
      <c r="A383" s="1314" t="s">
        <v>468</v>
      </c>
      <c r="B383" s="1313"/>
      <c r="C383" s="1313"/>
      <c r="D383" s="1313"/>
      <c r="E383" s="1313"/>
      <c r="F383" s="1313"/>
      <c r="G383" s="1313"/>
      <c r="H383" s="1313"/>
    </row>
    <row r="384" spans="1:8">
      <c r="A384" s="1313"/>
      <c r="B384" s="1313"/>
      <c r="C384" s="1313"/>
      <c r="D384" s="1313"/>
      <c r="E384" s="1313"/>
      <c r="F384" s="1313"/>
      <c r="G384" s="1313"/>
      <c r="H384" s="1313"/>
    </row>
    <row r="385" spans="1:8">
      <c r="A385" s="1314" t="s">
        <v>458</v>
      </c>
      <c r="B385" s="1313"/>
      <c r="C385" s="1313"/>
      <c r="D385" s="1313"/>
      <c r="E385" s="1313"/>
      <c r="F385" s="1313"/>
      <c r="G385" s="1313"/>
      <c r="H385" s="1313"/>
    </row>
    <row r="386" spans="1:8">
      <c r="A386" s="1314" t="s">
        <v>459</v>
      </c>
      <c r="B386" s="1313"/>
      <c r="C386" s="1313"/>
      <c r="D386" s="1313"/>
      <c r="E386" s="1313"/>
      <c r="F386" s="1313"/>
      <c r="G386" s="1313"/>
      <c r="H386" s="1313"/>
    </row>
    <row r="387" spans="1:8">
      <c r="A387" s="1314" t="s">
        <v>460</v>
      </c>
      <c r="B387" s="1313"/>
      <c r="C387" s="1313"/>
      <c r="D387" s="1313"/>
      <c r="E387" s="1313"/>
      <c r="F387" s="1313"/>
      <c r="G387" s="1313"/>
      <c r="H387" s="1313"/>
    </row>
    <row r="388" spans="1:8">
      <c r="A388" s="1314" t="s">
        <v>461</v>
      </c>
      <c r="B388" s="1313"/>
      <c r="C388" s="1313"/>
      <c r="D388" s="1313"/>
      <c r="E388" s="1313"/>
      <c r="F388" s="1313"/>
      <c r="G388" s="1313"/>
      <c r="H388" s="1313"/>
    </row>
    <row r="389" spans="1:8">
      <c r="A389" s="1314" t="s">
        <v>462</v>
      </c>
      <c r="B389" s="1313"/>
      <c r="C389" s="1313"/>
      <c r="D389" s="1313"/>
      <c r="E389" s="1313"/>
      <c r="F389" s="1313"/>
      <c r="G389" s="1313"/>
      <c r="H389" s="1313"/>
    </row>
    <row r="390" spans="1:8">
      <c r="A390" s="1313"/>
      <c r="B390" s="1313"/>
      <c r="C390" s="1313"/>
      <c r="D390" s="1313"/>
      <c r="E390" s="1313"/>
      <c r="F390" s="1313"/>
      <c r="G390" s="1313"/>
      <c r="H390" s="1313"/>
    </row>
    <row r="391" spans="1:8">
      <c r="A391" s="1314" t="s">
        <v>456</v>
      </c>
      <c r="B391" s="1313"/>
      <c r="C391" s="1313"/>
      <c r="D391" s="1313"/>
      <c r="E391" s="1313"/>
      <c r="F391" s="1313"/>
      <c r="G391" s="1313"/>
      <c r="H391" s="1313"/>
    </row>
    <row r="392" spans="1:8">
      <c r="A392" s="1314" t="s">
        <v>457</v>
      </c>
      <c r="B392" s="1313"/>
      <c r="C392" s="1313"/>
      <c r="D392" s="1313"/>
      <c r="E392" s="1313"/>
      <c r="F392" s="1313"/>
      <c r="G392" s="1313"/>
      <c r="H392" s="1313"/>
    </row>
    <row r="394" spans="1:8">
      <c r="A394" s="1309" t="s">
        <v>714</v>
      </c>
    </row>
  </sheetData>
  <mergeCells count="12">
    <mergeCell ref="A117:H117"/>
    <mergeCell ref="A124:H124"/>
    <mergeCell ref="A111:H111"/>
    <mergeCell ref="A112:H112"/>
    <mergeCell ref="A113:H113"/>
    <mergeCell ref="A114:H114"/>
    <mergeCell ref="A116:H116"/>
    <mergeCell ref="A132:H132"/>
    <mergeCell ref="A133:H133"/>
    <mergeCell ref="B125:C125"/>
    <mergeCell ref="D125:F125"/>
    <mergeCell ref="G125:H125"/>
  </mergeCells>
  <pageMargins left="0.5" right="0.5" top="0.5" bottom="0.5" header="0.5" footer="0.5"/>
  <pageSetup orientation="portrait" horizontalDpi="300" verticalDpi="0"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T309"/>
  <sheetViews>
    <sheetView zoomScaleNormal="100" workbookViewId="0"/>
  </sheetViews>
  <sheetFormatPr defaultRowHeight="12.75"/>
  <cols>
    <col min="1" max="1" width="9.140625" style="876"/>
    <col min="2" max="4" width="38.42578125" style="876" customWidth="1"/>
    <col min="5" max="16384" width="9.140625" style="876"/>
  </cols>
  <sheetData>
    <row r="1" spans="1:94" s="869" customFormat="1">
      <c r="A1" s="868"/>
      <c r="B1" s="868"/>
      <c r="C1" s="868"/>
      <c r="D1" s="868"/>
      <c r="E1" s="868"/>
      <c r="F1" s="868"/>
      <c r="G1" s="868"/>
      <c r="H1" s="868"/>
      <c r="I1" s="868"/>
      <c r="J1" s="868"/>
      <c r="K1" s="868"/>
      <c r="L1" s="868"/>
      <c r="M1" s="868"/>
      <c r="N1" s="868"/>
      <c r="O1" s="868"/>
      <c r="P1" s="868"/>
      <c r="Q1" s="868"/>
      <c r="R1" s="868"/>
      <c r="S1" s="868"/>
      <c r="T1" s="868"/>
      <c r="U1" s="868"/>
      <c r="V1" s="868"/>
      <c r="W1" s="868"/>
      <c r="X1" s="868"/>
      <c r="Y1" s="868"/>
      <c r="Z1" s="868"/>
      <c r="AA1" s="868"/>
      <c r="AB1" s="868"/>
      <c r="AC1" s="868"/>
    </row>
    <row r="2" spans="1:94" s="869" customFormat="1" ht="28.5" customHeight="1">
      <c r="A2" s="868"/>
      <c r="B2" s="870" t="s">
        <v>294</v>
      </c>
      <c r="C2" s="868"/>
      <c r="D2" s="868"/>
      <c r="E2" s="868"/>
      <c r="F2" s="868"/>
      <c r="G2" s="868"/>
      <c r="H2" s="868"/>
      <c r="I2" s="868"/>
      <c r="J2" s="868"/>
      <c r="K2" s="868"/>
      <c r="L2" s="868"/>
      <c r="M2" s="868"/>
      <c r="N2" s="868"/>
      <c r="O2" s="868"/>
      <c r="P2" s="868"/>
      <c r="Q2" s="868"/>
      <c r="R2" s="868"/>
      <c r="S2" s="868"/>
      <c r="T2" s="868"/>
      <c r="U2" s="868"/>
      <c r="V2" s="868"/>
      <c r="W2" s="868"/>
      <c r="X2" s="868"/>
      <c r="Y2" s="868"/>
      <c r="Z2" s="868"/>
      <c r="AA2" s="868"/>
      <c r="AB2" s="868"/>
      <c r="AC2" s="868"/>
    </row>
    <row r="3" spans="1:94" s="869" customFormat="1" ht="15.75">
      <c r="A3" s="868"/>
      <c r="B3" s="871" t="s">
        <v>159</v>
      </c>
      <c r="C3" s="871" t="s">
        <v>125</v>
      </c>
      <c r="D3" s="868"/>
      <c r="E3" s="868"/>
      <c r="F3" s="868"/>
      <c r="G3" s="868"/>
      <c r="H3" s="868"/>
      <c r="I3" s="868"/>
      <c r="J3" s="868"/>
      <c r="K3" s="868"/>
      <c r="L3" s="868"/>
      <c r="M3" s="868"/>
      <c r="N3" s="868"/>
      <c r="O3" s="868"/>
      <c r="P3" s="868"/>
      <c r="Q3" s="868"/>
      <c r="R3" s="868"/>
      <c r="S3" s="868"/>
      <c r="T3" s="868"/>
      <c r="U3" s="868"/>
      <c r="V3" s="868"/>
      <c r="W3" s="868"/>
      <c r="X3" s="868"/>
      <c r="Y3" s="868"/>
      <c r="Z3" s="868"/>
      <c r="AA3" s="868"/>
      <c r="AB3" s="868"/>
      <c r="AC3" s="868"/>
    </row>
    <row r="4" spans="1:94" s="869" customFormat="1" ht="15.75">
      <c r="A4" s="868"/>
      <c r="B4" s="871" t="s">
        <v>288</v>
      </c>
      <c r="C4" s="871" t="s">
        <v>342</v>
      </c>
      <c r="D4" s="868"/>
      <c r="E4" s="868"/>
      <c r="F4" s="868"/>
      <c r="G4" s="868"/>
      <c r="H4" s="868"/>
      <c r="I4" s="868"/>
      <c r="J4" s="868"/>
      <c r="K4" s="868"/>
      <c r="L4" s="868"/>
      <c r="M4" s="868"/>
      <c r="N4" s="868"/>
      <c r="O4" s="868"/>
      <c r="P4" s="868"/>
      <c r="Q4" s="868"/>
      <c r="R4" s="868"/>
      <c r="S4" s="868"/>
      <c r="T4" s="868"/>
      <c r="U4" s="868"/>
      <c r="V4" s="868"/>
      <c r="W4" s="868"/>
      <c r="X4" s="868"/>
      <c r="Y4" s="868"/>
      <c r="Z4" s="868"/>
      <c r="AA4" s="868"/>
      <c r="AB4" s="868"/>
      <c r="AC4" s="868"/>
      <c r="CP4" s="1240"/>
    </row>
    <row r="5" spans="1:94" s="869" customFormat="1" ht="15.75">
      <c r="A5" s="868"/>
      <c r="B5" s="871" t="s">
        <v>289</v>
      </c>
      <c r="C5" s="872">
        <f>+Valuation!G9</f>
        <v>373</v>
      </c>
      <c r="D5" s="868"/>
      <c r="E5" s="868"/>
      <c r="F5" s="868"/>
      <c r="G5" s="868"/>
      <c r="H5" s="868"/>
      <c r="I5" s="868"/>
      <c r="J5" s="868"/>
      <c r="K5" s="868"/>
      <c r="L5" s="868"/>
      <c r="M5" s="868"/>
      <c r="N5" s="868"/>
      <c r="O5" s="868"/>
      <c r="P5" s="868"/>
      <c r="Q5" s="868"/>
      <c r="R5" s="868"/>
      <c r="S5" s="868"/>
      <c r="T5" s="868"/>
      <c r="U5" s="868"/>
      <c r="V5" s="868"/>
      <c r="W5" s="868"/>
      <c r="X5" s="868"/>
      <c r="Y5" s="868"/>
      <c r="Z5" s="868"/>
      <c r="AA5" s="868"/>
      <c r="AB5" s="868"/>
      <c r="AC5" s="868"/>
    </row>
    <row r="6" spans="1:94" s="869" customFormat="1" ht="15.75">
      <c r="A6" s="868"/>
      <c r="B6" s="871" t="s">
        <v>290</v>
      </c>
      <c r="C6" s="873">
        <f ca="1">NOW()</f>
        <v>43201.443632523151</v>
      </c>
      <c r="D6" s="868"/>
      <c r="E6" s="868"/>
      <c r="F6" s="868"/>
      <c r="G6" s="868"/>
      <c r="H6" s="868"/>
      <c r="I6" s="868"/>
      <c r="J6" s="868"/>
      <c r="K6" s="868"/>
      <c r="L6" s="868"/>
      <c r="M6" s="868"/>
      <c r="N6" s="868"/>
      <c r="O6" s="868"/>
      <c r="P6" s="868"/>
      <c r="Q6" s="868"/>
      <c r="R6" s="868"/>
      <c r="S6" s="868"/>
      <c r="T6" s="868"/>
      <c r="U6" s="868"/>
      <c r="V6" s="868"/>
      <c r="W6" s="868"/>
      <c r="X6" s="868"/>
      <c r="Y6" s="868"/>
      <c r="Z6" s="868"/>
      <c r="AA6" s="868"/>
      <c r="AB6" s="868"/>
      <c r="AC6" s="868"/>
    </row>
    <row r="7" spans="1:94" s="869" customFormat="1">
      <c r="A7" s="868"/>
      <c r="B7" s="868"/>
      <c r="C7" s="868"/>
      <c r="D7" s="868"/>
      <c r="E7" s="868"/>
      <c r="F7" s="868"/>
      <c r="G7" s="868"/>
      <c r="H7" s="868"/>
      <c r="I7" s="868"/>
      <c r="J7" s="868"/>
      <c r="K7" s="868"/>
      <c r="L7" s="868"/>
      <c r="M7" s="868"/>
      <c r="N7" s="868"/>
      <c r="O7" s="868"/>
      <c r="P7" s="868"/>
      <c r="Q7" s="868"/>
      <c r="R7" s="868"/>
      <c r="S7" s="868"/>
      <c r="T7" s="868"/>
      <c r="U7" s="868"/>
      <c r="V7" s="868"/>
      <c r="W7" s="868"/>
      <c r="X7" s="868"/>
      <c r="Y7" s="868"/>
      <c r="Z7" s="868"/>
      <c r="AA7" s="868"/>
      <c r="AB7" s="868"/>
      <c r="AC7" s="868"/>
    </row>
    <row r="8" spans="1:94">
      <c r="A8" s="874"/>
      <c r="B8" s="875"/>
      <c r="C8" s="875"/>
      <c r="D8" s="875"/>
      <c r="E8" s="875"/>
      <c r="F8" s="875"/>
      <c r="G8" s="875"/>
      <c r="H8" s="875"/>
      <c r="I8" s="875"/>
      <c r="J8" s="875"/>
      <c r="K8" s="875"/>
      <c r="L8" s="875"/>
      <c r="M8" s="875"/>
      <c r="N8" s="875"/>
      <c r="O8" s="875"/>
      <c r="P8" s="875"/>
      <c r="Q8" s="875"/>
      <c r="R8" s="875"/>
      <c r="S8" s="874"/>
      <c r="T8" s="874"/>
      <c r="U8" s="874"/>
      <c r="V8" s="874"/>
      <c r="W8" s="874"/>
      <c r="X8" s="874"/>
      <c r="Y8" s="874"/>
      <c r="Z8" s="874"/>
      <c r="AA8" s="874"/>
      <c r="AB8" s="874"/>
      <c r="AC8" s="874"/>
    </row>
    <row r="9" spans="1:94">
      <c r="A9" s="874"/>
      <c r="B9" s="875"/>
      <c r="C9" s="875"/>
      <c r="D9" s="875"/>
      <c r="E9" s="875"/>
      <c r="F9" s="875"/>
      <c r="G9" s="875"/>
      <c r="H9" s="875"/>
      <c r="I9" s="875"/>
      <c r="J9" s="875"/>
      <c r="K9" s="875"/>
      <c r="L9" s="875"/>
      <c r="M9" s="875"/>
      <c r="N9" s="875"/>
      <c r="O9" s="875"/>
      <c r="P9" s="875"/>
      <c r="Q9" s="875"/>
      <c r="R9" s="875"/>
      <c r="S9" s="874"/>
      <c r="T9" s="874"/>
      <c r="U9" s="874"/>
      <c r="V9" s="874"/>
      <c r="W9" s="874"/>
      <c r="X9" s="874"/>
      <c r="Y9" s="874"/>
      <c r="Z9" s="874"/>
      <c r="AA9" s="874"/>
      <c r="AB9" s="874"/>
      <c r="AC9" s="874"/>
    </row>
    <row r="10" spans="1:94" s="881" customFormat="1" ht="15">
      <c r="A10" s="877"/>
      <c r="B10" s="878" t="s">
        <v>291</v>
      </c>
      <c r="C10" s="878" t="s">
        <v>361</v>
      </c>
      <c r="D10" s="878"/>
      <c r="E10" s="878"/>
      <c r="F10" s="878"/>
      <c r="G10" s="878"/>
      <c r="H10" s="878"/>
      <c r="I10" s="879"/>
      <c r="J10" s="879"/>
      <c r="K10" s="878"/>
      <c r="L10" s="878"/>
      <c r="M10" s="878"/>
      <c r="N10" s="878"/>
      <c r="O10" s="878"/>
      <c r="P10" s="878"/>
      <c r="Q10" s="880"/>
      <c r="R10" s="880"/>
      <c r="S10" s="877"/>
      <c r="T10" s="877"/>
      <c r="U10" s="877"/>
      <c r="V10" s="877"/>
      <c r="W10" s="877"/>
      <c r="X10" s="877"/>
      <c r="Y10" s="877"/>
      <c r="Z10" s="877"/>
      <c r="AA10" s="877"/>
      <c r="AB10" s="877"/>
      <c r="AC10" s="877"/>
    </row>
    <row r="11" spans="1:94" s="881" customFormat="1" ht="15">
      <c r="A11" s="877"/>
      <c r="B11" s="878" t="s">
        <v>292</v>
      </c>
      <c r="C11" s="878" t="s">
        <v>362</v>
      </c>
      <c r="D11" s="878"/>
      <c r="E11" s="878"/>
      <c r="F11" s="878"/>
      <c r="G11" s="878"/>
      <c r="H11" s="878"/>
      <c r="I11" s="879"/>
      <c r="J11" s="879"/>
      <c r="K11" s="878"/>
      <c r="L11" s="878"/>
      <c r="M11" s="878"/>
      <c r="N11" s="878"/>
      <c r="O11" s="878"/>
      <c r="P11" s="878"/>
      <c r="Q11" s="880"/>
      <c r="R11" s="880"/>
      <c r="S11" s="877"/>
      <c r="T11" s="877"/>
      <c r="U11" s="877"/>
      <c r="V11" s="877"/>
      <c r="W11" s="877"/>
      <c r="X11" s="877"/>
      <c r="Y11" s="877"/>
      <c r="Z11" s="877"/>
      <c r="AA11" s="877"/>
      <c r="AB11" s="877"/>
      <c r="AC11" s="877"/>
    </row>
    <row r="12" spans="1:94" s="881" customFormat="1" ht="15">
      <c r="A12" s="877"/>
      <c r="B12" s="878" t="s">
        <v>293</v>
      </c>
      <c r="C12" s="878" t="s">
        <v>363</v>
      </c>
      <c r="D12" s="878"/>
      <c r="E12" s="878"/>
      <c r="F12" s="878"/>
      <c r="G12" s="878"/>
      <c r="H12" s="878"/>
      <c r="I12" s="879"/>
      <c r="J12" s="879"/>
      <c r="K12" s="878"/>
      <c r="L12" s="878"/>
      <c r="M12" s="878"/>
      <c r="N12" s="878"/>
      <c r="O12" s="878"/>
      <c r="P12" s="878"/>
      <c r="Q12" s="880"/>
      <c r="R12" s="880"/>
      <c r="S12" s="877"/>
      <c r="T12" s="877"/>
      <c r="U12" s="877"/>
      <c r="V12" s="877"/>
      <c r="W12" s="877"/>
      <c r="X12" s="877"/>
      <c r="Y12" s="877"/>
      <c r="Z12" s="877"/>
      <c r="AA12" s="877"/>
      <c r="AB12" s="877"/>
      <c r="AC12" s="877"/>
    </row>
    <row r="13" spans="1:94">
      <c r="A13" s="874"/>
      <c r="B13" s="882"/>
      <c r="C13" s="882"/>
      <c r="D13" s="882"/>
      <c r="E13" s="882"/>
      <c r="F13" s="882"/>
      <c r="G13" s="882"/>
      <c r="H13" s="882"/>
      <c r="I13" s="882"/>
      <c r="J13" s="882"/>
      <c r="K13" s="882"/>
      <c r="L13" s="882"/>
      <c r="M13" s="882"/>
      <c r="N13" s="882"/>
      <c r="O13" s="882"/>
      <c r="P13" s="882"/>
      <c r="Q13" s="882"/>
      <c r="R13" s="882"/>
      <c r="S13" s="874"/>
      <c r="T13" s="874"/>
      <c r="U13" s="874"/>
      <c r="V13" s="874"/>
      <c r="W13" s="874"/>
      <c r="X13" s="874"/>
      <c r="Y13" s="874"/>
      <c r="Z13" s="874"/>
      <c r="AA13" s="874"/>
      <c r="AB13" s="874"/>
      <c r="AC13" s="874"/>
    </row>
    <row r="14" spans="1:94" ht="15">
      <c r="A14" s="874"/>
      <c r="B14" s="883"/>
      <c r="C14" s="883"/>
      <c r="D14" s="883"/>
      <c r="E14" s="883"/>
      <c r="F14" s="883"/>
      <c r="G14" s="884"/>
      <c r="H14" s="883"/>
      <c r="I14" s="883"/>
      <c r="J14" s="883"/>
      <c r="K14" s="883"/>
      <c r="L14" s="883"/>
      <c r="M14" s="883"/>
      <c r="N14" s="883"/>
      <c r="O14" s="883"/>
      <c r="P14" s="883"/>
      <c r="Q14" s="883"/>
      <c r="R14" s="883"/>
      <c r="S14" s="874"/>
      <c r="T14" s="874"/>
      <c r="U14" s="874"/>
      <c r="V14" s="874"/>
      <c r="W14" s="874"/>
      <c r="X14" s="874"/>
      <c r="Y14" s="874"/>
      <c r="Z14" s="874"/>
      <c r="AA14" s="874"/>
      <c r="AB14" s="874"/>
      <c r="AC14" s="874"/>
      <c r="CF14" s="876" t="e">
        <f>CF13/CF4</f>
        <v>#DIV/0!</v>
      </c>
    </row>
    <row r="15" spans="1:94" ht="15">
      <c r="A15" s="874"/>
      <c r="B15" s="874"/>
      <c r="C15" s="874"/>
      <c r="D15" s="874"/>
      <c r="E15" s="874"/>
      <c r="F15" s="874"/>
      <c r="G15" s="884"/>
      <c r="H15" s="874"/>
      <c r="I15" s="874"/>
      <c r="J15" s="874"/>
      <c r="K15" s="874"/>
      <c r="L15" s="874"/>
      <c r="M15" s="874"/>
      <c r="N15" s="874"/>
      <c r="O15" s="874"/>
      <c r="P15" s="874"/>
      <c r="Q15" s="874"/>
      <c r="R15" s="874"/>
      <c r="S15" s="874"/>
      <c r="T15" s="874"/>
      <c r="U15" s="874"/>
      <c r="V15" s="874"/>
      <c r="W15" s="874"/>
      <c r="X15" s="874"/>
      <c r="Y15" s="874"/>
      <c r="Z15" s="874"/>
      <c r="AA15" s="874"/>
      <c r="AB15" s="874"/>
      <c r="AC15" s="874"/>
    </row>
    <row r="16" spans="1:94" ht="15">
      <c r="A16" s="874"/>
      <c r="B16" s="874"/>
      <c r="C16" s="874"/>
      <c r="D16" s="874"/>
      <c r="E16" s="874"/>
      <c r="F16" s="874"/>
      <c r="G16" s="884"/>
      <c r="H16" s="874"/>
      <c r="I16" s="874"/>
      <c r="J16" s="874"/>
      <c r="K16" s="874"/>
      <c r="L16" s="874"/>
      <c r="M16" s="874"/>
      <c r="N16" s="874"/>
      <c r="O16" s="874"/>
      <c r="P16" s="874"/>
      <c r="Q16" s="874"/>
      <c r="R16" s="874"/>
      <c r="S16" s="874"/>
      <c r="T16" s="874"/>
      <c r="U16" s="874"/>
      <c r="V16" s="874"/>
      <c r="W16" s="874"/>
      <c r="X16" s="874"/>
      <c r="Y16" s="874"/>
      <c r="Z16" s="874"/>
      <c r="AA16" s="874"/>
      <c r="AB16" s="874"/>
      <c r="AC16" s="874"/>
    </row>
    <row r="17" spans="1:94">
      <c r="A17" s="874"/>
      <c r="B17" s="874"/>
      <c r="C17" s="874"/>
      <c r="D17" s="874"/>
      <c r="E17" s="874"/>
      <c r="F17" s="874"/>
      <c r="G17" s="874"/>
      <c r="H17" s="874"/>
      <c r="I17" s="874"/>
      <c r="J17" s="874"/>
      <c r="K17" s="874"/>
      <c r="L17" s="874"/>
      <c r="M17" s="874"/>
      <c r="N17" s="874"/>
      <c r="O17" s="874"/>
      <c r="P17" s="874"/>
      <c r="Q17" s="874"/>
      <c r="R17" s="874"/>
      <c r="S17" s="874"/>
      <c r="T17" s="874"/>
      <c r="U17" s="874"/>
      <c r="V17" s="874"/>
      <c r="W17" s="874"/>
      <c r="X17" s="874"/>
      <c r="Y17" s="874"/>
      <c r="Z17" s="874"/>
      <c r="AA17" s="874"/>
      <c r="AB17" s="874"/>
      <c r="AC17" s="874"/>
    </row>
    <row r="18" spans="1:94">
      <c r="A18" s="874"/>
      <c r="B18" s="874"/>
      <c r="C18" s="874"/>
      <c r="D18" s="874"/>
      <c r="E18" s="874"/>
      <c r="F18" s="874"/>
      <c r="G18" s="874"/>
      <c r="H18" s="874"/>
      <c r="I18" s="874"/>
      <c r="J18" s="874"/>
      <c r="K18" s="874"/>
      <c r="L18" s="874"/>
      <c r="M18" s="874"/>
      <c r="N18" s="874"/>
      <c r="O18" s="874"/>
      <c r="P18" s="874"/>
      <c r="Q18" s="874"/>
      <c r="R18" s="874"/>
      <c r="S18" s="874"/>
      <c r="T18" s="874"/>
      <c r="U18" s="874"/>
      <c r="V18" s="874"/>
      <c r="W18" s="874"/>
      <c r="X18" s="874"/>
      <c r="Y18" s="874"/>
      <c r="Z18" s="874"/>
      <c r="AA18" s="874"/>
      <c r="AB18" s="874"/>
      <c r="AC18" s="874"/>
    </row>
    <row r="19" spans="1:94">
      <c r="A19" s="874"/>
      <c r="B19" s="874"/>
      <c r="C19" s="874"/>
      <c r="D19" s="874"/>
      <c r="E19" s="874"/>
      <c r="F19" s="874"/>
      <c r="G19" s="874"/>
      <c r="H19" s="874"/>
      <c r="I19" s="874"/>
      <c r="J19" s="874"/>
      <c r="K19" s="874"/>
      <c r="L19" s="874"/>
      <c r="M19" s="874"/>
      <c r="N19" s="874"/>
      <c r="O19" s="874"/>
      <c r="P19" s="874"/>
      <c r="Q19" s="874"/>
      <c r="R19" s="874"/>
      <c r="S19" s="874"/>
      <c r="T19" s="874"/>
      <c r="U19" s="874"/>
      <c r="V19" s="874"/>
      <c r="W19" s="874"/>
      <c r="X19" s="874"/>
      <c r="Y19" s="874"/>
      <c r="Z19" s="874"/>
      <c r="AA19" s="874"/>
      <c r="AB19" s="874"/>
      <c r="AC19" s="874"/>
    </row>
    <row r="20" spans="1:94">
      <c r="A20" s="874"/>
      <c r="B20" s="874"/>
      <c r="C20" s="874"/>
      <c r="D20" s="874"/>
      <c r="E20" s="874"/>
      <c r="F20" s="874"/>
      <c r="G20" s="874"/>
      <c r="H20" s="874"/>
      <c r="I20" s="874"/>
      <c r="J20" s="874"/>
      <c r="K20" s="874"/>
      <c r="L20" s="874"/>
      <c r="M20" s="874"/>
      <c r="N20" s="874"/>
      <c r="O20" s="874"/>
      <c r="P20" s="874"/>
      <c r="Q20" s="874"/>
      <c r="R20" s="874"/>
      <c r="S20" s="874"/>
      <c r="T20" s="874"/>
      <c r="U20" s="874"/>
      <c r="V20" s="874"/>
      <c r="W20" s="874"/>
      <c r="X20" s="874"/>
      <c r="Y20" s="874"/>
      <c r="Z20" s="874"/>
      <c r="AA20" s="874"/>
      <c r="AB20" s="874"/>
      <c r="AC20" s="874"/>
    </row>
    <row r="21" spans="1:94">
      <c r="A21" s="874"/>
      <c r="B21" s="874"/>
      <c r="C21" s="874"/>
      <c r="D21" s="874"/>
      <c r="E21" s="874"/>
      <c r="F21" s="874"/>
      <c r="G21" s="874"/>
      <c r="H21" s="874"/>
      <c r="I21" s="874"/>
      <c r="J21" s="874"/>
      <c r="K21" s="874"/>
      <c r="L21" s="874"/>
      <c r="M21" s="874"/>
      <c r="N21" s="874"/>
      <c r="O21" s="874"/>
      <c r="P21" s="874"/>
      <c r="Q21" s="874"/>
      <c r="R21" s="874"/>
      <c r="S21" s="874"/>
      <c r="T21" s="874"/>
      <c r="U21" s="874"/>
      <c r="V21" s="874"/>
      <c r="W21" s="874"/>
      <c r="X21" s="874"/>
      <c r="Y21" s="874"/>
      <c r="Z21" s="874"/>
      <c r="AA21" s="874"/>
      <c r="AB21" s="874"/>
      <c r="AC21" s="874"/>
    </row>
    <row r="22" spans="1:94">
      <c r="A22" s="874"/>
      <c r="B22" s="874"/>
      <c r="C22" s="874"/>
      <c r="D22" s="874"/>
      <c r="E22" s="874"/>
      <c r="F22" s="874"/>
      <c r="G22" s="874"/>
      <c r="H22" s="874"/>
      <c r="I22" s="874"/>
      <c r="J22" s="874"/>
      <c r="K22" s="874"/>
      <c r="L22" s="874"/>
      <c r="M22" s="874"/>
      <c r="N22" s="874"/>
      <c r="O22" s="874"/>
      <c r="P22" s="874"/>
      <c r="Q22" s="874"/>
      <c r="R22" s="874"/>
      <c r="S22" s="874"/>
      <c r="T22" s="874"/>
      <c r="U22" s="874"/>
      <c r="V22" s="874"/>
      <c r="W22" s="874"/>
      <c r="X22" s="874"/>
      <c r="Y22" s="874"/>
      <c r="Z22" s="874"/>
      <c r="AA22" s="874"/>
      <c r="AB22" s="874"/>
      <c r="AC22" s="874"/>
    </row>
    <row r="23" spans="1:94">
      <c r="A23" s="874"/>
      <c r="B23" s="874"/>
      <c r="C23" s="874"/>
      <c r="D23" s="874"/>
      <c r="E23" s="874"/>
      <c r="F23" s="874"/>
      <c r="G23" s="874"/>
      <c r="H23" s="874"/>
      <c r="I23" s="874"/>
      <c r="J23" s="874"/>
      <c r="K23" s="874"/>
      <c r="L23" s="874"/>
      <c r="M23" s="874"/>
      <c r="N23" s="874"/>
      <c r="O23" s="874"/>
      <c r="P23" s="874"/>
      <c r="Q23" s="874"/>
      <c r="R23" s="874"/>
      <c r="S23" s="874"/>
      <c r="T23" s="874"/>
      <c r="U23" s="874"/>
      <c r="V23" s="874"/>
      <c r="W23" s="874"/>
      <c r="X23" s="874"/>
      <c r="Y23" s="874"/>
      <c r="Z23" s="874"/>
      <c r="AA23" s="874"/>
      <c r="AB23" s="874"/>
      <c r="AC23" s="874"/>
    </row>
    <row r="24" spans="1:94">
      <c r="A24" s="874"/>
      <c r="B24" s="874"/>
      <c r="C24" s="874"/>
      <c r="D24" s="874"/>
      <c r="E24" s="874"/>
      <c r="F24" s="874"/>
      <c r="G24" s="874"/>
      <c r="H24" s="874"/>
      <c r="I24" s="874"/>
      <c r="J24" s="874"/>
      <c r="K24" s="874"/>
      <c r="L24" s="874"/>
      <c r="M24" s="874"/>
      <c r="N24" s="874"/>
      <c r="O24" s="874"/>
      <c r="P24" s="874"/>
      <c r="Q24" s="874"/>
      <c r="R24" s="874"/>
      <c r="S24" s="874"/>
      <c r="T24" s="874"/>
      <c r="U24" s="874"/>
      <c r="V24" s="874"/>
      <c r="W24" s="874"/>
      <c r="X24" s="874"/>
      <c r="Y24" s="874"/>
      <c r="Z24" s="874"/>
      <c r="AA24" s="874"/>
      <c r="AB24" s="874"/>
      <c r="AC24" s="874"/>
      <c r="CP24" s="1240"/>
    </row>
    <row r="25" spans="1:94">
      <c r="A25" s="874"/>
      <c r="B25" s="874"/>
      <c r="C25" s="874"/>
      <c r="D25" s="874"/>
      <c r="E25" s="874"/>
      <c r="F25" s="874"/>
      <c r="G25" s="874"/>
      <c r="H25" s="874"/>
      <c r="I25" s="874"/>
      <c r="J25" s="874"/>
      <c r="K25" s="874"/>
      <c r="L25" s="874"/>
      <c r="M25" s="874"/>
      <c r="N25" s="874"/>
      <c r="O25" s="874"/>
      <c r="P25" s="874"/>
      <c r="Q25" s="874"/>
      <c r="R25" s="874"/>
      <c r="S25" s="874"/>
      <c r="T25" s="874"/>
      <c r="U25" s="874"/>
      <c r="V25" s="874"/>
      <c r="W25" s="874"/>
      <c r="X25" s="874"/>
      <c r="Y25" s="874"/>
      <c r="Z25" s="874"/>
      <c r="AA25" s="874"/>
      <c r="AB25" s="874"/>
      <c r="AC25" s="874"/>
    </row>
    <row r="26" spans="1:94">
      <c r="A26" s="874"/>
      <c r="B26" s="874"/>
      <c r="C26" s="874"/>
      <c r="D26" s="874"/>
      <c r="E26" s="874"/>
      <c r="F26" s="874"/>
      <c r="G26" s="874"/>
      <c r="H26" s="874"/>
      <c r="I26" s="874"/>
      <c r="J26" s="874"/>
      <c r="K26" s="874"/>
      <c r="L26" s="874"/>
      <c r="M26" s="874"/>
      <c r="N26" s="874"/>
      <c r="O26" s="874"/>
      <c r="P26" s="874"/>
      <c r="Q26" s="874"/>
      <c r="R26" s="874"/>
      <c r="S26" s="874"/>
      <c r="T26" s="874"/>
      <c r="U26" s="874"/>
      <c r="V26" s="874"/>
      <c r="W26" s="874"/>
      <c r="X26" s="874"/>
      <c r="Y26" s="874"/>
      <c r="Z26" s="874"/>
      <c r="AA26" s="874"/>
      <c r="AB26" s="874"/>
      <c r="AC26" s="874"/>
    </row>
    <row r="27" spans="1:94">
      <c r="A27" s="874"/>
      <c r="B27" s="874"/>
      <c r="C27" s="874"/>
      <c r="D27" s="874"/>
      <c r="E27" s="874"/>
      <c r="F27" s="874"/>
      <c r="G27" s="874"/>
      <c r="H27" s="874"/>
      <c r="I27" s="874"/>
      <c r="J27" s="874"/>
      <c r="K27" s="874"/>
      <c r="L27" s="874"/>
      <c r="M27" s="874"/>
      <c r="N27" s="874"/>
      <c r="O27" s="874"/>
      <c r="P27" s="874"/>
      <c r="Q27" s="874"/>
      <c r="R27" s="874"/>
      <c r="S27" s="874"/>
      <c r="T27" s="874"/>
      <c r="U27" s="874"/>
      <c r="V27" s="874"/>
      <c r="W27" s="874"/>
      <c r="X27" s="874"/>
      <c r="Y27" s="874"/>
      <c r="Z27" s="874"/>
      <c r="AA27" s="874"/>
      <c r="AB27" s="874"/>
      <c r="AC27" s="874"/>
    </row>
    <row r="28" spans="1:94">
      <c r="A28" s="874"/>
      <c r="B28" s="874"/>
      <c r="C28" s="874"/>
      <c r="D28" s="874"/>
      <c r="E28" s="874"/>
      <c r="F28" s="874"/>
      <c r="G28" s="874"/>
      <c r="H28" s="874"/>
      <c r="I28" s="874"/>
      <c r="J28" s="874"/>
      <c r="K28" s="874"/>
      <c r="L28" s="874"/>
      <c r="M28" s="874"/>
      <c r="N28" s="874"/>
      <c r="O28" s="874"/>
      <c r="P28" s="874"/>
      <c r="Q28" s="874"/>
      <c r="R28" s="874"/>
      <c r="S28" s="874"/>
      <c r="T28" s="874"/>
      <c r="U28" s="874"/>
      <c r="V28" s="874"/>
      <c r="W28" s="874"/>
      <c r="X28" s="874"/>
      <c r="Y28" s="874"/>
      <c r="Z28" s="874"/>
      <c r="AA28" s="874"/>
      <c r="AB28" s="874"/>
      <c r="AC28" s="874"/>
    </row>
    <row r="29" spans="1:94">
      <c r="A29" s="874"/>
      <c r="B29" s="874"/>
      <c r="C29" s="874"/>
      <c r="D29" s="874"/>
      <c r="E29" s="874"/>
      <c r="F29" s="874"/>
      <c r="G29" s="874"/>
      <c r="H29" s="874"/>
      <c r="I29" s="874"/>
      <c r="J29" s="874"/>
      <c r="K29" s="874"/>
      <c r="L29" s="874"/>
      <c r="M29" s="874"/>
      <c r="N29" s="874"/>
      <c r="O29" s="874"/>
      <c r="P29" s="874"/>
      <c r="Q29" s="874"/>
      <c r="R29" s="874"/>
      <c r="S29" s="874"/>
      <c r="T29" s="874"/>
      <c r="U29" s="874"/>
      <c r="V29" s="874"/>
      <c r="W29" s="874"/>
      <c r="X29" s="874"/>
      <c r="Y29" s="874"/>
      <c r="Z29" s="874"/>
      <c r="AA29" s="874"/>
      <c r="AB29" s="874"/>
      <c r="AC29" s="874"/>
    </row>
    <row r="30" spans="1:94">
      <c r="A30" s="874"/>
      <c r="B30" s="874"/>
      <c r="C30" s="874"/>
      <c r="D30" s="874"/>
      <c r="E30" s="874"/>
      <c r="F30" s="874"/>
      <c r="G30" s="874"/>
      <c r="H30" s="874"/>
      <c r="I30" s="874"/>
      <c r="J30" s="874"/>
      <c r="K30" s="874"/>
      <c r="L30" s="874"/>
      <c r="M30" s="874"/>
      <c r="N30" s="874"/>
      <c r="O30" s="874"/>
      <c r="P30" s="874"/>
      <c r="Q30" s="874"/>
      <c r="R30" s="874"/>
      <c r="S30" s="874"/>
      <c r="T30" s="874"/>
      <c r="U30" s="874"/>
      <c r="V30" s="874"/>
      <c r="W30" s="874"/>
      <c r="X30" s="874"/>
      <c r="Y30" s="874"/>
      <c r="Z30" s="874"/>
      <c r="AA30" s="874"/>
      <c r="AB30" s="874"/>
      <c r="AC30" s="874"/>
    </row>
    <row r="31" spans="1:94">
      <c r="A31" s="874"/>
      <c r="B31" s="874"/>
      <c r="C31" s="874"/>
      <c r="D31" s="874"/>
      <c r="E31" s="874"/>
      <c r="F31" s="874"/>
      <c r="G31" s="874"/>
      <c r="H31" s="874"/>
      <c r="I31" s="874"/>
      <c r="J31" s="874"/>
      <c r="K31" s="874"/>
      <c r="L31" s="874"/>
      <c r="M31" s="874"/>
      <c r="N31" s="874"/>
      <c r="O31" s="874"/>
      <c r="P31" s="874"/>
      <c r="Q31" s="874"/>
      <c r="R31" s="874"/>
      <c r="S31" s="874"/>
      <c r="T31" s="874"/>
      <c r="U31" s="874"/>
      <c r="V31" s="874"/>
      <c r="W31" s="874"/>
      <c r="X31" s="874"/>
      <c r="Y31" s="874"/>
      <c r="Z31" s="874"/>
      <c r="AA31" s="874"/>
      <c r="AB31" s="874"/>
      <c r="AC31" s="874"/>
    </row>
    <row r="32" spans="1:94">
      <c r="A32" s="874"/>
      <c r="B32" s="874"/>
      <c r="C32" s="874"/>
      <c r="D32" s="874"/>
      <c r="E32" s="874"/>
      <c r="F32" s="874"/>
      <c r="G32" s="874"/>
      <c r="H32" s="874"/>
      <c r="I32" s="874"/>
      <c r="J32" s="874"/>
      <c r="K32" s="874"/>
      <c r="L32" s="874"/>
      <c r="M32" s="874"/>
      <c r="N32" s="874"/>
      <c r="O32" s="874"/>
      <c r="P32" s="874"/>
      <c r="Q32" s="874"/>
      <c r="R32" s="874"/>
      <c r="S32" s="874"/>
      <c r="T32" s="874"/>
      <c r="U32" s="874"/>
      <c r="V32" s="874"/>
      <c r="W32" s="874"/>
      <c r="X32" s="874"/>
      <c r="Y32" s="874"/>
      <c r="Z32" s="874"/>
      <c r="AA32" s="874"/>
      <c r="AB32" s="874"/>
      <c r="AC32" s="874"/>
      <c r="CP32" s="1240"/>
    </row>
    <row r="33" spans="1:94">
      <c r="A33" s="874"/>
      <c r="B33" s="874"/>
      <c r="C33" s="874"/>
      <c r="D33" s="874"/>
      <c r="E33" s="874"/>
      <c r="F33" s="874"/>
      <c r="G33" s="874"/>
      <c r="H33" s="874"/>
      <c r="I33" s="874"/>
      <c r="J33" s="874"/>
      <c r="K33" s="874"/>
      <c r="L33" s="874"/>
      <c r="M33" s="874"/>
      <c r="N33" s="874"/>
      <c r="O33" s="874"/>
      <c r="P33" s="874"/>
      <c r="Q33" s="874"/>
      <c r="R33" s="874"/>
      <c r="S33" s="874"/>
      <c r="T33" s="874"/>
      <c r="U33" s="874"/>
      <c r="V33" s="874"/>
      <c r="W33" s="874"/>
      <c r="X33" s="874"/>
      <c r="Y33" s="874"/>
      <c r="Z33" s="874"/>
      <c r="AA33" s="874"/>
      <c r="AB33" s="874"/>
      <c r="AC33" s="874"/>
    </row>
    <row r="34" spans="1:94">
      <c r="A34" s="874"/>
      <c r="B34" s="874"/>
      <c r="C34" s="874"/>
      <c r="D34" s="874"/>
      <c r="E34" s="874"/>
      <c r="F34" s="874"/>
      <c r="G34" s="874"/>
      <c r="H34" s="874"/>
      <c r="I34" s="874"/>
      <c r="J34" s="874"/>
      <c r="K34" s="874"/>
      <c r="L34" s="874"/>
      <c r="M34" s="874"/>
      <c r="N34" s="874"/>
      <c r="O34" s="874"/>
      <c r="P34" s="874"/>
      <c r="Q34" s="874"/>
      <c r="R34" s="874"/>
      <c r="S34" s="874"/>
      <c r="T34" s="874"/>
      <c r="U34" s="874"/>
      <c r="V34" s="874"/>
      <c r="W34" s="874"/>
      <c r="X34" s="874"/>
      <c r="Y34" s="874"/>
      <c r="Z34" s="874"/>
      <c r="AA34" s="874"/>
      <c r="AB34" s="874"/>
      <c r="AC34" s="874"/>
    </row>
    <row r="35" spans="1:94">
      <c r="A35" s="874"/>
      <c r="B35" s="874"/>
      <c r="C35" s="874"/>
      <c r="D35" s="874"/>
      <c r="E35" s="874"/>
      <c r="F35" s="874"/>
      <c r="G35" s="874"/>
      <c r="H35" s="874"/>
      <c r="I35" s="874"/>
      <c r="J35" s="874"/>
      <c r="K35" s="874"/>
      <c r="L35" s="874"/>
      <c r="M35" s="874"/>
      <c r="N35" s="874"/>
      <c r="O35" s="874"/>
      <c r="P35" s="874"/>
      <c r="Q35" s="874"/>
      <c r="R35" s="874"/>
      <c r="S35" s="874"/>
      <c r="T35" s="874"/>
      <c r="U35" s="874"/>
      <c r="V35" s="874"/>
      <c r="W35" s="874"/>
      <c r="X35" s="874"/>
      <c r="Y35" s="874"/>
      <c r="Z35" s="874"/>
      <c r="AA35" s="874"/>
      <c r="AB35" s="874"/>
      <c r="AC35" s="874"/>
    </row>
    <row r="36" spans="1:94">
      <c r="A36" s="874"/>
      <c r="B36" s="874"/>
      <c r="C36" s="874"/>
      <c r="D36" s="874"/>
      <c r="E36" s="874"/>
      <c r="F36" s="874"/>
      <c r="G36" s="874"/>
      <c r="H36" s="874"/>
      <c r="I36" s="874"/>
      <c r="J36" s="874"/>
      <c r="K36" s="874"/>
      <c r="L36" s="874"/>
      <c r="M36" s="874"/>
      <c r="N36" s="874"/>
      <c r="O36" s="874"/>
      <c r="P36" s="874"/>
      <c r="Q36" s="874"/>
      <c r="R36" s="874"/>
      <c r="S36" s="874"/>
      <c r="T36" s="874"/>
      <c r="U36" s="874"/>
      <c r="V36" s="874"/>
      <c r="W36" s="874"/>
      <c r="X36" s="874"/>
      <c r="Y36" s="874"/>
      <c r="Z36" s="874"/>
      <c r="AA36" s="874"/>
      <c r="AB36" s="874"/>
      <c r="AC36" s="874"/>
    </row>
    <row r="37" spans="1:94">
      <c r="A37" s="874"/>
      <c r="B37" s="874"/>
      <c r="C37" s="874"/>
      <c r="D37" s="874"/>
      <c r="E37" s="874"/>
      <c r="F37" s="874"/>
      <c r="G37" s="874"/>
      <c r="H37" s="874"/>
      <c r="I37" s="874"/>
      <c r="J37" s="874"/>
      <c r="K37" s="874"/>
      <c r="L37" s="874"/>
      <c r="M37" s="874"/>
      <c r="N37" s="874"/>
      <c r="O37" s="874"/>
      <c r="P37" s="874"/>
      <c r="Q37" s="874"/>
      <c r="R37" s="874"/>
      <c r="S37" s="874"/>
      <c r="T37" s="874"/>
      <c r="U37" s="874"/>
      <c r="V37" s="874"/>
      <c r="W37" s="874"/>
      <c r="X37" s="874"/>
      <c r="Y37" s="874"/>
      <c r="Z37" s="874"/>
      <c r="AA37" s="874"/>
      <c r="AB37" s="874"/>
      <c r="AC37" s="874"/>
    </row>
    <row r="38" spans="1:94">
      <c r="A38" s="874"/>
      <c r="B38" s="874"/>
      <c r="C38" s="874"/>
      <c r="D38" s="874"/>
      <c r="E38" s="874"/>
      <c r="F38" s="874"/>
      <c r="G38" s="874"/>
      <c r="H38" s="874"/>
      <c r="I38" s="874"/>
      <c r="J38" s="874"/>
      <c r="K38" s="874"/>
      <c r="L38" s="874"/>
      <c r="M38" s="874"/>
      <c r="N38" s="874"/>
      <c r="O38" s="874"/>
      <c r="P38" s="874"/>
      <c r="Q38" s="874"/>
      <c r="R38" s="874"/>
      <c r="S38" s="874"/>
      <c r="T38" s="874"/>
      <c r="U38" s="874"/>
      <c r="V38" s="874"/>
      <c r="W38" s="874"/>
      <c r="X38" s="874"/>
      <c r="Y38" s="874"/>
      <c r="Z38" s="874"/>
      <c r="AA38" s="874"/>
      <c r="AB38" s="874"/>
      <c r="AC38" s="874"/>
    </row>
    <row r="39" spans="1:94">
      <c r="A39" s="874"/>
      <c r="B39" s="874"/>
      <c r="C39" s="874"/>
      <c r="D39" s="874"/>
      <c r="E39" s="874"/>
      <c r="F39" s="874"/>
      <c r="G39" s="874"/>
      <c r="H39" s="874"/>
      <c r="I39" s="874"/>
      <c r="J39" s="874"/>
      <c r="K39" s="874"/>
      <c r="L39" s="874"/>
      <c r="M39" s="874"/>
      <c r="N39" s="874"/>
      <c r="O39" s="874"/>
      <c r="P39" s="874"/>
      <c r="Q39" s="874"/>
      <c r="R39" s="874"/>
      <c r="S39" s="874"/>
      <c r="T39" s="874"/>
      <c r="U39" s="874"/>
      <c r="V39" s="874"/>
      <c r="W39" s="874"/>
      <c r="X39" s="874"/>
      <c r="Y39" s="874"/>
      <c r="Z39" s="874"/>
      <c r="AA39" s="874"/>
      <c r="AB39" s="874"/>
      <c r="AC39" s="874"/>
    </row>
    <row r="40" spans="1:94">
      <c r="A40" s="874"/>
      <c r="B40" s="874"/>
      <c r="C40" s="874"/>
      <c r="D40" s="874"/>
      <c r="E40" s="874"/>
      <c r="F40" s="874"/>
      <c r="G40" s="874"/>
      <c r="H40" s="874"/>
      <c r="I40" s="874"/>
      <c r="J40" s="874"/>
      <c r="K40" s="874"/>
      <c r="L40" s="874"/>
      <c r="M40" s="874"/>
      <c r="N40" s="874"/>
      <c r="O40" s="874"/>
      <c r="P40" s="874"/>
      <c r="Q40" s="874"/>
      <c r="R40" s="874"/>
      <c r="S40" s="874"/>
      <c r="T40" s="874"/>
      <c r="U40" s="874"/>
      <c r="V40" s="874"/>
      <c r="W40" s="874"/>
      <c r="X40" s="874"/>
      <c r="Y40" s="874"/>
      <c r="Z40" s="874"/>
      <c r="AA40" s="874"/>
      <c r="AB40" s="874"/>
      <c r="AC40" s="874"/>
      <c r="CP40" s="1240"/>
    </row>
    <row r="41" spans="1:94">
      <c r="A41" s="874"/>
      <c r="B41" s="874"/>
      <c r="C41" s="874"/>
      <c r="D41" s="874"/>
      <c r="E41" s="874"/>
      <c r="F41" s="874"/>
      <c r="G41" s="874"/>
      <c r="H41" s="874"/>
      <c r="I41" s="874"/>
      <c r="J41" s="874"/>
      <c r="K41" s="874"/>
      <c r="L41" s="874"/>
      <c r="M41" s="874"/>
      <c r="N41" s="874"/>
      <c r="O41" s="874"/>
      <c r="P41" s="874"/>
      <c r="Q41" s="874"/>
      <c r="R41" s="874"/>
      <c r="S41" s="874"/>
      <c r="T41" s="874"/>
      <c r="U41" s="874"/>
      <c r="V41" s="874"/>
      <c r="W41" s="874"/>
      <c r="X41" s="874"/>
      <c r="Y41" s="874"/>
      <c r="Z41" s="874"/>
      <c r="AA41" s="874"/>
      <c r="AB41" s="874"/>
      <c r="AC41" s="874"/>
    </row>
    <row r="42" spans="1:94">
      <c r="A42" s="874"/>
      <c r="B42" s="874"/>
      <c r="C42" s="874"/>
      <c r="D42" s="874"/>
      <c r="E42" s="874"/>
      <c r="F42" s="874"/>
      <c r="G42" s="874"/>
      <c r="H42" s="874"/>
      <c r="I42" s="874"/>
      <c r="J42" s="874"/>
      <c r="K42" s="874"/>
      <c r="L42" s="874"/>
      <c r="M42" s="874"/>
      <c r="N42" s="874"/>
      <c r="O42" s="874"/>
      <c r="P42" s="874"/>
      <c r="Q42" s="874"/>
      <c r="R42" s="874"/>
      <c r="S42" s="874"/>
      <c r="T42" s="874"/>
      <c r="U42" s="874"/>
      <c r="V42" s="874"/>
      <c r="W42" s="874"/>
      <c r="X42" s="874"/>
      <c r="Y42" s="874"/>
      <c r="Z42" s="874"/>
      <c r="AA42" s="874"/>
      <c r="AB42" s="874"/>
      <c r="AC42" s="874"/>
    </row>
    <row r="43" spans="1:94">
      <c r="A43" s="874"/>
      <c r="B43" s="874"/>
      <c r="C43" s="874"/>
      <c r="D43" s="874"/>
      <c r="E43" s="874"/>
      <c r="F43" s="874"/>
      <c r="G43" s="874"/>
      <c r="H43" s="874"/>
      <c r="I43" s="874"/>
      <c r="J43" s="874"/>
      <c r="K43" s="874"/>
      <c r="L43" s="874"/>
      <c r="M43" s="874"/>
      <c r="N43" s="874"/>
      <c r="O43" s="874"/>
      <c r="P43" s="874"/>
      <c r="Q43" s="874"/>
      <c r="R43" s="874"/>
      <c r="S43" s="874"/>
      <c r="T43" s="874"/>
      <c r="U43" s="874"/>
      <c r="V43" s="874"/>
      <c r="W43" s="874"/>
      <c r="X43" s="874"/>
      <c r="Y43" s="874"/>
      <c r="Z43" s="874"/>
      <c r="AA43" s="874"/>
      <c r="AB43" s="874"/>
      <c r="AC43" s="874"/>
    </row>
    <row r="44" spans="1:94">
      <c r="A44" s="874"/>
      <c r="B44" s="874"/>
      <c r="C44" s="874"/>
      <c r="D44" s="874"/>
      <c r="E44" s="874"/>
      <c r="F44" s="874"/>
      <c r="G44" s="874"/>
      <c r="H44" s="874"/>
      <c r="I44" s="874"/>
      <c r="J44" s="874"/>
      <c r="K44" s="874"/>
      <c r="L44" s="874"/>
      <c r="M44" s="874"/>
      <c r="N44" s="874"/>
      <c r="O44" s="874"/>
      <c r="P44" s="874"/>
      <c r="Q44" s="874"/>
      <c r="R44" s="874"/>
      <c r="S44" s="874"/>
      <c r="T44" s="874"/>
      <c r="U44" s="874"/>
      <c r="V44" s="874"/>
      <c r="W44" s="874"/>
      <c r="X44" s="874"/>
      <c r="Y44" s="874"/>
      <c r="Z44" s="874"/>
      <c r="AA44" s="874"/>
      <c r="AB44" s="874"/>
      <c r="AC44" s="874"/>
    </row>
    <row r="45" spans="1:94">
      <c r="A45" s="874"/>
      <c r="B45" s="874"/>
      <c r="C45" s="874"/>
      <c r="D45" s="874"/>
      <c r="E45" s="874"/>
      <c r="F45" s="874"/>
      <c r="G45" s="874"/>
      <c r="H45" s="874"/>
      <c r="I45" s="874"/>
      <c r="J45" s="874"/>
      <c r="K45" s="874"/>
      <c r="L45" s="874"/>
      <c r="M45" s="874"/>
      <c r="N45" s="874"/>
      <c r="O45" s="874"/>
      <c r="P45" s="874"/>
      <c r="Q45" s="874"/>
      <c r="R45" s="874"/>
      <c r="S45" s="874"/>
      <c r="T45" s="874"/>
      <c r="U45" s="874"/>
      <c r="V45" s="874"/>
      <c r="W45" s="874"/>
      <c r="X45" s="874"/>
      <c r="Y45" s="874"/>
      <c r="Z45" s="874"/>
      <c r="AA45" s="874"/>
      <c r="AB45" s="874"/>
      <c r="AC45" s="874"/>
    </row>
    <row r="46" spans="1:94">
      <c r="A46" s="874"/>
      <c r="B46" s="874"/>
      <c r="C46" s="874"/>
      <c r="D46" s="874"/>
      <c r="E46" s="874"/>
      <c r="F46" s="874"/>
      <c r="G46" s="874"/>
      <c r="H46" s="874"/>
      <c r="I46" s="874"/>
      <c r="J46" s="874"/>
      <c r="K46" s="874"/>
      <c r="L46" s="874"/>
      <c r="M46" s="874"/>
      <c r="N46" s="874"/>
      <c r="O46" s="874"/>
      <c r="P46" s="874"/>
      <c r="Q46" s="874"/>
      <c r="R46" s="874"/>
      <c r="S46" s="874"/>
      <c r="T46" s="874"/>
      <c r="U46" s="874"/>
      <c r="V46" s="874"/>
      <c r="W46" s="874"/>
      <c r="X46" s="874"/>
      <c r="Y46" s="874"/>
      <c r="Z46" s="874"/>
      <c r="AA46" s="874"/>
      <c r="AB46" s="874"/>
      <c r="AC46" s="874"/>
    </row>
    <row r="47" spans="1:94">
      <c r="A47" s="874"/>
      <c r="B47" s="874"/>
      <c r="C47" s="874"/>
      <c r="D47" s="874"/>
      <c r="E47" s="874"/>
      <c r="F47" s="874"/>
      <c r="G47" s="874"/>
      <c r="H47" s="874"/>
      <c r="I47" s="874"/>
      <c r="J47" s="874"/>
      <c r="K47" s="874"/>
      <c r="L47" s="874"/>
      <c r="M47" s="874"/>
      <c r="N47" s="874"/>
      <c r="O47" s="874"/>
      <c r="P47" s="874"/>
      <c r="Q47" s="874"/>
      <c r="R47" s="874"/>
      <c r="S47" s="874"/>
      <c r="T47" s="874"/>
      <c r="U47" s="874"/>
      <c r="V47" s="874"/>
      <c r="W47" s="874"/>
      <c r="X47" s="874"/>
      <c r="Y47" s="874"/>
      <c r="Z47" s="874"/>
      <c r="AA47" s="874"/>
      <c r="AB47" s="874"/>
      <c r="AC47" s="874"/>
    </row>
    <row r="48" spans="1:94">
      <c r="A48" s="874"/>
      <c r="B48" s="874"/>
      <c r="C48" s="874"/>
      <c r="D48" s="874"/>
      <c r="E48" s="874"/>
      <c r="F48" s="874"/>
      <c r="G48" s="874"/>
      <c r="H48" s="874"/>
      <c r="I48" s="874"/>
      <c r="J48" s="874"/>
      <c r="K48" s="874"/>
      <c r="L48" s="874"/>
      <c r="M48" s="874"/>
      <c r="N48" s="874"/>
      <c r="O48" s="874"/>
      <c r="P48" s="874"/>
      <c r="Q48" s="874"/>
      <c r="R48" s="874"/>
      <c r="S48" s="874"/>
      <c r="T48" s="874"/>
      <c r="U48" s="874"/>
      <c r="V48" s="874"/>
      <c r="W48" s="874"/>
      <c r="X48" s="874"/>
      <c r="Y48" s="874"/>
      <c r="Z48" s="874"/>
      <c r="AA48" s="874"/>
      <c r="AB48" s="874"/>
      <c r="AC48" s="874"/>
    </row>
    <row r="49" spans="1:94">
      <c r="A49" s="874"/>
      <c r="B49" s="874"/>
      <c r="C49" s="874"/>
      <c r="D49" s="874"/>
      <c r="E49" s="874"/>
      <c r="F49" s="874"/>
      <c r="G49" s="874"/>
      <c r="H49" s="874"/>
      <c r="I49" s="874"/>
      <c r="J49" s="874"/>
      <c r="K49" s="874"/>
      <c r="L49" s="874"/>
      <c r="M49" s="874"/>
      <c r="N49" s="874"/>
      <c r="O49" s="874"/>
      <c r="P49" s="874"/>
      <c r="Q49" s="874"/>
      <c r="R49" s="874"/>
      <c r="S49" s="874"/>
      <c r="T49" s="874"/>
      <c r="U49" s="874"/>
      <c r="V49" s="874"/>
      <c r="W49" s="874"/>
      <c r="X49" s="874"/>
      <c r="Y49" s="874"/>
      <c r="Z49" s="874"/>
      <c r="AA49" s="874"/>
      <c r="AB49" s="874"/>
      <c r="AC49" s="874"/>
    </row>
    <row r="50" spans="1:94">
      <c r="A50" s="874"/>
      <c r="B50" s="874"/>
      <c r="C50" s="874"/>
      <c r="D50" s="874"/>
      <c r="E50" s="874"/>
      <c r="F50" s="874"/>
      <c r="G50" s="874"/>
      <c r="H50" s="874"/>
      <c r="I50" s="874"/>
      <c r="J50" s="874"/>
      <c r="K50" s="874"/>
      <c r="L50" s="874"/>
      <c r="M50" s="874"/>
      <c r="N50" s="874"/>
      <c r="O50" s="874"/>
      <c r="P50" s="874"/>
      <c r="Q50" s="874"/>
      <c r="R50" s="874"/>
      <c r="S50" s="874"/>
      <c r="T50" s="874"/>
      <c r="U50" s="874"/>
      <c r="V50" s="874"/>
      <c r="W50" s="874"/>
      <c r="X50" s="874"/>
      <c r="Y50" s="874"/>
      <c r="Z50" s="874"/>
      <c r="AA50" s="874"/>
      <c r="AB50" s="874"/>
      <c r="AC50" s="874"/>
    </row>
    <row r="51" spans="1:94">
      <c r="A51" s="874"/>
      <c r="B51" s="874"/>
      <c r="C51" s="874"/>
      <c r="D51" s="874"/>
      <c r="E51" s="874"/>
      <c r="F51" s="874"/>
      <c r="G51" s="874"/>
      <c r="H51" s="874"/>
      <c r="I51" s="874"/>
      <c r="J51" s="874"/>
      <c r="K51" s="874"/>
      <c r="L51" s="874"/>
      <c r="M51" s="874"/>
      <c r="N51" s="874"/>
      <c r="O51" s="874"/>
      <c r="P51" s="874"/>
      <c r="Q51" s="874"/>
      <c r="R51" s="874"/>
      <c r="S51" s="874"/>
      <c r="T51" s="874"/>
      <c r="U51" s="874"/>
      <c r="V51" s="874"/>
      <c r="W51" s="874"/>
      <c r="X51" s="874"/>
      <c r="Y51" s="874"/>
      <c r="Z51" s="874"/>
      <c r="AA51" s="874"/>
      <c r="AB51" s="874"/>
      <c r="AC51" s="874"/>
    </row>
    <row r="52" spans="1:94">
      <c r="A52" s="874"/>
      <c r="B52" s="874"/>
      <c r="C52" s="874"/>
      <c r="D52" s="874"/>
      <c r="E52" s="874"/>
      <c r="F52" s="874"/>
      <c r="G52" s="874"/>
      <c r="H52" s="874"/>
      <c r="I52" s="874"/>
      <c r="J52" s="874"/>
      <c r="K52" s="874"/>
      <c r="L52" s="874"/>
      <c r="M52" s="874"/>
      <c r="N52" s="874"/>
      <c r="O52" s="874"/>
      <c r="P52" s="874"/>
      <c r="Q52" s="874"/>
      <c r="R52" s="874"/>
      <c r="S52" s="874"/>
      <c r="T52" s="874"/>
      <c r="U52" s="874"/>
      <c r="V52" s="874"/>
      <c r="W52" s="874"/>
      <c r="X52" s="874"/>
      <c r="Y52" s="874"/>
      <c r="Z52" s="874"/>
      <c r="AA52" s="874"/>
      <c r="AB52" s="874"/>
      <c r="AC52" s="874"/>
    </row>
    <row r="53" spans="1:94">
      <c r="A53" s="874"/>
      <c r="B53" s="874"/>
      <c r="C53" s="874"/>
      <c r="D53" s="874"/>
      <c r="E53" s="874"/>
      <c r="F53" s="874"/>
      <c r="G53" s="874"/>
      <c r="H53" s="874"/>
      <c r="I53" s="874"/>
      <c r="J53" s="874"/>
      <c r="K53" s="874"/>
      <c r="L53" s="874"/>
      <c r="M53" s="874"/>
      <c r="N53" s="874"/>
      <c r="O53" s="874"/>
      <c r="P53" s="874"/>
      <c r="Q53" s="874"/>
      <c r="R53" s="874"/>
      <c r="S53" s="874"/>
      <c r="T53" s="874"/>
      <c r="U53" s="874"/>
      <c r="V53" s="874"/>
      <c r="W53" s="874"/>
      <c r="X53" s="874"/>
      <c r="Y53" s="874"/>
      <c r="Z53" s="874"/>
      <c r="AA53" s="874"/>
      <c r="AB53" s="874"/>
      <c r="AC53" s="874"/>
    </row>
    <row r="54" spans="1:94">
      <c r="A54" s="874"/>
      <c r="B54" s="874"/>
      <c r="C54" s="874"/>
      <c r="D54" s="874"/>
      <c r="E54" s="874"/>
      <c r="F54" s="874"/>
      <c r="G54" s="874"/>
      <c r="H54" s="874"/>
      <c r="I54" s="874"/>
      <c r="J54" s="874"/>
      <c r="K54" s="874"/>
      <c r="L54" s="874"/>
      <c r="M54" s="874"/>
      <c r="N54" s="874"/>
      <c r="O54" s="874"/>
      <c r="P54" s="874"/>
      <c r="Q54" s="874"/>
      <c r="R54" s="874"/>
      <c r="S54" s="874"/>
      <c r="T54" s="874"/>
      <c r="U54" s="874"/>
      <c r="V54" s="874"/>
      <c r="W54" s="874"/>
      <c r="X54" s="874"/>
      <c r="Y54" s="874"/>
      <c r="Z54" s="874"/>
      <c r="AA54" s="874"/>
      <c r="AB54" s="874"/>
      <c r="AC54" s="874"/>
    </row>
    <row r="55" spans="1:94">
      <c r="A55" s="874"/>
      <c r="B55" s="874"/>
      <c r="C55" s="874"/>
      <c r="D55" s="874"/>
      <c r="E55" s="874"/>
      <c r="F55" s="874"/>
      <c r="G55" s="874"/>
      <c r="H55" s="874"/>
      <c r="I55" s="874"/>
      <c r="J55" s="874"/>
      <c r="K55" s="874"/>
      <c r="L55" s="874"/>
      <c r="M55" s="874"/>
      <c r="N55" s="874"/>
      <c r="O55" s="874"/>
      <c r="P55" s="874"/>
      <c r="Q55" s="874"/>
      <c r="R55" s="874"/>
      <c r="S55" s="874"/>
      <c r="T55" s="874"/>
      <c r="U55" s="874"/>
      <c r="V55" s="874"/>
      <c r="W55" s="874"/>
      <c r="X55" s="874"/>
      <c r="Y55" s="874"/>
      <c r="Z55" s="874"/>
      <c r="AA55" s="874"/>
      <c r="AB55" s="874"/>
      <c r="AC55" s="874"/>
      <c r="CP55" s="1240"/>
    </row>
    <row r="56" spans="1:94">
      <c r="A56" s="874"/>
      <c r="B56" s="874"/>
      <c r="C56" s="874"/>
      <c r="D56" s="874"/>
      <c r="E56" s="874"/>
      <c r="F56" s="874"/>
      <c r="G56" s="874"/>
      <c r="H56" s="874"/>
      <c r="I56" s="874"/>
      <c r="J56" s="874"/>
      <c r="K56" s="874"/>
      <c r="L56" s="874"/>
      <c r="M56" s="874"/>
      <c r="N56" s="874"/>
      <c r="O56" s="874"/>
      <c r="P56" s="874"/>
      <c r="Q56" s="874"/>
      <c r="R56" s="874"/>
      <c r="S56" s="874"/>
      <c r="T56" s="874"/>
      <c r="U56" s="874"/>
      <c r="V56" s="874"/>
      <c r="W56" s="874"/>
      <c r="X56" s="874"/>
      <c r="Y56" s="874"/>
      <c r="Z56" s="874"/>
      <c r="AA56" s="874"/>
      <c r="AB56" s="874"/>
      <c r="AC56" s="874"/>
    </row>
    <row r="57" spans="1:94">
      <c r="A57" s="874"/>
      <c r="B57" s="874"/>
      <c r="C57" s="874"/>
      <c r="D57" s="874"/>
      <c r="E57" s="874"/>
      <c r="F57" s="874"/>
      <c r="G57" s="874"/>
      <c r="H57" s="874"/>
      <c r="I57" s="874"/>
      <c r="J57" s="874"/>
      <c r="K57" s="874"/>
      <c r="L57" s="874"/>
      <c r="M57" s="874"/>
      <c r="N57" s="874"/>
      <c r="O57" s="874"/>
      <c r="P57" s="874"/>
      <c r="Q57" s="874"/>
      <c r="R57" s="874"/>
      <c r="S57" s="874"/>
      <c r="T57" s="874"/>
      <c r="U57" s="874"/>
      <c r="V57" s="874"/>
      <c r="W57" s="874"/>
      <c r="X57" s="874"/>
      <c r="Y57" s="874"/>
      <c r="Z57" s="874"/>
      <c r="AA57" s="874"/>
      <c r="AB57" s="874"/>
      <c r="AC57" s="874"/>
    </row>
    <row r="58" spans="1:94">
      <c r="A58" s="874"/>
      <c r="B58" s="874"/>
      <c r="C58" s="874"/>
      <c r="D58" s="874"/>
      <c r="E58" s="874"/>
      <c r="F58" s="874"/>
      <c r="G58" s="874"/>
      <c r="H58" s="874"/>
      <c r="I58" s="874"/>
      <c r="J58" s="874"/>
      <c r="K58" s="874"/>
      <c r="L58" s="874"/>
      <c r="M58" s="874"/>
      <c r="N58" s="874"/>
      <c r="O58" s="874"/>
      <c r="P58" s="874"/>
      <c r="Q58" s="874"/>
      <c r="R58" s="874"/>
      <c r="S58" s="874"/>
      <c r="T58" s="874"/>
      <c r="U58" s="874"/>
      <c r="V58" s="874"/>
      <c r="W58" s="874"/>
      <c r="X58" s="874"/>
      <c r="Y58" s="874"/>
      <c r="Z58" s="874"/>
      <c r="AA58" s="874"/>
      <c r="AB58" s="874"/>
      <c r="AC58" s="874"/>
    </row>
    <row r="59" spans="1:94">
      <c r="A59" s="874"/>
      <c r="B59" s="874"/>
      <c r="C59" s="874"/>
      <c r="D59" s="874"/>
      <c r="E59" s="874"/>
      <c r="F59" s="874"/>
      <c r="G59" s="874"/>
      <c r="H59" s="874"/>
      <c r="I59" s="874"/>
      <c r="J59" s="874"/>
      <c r="K59" s="874"/>
      <c r="L59" s="874"/>
      <c r="M59" s="874"/>
      <c r="N59" s="874"/>
      <c r="O59" s="874"/>
      <c r="P59" s="874"/>
      <c r="Q59" s="874"/>
      <c r="R59" s="874"/>
      <c r="S59" s="874"/>
      <c r="T59" s="874"/>
      <c r="U59" s="874"/>
      <c r="V59" s="874"/>
      <c r="W59" s="874"/>
      <c r="X59" s="874"/>
      <c r="Y59" s="874"/>
      <c r="Z59" s="874"/>
      <c r="AA59" s="874"/>
      <c r="AB59" s="874"/>
      <c r="AC59" s="874"/>
    </row>
    <row r="60" spans="1:94">
      <c r="A60" s="874"/>
      <c r="B60" s="874"/>
      <c r="C60" s="874"/>
      <c r="D60" s="874"/>
      <c r="E60" s="874"/>
      <c r="F60" s="874"/>
      <c r="G60" s="874"/>
      <c r="H60" s="874"/>
      <c r="I60" s="874"/>
      <c r="J60" s="874"/>
      <c r="K60" s="874"/>
      <c r="L60" s="874"/>
      <c r="M60" s="874"/>
      <c r="N60" s="874"/>
      <c r="O60" s="874"/>
      <c r="P60" s="874"/>
      <c r="Q60" s="874"/>
      <c r="R60" s="874"/>
      <c r="S60" s="874"/>
      <c r="T60" s="874"/>
      <c r="U60" s="874"/>
      <c r="V60" s="874"/>
      <c r="W60" s="874"/>
      <c r="X60" s="874"/>
      <c r="Y60" s="874"/>
      <c r="Z60" s="874"/>
      <c r="AA60" s="874"/>
      <c r="AB60" s="874"/>
      <c r="AC60" s="874"/>
    </row>
    <row r="61" spans="1:94">
      <c r="A61" s="874"/>
      <c r="B61" s="874"/>
      <c r="C61" s="874"/>
      <c r="D61" s="874"/>
      <c r="E61" s="874"/>
      <c r="F61" s="874"/>
      <c r="G61" s="874"/>
      <c r="H61" s="874"/>
      <c r="I61" s="874"/>
      <c r="J61" s="874"/>
      <c r="K61" s="874"/>
      <c r="L61" s="874"/>
      <c r="M61" s="874"/>
      <c r="N61" s="874"/>
      <c r="O61" s="874"/>
      <c r="P61" s="874"/>
      <c r="Q61" s="874"/>
      <c r="R61" s="874"/>
      <c r="S61" s="874"/>
      <c r="T61" s="874"/>
      <c r="U61" s="874"/>
      <c r="V61" s="874"/>
      <c r="W61" s="874"/>
      <c r="X61" s="874"/>
      <c r="Y61" s="874"/>
      <c r="Z61" s="874"/>
      <c r="AA61" s="874"/>
      <c r="AB61" s="874"/>
      <c r="AC61" s="874"/>
    </row>
    <row r="62" spans="1:94">
      <c r="A62" s="874"/>
      <c r="B62" s="874"/>
      <c r="C62" s="874"/>
      <c r="D62" s="874"/>
      <c r="E62" s="874"/>
      <c r="F62" s="874"/>
      <c r="G62" s="874"/>
      <c r="H62" s="874"/>
      <c r="I62" s="874"/>
      <c r="J62" s="874"/>
      <c r="K62" s="874"/>
      <c r="L62" s="874"/>
      <c r="M62" s="874"/>
      <c r="N62" s="874"/>
      <c r="O62" s="874"/>
      <c r="P62" s="874"/>
      <c r="Q62" s="874"/>
      <c r="R62" s="874"/>
      <c r="S62" s="874"/>
      <c r="T62" s="874"/>
      <c r="U62" s="874"/>
      <c r="V62" s="874"/>
      <c r="W62" s="874"/>
      <c r="X62" s="874"/>
      <c r="Y62" s="874"/>
      <c r="Z62" s="874"/>
      <c r="AA62" s="874"/>
      <c r="AB62" s="874"/>
      <c r="AC62" s="874"/>
    </row>
    <row r="63" spans="1:94">
      <c r="A63" s="874"/>
      <c r="B63" s="874"/>
      <c r="C63" s="874"/>
      <c r="D63" s="874"/>
      <c r="E63" s="874"/>
      <c r="F63" s="874"/>
      <c r="G63" s="874"/>
      <c r="H63" s="874"/>
      <c r="I63" s="874"/>
      <c r="J63" s="874"/>
      <c r="K63" s="874"/>
      <c r="L63" s="874"/>
      <c r="M63" s="874"/>
      <c r="N63" s="874"/>
      <c r="O63" s="874"/>
      <c r="P63" s="874"/>
      <c r="Q63" s="874"/>
      <c r="R63" s="874"/>
      <c r="S63" s="874"/>
      <c r="T63" s="874"/>
      <c r="U63" s="874"/>
      <c r="V63" s="874"/>
      <c r="W63" s="874"/>
      <c r="X63" s="874"/>
      <c r="Y63" s="874"/>
      <c r="Z63" s="874"/>
      <c r="AA63" s="874"/>
      <c r="AB63" s="874"/>
      <c r="AC63" s="874"/>
    </row>
    <row r="64" spans="1:94">
      <c r="A64" s="874"/>
      <c r="B64" s="874"/>
      <c r="C64" s="874"/>
      <c r="D64" s="874"/>
      <c r="E64" s="874"/>
      <c r="F64" s="874"/>
      <c r="G64" s="874"/>
      <c r="H64" s="874"/>
      <c r="I64" s="874"/>
      <c r="J64" s="874"/>
      <c r="K64" s="874"/>
      <c r="L64" s="874"/>
      <c r="M64" s="874"/>
      <c r="N64" s="874"/>
      <c r="O64" s="874"/>
      <c r="P64" s="874"/>
      <c r="Q64" s="874"/>
      <c r="R64" s="874"/>
      <c r="S64" s="874"/>
      <c r="T64" s="874"/>
      <c r="U64" s="874"/>
      <c r="V64" s="874"/>
      <c r="W64" s="874"/>
      <c r="X64" s="874"/>
      <c r="Y64" s="874"/>
      <c r="Z64" s="874"/>
      <c r="AA64" s="874"/>
      <c r="AB64" s="874"/>
      <c r="AC64" s="874"/>
    </row>
    <row r="65" spans="1:94">
      <c r="A65" s="874"/>
      <c r="B65" s="874"/>
      <c r="C65" s="874"/>
      <c r="D65" s="874"/>
      <c r="E65" s="874"/>
      <c r="F65" s="874"/>
      <c r="G65" s="874"/>
      <c r="H65" s="874"/>
      <c r="I65" s="874"/>
      <c r="J65" s="874"/>
      <c r="K65" s="874"/>
      <c r="L65" s="874"/>
      <c r="M65" s="874"/>
      <c r="N65" s="874"/>
      <c r="O65" s="874"/>
      <c r="P65" s="874"/>
      <c r="Q65" s="874"/>
      <c r="R65" s="874"/>
      <c r="S65" s="874"/>
      <c r="T65" s="874"/>
      <c r="U65" s="874"/>
      <c r="V65" s="874"/>
      <c r="W65" s="874"/>
      <c r="X65" s="874"/>
      <c r="Y65" s="874"/>
      <c r="Z65" s="874"/>
      <c r="AA65" s="874"/>
      <c r="AB65" s="874"/>
      <c r="AC65" s="874"/>
    </row>
    <row r="66" spans="1:94">
      <c r="A66" s="874"/>
      <c r="B66" s="874"/>
      <c r="C66" s="874"/>
      <c r="D66" s="874"/>
      <c r="E66" s="874"/>
      <c r="F66" s="874"/>
      <c r="G66" s="874"/>
      <c r="H66" s="874"/>
      <c r="I66" s="874"/>
      <c r="J66" s="874"/>
      <c r="K66" s="874"/>
      <c r="L66" s="874"/>
      <c r="M66" s="874"/>
      <c r="N66" s="874"/>
      <c r="O66" s="874"/>
      <c r="P66" s="874"/>
      <c r="Q66" s="874"/>
      <c r="R66" s="874"/>
      <c r="S66" s="874"/>
      <c r="T66" s="874"/>
      <c r="U66" s="874"/>
      <c r="V66" s="874"/>
      <c r="W66" s="874"/>
      <c r="X66" s="874"/>
      <c r="Y66" s="874"/>
      <c r="Z66" s="874"/>
      <c r="AA66" s="874"/>
      <c r="AB66" s="874"/>
      <c r="AC66" s="874"/>
    </row>
    <row r="67" spans="1:94">
      <c r="A67" s="874"/>
      <c r="B67" s="874"/>
      <c r="C67" s="874"/>
      <c r="D67" s="874"/>
      <c r="E67" s="874"/>
      <c r="F67" s="874"/>
      <c r="G67" s="874"/>
      <c r="H67" s="874"/>
      <c r="I67" s="874"/>
      <c r="J67" s="874"/>
      <c r="K67" s="874"/>
      <c r="L67" s="874"/>
      <c r="M67" s="874"/>
      <c r="N67" s="874"/>
      <c r="O67" s="874"/>
      <c r="P67" s="874"/>
      <c r="Q67" s="874"/>
      <c r="R67" s="874"/>
      <c r="S67" s="874"/>
      <c r="T67" s="874"/>
      <c r="U67" s="874"/>
      <c r="V67" s="874"/>
      <c r="W67" s="874"/>
      <c r="X67" s="874"/>
      <c r="Y67" s="874"/>
      <c r="Z67" s="874"/>
      <c r="AA67" s="874"/>
      <c r="AB67" s="874"/>
      <c r="AC67" s="874"/>
    </row>
    <row r="68" spans="1:94">
      <c r="A68" s="874"/>
      <c r="B68" s="874"/>
      <c r="C68" s="874"/>
      <c r="D68" s="874"/>
      <c r="E68" s="874"/>
      <c r="F68" s="874"/>
      <c r="G68" s="874"/>
      <c r="H68" s="874"/>
      <c r="I68" s="874"/>
      <c r="J68" s="874"/>
      <c r="K68" s="874"/>
      <c r="L68" s="874"/>
      <c r="M68" s="874"/>
      <c r="N68" s="874"/>
      <c r="O68" s="874"/>
      <c r="P68" s="874"/>
      <c r="Q68" s="874"/>
      <c r="R68" s="874"/>
      <c r="S68" s="874"/>
      <c r="T68" s="874"/>
      <c r="U68" s="874"/>
      <c r="V68" s="874"/>
      <c r="W68" s="874"/>
      <c r="X68" s="874"/>
      <c r="Y68" s="874"/>
      <c r="Z68" s="874"/>
      <c r="AA68" s="874"/>
      <c r="AB68" s="874"/>
      <c r="AC68" s="874"/>
    </row>
    <row r="69" spans="1:94">
      <c r="A69" s="874"/>
      <c r="B69" s="874"/>
      <c r="C69" s="874"/>
      <c r="D69" s="874"/>
      <c r="E69" s="874"/>
      <c r="F69" s="874"/>
      <c r="G69" s="874"/>
      <c r="H69" s="874"/>
      <c r="I69" s="874"/>
      <c r="J69" s="874"/>
      <c r="K69" s="874"/>
      <c r="L69" s="874"/>
      <c r="M69" s="874"/>
      <c r="N69" s="874"/>
      <c r="O69" s="874"/>
      <c r="P69" s="874"/>
      <c r="Q69" s="874"/>
      <c r="R69" s="874"/>
      <c r="S69" s="874"/>
      <c r="T69" s="874"/>
      <c r="U69" s="874"/>
      <c r="V69" s="874"/>
      <c r="W69" s="874"/>
      <c r="X69" s="874"/>
      <c r="Y69" s="874"/>
      <c r="Z69" s="874"/>
      <c r="AA69" s="874"/>
      <c r="AB69" s="874"/>
      <c r="AC69" s="874"/>
    </row>
    <row r="70" spans="1:94">
      <c r="A70" s="874"/>
      <c r="B70" s="874"/>
      <c r="C70" s="874"/>
      <c r="D70" s="874"/>
      <c r="E70" s="874"/>
      <c r="F70" s="874"/>
      <c r="G70" s="874"/>
      <c r="H70" s="874"/>
      <c r="I70" s="874"/>
      <c r="J70" s="874"/>
      <c r="K70" s="874"/>
      <c r="L70" s="874"/>
      <c r="M70" s="874"/>
      <c r="N70" s="874"/>
      <c r="O70" s="874"/>
      <c r="P70" s="874"/>
      <c r="Q70" s="874"/>
      <c r="R70" s="874"/>
      <c r="S70" s="874"/>
      <c r="T70" s="874"/>
      <c r="U70" s="874"/>
      <c r="V70" s="874"/>
      <c r="W70" s="874"/>
      <c r="X70" s="874"/>
      <c r="Y70" s="874"/>
      <c r="Z70" s="874"/>
      <c r="AA70" s="874"/>
      <c r="AB70" s="874"/>
      <c r="AC70" s="874"/>
    </row>
    <row r="71" spans="1:94">
      <c r="A71" s="874"/>
      <c r="B71" s="874"/>
      <c r="C71" s="874"/>
      <c r="D71" s="874"/>
      <c r="E71" s="874"/>
      <c r="F71" s="874"/>
      <c r="G71" s="874"/>
      <c r="H71" s="874"/>
      <c r="I71" s="874"/>
      <c r="J71" s="874"/>
      <c r="K71" s="874"/>
      <c r="L71" s="874"/>
      <c r="M71" s="874"/>
      <c r="N71" s="874"/>
      <c r="O71" s="874"/>
      <c r="P71" s="874"/>
      <c r="Q71" s="874"/>
      <c r="R71" s="874"/>
      <c r="S71" s="874"/>
      <c r="T71" s="874"/>
      <c r="U71" s="874"/>
      <c r="V71" s="874"/>
      <c r="W71" s="874"/>
      <c r="X71" s="874"/>
      <c r="Y71" s="874"/>
      <c r="Z71" s="874"/>
      <c r="AA71" s="874"/>
      <c r="AB71" s="874"/>
      <c r="AC71" s="874"/>
      <c r="CP71" s="1240"/>
    </row>
    <row r="72" spans="1:94">
      <c r="A72" s="874"/>
      <c r="B72" s="874"/>
      <c r="C72" s="874"/>
      <c r="D72" s="874"/>
      <c r="E72" s="874"/>
      <c r="F72" s="874"/>
      <c r="G72" s="874"/>
      <c r="H72" s="874"/>
      <c r="I72" s="874"/>
      <c r="J72" s="874"/>
      <c r="K72" s="874"/>
      <c r="L72" s="874"/>
      <c r="M72" s="874"/>
      <c r="N72" s="874"/>
      <c r="O72" s="874"/>
      <c r="P72" s="874"/>
      <c r="Q72" s="874"/>
      <c r="R72" s="874"/>
      <c r="S72" s="874"/>
      <c r="T72" s="874"/>
      <c r="U72" s="874"/>
      <c r="V72" s="874"/>
      <c r="W72" s="874"/>
      <c r="X72" s="874"/>
      <c r="Y72" s="874"/>
      <c r="Z72" s="874"/>
      <c r="AA72" s="874"/>
      <c r="AB72" s="874"/>
      <c r="AC72" s="874"/>
    </row>
    <row r="73" spans="1:94">
      <c r="A73" s="874"/>
      <c r="B73" s="874"/>
      <c r="C73" s="874"/>
      <c r="D73" s="874"/>
      <c r="E73" s="874"/>
      <c r="F73" s="874"/>
      <c r="G73" s="874"/>
      <c r="H73" s="874"/>
      <c r="I73" s="874"/>
      <c r="J73" s="874"/>
      <c r="K73" s="874"/>
      <c r="L73" s="874"/>
      <c r="M73" s="874"/>
      <c r="N73" s="874"/>
      <c r="O73" s="874"/>
      <c r="P73" s="874"/>
      <c r="Q73" s="874"/>
      <c r="R73" s="874"/>
      <c r="S73" s="874"/>
      <c r="T73" s="874"/>
      <c r="U73" s="874"/>
      <c r="V73" s="874"/>
      <c r="W73" s="874"/>
      <c r="X73" s="874"/>
      <c r="Y73" s="874"/>
      <c r="Z73" s="874"/>
      <c r="AA73" s="874"/>
      <c r="AB73" s="874"/>
      <c r="AC73" s="874"/>
    </row>
    <row r="191" spans="94:94">
      <c r="CP191" s="1240"/>
    </row>
    <row r="198" spans="83:124">
      <c r="CE198" s="876">
        <f>2407-1944</f>
        <v>463</v>
      </c>
      <c r="DT198" s="1239"/>
    </row>
    <row r="213" spans="89:94">
      <c r="CP213" s="876">
        <v>-1958</v>
      </c>
    </row>
    <row r="220" spans="89:94">
      <c r="CP220" s="876">
        <f>+CF220</f>
        <v>0</v>
      </c>
    </row>
    <row r="221" spans="89:94">
      <c r="CK221" s="876">
        <f>CK220-BV220</f>
        <v>0</v>
      </c>
    </row>
    <row r="222" spans="89:94">
      <c r="CP222" s="876">
        <f>CF222</f>
        <v>0</v>
      </c>
    </row>
    <row r="224" spans="89:94">
      <c r="CP224" s="876">
        <f>CF224</f>
        <v>0</v>
      </c>
    </row>
    <row r="228" spans="94:94">
      <c r="CP228" s="876">
        <f>CF228</f>
        <v>0</v>
      </c>
    </row>
    <row r="231" spans="94:94">
      <c r="CP231" s="876">
        <f>CF231</f>
        <v>0</v>
      </c>
    </row>
    <row r="237" spans="94:94">
      <c r="CP237" s="876">
        <f>CF237</f>
        <v>0</v>
      </c>
    </row>
    <row r="238" spans="94:94">
      <c r="CP238" s="876">
        <f>CF238</f>
        <v>0</v>
      </c>
    </row>
    <row r="239" spans="94:94">
      <c r="CP239" s="876">
        <f>CF239</f>
        <v>0</v>
      </c>
    </row>
    <row r="240" spans="94:94">
      <c r="CP240" s="876">
        <f t="shared" ref="CP240:CP241" si="0">CF240</f>
        <v>0</v>
      </c>
    </row>
    <row r="241" spans="94:94">
      <c r="CP241" s="876">
        <f t="shared" si="0"/>
        <v>0</v>
      </c>
    </row>
    <row r="253" spans="94:94">
      <c r="CP253" s="876">
        <f>CF253</f>
        <v>0</v>
      </c>
    </row>
    <row r="254" spans="94:94">
      <c r="CP254" s="876">
        <f>CF254</f>
        <v>0</v>
      </c>
    </row>
    <row r="255" spans="94:94">
      <c r="CP255" s="876">
        <f t="shared" ref="CP255:CP263" si="1">CF255</f>
        <v>0</v>
      </c>
    </row>
    <row r="256" spans="94:94">
      <c r="CP256" s="876">
        <f t="shared" si="1"/>
        <v>0</v>
      </c>
    </row>
    <row r="257" spans="94:94">
      <c r="CP257" s="876">
        <f t="shared" si="1"/>
        <v>0</v>
      </c>
    </row>
    <row r="258" spans="94:94">
      <c r="CP258" s="876">
        <f t="shared" si="1"/>
        <v>0</v>
      </c>
    </row>
    <row r="260" spans="94:94">
      <c r="CP260" s="876">
        <f t="shared" si="1"/>
        <v>0</v>
      </c>
    </row>
    <row r="261" spans="94:94">
      <c r="CP261" s="876">
        <f t="shared" si="1"/>
        <v>0</v>
      </c>
    </row>
    <row r="262" spans="94:94">
      <c r="CP262" s="876">
        <f t="shared" si="1"/>
        <v>0</v>
      </c>
    </row>
    <row r="263" spans="94:94">
      <c r="CP263" s="876">
        <f t="shared" si="1"/>
        <v>0</v>
      </c>
    </row>
    <row r="268" spans="94:94">
      <c r="CP268" s="876">
        <f>+CF268</f>
        <v>0</v>
      </c>
    </row>
    <row r="270" spans="94:94">
      <c r="CP270" s="876">
        <f>+CF270</f>
        <v>0</v>
      </c>
    </row>
    <row r="272" spans="94:94">
      <c r="CP272" s="876">
        <f>+CF272</f>
        <v>0</v>
      </c>
    </row>
    <row r="273" spans="94:94">
      <c r="CP273" s="876">
        <f>+CF273</f>
        <v>0</v>
      </c>
    </row>
    <row r="276" spans="94:94">
      <c r="CP276" s="876">
        <f>+CF276</f>
        <v>0</v>
      </c>
    </row>
    <row r="277" spans="94:94">
      <c r="CP277" s="876">
        <f>+CF277</f>
        <v>0</v>
      </c>
    </row>
    <row r="278" spans="94:94">
      <c r="CP278" s="876">
        <f>+CF278</f>
        <v>0</v>
      </c>
    </row>
    <row r="279" spans="94:94">
      <c r="CP279" s="876">
        <f>+CF279</f>
        <v>0</v>
      </c>
    </row>
    <row r="280" spans="94:94">
      <c r="CP280" s="876">
        <f>+CF280</f>
        <v>0</v>
      </c>
    </row>
    <row r="283" spans="94:94">
      <c r="CP283" s="876">
        <f>+CF283</f>
        <v>0</v>
      </c>
    </row>
    <row r="285" spans="94:94">
      <c r="CP285" s="876">
        <f>+CF285</f>
        <v>0</v>
      </c>
    </row>
    <row r="286" spans="94:94">
      <c r="CP286" s="876" t="e">
        <f>CP285/CP55*360</f>
        <v>#DIV/0!</v>
      </c>
    </row>
    <row r="287" spans="94:94">
      <c r="CP287" s="876">
        <f>CF287</f>
        <v>0</v>
      </c>
    </row>
    <row r="288" spans="94:94">
      <c r="CP288" s="876">
        <f>+CF288</f>
        <v>0</v>
      </c>
    </row>
    <row r="289" spans="94:94">
      <c r="CP289" s="876" t="e">
        <f>CP288/CP173</f>
        <v>#DIV/0!</v>
      </c>
    </row>
    <row r="290" spans="94:94">
      <c r="CP290" s="876">
        <f>CP283+CP285+CP287+CP288</f>
        <v>0</v>
      </c>
    </row>
    <row r="291" spans="94:94">
      <c r="CP291" s="876">
        <f>+CF291</f>
        <v>0</v>
      </c>
    </row>
    <row r="292" spans="94:94">
      <c r="CP292" s="876">
        <f>+CF292</f>
        <v>0</v>
      </c>
    </row>
    <row r="293" spans="94:94">
      <c r="CP293" s="876">
        <f>+CF293</f>
        <v>0</v>
      </c>
    </row>
    <row r="294" spans="94:94">
      <c r="CP294" s="876">
        <f>+CF294</f>
        <v>0</v>
      </c>
    </row>
    <row r="297" spans="94:94">
      <c r="CP297" s="876">
        <f>+CF297</f>
        <v>0</v>
      </c>
    </row>
    <row r="298" spans="94:94">
      <c r="CP298" s="876">
        <f>+CF298</f>
        <v>0</v>
      </c>
    </row>
    <row r="299" spans="94:94">
      <c r="CP299" s="876">
        <f>+CF299</f>
        <v>0</v>
      </c>
    </row>
    <row r="300" spans="94:94">
      <c r="CP300" s="876">
        <f>+CF300</f>
        <v>0</v>
      </c>
    </row>
    <row r="301" spans="94:94">
      <c r="CP301" s="876">
        <f>+CF301</f>
        <v>0</v>
      </c>
    </row>
    <row r="308" spans="89:89">
      <c r="CK308" s="876">
        <f>(CK299-BV299)-CK215-CK310</f>
        <v>0</v>
      </c>
    </row>
    <row r="309" spans="89:89">
      <c r="CK309" s="876">
        <f>(CK297-BV297)+(CK298-BV298)</f>
        <v>0</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XFD100"/>
  <sheetViews>
    <sheetView showGridLines="0" zoomScaleNormal="100" zoomScaleSheetLayoutView="100" workbookViewId="0"/>
  </sheetViews>
  <sheetFormatPr defaultRowHeight="12.75"/>
  <cols>
    <col min="1" max="2" width="2.42578125" style="898" customWidth="1"/>
    <col min="3" max="3" width="39.28515625" style="898" customWidth="1"/>
    <col min="4" max="4" width="2.42578125" style="898" customWidth="1"/>
    <col min="5" max="10" width="8.42578125" style="898" customWidth="1"/>
    <col min="11" max="11" width="2.42578125" style="898" customWidth="1"/>
    <col min="12" max="12" width="39.28515625" style="898" customWidth="1"/>
    <col min="13" max="13" width="2.42578125" style="898" customWidth="1"/>
    <col min="14" max="15" width="8.42578125" style="898" hidden="1" customWidth="1"/>
    <col min="16" max="21" width="8.42578125" style="905" customWidth="1"/>
    <col min="22" max="22" width="10.85546875" style="1193" customWidth="1"/>
    <col min="23" max="16384" width="9.140625" style="898"/>
  </cols>
  <sheetData>
    <row r="1" spans="1:95" s="888" customFormat="1" ht="15" customHeight="1">
      <c r="A1" s="885"/>
      <c r="B1" s="885"/>
      <c r="C1" s="885"/>
      <c r="D1" s="885"/>
      <c r="E1" s="886"/>
      <c r="F1" s="886"/>
      <c r="G1" s="886"/>
      <c r="H1" s="886"/>
      <c r="I1" s="886"/>
      <c r="J1" s="886"/>
      <c r="K1" s="885"/>
      <c r="L1" s="885"/>
      <c r="M1" s="885"/>
      <c r="N1" s="886"/>
      <c r="O1" s="886"/>
      <c r="P1" s="887"/>
      <c r="Q1" s="887"/>
      <c r="R1" s="887"/>
      <c r="S1" s="887"/>
      <c r="T1" s="887"/>
      <c r="U1" s="887"/>
      <c r="V1" s="1190"/>
      <c r="W1" s="886"/>
      <c r="X1" s="886"/>
      <c r="Y1" s="886"/>
      <c r="Z1" s="886"/>
      <c r="AA1" s="886"/>
      <c r="AB1" s="886"/>
      <c r="AC1" s="886"/>
      <c r="AD1" s="886"/>
      <c r="AE1" s="886"/>
      <c r="AF1" s="886"/>
      <c r="AG1" s="886"/>
      <c r="AH1" s="886"/>
      <c r="AI1" s="886"/>
      <c r="AJ1" s="886"/>
      <c r="AK1" s="886"/>
      <c r="AL1" s="886"/>
      <c r="AM1" s="886"/>
      <c r="AN1" s="886"/>
      <c r="CL1" s="889"/>
      <c r="CM1" s="889" t="s">
        <v>144</v>
      </c>
      <c r="CN1" s="889" t="s">
        <v>145</v>
      </c>
      <c r="CO1" s="889" t="s">
        <v>146</v>
      </c>
      <c r="CP1" s="889" t="s">
        <v>147</v>
      </c>
      <c r="CQ1" s="889" t="s">
        <v>148</v>
      </c>
    </row>
    <row r="2" spans="1:95" s="888" customFormat="1" ht="15" customHeight="1">
      <c r="A2" s="885"/>
      <c r="B2" s="885" t="str">
        <f>+Cover!B2</f>
        <v xml:space="preserve">Lockheed Martin </v>
      </c>
      <c r="C2" s="885"/>
      <c r="D2" s="885"/>
      <c r="E2" s="886"/>
      <c r="F2" s="886"/>
      <c r="G2" s="886"/>
      <c r="H2" s="886"/>
      <c r="I2" s="886"/>
      <c r="J2" s="886"/>
      <c r="K2" s="885"/>
      <c r="L2" s="885"/>
      <c r="M2" s="885"/>
      <c r="N2" s="886"/>
      <c r="O2" s="886"/>
      <c r="P2" s="887"/>
      <c r="Q2" s="887"/>
      <c r="R2" s="887"/>
      <c r="S2" s="887"/>
      <c r="T2" s="887"/>
      <c r="U2" s="887"/>
      <c r="V2" s="1190"/>
      <c r="W2" s="886"/>
      <c r="X2" s="886"/>
      <c r="Y2" s="886"/>
      <c r="Z2" s="886"/>
      <c r="AA2" s="886"/>
      <c r="AB2" s="886"/>
      <c r="AC2" s="886"/>
      <c r="AD2" s="886"/>
      <c r="AE2" s="886"/>
      <c r="AF2" s="886"/>
      <c r="AG2" s="886"/>
      <c r="AH2" s="886"/>
      <c r="AI2" s="886"/>
      <c r="AJ2" s="886"/>
      <c r="AK2" s="886"/>
      <c r="AL2" s="886"/>
      <c r="AM2" s="886"/>
      <c r="AN2" s="886"/>
    </row>
    <row r="3" spans="1:95" s="888" customFormat="1" ht="15" customHeight="1">
      <c r="A3" s="890"/>
      <c r="B3" s="891" t="s">
        <v>295</v>
      </c>
      <c r="C3" s="891"/>
      <c r="D3" s="890"/>
      <c r="E3" s="886"/>
      <c r="F3" s="886"/>
      <c r="G3" s="886"/>
      <c r="H3" s="886"/>
      <c r="I3" s="886"/>
      <c r="J3" s="886"/>
      <c r="K3" s="891"/>
      <c r="L3" s="891"/>
      <c r="M3" s="890"/>
      <c r="N3" s="886"/>
      <c r="O3" s="886"/>
      <c r="P3" s="887"/>
      <c r="Q3" s="887"/>
      <c r="R3" s="887"/>
      <c r="S3" s="887"/>
      <c r="T3" s="887"/>
      <c r="U3" s="887"/>
      <c r="V3" s="1190"/>
      <c r="W3" s="886"/>
      <c r="X3" s="886"/>
      <c r="Y3" s="886"/>
      <c r="Z3" s="886"/>
      <c r="AA3" s="886"/>
      <c r="AB3" s="886"/>
      <c r="AC3" s="886"/>
      <c r="AD3" s="886"/>
      <c r="AE3" s="886"/>
      <c r="AF3" s="886"/>
      <c r="AG3" s="886"/>
      <c r="AH3" s="886"/>
      <c r="AI3" s="886"/>
      <c r="AJ3" s="886"/>
      <c r="AK3" s="886"/>
      <c r="AL3" s="886"/>
      <c r="AM3" s="886"/>
      <c r="AN3" s="886"/>
    </row>
    <row r="4" spans="1:95" s="888" customFormat="1">
      <c r="A4" s="892"/>
      <c r="B4" s="893" t="s">
        <v>296</v>
      </c>
      <c r="C4" s="893"/>
      <c r="D4" s="892"/>
      <c r="E4" s="894"/>
      <c r="F4" s="894"/>
      <c r="G4" s="894"/>
      <c r="H4" s="894"/>
      <c r="I4" s="894"/>
      <c r="J4" s="894"/>
      <c r="K4" s="893"/>
      <c r="L4" s="893"/>
      <c r="M4" s="892"/>
      <c r="N4" s="894"/>
      <c r="O4" s="894"/>
      <c r="P4" s="895"/>
      <c r="Q4" s="895"/>
      <c r="R4" s="895"/>
      <c r="S4" s="895"/>
      <c r="T4" s="895"/>
      <c r="U4" s="895"/>
      <c r="V4" s="1191"/>
      <c r="W4" s="894"/>
      <c r="X4" s="894"/>
      <c r="Y4" s="894"/>
      <c r="Z4" s="894"/>
      <c r="AA4" s="894"/>
      <c r="AB4" s="894"/>
      <c r="AC4" s="894"/>
      <c r="AD4" s="894"/>
      <c r="AE4" s="894"/>
      <c r="AF4" s="894"/>
      <c r="AG4" s="894"/>
      <c r="AH4" s="894"/>
      <c r="AI4" s="894"/>
      <c r="AJ4" s="894"/>
      <c r="AK4" s="894"/>
      <c r="AL4" s="894"/>
      <c r="AM4" s="894"/>
      <c r="AN4" s="894"/>
    </row>
    <row r="5" spans="1:95" s="896" customFormat="1">
      <c r="P5" s="1078"/>
      <c r="Q5" s="1078"/>
      <c r="R5" s="1078"/>
      <c r="S5" s="942"/>
      <c r="T5" s="942"/>
      <c r="U5" s="942"/>
      <c r="V5" s="1192"/>
    </row>
    <row r="6" spans="1:95">
      <c r="B6" s="899" t="s">
        <v>297</v>
      </c>
      <c r="C6" s="900"/>
      <c r="D6" s="900"/>
      <c r="F6" s="901" t="s">
        <v>298</v>
      </c>
      <c r="G6" s="901" t="s">
        <v>299</v>
      </c>
      <c r="H6" s="901" t="s">
        <v>300</v>
      </c>
      <c r="K6" s="899" t="s">
        <v>301</v>
      </c>
      <c r="L6" s="900"/>
      <c r="M6" s="900"/>
      <c r="N6" s="902">
        <v>2015</v>
      </c>
      <c r="O6" s="902">
        <v>2016</v>
      </c>
      <c r="P6" s="902">
        <v>2017</v>
      </c>
      <c r="Q6" s="903">
        <v>2018</v>
      </c>
      <c r="R6" s="903">
        <v>2019</v>
      </c>
      <c r="S6" s="903">
        <v>2020</v>
      </c>
      <c r="T6" s="903">
        <v>2021</v>
      </c>
      <c r="U6" s="903"/>
      <c r="V6" s="898"/>
    </row>
    <row r="7" spans="1:95">
      <c r="C7" s="898" t="s">
        <v>302</v>
      </c>
      <c r="F7" s="904">
        <v>2019</v>
      </c>
      <c r="G7" s="904">
        <v>2019</v>
      </c>
      <c r="H7" s="904">
        <v>2019</v>
      </c>
      <c r="P7" s="946"/>
      <c r="Q7" s="946"/>
      <c r="R7" s="946"/>
      <c r="V7" s="898"/>
    </row>
    <row r="8" spans="1:95">
      <c r="F8" s="904"/>
      <c r="G8" s="904"/>
      <c r="H8" s="904"/>
      <c r="I8" s="1209"/>
      <c r="J8" s="1209"/>
      <c r="L8" s="906" t="s">
        <v>271</v>
      </c>
      <c r="P8" s="898"/>
      <c r="Q8" s="898"/>
      <c r="R8" s="898"/>
      <c r="S8" s="898"/>
      <c r="T8" s="898"/>
      <c r="U8" s="898"/>
      <c r="V8" s="898"/>
    </row>
    <row r="9" spans="1:95">
      <c r="C9" s="907" t="s">
        <v>303</v>
      </c>
      <c r="D9" s="908"/>
      <c r="E9" s="908"/>
      <c r="F9" s="1045">
        <f>MROUND(F33,1)</f>
        <v>261</v>
      </c>
      <c r="G9" s="1045">
        <f>MROUND(G33,1)</f>
        <v>373</v>
      </c>
      <c r="H9" s="1046">
        <f>MROUND(H33,1)</f>
        <v>539</v>
      </c>
      <c r="I9" s="1210"/>
      <c r="J9" s="1210"/>
      <c r="L9" s="898" t="s">
        <v>26</v>
      </c>
      <c r="N9" s="909">
        <f>+Model!BV4</f>
        <v>15570</v>
      </c>
      <c r="O9" s="909">
        <f>+Model!CA4</f>
        <v>17769</v>
      </c>
      <c r="P9" s="909">
        <f>+Model!CP4</f>
        <v>19410</v>
      </c>
      <c r="Q9" s="909">
        <f>+Model!CU4</f>
        <v>20800</v>
      </c>
      <c r="R9" s="909">
        <f>+Model!CZ4</f>
        <v>22360</v>
      </c>
      <c r="S9" s="909">
        <f>+Model!DE4</f>
        <v>23142.6</v>
      </c>
      <c r="T9" s="909">
        <f>+Model!DJ4</f>
        <v>23142.6</v>
      </c>
      <c r="U9" s="909"/>
      <c r="V9" s="898"/>
    </row>
    <row r="10" spans="1:95">
      <c r="C10" s="898" t="s">
        <v>143</v>
      </c>
      <c r="F10" s="1047">
        <f>+G10</f>
        <v>344.48</v>
      </c>
      <c r="G10" s="1048">
        <v>344.48</v>
      </c>
      <c r="H10" s="1047">
        <f>+G10</f>
        <v>344.48</v>
      </c>
      <c r="J10" s="1047"/>
      <c r="L10" s="898" t="s">
        <v>340</v>
      </c>
      <c r="N10" s="909">
        <f>+Model!BV24</f>
        <v>6770</v>
      </c>
      <c r="O10" s="909">
        <f>+Model!CA24</f>
        <v>6608</v>
      </c>
      <c r="P10" s="909">
        <f>+Model!CP24</f>
        <v>7294</v>
      </c>
      <c r="Q10" s="909">
        <f>+Model!CU24</f>
        <v>7800</v>
      </c>
      <c r="R10" s="909">
        <f>+Model!CZ24</f>
        <v>8346</v>
      </c>
      <c r="S10" s="909">
        <f>+Model!DE24</f>
        <v>8930.2200000000012</v>
      </c>
      <c r="T10" s="909">
        <f>+Model!DJ24</f>
        <v>9555.3354000000018</v>
      </c>
      <c r="U10" s="909"/>
      <c r="V10" s="898"/>
    </row>
    <row r="11" spans="1:95" s="912" customFormat="1">
      <c r="A11" s="898"/>
      <c r="C11" s="912" t="s">
        <v>304</v>
      </c>
      <c r="F11" s="913">
        <f>+F9/F10-1</f>
        <v>-0.24233627496516497</v>
      </c>
      <c r="G11" s="913">
        <f>+G9/G10-1</f>
        <v>8.2791453785415747E-2</v>
      </c>
      <c r="H11" s="913">
        <f>+H9/H10-1</f>
        <v>0.56467719461216892</v>
      </c>
      <c r="J11" s="1140"/>
      <c r="K11" s="898"/>
      <c r="L11" s="898" t="s">
        <v>284</v>
      </c>
      <c r="N11" s="909">
        <f>+Model!BV32</f>
        <v>9091</v>
      </c>
      <c r="O11" s="909">
        <f>+Model!CA32</f>
        <v>13462</v>
      </c>
      <c r="P11" s="909">
        <f>+Model!CP32</f>
        <v>13663</v>
      </c>
      <c r="Q11" s="909">
        <f>+Model!CU32</f>
        <v>13700</v>
      </c>
      <c r="R11" s="909">
        <f>+Model!CZ32</f>
        <v>14385</v>
      </c>
      <c r="S11" s="909">
        <f>+Model!DE32</f>
        <v>15104.25</v>
      </c>
      <c r="T11" s="909">
        <f>+Model!DJ32</f>
        <v>15859.462500000001</v>
      </c>
      <c r="U11" s="909"/>
    </row>
    <row r="12" spans="1:95">
      <c r="L12" s="898" t="s">
        <v>27</v>
      </c>
      <c r="M12" s="912"/>
      <c r="N12" s="909">
        <f>+Model!BV40</f>
        <v>9105</v>
      </c>
      <c r="O12" s="909">
        <f>+Model!CA40</f>
        <v>9409</v>
      </c>
      <c r="P12" s="909">
        <f>+Model!CP40</f>
        <v>9609</v>
      </c>
      <c r="Q12" s="909">
        <f>+Model!CU40</f>
        <v>9000</v>
      </c>
      <c r="R12" s="909">
        <f>+Model!CZ40</f>
        <v>9450</v>
      </c>
      <c r="S12" s="909">
        <f>+Model!DE40</f>
        <v>9922.5</v>
      </c>
      <c r="T12" s="909">
        <f>+Model!DJ40</f>
        <v>10418.625</v>
      </c>
      <c r="U12" s="909"/>
      <c r="V12" s="898"/>
    </row>
    <row r="13" spans="1:95" s="912" customFormat="1">
      <c r="A13" s="898"/>
      <c r="C13" s="914" t="s">
        <v>305</v>
      </c>
      <c r="D13" s="915"/>
      <c r="E13" s="915"/>
      <c r="F13" s="916">
        <f>+F$9/(F$22)*F34</f>
        <v>17.970420094338955</v>
      </c>
      <c r="G13" s="916">
        <f>+G$9/($R$37)</f>
        <v>21.001449890934527</v>
      </c>
      <c r="H13" s="917">
        <f>+H$9/(H$22)*H34</f>
        <v>23.009509012887531</v>
      </c>
      <c r="I13" s="930"/>
      <c r="J13" s="930"/>
      <c r="K13" s="898"/>
      <c r="L13" s="918" t="s">
        <v>209</v>
      </c>
      <c r="M13" s="918"/>
      <c r="N13" s="919">
        <f t="shared" ref="N13:T13" si="0">SUM(N9:N12)</f>
        <v>40536</v>
      </c>
      <c r="O13" s="919">
        <f t="shared" si="0"/>
        <v>47248</v>
      </c>
      <c r="P13" s="919">
        <f t="shared" si="0"/>
        <v>49976</v>
      </c>
      <c r="Q13" s="919">
        <f t="shared" si="0"/>
        <v>51300</v>
      </c>
      <c r="R13" s="919">
        <f t="shared" si="0"/>
        <v>54541</v>
      </c>
      <c r="S13" s="919">
        <f t="shared" si="0"/>
        <v>57099.57</v>
      </c>
      <c r="T13" s="919">
        <f t="shared" si="0"/>
        <v>58976.022900000004</v>
      </c>
      <c r="U13" s="919"/>
    </row>
    <row r="14" spans="1:95" s="912" customFormat="1">
      <c r="A14" s="898"/>
      <c r="C14" s="920" t="s">
        <v>354</v>
      </c>
      <c r="D14" s="958"/>
      <c r="E14" s="958"/>
      <c r="F14" s="1043">
        <f>F9/((F$22-($R$23*(1-F$27)))/F34)</f>
        <v>22.878315823035958</v>
      </c>
      <c r="G14" s="1043">
        <f>G9/((G$22-($R$23*(1-G$27)))/G34)</f>
        <v>25.469454894453211</v>
      </c>
      <c r="H14" s="1044">
        <f>H9/((H$22-($R$23*(1-H$27)))/H34)</f>
        <v>26.539418254638477</v>
      </c>
      <c r="I14" s="930"/>
      <c r="J14" s="930"/>
      <c r="K14" s="898"/>
      <c r="L14" s="898"/>
      <c r="M14" s="898"/>
      <c r="N14" s="909"/>
      <c r="O14" s="1028"/>
      <c r="P14" s="1028"/>
      <c r="Q14" s="1028"/>
      <c r="R14" s="1028"/>
      <c r="S14" s="1028"/>
      <c r="T14" s="1028"/>
      <c r="U14" s="1028"/>
    </row>
    <row r="15" spans="1:95">
      <c r="B15" s="912"/>
      <c r="C15" s="920" t="s">
        <v>306</v>
      </c>
      <c r="D15" s="921"/>
      <c r="E15" s="921"/>
      <c r="F15" s="922">
        <f>(F31+F25+(F19+F20))/$R$28</f>
        <v>9.5817007375473668</v>
      </c>
      <c r="G15" s="922">
        <f>(G31+G25)/$R$28</f>
        <v>13.189728890475143</v>
      </c>
      <c r="H15" s="923">
        <f>(H31+H25+(H19+H20))/$R$28</f>
        <v>18.579618167736776</v>
      </c>
      <c r="I15" s="930"/>
      <c r="J15" s="930"/>
      <c r="L15" s="918" t="s">
        <v>308</v>
      </c>
      <c r="N15" s="929">
        <f t="shared" ref="N15:T15" si="1">+N13-N21</f>
        <v>35558</v>
      </c>
      <c r="O15" s="929">
        <f t="shared" si="1"/>
        <v>42148</v>
      </c>
      <c r="P15" s="929">
        <f t="shared" si="1"/>
        <v>44869</v>
      </c>
      <c r="Q15" s="929">
        <f t="shared" si="1"/>
        <v>45973.9</v>
      </c>
      <c r="R15" s="929">
        <f t="shared" si="1"/>
        <v>48680.93</v>
      </c>
      <c r="S15" s="929">
        <f t="shared" si="1"/>
        <v>50883.665849999998</v>
      </c>
      <c r="T15" s="929">
        <f t="shared" si="1"/>
        <v>52471.412892000008</v>
      </c>
      <c r="U15" s="929"/>
      <c r="V15" s="1195"/>
    </row>
    <row r="16" spans="1:95">
      <c r="B16" s="912"/>
      <c r="C16" s="925" t="s">
        <v>307</v>
      </c>
      <c r="D16" s="926"/>
      <c r="E16" s="926"/>
      <c r="F16" s="1033">
        <f>(($R$52+((F20+F21+F19)*(1-F27)))/$R$36)/F9</f>
        <v>6.7510344818801485E-2</v>
      </c>
      <c r="G16" s="927">
        <f>R52/(G9*G34)</f>
        <v>5.4441697487096659E-2</v>
      </c>
      <c r="H16" s="928">
        <f>(($R$52+((H20+H21+H19)*(1-H27)))/$R$36)/H9</f>
        <v>4.6397441932099839E-2</v>
      </c>
      <c r="I16" s="896"/>
      <c r="J16" s="896"/>
      <c r="N16" s="924"/>
      <c r="O16" s="924"/>
      <c r="P16" s="924"/>
      <c r="Q16" s="924"/>
      <c r="R16" s="924"/>
      <c r="S16" s="924"/>
      <c r="T16" s="924"/>
      <c r="U16" s="924"/>
    </row>
    <row r="17" spans="1:24">
      <c r="F17" s="910"/>
      <c r="H17" s="910"/>
      <c r="I17" s="896"/>
      <c r="J17" s="896"/>
      <c r="L17" s="898" t="s">
        <v>26</v>
      </c>
      <c r="N17" s="909">
        <f>+Model!BV83</f>
        <v>1681</v>
      </c>
      <c r="O17" s="909">
        <f>+Model!CA83</f>
        <v>1887</v>
      </c>
      <c r="P17" s="909">
        <f>+Model!CP83</f>
        <v>2176</v>
      </c>
      <c r="Q17" s="909">
        <f>+Model!CU83</f>
        <v>2225.6</v>
      </c>
      <c r="R17" s="909">
        <f>+Model!CZ83</f>
        <v>2459.6</v>
      </c>
      <c r="S17" s="909">
        <f>+Model!DE83</f>
        <v>2545.6859999999997</v>
      </c>
      <c r="T17" s="909">
        <f>+Model!DJ83</f>
        <v>2545.6859999999997</v>
      </c>
      <c r="U17" s="909"/>
      <c r="V17" s="1195"/>
    </row>
    <row r="18" spans="1:24">
      <c r="A18"/>
      <c r="C18" s="918" t="s">
        <v>350</v>
      </c>
      <c r="D18" s="918"/>
      <c r="E18" s="918"/>
      <c r="F18" s="929">
        <f>+G18</f>
        <v>4967.9062407126848</v>
      </c>
      <c r="G18" s="929">
        <f>R35</f>
        <v>4967.9062407126848</v>
      </c>
      <c r="H18" s="1030">
        <f>+G18</f>
        <v>4967.9062407126848</v>
      </c>
      <c r="I18" s="896"/>
      <c r="J18" s="896"/>
      <c r="L18" s="898" t="s">
        <v>340</v>
      </c>
      <c r="N18" s="909">
        <f>+Model!BV107</f>
        <v>1282</v>
      </c>
      <c r="O18" s="909">
        <f>+Model!CA107</f>
        <v>1018</v>
      </c>
      <c r="P18" s="909">
        <f>+Model!CP107</f>
        <v>1049</v>
      </c>
      <c r="Q18" s="909">
        <f>+Model!CU107</f>
        <v>1092</v>
      </c>
      <c r="R18" s="909">
        <f>+Model!CZ107</f>
        <v>1210.1699999999998</v>
      </c>
      <c r="S18" s="909">
        <f>+Model!DE107</f>
        <v>1294.8819000000001</v>
      </c>
      <c r="T18" s="909">
        <f>+Model!DJ107</f>
        <v>1385.5236330000002</v>
      </c>
      <c r="U18" s="909"/>
      <c r="V18" s="1195"/>
    </row>
    <row r="19" spans="1:24" s="918" customFormat="1">
      <c r="A19" s="898"/>
      <c r="B19" s="898"/>
      <c r="C19" s="930" t="s">
        <v>355</v>
      </c>
      <c r="D19"/>
      <c r="E19"/>
      <c r="F19" s="1029">
        <f>((-1%*$R$13)*(1-F$27))</f>
        <v>-452.69029999999998</v>
      </c>
      <c r="G19" s="931">
        <v>0</v>
      </c>
      <c r="H19" s="1029">
        <f>((2%*$R$13)*(1-H$27))</f>
        <v>905.38059999999996</v>
      </c>
      <c r="I19"/>
      <c r="J19"/>
      <c r="K19" s="912"/>
      <c r="L19" s="898" t="s">
        <v>284</v>
      </c>
      <c r="M19" s="898"/>
      <c r="N19" s="909">
        <f>+Model!BV119</f>
        <v>844</v>
      </c>
      <c r="O19" s="909">
        <f>+Model!CA119</f>
        <v>906</v>
      </c>
      <c r="P19" s="909">
        <f>+Model!CP119</f>
        <v>902</v>
      </c>
      <c r="Q19" s="909">
        <f>+Model!CU119</f>
        <v>1027.5</v>
      </c>
      <c r="R19" s="909">
        <f>+Model!CZ119</f>
        <v>1150.8</v>
      </c>
      <c r="S19" s="909">
        <f>+Model!DE119</f>
        <v>1283.8612500000002</v>
      </c>
      <c r="T19" s="909">
        <f>+Model!DJ119</f>
        <v>1427.351625</v>
      </c>
      <c r="U19" s="909"/>
      <c r="V19" s="1195"/>
    </row>
    <row r="20" spans="1:24">
      <c r="C20" s="930" t="s">
        <v>353</v>
      </c>
      <c r="D20"/>
      <c r="E20"/>
      <c r="F20" s="1029">
        <f>((-1%*$R$13)*(1-F$27))</f>
        <v>-452.69029999999998</v>
      </c>
      <c r="G20" s="931">
        <v>0</v>
      </c>
      <c r="H20" s="1029">
        <f>((1.5%*$R$13)*(1-H$27))</f>
        <v>679.03544999999997</v>
      </c>
      <c r="K20" s="912"/>
      <c r="L20" s="898" t="s">
        <v>27</v>
      </c>
      <c r="N20" s="909">
        <f>+Model!BV131</f>
        <v>1171</v>
      </c>
      <c r="O20" s="909">
        <f>+Model!CA131</f>
        <v>1289</v>
      </c>
      <c r="P20" s="909">
        <f>+Model!CP131</f>
        <v>980</v>
      </c>
      <c r="Q20" s="909">
        <f>+Model!CU131</f>
        <v>981</v>
      </c>
      <c r="R20" s="909">
        <f>+Model!CZ131</f>
        <v>1039.5</v>
      </c>
      <c r="S20" s="909">
        <f>+Model!DE131</f>
        <v>1091.4749999999999</v>
      </c>
      <c r="T20" s="909">
        <f>+Model!DJ131</f>
        <v>1146.0487499999999</v>
      </c>
      <c r="U20" s="909"/>
      <c r="V20" s="1195"/>
    </row>
    <row r="21" spans="1:24">
      <c r="C21" s="930" t="s">
        <v>408</v>
      </c>
      <c r="D21"/>
      <c r="E21"/>
      <c r="F21" s="1029">
        <f>-((R27+R31)*(-$G$27+F27))</f>
        <v>0</v>
      </c>
      <c r="G21" s="931">
        <v>0</v>
      </c>
      <c r="H21" s="1029">
        <f>-((R27+R31)*(-$G$27+H27))</f>
        <v>0</v>
      </c>
      <c r="L21" s="918" t="s">
        <v>160</v>
      </c>
      <c r="N21" s="919">
        <f t="shared" ref="N21:T21" si="2">SUM(N17:N20)</f>
        <v>4978</v>
      </c>
      <c r="O21" s="919">
        <f t="shared" si="2"/>
        <v>5100</v>
      </c>
      <c r="P21" s="919">
        <f t="shared" si="2"/>
        <v>5107</v>
      </c>
      <c r="Q21" s="919">
        <f t="shared" si="2"/>
        <v>5326.1</v>
      </c>
      <c r="R21" s="919">
        <f t="shared" si="2"/>
        <v>5860.07</v>
      </c>
      <c r="S21" s="919">
        <f t="shared" si="2"/>
        <v>6215.9041500000003</v>
      </c>
      <c r="T21" s="919">
        <f t="shared" si="2"/>
        <v>6504.6100079999997</v>
      </c>
      <c r="U21" s="919"/>
      <c r="V21" s="1195"/>
    </row>
    <row r="22" spans="1:24" s="918" customFormat="1">
      <c r="A22" s="898"/>
      <c r="C22" s="932" t="s">
        <v>351</v>
      </c>
      <c r="D22"/>
      <c r="E22"/>
      <c r="F22" s="1030">
        <f>+SUM(F18:F21)</f>
        <v>4062.5256407126844</v>
      </c>
      <c r="G22" s="1030">
        <f>+SUM(G18:G21)</f>
        <v>4967.9062407126848</v>
      </c>
      <c r="H22" s="1030">
        <f>+SUM(H18:H21)</f>
        <v>6552.3222907126847</v>
      </c>
      <c r="I22" s="940"/>
      <c r="J22" s="898"/>
      <c r="K22" s="898"/>
      <c r="L22" s="898"/>
      <c r="M22" s="898"/>
      <c r="N22" s="909"/>
      <c r="O22" s="909"/>
      <c r="P22" s="909"/>
      <c r="Q22" s="909"/>
      <c r="R22" s="909"/>
      <c r="S22" s="909"/>
      <c r="T22" s="909"/>
      <c r="U22" s="909"/>
      <c r="V22" s="1196"/>
    </row>
    <row r="23" spans="1:24">
      <c r="C23" s="918"/>
      <c r="D23" s="918"/>
      <c r="E23" s="918"/>
      <c r="F23" s="918"/>
      <c r="G23" s="918"/>
      <c r="H23" s="918"/>
      <c r="L23" s="898" t="s">
        <v>310</v>
      </c>
      <c r="N23" s="909">
        <f>+Model!BV180</f>
        <v>400</v>
      </c>
      <c r="O23" s="909">
        <f>+Model!CA180</f>
        <v>902</v>
      </c>
      <c r="P23" s="909">
        <f>+Model!CP180</f>
        <v>876</v>
      </c>
      <c r="Q23" s="909">
        <f>+Model!CU180</f>
        <v>1010</v>
      </c>
      <c r="R23" s="909">
        <f>+Model!CZ180</f>
        <v>1050</v>
      </c>
      <c r="S23" s="909">
        <f>+Model!DE180</f>
        <v>2600</v>
      </c>
      <c r="T23" s="909">
        <f>+Model!DJ180</f>
        <v>2600</v>
      </c>
      <c r="U23" s="909"/>
    </row>
    <row r="24" spans="1:24">
      <c r="A24" s="912"/>
      <c r="C24" s="898" t="s">
        <v>309</v>
      </c>
      <c r="F24" s="933">
        <v>18</v>
      </c>
      <c r="G24" s="933">
        <v>21</v>
      </c>
      <c r="H24" s="933">
        <v>23</v>
      </c>
      <c r="L24" s="898" t="s">
        <v>312</v>
      </c>
      <c r="N24" s="909">
        <f>+Model!BV147</f>
        <v>-666</v>
      </c>
      <c r="O24" s="909">
        <f>+Model!CA147</f>
        <v>-453</v>
      </c>
      <c r="P24" s="909">
        <f>+Model!CP147</f>
        <v>-70</v>
      </c>
      <c r="Q24" s="909">
        <f>+Model!CU147</f>
        <v>-249.5</v>
      </c>
      <c r="R24" s="909">
        <f>+Model!CZ147</f>
        <v>-249.75</v>
      </c>
      <c r="S24" s="909">
        <f>+Model!DE147</f>
        <v>-249.75</v>
      </c>
      <c r="T24" s="909">
        <f>+Model!DJ147</f>
        <v>-249.75</v>
      </c>
      <c r="U24" s="909"/>
    </row>
    <row r="25" spans="1:24">
      <c r="B25" s="918"/>
      <c r="C25" s="934" t="s">
        <v>352</v>
      </c>
      <c r="D25" s="935"/>
      <c r="E25" s="935"/>
      <c r="F25" s="1049">
        <f>+F24*F22</f>
        <v>73125.461532828325</v>
      </c>
      <c r="G25" s="1049">
        <f>+G24*G22</f>
        <v>104326.03105496638</v>
      </c>
      <c r="H25" s="1050">
        <f>+H24*H22</f>
        <v>150703.41268639173</v>
      </c>
      <c r="I25" s="912"/>
      <c r="J25" s="912"/>
      <c r="L25" s="918" t="s">
        <v>74</v>
      </c>
      <c r="M25" s="918"/>
      <c r="N25" s="929">
        <f t="shared" ref="N25:T25" si="3">+N15-N23-N24</f>
        <v>35824</v>
      </c>
      <c r="O25" s="929">
        <f t="shared" si="3"/>
        <v>41699</v>
      </c>
      <c r="P25" s="929">
        <f t="shared" si="3"/>
        <v>44063</v>
      </c>
      <c r="Q25" s="929">
        <f t="shared" si="3"/>
        <v>45213.4</v>
      </c>
      <c r="R25" s="929">
        <f t="shared" si="3"/>
        <v>47880.68</v>
      </c>
      <c r="S25" s="929">
        <f t="shared" si="3"/>
        <v>48533.415849999998</v>
      </c>
      <c r="T25" s="929">
        <f t="shared" si="3"/>
        <v>50121.162892000008</v>
      </c>
      <c r="U25" s="929"/>
    </row>
    <row r="26" spans="1:24">
      <c r="A26" s="912"/>
      <c r="N26" s="939"/>
      <c r="O26" s="1028"/>
      <c r="P26" s="1028"/>
      <c r="Q26" s="1028"/>
      <c r="R26" s="1028"/>
      <c r="S26" s="1028"/>
      <c r="T26" s="1028"/>
      <c r="U26" s="1028"/>
    </row>
    <row r="27" spans="1:24">
      <c r="A27" s="912"/>
      <c r="C27" s="930" t="s">
        <v>138</v>
      </c>
      <c r="D27" s="930"/>
      <c r="E27" s="930"/>
      <c r="F27" s="1302">
        <f>G27</f>
        <v>0.17</v>
      </c>
      <c r="G27" s="1302">
        <f>+Model!CZ197</f>
        <v>0.17</v>
      </c>
      <c r="H27" s="1302">
        <f>G27</f>
        <v>0.17</v>
      </c>
      <c r="I27" s="938"/>
      <c r="J27" s="938"/>
      <c r="L27" s="918" t="s">
        <v>315</v>
      </c>
      <c r="M27" s="918"/>
      <c r="N27" s="929">
        <f t="shared" ref="N27:T27" si="4">+N13-N25</f>
        <v>4712</v>
      </c>
      <c r="O27" s="929">
        <f t="shared" si="4"/>
        <v>5549</v>
      </c>
      <c r="P27" s="929">
        <f t="shared" si="4"/>
        <v>5913</v>
      </c>
      <c r="Q27" s="929">
        <f t="shared" si="4"/>
        <v>6086.5999999999985</v>
      </c>
      <c r="R27" s="929">
        <f t="shared" si="4"/>
        <v>6660.32</v>
      </c>
      <c r="S27" s="929">
        <f t="shared" si="4"/>
        <v>8566.1541500000021</v>
      </c>
      <c r="T27" s="929">
        <f t="shared" si="4"/>
        <v>8854.860007999996</v>
      </c>
      <c r="U27" s="929"/>
    </row>
    <row r="28" spans="1:24">
      <c r="C28" s="930"/>
      <c r="D28" s="930"/>
      <c r="E28" s="930"/>
      <c r="F28" s="941"/>
      <c r="G28" s="942"/>
      <c r="H28" s="941"/>
      <c r="I28" s="938"/>
      <c r="J28" s="938"/>
      <c r="L28" s="932" t="s">
        <v>97</v>
      </c>
      <c r="M28" s="932"/>
      <c r="N28" s="919">
        <f>+Model!BV184</f>
        <v>5738</v>
      </c>
      <c r="O28" s="919">
        <f>+Model!CA184</f>
        <v>6764</v>
      </c>
      <c r="P28" s="919">
        <f>+Model!CP184</f>
        <v>7954</v>
      </c>
      <c r="Q28" s="919">
        <f>+Model!CU184</f>
        <v>8235.25</v>
      </c>
      <c r="R28" s="919">
        <f>+Model!CZ184</f>
        <v>8898.4755000000005</v>
      </c>
      <c r="S28" s="919">
        <f>+Model!DE184</f>
        <v>10030.080535000001</v>
      </c>
      <c r="T28" s="919">
        <f>+Model!DJ184</f>
        <v>10421.261239949999</v>
      </c>
      <c r="U28" s="919"/>
    </row>
    <row r="29" spans="1:24">
      <c r="C29" s="898" t="s">
        <v>313</v>
      </c>
      <c r="F29" s="937">
        <f>+G29</f>
        <v>15213</v>
      </c>
      <c r="G29" s="909">
        <f>R61</f>
        <v>15213</v>
      </c>
      <c r="H29" s="937">
        <f>+G29</f>
        <v>15213</v>
      </c>
      <c r="I29" s="938"/>
      <c r="J29" s="938"/>
      <c r="N29" s="897"/>
      <c r="O29" s="897"/>
      <c r="P29" s="1028"/>
      <c r="Q29" s="1028"/>
      <c r="R29" s="1028"/>
      <c r="S29" s="1028"/>
      <c r="T29" s="1028"/>
      <c r="U29" s="1028"/>
    </row>
    <row r="30" spans="1:24">
      <c r="C30" s="898" t="s">
        <v>314</v>
      </c>
      <c r="F30" s="937">
        <f>+G30</f>
        <v>-2170.551671431137</v>
      </c>
      <c r="G30" s="909">
        <f>-R59</f>
        <v>-2170.551671431137</v>
      </c>
      <c r="H30" s="937">
        <f>+G30</f>
        <v>-2170.551671431137</v>
      </c>
      <c r="I30" s="938"/>
      <c r="J30" s="938"/>
      <c r="L30" s="898" t="s">
        <v>384</v>
      </c>
      <c r="N30" s="897"/>
      <c r="O30" s="897"/>
      <c r="P30" s="943">
        <f>+Model!CF183</f>
        <v>0</v>
      </c>
      <c r="Q30" s="943">
        <f>+Model!CU183</f>
        <v>870</v>
      </c>
      <c r="R30" s="943">
        <f>+Model!CZ183</f>
        <v>870</v>
      </c>
      <c r="S30" s="943">
        <f>+Model!DE183</f>
        <v>0</v>
      </c>
      <c r="T30" s="943">
        <f>+Model!DJ183</f>
        <v>0</v>
      </c>
      <c r="U30" s="943"/>
    </row>
    <row r="31" spans="1:24" s="912" customFormat="1">
      <c r="A31" s="898"/>
      <c r="B31" s="898"/>
      <c r="C31" s="918" t="s">
        <v>316</v>
      </c>
      <c r="D31" s="898"/>
      <c r="E31" s="898"/>
      <c r="F31" s="929">
        <f>+SUM(F29:F30)</f>
        <v>13042.448328568862</v>
      </c>
      <c r="G31" s="929">
        <f>+SUM(G29:G30)</f>
        <v>13042.448328568862</v>
      </c>
      <c r="H31" s="929">
        <f>+SUM(H29:H30)</f>
        <v>13042.448328568862</v>
      </c>
      <c r="I31" s="938"/>
      <c r="J31" s="938"/>
      <c r="K31" s="898"/>
      <c r="L31" s="898" t="s">
        <v>142</v>
      </c>
      <c r="M31" s="898"/>
      <c r="N31" s="943">
        <f>+Model!BV191</f>
        <v>-443</v>
      </c>
      <c r="O31" s="943">
        <f>+Model!CA191</f>
        <v>-663</v>
      </c>
      <c r="P31" s="943">
        <f>+Model!CF191</f>
        <v>-651</v>
      </c>
      <c r="Q31" s="943">
        <f>+Model!CU191</f>
        <v>-691.24422351538954</v>
      </c>
      <c r="R31" s="943">
        <f>+Model!CZ191</f>
        <v>-674.89079432206677</v>
      </c>
      <c r="S31" s="943">
        <f>+Model!DE191</f>
        <v>-624.0544074967969</v>
      </c>
      <c r="T31" s="943">
        <f>+Model!DJ191</f>
        <v>-574.71802067152703</v>
      </c>
      <c r="U31" s="943"/>
      <c r="V31" s="1193"/>
      <c r="W31" s="898"/>
    </row>
    <row r="32" spans="1:24">
      <c r="G32" s="909"/>
      <c r="I32" s="938"/>
      <c r="J32" s="938"/>
      <c r="L32" s="898" t="s">
        <v>156</v>
      </c>
      <c r="N32" s="943">
        <f>+Model!BV195</f>
        <v>30</v>
      </c>
      <c r="O32" s="943">
        <f>+Model!CA195</f>
        <v>0</v>
      </c>
      <c r="P32" s="943">
        <f>+Model!CF195</f>
        <v>-1</v>
      </c>
      <c r="Q32" s="943">
        <f>+Model!CU195</f>
        <v>-870</v>
      </c>
      <c r="R32" s="943">
        <f>+Model!CZ195</f>
        <v>-870</v>
      </c>
      <c r="S32" s="943">
        <f>+Model!DE195</f>
        <v>0</v>
      </c>
      <c r="T32" s="943">
        <f>+Model!DJ195</f>
        <v>0</v>
      </c>
      <c r="U32" s="943"/>
      <c r="X32" s="1215"/>
    </row>
    <row r="33" spans="1:26 16384:16384">
      <c r="C33" s="934" t="s">
        <v>311</v>
      </c>
      <c r="D33" s="935"/>
      <c r="E33" s="935"/>
      <c r="F33" s="1031">
        <f>+F25/F34</f>
        <v>261.42961462987529</v>
      </c>
      <c r="G33" s="1031">
        <f>+G25/G34</f>
        <v>372.97424895322052</v>
      </c>
      <c r="H33" s="1032">
        <f>+H25/H34</f>
        <v>538.77725044269698</v>
      </c>
      <c r="I33" s="940"/>
      <c r="J33" s="940"/>
      <c r="L33" s="898" t="s">
        <v>317</v>
      </c>
      <c r="N33" s="943">
        <f>+Model!BV198</f>
        <v>1173</v>
      </c>
      <c r="O33" s="943">
        <f>+Model!CA198</f>
        <v>1133</v>
      </c>
      <c r="P33" s="943">
        <f>+Model!CF198</f>
        <v>1396</v>
      </c>
      <c r="Q33" s="943">
        <f>+Model!CU198</f>
        <v>917.21048200238397</v>
      </c>
      <c r="R33" s="943">
        <f>+Model!CZ198</f>
        <v>1017.5229649652487</v>
      </c>
      <c r="S33" s="943">
        <f>+Model!DE198</f>
        <v>1350.1569562255447</v>
      </c>
      <c r="T33" s="943">
        <f>+Model!DJ198</f>
        <v>1407.6241378458403</v>
      </c>
      <c r="U33" s="1028"/>
    </row>
    <row r="34" spans="1:26 16384:16384">
      <c r="A34" s="918"/>
      <c r="C34" s="930" t="s">
        <v>318</v>
      </c>
      <c r="D34" s="930"/>
      <c r="E34" s="930"/>
      <c r="F34" s="944">
        <f>+G34</f>
        <v>279.71376401390984</v>
      </c>
      <c r="G34" s="945">
        <f>+R36</f>
        <v>279.71376401390984</v>
      </c>
      <c r="H34" s="944">
        <f>+G34</f>
        <v>279.71376401390984</v>
      </c>
      <c r="I34" s="946"/>
      <c r="J34" s="946"/>
      <c r="N34" s="896"/>
      <c r="O34" s="896"/>
      <c r="P34" s="1028"/>
      <c r="Q34" s="1028"/>
      <c r="R34" s="1028"/>
      <c r="S34" s="1028"/>
      <c r="T34" s="1028"/>
      <c r="U34" s="948"/>
    </row>
    <row r="35" spans="1:26 16384:16384">
      <c r="A35" s="918"/>
      <c r="B35" s="912"/>
      <c r="H35" s="940"/>
      <c r="I35" s="940"/>
      <c r="J35" s="940"/>
      <c r="L35" s="918" t="s">
        <v>158</v>
      </c>
      <c r="N35" s="948">
        <f>+N27+N31+N32-N33</f>
        <v>3126</v>
      </c>
      <c r="O35" s="948">
        <f>+O27+O31+O32-O33</f>
        <v>3753</v>
      </c>
      <c r="P35" s="948">
        <f>+P27+P31+P32-P33+P30</f>
        <v>3865</v>
      </c>
      <c r="Q35" s="948">
        <f t="shared" ref="Q35:T35" si="5">+Q27+Q31+Q32-Q33+Q30</f>
        <v>4478.1452944822249</v>
      </c>
      <c r="R35" s="948">
        <f t="shared" si="5"/>
        <v>4967.9062407126848</v>
      </c>
      <c r="S35" s="948">
        <f t="shared" si="5"/>
        <v>6591.9427862776611</v>
      </c>
      <c r="T35" s="948">
        <f t="shared" si="5"/>
        <v>6872.5178494826287</v>
      </c>
      <c r="U35" s="909"/>
    </row>
    <row r="36" spans="1:26 16384:16384">
      <c r="B36" s="899" t="s">
        <v>319</v>
      </c>
      <c r="C36" s="900"/>
      <c r="D36" s="900"/>
      <c r="E36" s="902">
        <v>2016</v>
      </c>
      <c r="F36" s="903">
        <v>2017</v>
      </c>
      <c r="G36" s="903">
        <v>2018</v>
      </c>
      <c r="H36" s="903">
        <v>2019</v>
      </c>
      <c r="I36" s="903">
        <v>2020</v>
      </c>
      <c r="J36" s="903">
        <v>2021</v>
      </c>
      <c r="L36" s="898" t="s">
        <v>320</v>
      </c>
      <c r="N36" s="943">
        <f>+Model!BV226</f>
        <v>314.7</v>
      </c>
      <c r="O36" s="943">
        <f>+Model!CA226</f>
        <v>303.10000000000002</v>
      </c>
      <c r="P36" s="909">
        <f>+Model!CF226</f>
        <v>290.57500000000005</v>
      </c>
      <c r="Q36" s="909">
        <f>+Model!CU226</f>
        <v>284.11758660630761</v>
      </c>
      <c r="R36" s="909">
        <f>+Model!CZ226</f>
        <v>279.71376401390984</v>
      </c>
      <c r="S36" s="909">
        <f>+Model!DE226</f>
        <v>274.11948873363161</v>
      </c>
      <c r="T36" s="909">
        <f>+Model!DJ226</f>
        <v>269.32239768079307</v>
      </c>
      <c r="U36" s="949"/>
      <c r="V36" s="1275"/>
      <c r="W36" s="1276"/>
      <c r="X36" s="1276"/>
      <c r="Y36" s="1276"/>
      <c r="Z36" s="1276"/>
    </row>
    <row r="37" spans="1:26 16384:16384">
      <c r="B37" s="912"/>
      <c r="C37" s="898" t="s">
        <v>26</v>
      </c>
      <c r="D37"/>
      <c r="E37" s="950">
        <f t="shared" ref="E37:J41" si="6">+O9/N9-1</f>
        <v>0.14123314065510595</v>
      </c>
      <c r="F37" s="950">
        <f t="shared" si="6"/>
        <v>9.2351848725308106E-2</v>
      </c>
      <c r="G37" s="950">
        <f t="shared" si="6"/>
        <v>7.1612570839773237E-2</v>
      </c>
      <c r="H37" s="950">
        <f t="shared" si="6"/>
        <v>7.4999999999999956E-2</v>
      </c>
      <c r="I37" s="950">
        <f t="shared" si="6"/>
        <v>3.499999999999992E-2</v>
      </c>
      <c r="J37" s="950">
        <f t="shared" si="6"/>
        <v>0</v>
      </c>
      <c r="L37" s="918" t="s">
        <v>321</v>
      </c>
      <c r="M37" s="918"/>
      <c r="N37" s="949">
        <f t="shared" ref="N37:T37" si="7">+N35/N36</f>
        <v>9.933269780743565</v>
      </c>
      <c r="O37" s="949">
        <f t="shared" si="7"/>
        <v>12.382052128010557</v>
      </c>
      <c r="P37" s="949">
        <f t="shared" si="7"/>
        <v>13.301213111933233</v>
      </c>
      <c r="Q37" s="949">
        <f t="shared" si="7"/>
        <v>15.761591346640021</v>
      </c>
      <c r="R37" s="949">
        <f t="shared" si="7"/>
        <v>17.76067852158193</v>
      </c>
      <c r="S37" s="949">
        <f t="shared" si="7"/>
        <v>24.047698384127688</v>
      </c>
      <c r="T37" s="949">
        <f t="shared" si="7"/>
        <v>25.517810284861977</v>
      </c>
      <c r="U37" s="1141"/>
      <c r="V37" s="1275"/>
      <c r="W37" s="1275"/>
      <c r="X37" s="1275"/>
      <c r="Y37" s="1275"/>
      <c r="Z37" s="1275"/>
      <c r="XFD37" s="1275"/>
    </row>
    <row r="38" spans="1:26 16384:16384">
      <c r="C38" s="898" t="s">
        <v>340</v>
      </c>
      <c r="D38"/>
      <c r="E38" s="950">
        <f t="shared" si="6"/>
        <v>-2.3929098966026574E-2</v>
      </c>
      <c r="F38" s="950">
        <f t="shared" si="6"/>
        <v>0.10381355932203395</v>
      </c>
      <c r="G38" s="950">
        <f t="shared" si="6"/>
        <v>6.9372086646558806E-2</v>
      </c>
      <c r="H38" s="950">
        <f t="shared" si="6"/>
        <v>7.0000000000000062E-2</v>
      </c>
      <c r="I38" s="950">
        <f t="shared" si="6"/>
        <v>7.0000000000000062E-2</v>
      </c>
      <c r="J38" s="950">
        <f t="shared" si="6"/>
        <v>7.0000000000000062E-2</v>
      </c>
      <c r="K38" s="912"/>
      <c r="N38" s="942"/>
      <c r="O38" s="911"/>
      <c r="P38" s="911"/>
      <c r="Q38" s="1143"/>
      <c r="R38" s="1141"/>
      <c r="S38" s="1141"/>
      <c r="T38" s="1141"/>
    </row>
    <row r="39" spans="1:26 16384:16384">
      <c r="B39" s="912"/>
      <c r="C39" s="898" t="s">
        <v>284</v>
      </c>
      <c r="D39"/>
      <c r="E39" s="950">
        <f t="shared" si="6"/>
        <v>0.48080519194808047</v>
      </c>
      <c r="F39" s="950">
        <f t="shared" si="6"/>
        <v>1.4930916654286142E-2</v>
      </c>
      <c r="G39" s="950">
        <f t="shared" si="6"/>
        <v>2.7080436214594883E-3</v>
      </c>
      <c r="H39" s="950">
        <f t="shared" si="6"/>
        <v>5.0000000000000044E-2</v>
      </c>
      <c r="I39" s="950">
        <f t="shared" si="6"/>
        <v>5.0000000000000044E-2</v>
      </c>
      <c r="J39" s="950">
        <f t="shared" si="6"/>
        <v>5.0000000000000044E-2</v>
      </c>
      <c r="L39" s="906" t="s">
        <v>322</v>
      </c>
      <c r="N39" s="947"/>
      <c r="P39" s="947"/>
      <c r="Q39" s="947"/>
      <c r="R39" s="947"/>
      <c r="U39" s="929"/>
    </row>
    <row r="40" spans="1:26 16384:16384">
      <c r="B40" s="912"/>
      <c r="C40" s="898" t="s">
        <v>27</v>
      </c>
      <c r="D40"/>
      <c r="E40" s="950">
        <f t="shared" si="6"/>
        <v>3.3388248215266314E-2</v>
      </c>
      <c r="F40" s="950">
        <f t="shared" si="6"/>
        <v>2.125624402168147E-2</v>
      </c>
      <c r="G40" s="950">
        <f t="shared" si="6"/>
        <v>-6.3378083047143319E-2</v>
      </c>
      <c r="H40" s="950">
        <f t="shared" si="6"/>
        <v>5.0000000000000044E-2</v>
      </c>
      <c r="I40" s="950">
        <f t="shared" si="6"/>
        <v>5.0000000000000044E-2</v>
      </c>
      <c r="J40" s="950">
        <f t="shared" si="6"/>
        <v>5.0000000000000044E-2</v>
      </c>
      <c r="L40" s="918" t="s">
        <v>324</v>
      </c>
      <c r="M40" s="918"/>
      <c r="N40" s="929">
        <f>+Model!BV243</f>
        <v>5101</v>
      </c>
      <c r="O40" s="929">
        <f>+Model!CA243</f>
        <v>5189</v>
      </c>
      <c r="P40" s="929">
        <f>+Model!CP243</f>
        <v>6476</v>
      </c>
      <c r="Q40" s="929">
        <f>+Model!CU243</f>
        <v>3035.1903915823905</v>
      </c>
      <c r="R40" s="929">
        <f>+Model!CZ243</f>
        <v>6980.0783620365637</v>
      </c>
      <c r="S40" s="929">
        <f>+Model!DE243</f>
        <v>7787.4045494406892</v>
      </c>
      <c r="T40" s="929">
        <f>+Model!DJ243</f>
        <v>7578.260968759012</v>
      </c>
      <c r="U40" s="898"/>
      <c r="V40" s="1281"/>
    </row>
    <row r="41" spans="1:26 16384:16384">
      <c r="B41" s="912"/>
      <c r="C41" s="918" t="s">
        <v>323</v>
      </c>
      <c r="D41"/>
      <c r="E41" s="951">
        <f t="shared" si="6"/>
        <v>0.16558121176238405</v>
      </c>
      <c r="F41" s="951">
        <f t="shared" si="6"/>
        <v>5.7737893667456852E-2</v>
      </c>
      <c r="G41" s="951">
        <f t="shared" si="6"/>
        <v>2.6492716503921931E-2</v>
      </c>
      <c r="H41" s="951">
        <f t="shared" si="6"/>
        <v>6.317738791423011E-2</v>
      </c>
      <c r="I41" s="951">
        <f t="shared" si="6"/>
        <v>4.6910947727397678E-2</v>
      </c>
      <c r="J41" s="951">
        <f t="shared" si="6"/>
        <v>3.2862820157840034E-2</v>
      </c>
      <c r="P41" s="898"/>
      <c r="Q41" s="898"/>
      <c r="R41" s="898"/>
      <c r="S41" s="898"/>
      <c r="T41" s="898"/>
      <c r="U41" s="909"/>
    </row>
    <row r="42" spans="1:26 16384:16384">
      <c r="D42"/>
      <c r="E42" s="938"/>
      <c r="F42" s="938"/>
      <c r="G42" s="1041"/>
      <c r="H42" s="1041"/>
      <c r="I42" s="1041"/>
      <c r="J42" s="1041"/>
      <c r="K42" s="938"/>
      <c r="L42" s="898" t="s">
        <v>105</v>
      </c>
      <c r="N42" s="909">
        <f>+Model!BV244</f>
        <v>-939</v>
      </c>
      <c r="O42" s="909">
        <f>+Model!CA244</f>
        <v>-1063</v>
      </c>
      <c r="P42" s="909">
        <f>+Model!CP244</f>
        <v>-1177</v>
      </c>
      <c r="Q42" s="909">
        <f>+Model!CU244</f>
        <v>-1300</v>
      </c>
      <c r="R42" s="909">
        <f>+Model!CZ244</f>
        <v>-1300</v>
      </c>
      <c r="S42" s="909">
        <f>+Model!DE244</f>
        <v>-1300</v>
      </c>
      <c r="T42" s="909">
        <f>+Model!DJ244</f>
        <v>-1300</v>
      </c>
      <c r="U42" s="909"/>
    </row>
    <row r="43" spans="1:26 16384:16384">
      <c r="C43" s="898" t="s">
        <v>26</v>
      </c>
      <c r="D43"/>
      <c r="E43" s="950">
        <f t="shared" ref="E43:J47" si="8">+O17/O9</f>
        <v>0.10619618436603073</v>
      </c>
      <c r="F43" s="950">
        <f t="shared" si="8"/>
        <v>0.11210716125708398</v>
      </c>
      <c r="G43" s="950">
        <f t="shared" si="8"/>
        <v>0.107</v>
      </c>
      <c r="H43" s="950">
        <f t="shared" si="8"/>
        <v>0.11</v>
      </c>
      <c r="I43" s="950">
        <f t="shared" si="8"/>
        <v>0.11</v>
      </c>
      <c r="J43" s="950">
        <f t="shared" si="8"/>
        <v>0.11</v>
      </c>
      <c r="K43" s="938"/>
      <c r="L43" s="898" t="s">
        <v>156</v>
      </c>
      <c r="N43" s="909">
        <f t="shared" ref="N43:T43" si="9">+N44-N42</f>
        <v>-8795</v>
      </c>
      <c r="O43" s="909">
        <f t="shared" si="9"/>
        <v>78</v>
      </c>
      <c r="P43" s="909">
        <f t="shared" si="9"/>
        <v>30</v>
      </c>
      <c r="Q43" s="909">
        <f t="shared" si="9"/>
        <v>0</v>
      </c>
      <c r="R43" s="909">
        <f t="shared" si="9"/>
        <v>0</v>
      </c>
      <c r="S43" s="909">
        <f t="shared" si="9"/>
        <v>0</v>
      </c>
      <c r="T43" s="909">
        <f t="shared" si="9"/>
        <v>0</v>
      </c>
      <c r="U43" s="929"/>
    </row>
    <row r="44" spans="1:26 16384:16384" s="912" customFormat="1">
      <c r="A44" s="898"/>
      <c r="B44" s="898"/>
      <c r="C44" s="898" t="s">
        <v>340</v>
      </c>
      <c r="D44"/>
      <c r="E44" s="950">
        <f t="shared" si="8"/>
        <v>0.15405569007263922</v>
      </c>
      <c r="F44" s="950">
        <f t="shared" si="8"/>
        <v>0.1438168357554154</v>
      </c>
      <c r="G44" s="950">
        <f t="shared" si="8"/>
        <v>0.14000000000000001</v>
      </c>
      <c r="H44" s="950">
        <f t="shared" si="8"/>
        <v>0.14499999999999999</v>
      </c>
      <c r="I44" s="950">
        <f t="shared" si="8"/>
        <v>0.14499999999999999</v>
      </c>
      <c r="J44" s="950">
        <f t="shared" si="8"/>
        <v>0.14499999999999999</v>
      </c>
      <c r="K44" s="938"/>
      <c r="L44" s="918" t="s">
        <v>325</v>
      </c>
      <c r="N44" s="929">
        <f>+Model!BV252</f>
        <v>-9734</v>
      </c>
      <c r="O44" s="929">
        <f>+Model!CA252</f>
        <v>-985</v>
      </c>
      <c r="P44" s="929">
        <f>+Model!CP252</f>
        <v>-1147</v>
      </c>
      <c r="Q44" s="929">
        <f>+Model!CU252</f>
        <v>-1300</v>
      </c>
      <c r="R44" s="929">
        <f>+Model!CZ252</f>
        <v>-1300</v>
      </c>
      <c r="S44" s="929">
        <f>+Model!DE252</f>
        <v>-1300</v>
      </c>
      <c r="T44" s="929">
        <f>+Model!DJ252</f>
        <v>-1300</v>
      </c>
      <c r="U44" s="898"/>
      <c r="V44" s="1193"/>
      <c r="W44" s="937"/>
    </row>
    <row r="45" spans="1:26 16384:16384">
      <c r="A45" s="918"/>
      <c r="C45" s="898" t="s">
        <v>284</v>
      </c>
      <c r="D45"/>
      <c r="E45" s="950">
        <f t="shared" si="8"/>
        <v>6.7300549695439013E-2</v>
      </c>
      <c r="F45" s="950">
        <f t="shared" si="8"/>
        <v>6.6017712069091711E-2</v>
      </c>
      <c r="G45" s="950">
        <f t="shared" si="8"/>
        <v>7.4999999999999997E-2</v>
      </c>
      <c r="H45" s="950">
        <f t="shared" si="8"/>
        <v>0.08</v>
      </c>
      <c r="I45" s="950">
        <f t="shared" si="8"/>
        <v>8.5000000000000006E-2</v>
      </c>
      <c r="J45" s="950">
        <f t="shared" si="8"/>
        <v>0.09</v>
      </c>
      <c r="K45" s="938"/>
      <c r="P45" s="898"/>
      <c r="Q45" s="898"/>
      <c r="R45" s="898"/>
      <c r="S45" s="898"/>
      <c r="T45" s="898"/>
      <c r="U45" s="943"/>
    </row>
    <row r="46" spans="1:26 16384:16384">
      <c r="C46" s="898" t="s">
        <v>27</v>
      </c>
      <c r="D46"/>
      <c r="E46" s="950">
        <f t="shared" si="8"/>
        <v>0.13699649271973643</v>
      </c>
      <c r="F46" s="950">
        <f t="shared" si="8"/>
        <v>0.10198771984597772</v>
      </c>
      <c r="G46" s="950">
        <f t="shared" si="8"/>
        <v>0.109</v>
      </c>
      <c r="H46" s="950">
        <f t="shared" si="8"/>
        <v>0.11</v>
      </c>
      <c r="I46" s="950">
        <f t="shared" si="8"/>
        <v>0.10999999999999999</v>
      </c>
      <c r="J46" s="950">
        <f t="shared" si="8"/>
        <v>0.10999999999999999</v>
      </c>
      <c r="K46" s="938"/>
      <c r="L46" s="952" t="s">
        <v>327</v>
      </c>
      <c r="M46" s="896"/>
      <c r="N46" s="943">
        <f>+Model!BV255</f>
        <v>-3071</v>
      </c>
      <c r="O46" s="943">
        <f>+Model!CA255</f>
        <v>-2096</v>
      </c>
      <c r="P46" s="943">
        <f>+Model!CP255</f>
        <v>-2001</v>
      </c>
      <c r="Q46" s="943">
        <f>+Model!CU255</f>
        <v>-1743.2044203626078</v>
      </c>
      <c r="R46" s="943">
        <f>+Model!CZ255</f>
        <v>-2525.7961081292538</v>
      </c>
      <c r="S46" s="943">
        <f>+Model!DE255</f>
        <v>-3293.9220626617134</v>
      </c>
      <c r="T46" s="943">
        <f>+Model!DJ255</f>
        <v>-3243.5562493924322</v>
      </c>
      <c r="U46" s="943"/>
      <c r="V46" s="1195"/>
    </row>
    <row r="47" spans="1:26 16384:16384">
      <c r="B47" s="918"/>
      <c r="C47" s="918" t="s">
        <v>326</v>
      </c>
      <c r="D47"/>
      <c r="E47" s="951">
        <f t="shared" si="8"/>
        <v>0.10794107687097866</v>
      </c>
      <c r="F47" s="951">
        <f t="shared" si="8"/>
        <v>0.10218905074435729</v>
      </c>
      <c r="G47" s="951">
        <f t="shared" si="8"/>
        <v>0.10382261208576998</v>
      </c>
      <c r="H47" s="951">
        <f t="shared" si="8"/>
        <v>0.10744339121028217</v>
      </c>
      <c r="I47" s="951">
        <f t="shared" si="8"/>
        <v>0.10886078739296987</v>
      </c>
      <c r="J47" s="951">
        <f t="shared" si="8"/>
        <v>0.11029244917089856</v>
      </c>
      <c r="K47" s="938"/>
      <c r="L47" s="896" t="s">
        <v>253</v>
      </c>
      <c r="M47" s="896"/>
      <c r="N47" s="943">
        <f>+Model!BV257</f>
        <v>-1932</v>
      </c>
      <c r="O47" s="943">
        <f>+Model!CA257</f>
        <v>-2048</v>
      </c>
      <c r="P47" s="943">
        <f>+Model!CP257</f>
        <v>-2163</v>
      </c>
      <c r="Q47" s="943">
        <f>+Model!CU257</f>
        <v>-2386.1613742074283</v>
      </c>
      <c r="R47" s="943">
        <f>+Model!CZ257</f>
        <v>-2584.5551794885273</v>
      </c>
      <c r="S47" s="943">
        <f>+Model!DE257</f>
        <v>-2786.1504834886327</v>
      </c>
      <c r="T47" s="943">
        <f>+Model!DJ257</f>
        <v>-3011.1321350303401</v>
      </c>
      <c r="U47" s="943"/>
      <c r="W47" s="1199"/>
    </row>
    <row r="48" spans="1:26 16384:16384">
      <c r="B48" s="918"/>
      <c r="C48" s="918"/>
      <c r="D48"/>
      <c r="E48" s="951"/>
      <c r="F48" s="1042"/>
      <c r="G48" s="1042"/>
      <c r="H48" s="1042"/>
      <c r="I48" s="1042"/>
      <c r="J48" s="1042"/>
      <c r="K48" s="938"/>
      <c r="L48" s="896" t="s">
        <v>329</v>
      </c>
      <c r="M48" s="896"/>
      <c r="N48" s="943">
        <f>+Model!BV253+Model!BV254</f>
        <v>9101</v>
      </c>
      <c r="O48" s="943">
        <f>+Model!CA253+Model!CA254</f>
        <v>-952</v>
      </c>
      <c r="P48" s="943">
        <f>+Model!CP253+Model!CP254</f>
        <v>0</v>
      </c>
      <c r="Q48" s="943">
        <f>+Model!CU253+Model!CU254</f>
        <v>1250</v>
      </c>
      <c r="R48" s="943">
        <f>+Model!CZ253+Model!CZ254</f>
        <v>-300</v>
      </c>
      <c r="S48" s="943">
        <f>+Model!DE253+Model!DE254</f>
        <v>-300</v>
      </c>
      <c r="T48" s="943">
        <f>+Model!DJ253+Model!DJ254</f>
        <v>-300</v>
      </c>
      <c r="U48" s="943"/>
    </row>
    <row r="49" spans="2:26">
      <c r="B49" s="918"/>
      <c r="C49" s="918" t="s">
        <v>214</v>
      </c>
      <c r="D49"/>
      <c r="E49" s="951">
        <f t="shared" ref="E49:J49" si="10">+O27/O13</f>
        <v>0.11744412461903149</v>
      </c>
      <c r="F49" s="951">
        <f t="shared" si="10"/>
        <v>0.11831679206018889</v>
      </c>
      <c r="G49" s="951">
        <f t="shared" si="10"/>
        <v>0.11864717348927872</v>
      </c>
      <c r="H49" s="951">
        <f t="shared" si="10"/>
        <v>0.12211583946022259</v>
      </c>
      <c r="I49" s="951">
        <f t="shared" si="10"/>
        <v>0.15002134254250954</v>
      </c>
      <c r="J49" s="951">
        <f t="shared" si="10"/>
        <v>0.15014339001825089</v>
      </c>
      <c r="L49" s="896" t="s">
        <v>156</v>
      </c>
      <c r="M49" s="896"/>
      <c r="N49" s="943"/>
      <c r="O49" s="943"/>
      <c r="P49" s="943">
        <f>+P50-P46-P47-P48</f>
        <v>-141</v>
      </c>
      <c r="Q49" s="943">
        <f>+Q50-Q46-Q47-Q48</f>
        <v>92</v>
      </c>
      <c r="R49" s="943">
        <f>+R50-R46-R47-R48</f>
        <v>92</v>
      </c>
      <c r="S49" s="943">
        <f>+S50-S46-S47-S48</f>
        <v>92</v>
      </c>
      <c r="T49" s="943">
        <f>+T50-T46-T47-T48</f>
        <v>92</v>
      </c>
      <c r="U49" s="919"/>
      <c r="V49" s="1189"/>
    </row>
    <row r="50" spans="2:26">
      <c r="B50"/>
      <c r="C50" s="918" t="s">
        <v>328</v>
      </c>
      <c r="D50"/>
      <c r="E50" s="951">
        <f t="shared" ref="E50:J50" si="11">+O28/O13</f>
        <v>0.14315949881476464</v>
      </c>
      <c r="F50" s="951">
        <f t="shared" si="11"/>
        <v>0.15915639506963342</v>
      </c>
      <c r="G50" s="951">
        <f t="shared" si="11"/>
        <v>0.16053118908382066</v>
      </c>
      <c r="H50" s="951">
        <f t="shared" si="11"/>
        <v>0.163152041583396</v>
      </c>
      <c r="I50" s="951">
        <f t="shared" si="11"/>
        <v>0.17565947580691066</v>
      </c>
      <c r="J50" s="951">
        <f t="shared" si="11"/>
        <v>0.1767033571867051</v>
      </c>
      <c r="L50" s="932" t="s">
        <v>331</v>
      </c>
      <c r="M50" s="896"/>
      <c r="N50" s="919">
        <f>+Model!BV259</f>
        <v>4277</v>
      </c>
      <c r="O50" s="919">
        <f>+Model!CA259</f>
        <v>-3457</v>
      </c>
      <c r="P50" s="919">
        <f>+Model!CP259</f>
        <v>-4305</v>
      </c>
      <c r="Q50" s="919">
        <f>+Model!CU259</f>
        <v>-2787.3657945700361</v>
      </c>
      <c r="R50" s="919">
        <f>+Model!CZ259</f>
        <v>-5318.3512876177811</v>
      </c>
      <c r="S50" s="919">
        <f>+Model!DE259</f>
        <v>-6288.0725461503462</v>
      </c>
      <c r="T50" s="919">
        <f>+Model!DJ259</f>
        <v>-6462.6883844227723</v>
      </c>
      <c r="U50" s="898"/>
      <c r="V50" s="1194"/>
    </row>
    <row r="51" spans="2:26">
      <c r="J51" s="946"/>
      <c r="P51" s="898"/>
      <c r="Q51" s="898"/>
      <c r="R51" s="898"/>
      <c r="S51" s="898"/>
      <c r="T51" s="898"/>
      <c r="U51" s="1187"/>
      <c r="V51" s="1198"/>
    </row>
    <row r="52" spans="2:26">
      <c r="B52" s="899" t="s">
        <v>330</v>
      </c>
      <c r="C52" s="900"/>
      <c r="D52" s="900"/>
      <c r="E52" s="902">
        <v>2016</v>
      </c>
      <c r="F52" s="903">
        <v>2017</v>
      </c>
      <c r="G52" s="903">
        <v>2018</v>
      </c>
      <c r="H52" s="903">
        <v>2019</v>
      </c>
      <c r="I52" s="903">
        <v>2020</v>
      </c>
      <c r="J52" s="903">
        <v>2021</v>
      </c>
      <c r="L52" s="954" t="s">
        <v>254</v>
      </c>
      <c r="M52" s="955"/>
      <c r="N52" s="956">
        <f t="shared" ref="N52:T52" si="12">+N40+N42</f>
        <v>4162</v>
      </c>
      <c r="O52" s="956">
        <f t="shared" si="12"/>
        <v>4126</v>
      </c>
      <c r="P52" s="956">
        <f t="shared" si="12"/>
        <v>5299</v>
      </c>
      <c r="Q52" s="956">
        <f t="shared" si="12"/>
        <v>1735.1903915823905</v>
      </c>
      <c r="R52" s="956">
        <f t="shared" si="12"/>
        <v>5680.0783620365637</v>
      </c>
      <c r="S52" s="956">
        <f t="shared" si="12"/>
        <v>6487.4045494406892</v>
      </c>
      <c r="T52" s="957">
        <f t="shared" si="12"/>
        <v>6278.260968759012</v>
      </c>
      <c r="U52" s="959"/>
      <c r="V52" s="1199"/>
    </row>
    <row r="53" spans="2:26">
      <c r="C53" s="896" t="s">
        <v>332</v>
      </c>
      <c r="D53" s="896"/>
      <c r="E53" s="953">
        <f t="shared" ref="E53:J53" si="13">$G$10/O37</f>
        <v>27.820913402611247</v>
      </c>
      <c r="F53" s="953">
        <f t="shared" si="13"/>
        <v>25.898389650711522</v>
      </c>
      <c r="G53" s="953">
        <f t="shared" si="13"/>
        <v>21.855661171765792</v>
      </c>
      <c r="H53" s="953">
        <f t="shared" si="13"/>
        <v>19.395655384528489</v>
      </c>
      <c r="I53" s="953">
        <f t="shared" si="13"/>
        <v>14.324863631330668</v>
      </c>
      <c r="J53" s="953">
        <f t="shared" si="13"/>
        <v>13.499590919223863</v>
      </c>
      <c r="L53" s="958" t="s">
        <v>335</v>
      </c>
      <c r="M53" s="958"/>
      <c r="N53" s="959">
        <f t="shared" ref="N53:T53" si="14">+N52/N35</f>
        <v>1.3314139475367883</v>
      </c>
      <c r="O53" s="959">
        <f t="shared" si="14"/>
        <v>1.0993871569411138</v>
      </c>
      <c r="P53" s="959">
        <f t="shared" si="14"/>
        <v>1.3710219922380336</v>
      </c>
      <c r="Q53" s="959">
        <f t="shared" si="14"/>
        <v>0.38747969917823261</v>
      </c>
      <c r="R53" s="959">
        <f t="shared" si="14"/>
        <v>1.1433545817526767</v>
      </c>
      <c r="S53" s="959">
        <f t="shared" si="14"/>
        <v>0.98414151332523891</v>
      </c>
      <c r="T53" s="959">
        <f t="shared" si="14"/>
        <v>0.91353141690736339</v>
      </c>
      <c r="U53" s="960"/>
      <c r="V53" s="1197"/>
      <c r="W53" s="1142"/>
    </row>
    <row r="54" spans="2:26">
      <c r="C54" s="896" t="s">
        <v>333</v>
      </c>
      <c r="D54" s="896"/>
      <c r="E54" s="953">
        <f t="shared" ref="E54:J54" si="15">($G$10+(O61+-O59)/O36)/(O28/O36)</f>
        <v>17.276299231224129</v>
      </c>
      <c r="F54" s="953">
        <f t="shared" si="15"/>
        <v>13.923720895147097</v>
      </c>
      <c r="G54" s="953">
        <f t="shared" si="15"/>
        <v>13.548708495446828</v>
      </c>
      <c r="H54" s="953">
        <f t="shared" si="15"/>
        <v>12.294043598375982</v>
      </c>
      <c r="I54" s="953">
        <f t="shared" si="15"/>
        <v>10.665098593272655</v>
      </c>
      <c r="J54" s="953">
        <f t="shared" si="15"/>
        <v>10.095104697186022</v>
      </c>
      <c r="L54" s="912" t="s">
        <v>336</v>
      </c>
      <c r="N54" s="960">
        <f t="shared" ref="N54:T54" si="16">+N52/N36</f>
        <v>13.225293930727677</v>
      </c>
      <c r="O54" s="960">
        <f t="shared" si="16"/>
        <v>13.612669086110193</v>
      </c>
      <c r="P54" s="960">
        <f t="shared" si="16"/>
        <v>18.236255699905357</v>
      </c>
      <c r="Q54" s="960">
        <f t="shared" si="16"/>
        <v>6.1072966735663101</v>
      </c>
      <c r="R54" s="960">
        <f t="shared" si="16"/>
        <v>20.306753162687052</v>
      </c>
      <c r="S54" s="960">
        <f t="shared" si="16"/>
        <v>23.666338279744327</v>
      </c>
      <c r="T54" s="960">
        <f t="shared" si="16"/>
        <v>23.311321385903252</v>
      </c>
      <c r="U54" s="911"/>
      <c r="V54" s="1197"/>
    </row>
    <row r="55" spans="2:26">
      <c r="C55" s="896" t="s">
        <v>334</v>
      </c>
      <c r="D55" s="896"/>
      <c r="E55" s="950">
        <f t="shared" ref="E55:J55" si="17">(O52/O36)/$G$10</f>
        <v>3.9516573055359362E-2</v>
      </c>
      <c r="F55" s="950">
        <f t="shared" si="17"/>
        <v>5.2938503541295159E-2</v>
      </c>
      <c r="G55" s="950">
        <f t="shared" si="17"/>
        <v>1.7729031216808841E-2</v>
      </c>
      <c r="H55" s="950">
        <f t="shared" si="17"/>
        <v>5.8949004768599197E-2</v>
      </c>
      <c r="I55" s="950">
        <f t="shared" si="17"/>
        <v>6.8701632256573164E-2</v>
      </c>
      <c r="J55" s="950">
        <f t="shared" si="17"/>
        <v>6.7671044431906788E-2</v>
      </c>
      <c r="O55" s="937"/>
      <c r="P55" s="911"/>
      <c r="Q55" s="911"/>
      <c r="R55" s="911"/>
      <c r="S55" s="911"/>
      <c r="T55" s="911"/>
      <c r="U55" s="947"/>
      <c r="V55" s="1200"/>
    </row>
    <row r="56" spans="2:26">
      <c r="L56" s="1051" t="s">
        <v>356</v>
      </c>
      <c r="N56" s="947">
        <f t="shared" ref="N56:T56" si="18">-SUM(N46:N47)/N52</f>
        <v>1.2020663142719845</v>
      </c>
      <c r="O56" s="947">
        <f t="shared" si="18"/>
        <v>1.0043625787687833</v>
      </c>
      <c r="P56" s="947">
        <f t="shared" si="18"/>
        <v>0.78580864314021515</v>
      </c>
      <c r="Q56" s="947">
        <f t="shared" si="18"/>
        <v>2.3797767752761123</v>
      </c>
      <c r="R56" s="947">
        <f t="shared" si="18"/>
        <v>0.89969732139144121</v>
      </c>
      <c r="S56" s="947">
        <f t="shared" si="18"/>
        <v>0.93721186952562396</v>
      </c>
      <c r="T56" s="947">
        <f t="shared" si="18"/>
        <v>0.99624536405008679</v>
      </c>
    </row>
    <row r="57" spans="2:26">
      <c r="U57" s="898"/>
    </row>
    <row r="58" spans="2:26">
      <c r="L58" s="906" t="s">
        <v>23</v>
      </c>
      <c r="P58" s="898"/>
      <c r="Q58" s="898"/>
      <c r="R58" s="898"/>
      <c r="S58" s="898"/>
      <c r="T58" s="898"/>
      <c r="U58" s="909"/>
    </row>
    <row r="59" spans="2:26">
      <c r="L59" s="898" t="s">
        <v>314</v>
      </c>
      <c r="N59" s="909">
        <f>+Model!BV267</f>
        <v>1090</v>
      </c>
      <c r="O59" s="909">
        <f>+Model!CA267</f>
        <v>1837</v>
      </c>
      <c r="P59" s="909">
        <f>+Model!CP267</f>
        <v>2861</v>
      </c>
      <c r="Q59" s="909">
        <f>+Model!CU267</f>
        <v>1808.8245970123544</v>
      </c>
      <c r="R59" s="909">
        <f>+Model!CZ267</f>
        <v>2170.551671431137</v>
      </c>
      <c r="S59" s="909">
        <f>+Model!DE267</f>
        <v>2369.88367472148</v>
      </c>
      <c r="T59" s="909">
        <f>+Model!DJ267</f>
        <v>2185.4562590577198</v>
      </c>
      <c r="V59" s="1304"/>
      <c r="W59" s="1304"/>
      <c r="X59" s="1304"/>
      <c r="Y59" s="1304"/>
      <c r="Z59" s="1304"/>
    </row>
    <row r="60" spans="2:26">
      <c r="O60" s="905"/>
      <c r="U60" s="909"/>
      <c r="V60" s="1305"/>
      <c r="W60" s="1305"/>
      <c r="X60" s="1305"/>
      <c r="Y60" s="1305"/>
      <c r="Z60" s="1305"/>
    </row>
    <row r="61" spans="2:26">
      <c r="K61" s="961"/>
      <c r="L61" s="898" t="s">
        <v>337</v>
      </c>
      <c r="N61" s="909">
        <f>+Model!BV291</f>
        <v>14305</v>
      </c>
      <c r="O61" s="909">
        <f>+Model!CA291</f>
        <v>14282</v>
      </c>
      <c r="P61" s="909">
        <f>+Model!CP291</f>
        <v>13513</v>
      </c>
      <c r="Q61" s="909">
        <f>+Model!CU291</f>
        <v>15513</v>
      </c>
      <c r="R61" s="909">
        <f>+Model!CZ291</f>
        <v>15213</v>
      </c>
      <c r="S61" s="909">
        <f>+Model!DE291</f>
        <v>14913</v>
      </c>
      <c r="T61" s="909">
        <f>+Model!DJ291</f>
        <v>14613</v>
      </c>
      <c r="U61" s="937"/>
      <c r="V61" s="1304"/>
      <c r="W61" s="1304"/>
      <c r="X61" s="1304"/>
      <c r="Y61" s="1304"/>
      <c r="Z61" s="1304"/>
    </row>
    <row r="62" spans="2:26">
      <c r="L62" s="936" t="s">
        <v>316</v>
      </c>
      <c r="N62" s="937">
        <f t="shared" ref="N62:T62" si="19">+N61-N59</f>
        <v>13215</v>
      </c>
      <c r="O62" s="937">
        <f t="shared" si="19"/>
        <v>12445</v>
      </c>
      <c r="P62" s="937">
        <f t="shared" si="19"/>
        <v>10652</v>
      </c>
      <c r="Q62" s="937">
        <f t="shared" si="19"/>
        <v>13704.175402987647</v>
      </c>
      <c r="R62" s="937">
        <f t="shared" si="19"/>
        <v>13042.448328568862</v>
      </c>
      <c r="S62" s="937">
        <f t="shared" si="19"/>
        <v>12543.116325278519</v>
      </c>
      <c r="T62" s="937">
        <f t="shared" si="19"/>
        <v>12427.543740942281</v>
      </c>
      <c r="U62" s="937"/>
      <c r="V62" s="1306"/>
      <c r="W62" s="1306"/>
      <c r="X62" s="1306"/>
      <c r="Y62" s="1306"/>
      <c r="Z62" s="1306"/>
    </row>
    <row r="63" spans="2:26">
      <c r="Q63" s="937"/>
      <c r="R63" s="937"/>
      <c r="S63" s="937"/>
      <c r="T63" s="937"/>
      <c r="U63" s="962"/>
      <c r="V63" s="1305"/>
      <c r="W63" s="1306"/>
      <c r="X63" s="1306"/>
      <c r="Y63" s="1306"/>
      <c r="Z63" s="1306"/>
    </row>
    <row r="64" spans="2:26">
      <c r="L64" s="898" t="s">
        <v>338</v>
      </c>
      <c r="N64" s="962">
        <f t="shared" ref="N64:T64" si="20">(N61-N59)/N28</f>
        <v>2.3030672708260718</v>
      </c>
      <c r="O64" s="962">
        <f t="shared" si="20"/>
        <v>1.8398876404494382</v>
      </c>
      <c r="P64" s="962">
        <f t="shared" si="20"/>
        <v>1.3392004023133015</v>
      </c>
      <c r="Q64" s="962">
        <f t="shared" si="20"/>
        <v>1.6640873565450529</v>
      </c>
      <c r="R64" s="962">
        <f t="shared" si="20"/>
        <v>1.465694694396682</v>
      </c>
      <c r="S64" s="962">
        <f t="shared" si="20"/>
        <v>1.2505499114896705</v>
      </c>
      <c r="T64" s="962">
        <f t="shared" si="20"/>
        <v>1.1925182043514253</v>
      </c>
      <c r="U64" s="962"/>
      <c r="V64" s="1274"/>
      <c r="W64" s="1274"/>
      <c r="X64" s="1274"/>
      <c r="Y64" s="1274"/>
      <c r="Z64" s="1274"/>
    </row>
    <row r="65" spans="12:26">
      <c r="L65" s="936" t="s">
        <v>339</v>
      </c>
      <c r="N65" s="962">
        <f t="shared" ref="N65:T65" si="21">(N61)/N28</f>
        <v>2.493028929940746</v>
      </c>
      <c r="O65" s="962">
        <f t="shared" si="21"/>
        <v>2.1114725014784153</v>
      </c>
      <c r="P65" s="962">
        <f t="shared" si="21"/>
        <v>1.6988936384209203</v>
      </c>
      <c r="Q65" s="962">
        <f t="shared" si="21"/>
        <v>1.8837315199902858</v>
      </c>
      <c r="R65" s="962">
        <f t="shared" si="21"/>
        <v>1.7096186869312613</v>
      </c>
      <c r="S65" s="962">
        <f t="shared" si="21"/>
        <v>1.4868275432047664</v>
      </c>
      <c r="T65" s="962">
        <f t="shared" si="21"/>
        <v>1.4022295059623813</v>
      </c>
      <c r="V65" s="1274"/>
      <c r="W65" s="1274"/>
      <c r="X65" s="1274"/>
      <c r="Y65" s="1274"/>
      <c r="Z65" s="1274"/>
    </row>
    <row r="69" spans="12:26">
      <c r="U69" s="963"/>
    </row>
    <row r="70" spans="12:26">
      <c r="N70" s="963"/>
      <c r="O70" s="963"/>
      <c r="P70" s="963"/>
      <c r="Q70" s="963"/>
      <c r="R70" s="963"/>
      <c r="S70" s="963"/>
      <c r="T70" s="963"/>
      <c r="U70" s="910"/>
    </row>
    <row r="71" spans="12:26">
      <c r="N71" s="910"/>
      <c r="O71" s="910"/>
      <c r="P71" s="910"/>
      <c r="Q71" s="910"/>
      <c r="R71" s="910"/>
      <c r="S71" s="910"/>
      <c r="T71" s="910"/>
      <c r="U71" s="947"/>
    </row>
    <row r="72" spans="12:26">
      <c r="N72" s="947"/>
      <c r="O72" s="947"/>
      <c r="P72" s="947"/>
      <c r="Q72" s="947"/>
      <c r="R72" s="947"/>
      <c r="S72" s="947"/>
      <c r="T72" s="947"/>
    </row>
    <row r="87" spans="14:15">
      <c r="N87" s="909"/>
      <c r="O87" s="909"/>
    </row>
    <row r="88" spans="14:15">
      <c r="N88" s="909"/>
      <c r="O88" s="909"/>
    </row>
    <row r="92" spans="14:15">
      <c r="N92" s="909"/>
      <c r="O92" s="909"/>
    </row>
    <row r="100" spans="14:15">
      <c r="N100" s="909"/>
      <c r="O100" s="909"/>
    </row>
  </sheetData>
  <pageMargins left="0" right="0" top="0" bottom="0" header="0" footer="0"/>
  <pageSetup scale="74" orientation="landscape"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enableFormatConditionsCalculation="0">
    <tabColor indexed="18"/>
  </sheetPr>
  <dimension ref="A1:GD339"/>
  <sheetViews>
    <sheetView showGridLines="0" zoomScaleNormal="100" zoomScaleSheetLayoutView="50" workbookViewId="0">
      <pane xSplit="1" ySplit="1" topLeftCell="CA2" activePane="bottomRight" state="frozen"/>
      <selection activeCell="CR7" sqref="CR7:CT9"/>
      <selection pane="topRight" activeCell="CR7" sqref="CR7:CT9"/>
      <selection pane="bottomLeft" activeCell="CR7" sqref="CR7:CT9"/>
      <selection pane="bottomRight" activeCell="CQ1" sqref="CQ1"/>
    </sheetView>
  </sheetViews>
  <sheetFormatPr defaultRowHeight="12.75" outlineLevelRow="1" outlineLevelCol="1"/>
  <cols>
    <col min="1" max="1" width="39.28515625" style="3" customWidth="1"/>
    <col min="2" max="6" width="9.5703125" style="51" hidden="1" customWidth="1" outlineLevel="1"/>
    <col min="7" max="7" width="9.5703125" style="51" customWidth="1" collapsed="1"/>
    <col min="8" max="10" width="9.28515625" style="3" hidden="1" customWidth="1" outlineLevel="1"/>
    <col min="11" max="11" width="9.28515625" style="53" hidden="1" customWidth="1" outlineLevel="1"/>
    <col min="12" max="12" width="9.5703125" style="51" customWidth="1" collapsed="1"/>
    <col min="13" max="15" width="9.28515625" style="3" hidden="1" customWidth="1" outlineLevel="1"/>
    <col min="16" max="16" width="9.28515625" style="53" hidden="1" customWidth="1" outlineLevel="1"/>
    <col min="17" max="17" width="9.5703125" style="51" customWidth="1" collapsed="1"/>
    <col min="18" max="20" width="9.28515625" style="3" hidden="1" customWidth="1" outlineLevel="1"/>
    <col min="21" max="21" width="10.140625" style="53" hidden="1" customWidth="1" outlineLevel="1"/>
    <col min="22" max="22" width="9.5703125" style="51" customWidth="1" collapsed="1"/>
    <col min="23" max="25" width="9.28515625" style="3" hidden="1" customWidth="1" outlineLevel="1"/>
    <col min="26" max="26" width="10.140625" style="53" hidden="1" customWidth="1" outlineLevel="1"/>
    <col min="27" max="27" width="9.5703125" style="51" customWidth="1" collapsed="1"/>
    <col min="28" max="30" width="10" style="3" hidden="1" customWidth="1" outlineLevel="1"/>
    <col min="31" max="31" width="10" style="53" hidden="1" customWidth="1" outlineLevel="1"/>
    <col min="32" max="32" width="9.5703125" style="51" customWidth="1" collapsed="1"/>
    <col min="33" max="33" width="10" style="3" hidden="1" customWidth="1" outlineLevel="1" collapsed="1"/>
    <col min="34" max="35" width="10" style="3" hidden="1" customWidth="1" outlineLevel="1"/>
    <col min="36" max="36" width="10" style="53" hidden="1" customWidth="1" outlineLevel="1"/>
    <col min="37" max="37" width="9.5703125" style="51" customWidth="1" collapsed="1"/>
    <col min="38" max="40" width="10" style="3" hidden="1" customWidth="1" outlineLevel="1"/>
    <col min="41" max="41" width="10" style="53" hidden="1" customWidth="1" outlineLevel="1"/>
    <col min="42" max="42" width="9.5703125" style="51" customWidth="1" collapsed="1"/>
    <col min="43" max="43" width="9.5703125" style="52" hidden="1" customWidth="1" outlineLevel="1"/>
    <col min="44" max="45" width="9.5703125" style="53" hidden="1" customWidth="1" outlineLevel="1"/>
    <col min="46" max="46" width="9.5703125" style="54" hidden="1" customWidth="1" outlineLevel="1"/>
    <col min="47" max="47" width="9.85546875" style="51" customWidth="1" collapsed="1"/>
    <col min="48" max="50" width="9.5703125" style="53" hidden="1" customWidth="1" outlineLevel="1"/>
    <col min="51" max="51" width="9.5703125" style="54" hidden="1" customWidth="1" outlineLevel="1"/>
    <col min="52" max="52" width="9.85546875" style="51" customWidth="1" collapsed="1"/>
    <col min="53" max="53" width="9.5703125" style="51" customWidth="1"/>
    <col min="54" max="56" width="9.5703125" style="53" hidden="1" customWidth="1" outlineLevel="1"/>
    <col min="57" max="57" width="9.5703125" style="54" hidden="1" customWidth="1" outlineLevel="1"/>
    <col min="58" max="58" width="9.5703125" style="51" customWidth="1" collapsed="1"/>
    <col min="59" max="61" width="9.5703125" style="53" hidden="1" customWidth="1" outlineLevel="1"/>
    <col min="62" max="62" width="9.5703125" style="54" hidden="1" customWidth="1" outlineLevel="1"/>
    <col min="63" max="63" width="9.5703125" style="51" customWidth="1" collapsed="1"/>
    <col min="64" max="66" width="9.5703125" style="53" hidden="1" customWidth="1" outlineLevel="1"/>
    <col min="67" max="67" width="9.5703125" style="54" hidden="1" customWidth="1" outlineLevel="1"/>
    <col min="68" max="68" width="10.85546875" style="51" customWidth="1" collapsed="1"/>
    <col min="69" max="69" width="9.5703125" style="51" customWidth="1"/>
    <col min="70" max="72" width="9.5703125" style="53" hidden="1" customWidth="1" outlineLevel="1"/>
    <col min="73" max="73" width="9.5703125" style="54" hidden="1" customWidth="1" outlineLevel="1"/>
    <col min="74" max="74" width="9.5703125" style="51" customWidth="1" collapsed="1"/>
    <col min="75" max="77" width="9.5703125" style="53" hidden="1" customWidth="1" outlineLevel="1"/>
    <col min="78" max="78" width="9.5703125" style="54" hidden="1" customWidth="1" outlineLevel="1"/>
    <col min="79" max="79" width="9.85546875" style="51" customWidth="1" collapsed="1"/>
    <col min="80" max="82" width="9.5703125" style="53" hidden="1" customWidth="1" outlineLevel="1"/>
    <col min="83" max="83" width="9.5703125" style="54" hidden="1" customWidth="1" outlineLevel="1"/>
    <col min="84" max="84" width="9.85546875" style="51" customWidth="1" collapsed="1"/>
    <col min="85" max="87" width="9.5703125" style="53" hidden="1" customWidth="1" outlineLevel="1"/>
    <col min="88" max="88" width="9.5703125" style="54" hidden="1" customWidth="1" outlineLevel="1"/>
    <col min="89" max="89" width="9.85546875" style="51" customWidth="1" collapsed="1"/>
    <col min="90" max="92" width="9.5703125" style="53" hidden="1" customWidth="1" outlineLevel="1"/>
    <col min="93" max="93" width="9.5703125" style="54" hidden="1" customWidth="1" outlineLevel="1"/>
    <col min="94" max="94" width="9.85546875" style="51" customWidth="1" collapsed="1"/>
    <col min="95" max="97" width="9.5703125" style="53" customWidth="1" outlineLevel="1"/>
    <col min="98" max="98" width="9.5703125" style="54" customWidth="1" outlineLevel="1"/>
    <col min="99" max="99" width="9.85546875" style="51" customWidth="1"/>
    <col min="100" max="102" width="9.5703125" style="53" hidden="1" customWidth="1" outlineLevel="1"/>
    <col min="103" max="103" width="9.5703125" style="54" hidden="1" customWidth="1" outlineLevel="1"/>
    <col min="104" max="104" width="9.85546875" style="51" customWidth="1" collapsed="1"/>
    <col min="105" max="107" width="9.5703125" style="53" hidden="1" customWidth="1" outlineLevel="1"/>
    <col min="108" max="108" width="9.5703125" style="54" hidden="1" customWidth="1" outlineLevel="1"/>
    <col min="109" max="109" width="9.85546875" style="51" customWidth="1" collapsed="1"/>
    <col min="110" max="112" width="9.5703125" style="53" hidden="1" customWidth="1" outlineLevel="1"/>
    <col min="113" max="113" width="9.5703125" style="54" hidden="1" customWidth="1" outlineLevel="1"/>
    <col min="114" max="114" width="9.85546875" style="51" customWidth="1" collapsed="1"/>
    <col min="115" max="115" width="1.7109375" style="438" customWidth="1"/>
    <col min="116" max="116" width="1.7109375" style="1296" customWidth="1"/>
    <col min="117" max="119" width="1.7109375" style="1100" customWidth="1"/>
    <col min="120" max="120" width="10.5703125" style="1055" bestFit="1" customWidth="1"/>
    <col min="121" max="122" width="10.28515625" style="1055" customWidth="1"/>
    <col min="123" max="128" width="9.42578125" style="1100" customWidth="1"/>
    <col min="129" max="129" width="1.7109375" style="439" customWidth="1"/>
    <col min="130" max="131" width="9.140625" style="398"/>
    <col min="132" max="132" width="19.28515625" customWidth="1"/>
    <col min="133" max="133" width="4.85546875" bestFit="1" customWidth="1"/>
    <col min="134" max="134" width="12.28515625" customWidth="1"/>
    <col min="135" max="135" width="7" bestFit="1" customWidth="1"/>
    <col min="138" max="16384" width="9.140625" style="364"/>
  </cols>
  <sheetData>
    <row r="1" spans="1:137" s="395" customFormat="1" ht="45">
      <c r="A1" s="78" t="s">
        <v>125</v>
      </c>
      <c r="B1" s="79" t="s">
        <v>46</v>
      </c>
      <c r="C1" s="79" t="s">
        <v>47</v>
      </c>
      <c r="D1" s="79" t="s">
        <v>48</v>
      </c>
      <c r="E1" s="79" t="s">
        <v>100</v>
      </c>
      <c r="F1" s="79" t="s">
        <v>101</v>
      </c>
      <c r="G1" s="79" t="s">
        <v>102</v>
      </c>
      <c r="H1" s="77" t="s">
        <v>49</v>
      </c>
      <c r="I1" s="77" t="s">
        <v>50</v>
      </c>
      <c r="J1" s="77" t="s">
        <v>51</v>
      </c>
      <c r="K1" s="77" t="s">
        <v>52</v>
      </c>
      <c r="L1" s="79" t="s">
        <v>139</v>
      </c>
      <c r="M1" s="77" t="s">
        <v>49</v>
      </c>
      <c r="N1" s="77" t="s">
        <v>50</v>
      </c>
      <c r="O1" s="77" t="s">
        <v>51</v>
      </c>
      <c r="P1" s="77" t="s">
        <v>52</v>
      </c>
      <c r="Q1" s="79" t="s">
        <v>150</v>
      </c>
      <c r="R1" s="77" t="s">
        <v>49</v>
      </c>
      <c r="S1" s="77" t="s">
        <v>50</v>
      </c>
      <c r="T1" s="77" t="s">
        <v>51</v>
      </c>
      <c r="U1" s="77" t="s">
        <v>52</v>
      </c>
      <c r="V1" s="79" t="s">
        <v>211</v>
      </c>
      <c r="W1" s="77" t="s">
        <v>49</v>
      </c>
      <c r="X1" s="77" t="s">
        <v>50</v>
      </c>
      <c r="Y1" s="77" t="s">
        <v>51</v>
      </c>
      <c r="Z1" s="77" t="s">
        <v>52</v>
      </c>
      <c r="AA1" s="580" t="s">
        <v>80</v>
      </c>
      <c r="AB1" s="77" t="s">
        <v>49</v>
      </c>
      <c r="AC1" s="77" t="s">
        <v>50</v>
      </c>
      <c r="AD1" s="77" t="s">
        <v>51</v>
      </c>
      <c r="AE1" s="77" t="s">
        <v>52</v>
      </c>
      <c r="AF1" s="580" t="s">
        <v>24</v>
      </c>
      <c r="AG1" s="77" t="s">
        <v>49</v>
      </c>
      <c r="AH1" s="77" t="s">
        <v>50</v>
      </c>
      <c r="AI1" s="77" t="s">
        <v>51</v>
      </c>
      <c r="AJ1" s="77" t="s">
        <v>52</v>
      </c>
      <c r="AK1" s="580" t="s">
        <v>104</v>
      </c>
      <c r="AL1" s="77" t="s">
        <v>49</v>
      </c>
      <c r="AM1" s="77" t="s">
        <v>50</v>
      </c>
      <c r="AN1" s="77" t="s">
        <v>51</v>
      </c>
      <c r="AO1" s="77" t="s">
        <v>52</v>
      </c>
      <c r="AP1" s="580" t="s">
        <v>273</v>
      </c>
      <c r="AQ1" s="581" t="s">
        <v>49</v>
      </c>
      <c r="AR1" s="582" t="s">
        <v>50</v>
      </c>
      <c r="AS1" s="582" t="s">
        <v>51</v>
      </c>
      <c r="AT1" s="77" t="s">
        <v>52</v>
      </c>
      <c r="AU1" s="580" t="s">
        <v>278</v>
      </c>
      <c r="AV1" s="581" t="s">
        <v>49</v>
      </c>
      <c r="AW1" s="582" t="s">
        <v>50</v>
      </c>
      <c r="AX1" s="582" t="s">
        <v>51</v>
      </c>
      <c r="AY1" s="583" t="s">
        <v>52</v>
      </c>
      <c r="AZ1" s="580" t="s">
        <v>281</v>
      </c>
      <c r="BA1" s="1233" t="s">
        <v>379</v>
      </c>
      <c r="BB1" s="581" t="s">
        <v>49</v>
      </c>
      <c r="BC1" s="582" t="s">
        <v>50</v>
      </c>
      <c r="BD1" s="582" t="s">
        <v>51</v>
      </c>
      <c r="BE1" s="583" t="s">
        <v>52</v>
      </c>
      <c r="BF1" s="1233" t="s">
        <v>378</v>
      </c>
      <c r="BG1" s="581" t="s">
        <v>49</v>
      </c>
      <c r="BH1" s="582" t="s">
        <v>50</v>
      </c>
      <c r="BI1" s="582" t="s">
        <v>51</v>
      </c>
      <c r="BJ1" s="583" t="s">
        <v>52</v>
      </c>
      <c r="BK1" s="1233" t="s">
        <v>377</v>
      </c>
      <c r="BL1" s="581" t="s">
        <v>49</v>
      </c>
      <c r="BM1" s="582" t="s">
        <v>50</v>
      </c>
      <c r="BN1" s="582"/>
      <c r="BO1" s="583"/>
      <c r="BP1" s="1234" t="s">
        <v>381</v>
      </c>
      <c r="BQ1" s="1233" t="s">
        <v>378</v>
      </c>
      <c r="BR1" s="581" t="s">
        <v>49</v>
      </c>
      <c r="BS1" s="582" t="s">
        <v>50</v>
      </c>
      <c r="BT1" s="582" t="s">
        <v>51</v>
      </c>
      <c r="BU1" s="583" t="s">
        <v>52</v>
      </c>
      <c r="BV1" s="1233" t="s">
        <v>377</v>
      </c>
      <c r="BW1" s="581" t="s">
        <v>49</v>
      </c>
      <c r="BX1" s="582" t="s">
        <v>50</v>
      </c>
      <c r="BY1" s="582" t="s">
        <v>51</v>
      </c>
      <c r="BZ1" s="583" t="s">
        <v>52</v>
      </c>
      <c r="CA1" s="1233" t="s">
        <v>380</v>
      </c>
      <c r="CB1" s="581" t="s">
        <v>49</v>
      </c>
      <c r="CC1" s="582" t="s">
        <v>50</v>
      </c>
      <c r="CD1" s="582" t="s">
        <v>51</v>
      </c>
      <c r="CE1" s="583" t="s">
        <v>52</v>
      </c>
      <c r="CF1" s="1213">
        <v>2017</v>
      </c>
      <c r="CG1" s="581" t="s">
        <v>49</v>
      </c>
      <c r="CH1" s="582" t="s">
        <v>50</v>
      </c>
      <c r="CI1" s="582" t="s">
        <v>51</v>
      </c>
      <c r="CJ1" s="583" t="s">
        <v>52</v>
      </c>
      <c r="CK1" s="1236" t="s">
        <v>382</v>
      </c>
      <c r="CL1" s="581" t="s">
        <v>49</v>
      </c>
      <c r="CM1" s="582" t="s">
        <v>50</v>
      </c>
      <c r="CN1" s="582" t="s">
        <v>51</v>
      </c>
      <c r="CO1" s="583" t="s">
        <v>52</v>
      </c>
      <c r="CP1" s="1236" t="s">
        <v>383</v>
      </c>
      <c r="CQ1" s="581" t="s">
        <v>409</v>
      </c>
      <c r="CR1" s="582" t="s">
        <v>410</v>
      </c>
      <c r="CS1" s="582" t="s">
        <v>411</v>
      </c>
      <c r="CT1" s="583" t="s">
        <v>412</v>
      </c>
      <c r="CU1" s="580" t="s">
        <v>282</v>
      </c>
      <c r="CV1" s="582"/>
      <c r="CW1" s="582"/>
      <c r="CX1" s="582"/>
      <c r="CY1" s="583"/>
      <c r="CZ1" s="580" t="s">
        <v>283</v>
      </c>
      <c r="DA1" s="582"/>
      <c r="DB1" s="582"/>
      <c r="DC1" s="582"/>
      <c r="DD1" s="583"/>
      <c r="DE1" s="580" t="s">
        <v>343</v>
      </c>
      <c r="DF1" s="582"/>
      <c r="DG1" s="582"/>
      <c r="DH1" s="582"/>
      <c r="DI1" s="583"/>
      <c r="DJ1" s="580" t="s">
        <v>344</v>
      </c>
      <c r="DK1" s="392"/>
      <c r="DL1" s="393" t="s">
        <v>44</v>
      </c>
      <c r="DM1" s="394"/>
      <c r="DN1" s="394"/>
      <c r="DO1" s="394"/>
      <c r="DP1" s="1052"/>
      <c r="DQ1" s="1052"/>
      <c r="DR1" s="1052"/>
      <c r="DS1" s="394"/>
      <c r="DT1" s="394"/>
      <c r="DU1" s="394"/>
      <c r="DV1" s="394"/>
      <c r="DW1" s="394"/>
      <c r="DX1" s="394"/>
      <c r="DY1" s="394"/>
      <c r="DZ1" s="328"/>
      <c r="EA1" s="328"/>
      <c r="EB1"/>
      <c r="EC1"/>
      <c r="ED1"/>
      <c r="EE1"/>
      <c r="EF1"/>
      <c r="EG1"/>
    </row>
    <row r="2" spans="1:137" s="362" customFormat="1" ht="12" customHeight="1">
      <c r="A2" s="71" t="s">
        <v>45</v>
      </c>
      <c r="B2" s="76"/>
      <c r="C2" s="76"/>
      <c r="D2" s="76"/>
      <c r="E2" s="76"/>
      <c r="F2" s="76"/>
      <c r="G2" s="76" t="s">
        <v>6</v>
      </c>
      <c r="H2" s="74"/>
      <c r="I2" s="72"/>
      <c r="J2" s="72"/>
      <c r="K2" s="74"/>
      <c r="L2" s="76"/>
      <c r="M2" s="72"/>
      <c r="N2" s="72"/>
      <c r="O2" s="72"/>
      <c r="P2" s="74"/>
      <c r="Q2" s="76"/>
      <c r="R2" s="72"/>
      <c r="S2" s="72"/>
      <c r="T2" s="72"/>
      <c r="U2" s="74"/>
      <c r="V2" s="76"/>
      <c r="W2" s="72"/>
      <c r="X2" s="72"/>
      <c r="Y2" s="72"/>
      <c r="Z2" s="74"/>
      <c r="AA2" s="76"/>
      <c r="AB2" s="72"/>
      <c r="AC2" s="72"/>
      <c r="AD2" s="72"/>
      <c r="AE2" s="74"/>
      <c r="AF2" s="76"/>
      <c r="AG2" s="72"/>
      <c r="AH2" s="72"/>
      <c r="AI2" s="72"/>
      <c r="AJ2" s="74"/>
      <c r="AK2" s="76"/>
      <c r="AL2" s="72"/>
      <c r="AM2" s="72"/>
      <c r="AN2" s="72"/>
      <c r="AO2" s="74"/>
      <c r="AP2" s="76"/>
      <c r="AQ2" s="73"/>
      <c r="AR2" s="74"/>
      <c r="AS2" s="74"/>
      <c r="AT2" s="74"/>
      <c r="AU2" s="76"/>
      <c r="AV2" s="73"/>
      <c r="AW2" s="74"/>
      <c r="AX2" s="74"/>
      <c r="AY2" s="75"/>
      <c r="AZ2" s="76"/>
      <c r="BA2" s="76"/>
      <c r="BB2" s="73"/>
      <c r="BC2" s="74"/>
      <c r="BD2" s="74"/>
      <c r="BE2" s="75"/>
      <c r="BF2" s="76"/>
      <c r="BG2" s="73"/>
      <c r="BH2" s="74"/>
      <c r="BI2" s="74"/>
      <c r="BJ2" s="75"/>
      <c r="BK2" s="76"/>
      <c r="BL2" s="73"/>
      <c r="BM2" s="74"/>
      <c r="BN2" s="74"/>
      <c r="BO2" s="75"/>
      <c r="BP2" s="76"/>
      <c r="BQ2" s="76"/>
      <c r="BR2" s="73"/>
      <c r="BS2" s="74"/>
      <c r="BT2" s="74"/>
      <c r="BU2" s="75"/>
      <c r="BV2" s="76"/>
      <c r="BW2" s="73"/>
      <c r="BX2" s="74"/>
      <c r="BY2" s="74"/>
      <c r="BZ2" s="75"/>
      <c r="CA2" s="76"/>
      <c r="CB2" s="73"/>
      <c r="CC2" s="74"/>
      <c r="CD2" s="74"/>
      <c r="CE2" s="75"/>
      <c r="CF2" s="76"/>
      <c r="CG2" s="73"/>
      <c r="CH2" s="74"/>
      <c r="CI2" s="74"/>
      <c r="CJ2" s="75"/>
      <c r="CK2" s="76"/>
      <c r="CL2" s="73"/>
      <c r="CM2" s="74"/>
      <c r="CN2" s="74"/>
      <c r="CO2" s="75"/>
      <c r="CP2" s="76"/>
      <c r="CQ2" s="74"/>
      <c r="CR2" s="74"/>
      <c r="CS2" s="74"/>
      <c r="CT2" s="75"/>
      <c r="CU2" s="76"/>
      <c r="CV2" s="74"/>
      <c r="CW2" s="74"/>
      <c r="CX2" s="74"/>
      <c r="CY2" s="75"/>
      <c r="CZ2" s="76"/>
      <c r="DA2" s="74"/>
      <c r="DB2" s="74"/>
      <c r="DC2" s="74"/>
      <c r="DD2" s="75"/>
      <c r="DE2" s="76"/>
      <c r="DF2" s="74"/>
      <c r="DG2" s="74"/>
      <c r="DH2" s="74"/>
      <c r="DI2" s="75"/>
      <c r="DJ2" s="76"/>
      <c r="DK2" s="396"/>
      <c r="DL2" s="74"/>
      <c r="DM2" s="809"/>
      <c r="DN2" s="809"/>
      <c r="DO2" s="809"/>
      <c r="DP2" s="1054"/>
      <c r="DQ2" s="1053"/>
      <c r="DR2" s="1053"/>
      <c r="DS2" s="1053"/>
      <c r="DT2" s="1053"/>
      <c r="DU2" s="1053"/>
      <c r="DV2" s="1053"/>
      <c r="DW2" s="1053"/>
      <c r="DX2" s="1053"/>
      <c r="DY2" s="74"/>
      <c r="DZ2" s="361"/>
      <c r="EA2" s="361"/>
      <c r="EB2"/>
      <c r="EC2"/>
      <c r="ED2"/>
      <c r="EE2"/>
      <c r="EF2"/>
      <c r="EG2"/>
    </row>
    <row r="3" spans="1:137" s="362" customFormat="1" ht="12" customHeight="1">
      <c r="A3" s="102" t="s">
        <v>56</v>
      </c>
      <c r="B3" s="98"/>
      <c r="C3" s="98"/>
      <c r="D3" s="98"/>
      <c r="E3" s="98"/>
      <c r="F3" s="98"/>
      <c r="G3" s="98"/>
      <c r="H3" s="100"/>
      <c r="I3" s="100"/>
      <c r="J3" s="100"/>
      <c r="K3" s="100"/>
      <c r="L3" s="98"/>
      <c r="M3" s="100"/>
      <c r="N3" s="100"/>
      <c r="O3" s="100"/>
      <c r="P3" s="100"/>
      <c r="Q3" s="98"/>
      <c r="R3" s="100"/>
      <c r="S3" s="100"/>
      <c r="T3" s="100"/>
      <c r="U3" s="100"/>
      <c r="V3" s="98"/>
      <c r="W3" s="100"/>
      <c r="X3" s="100"/>
      <c r="Y3" s="100"/>
      <c r="Z3" s="100"/>
      <c r="AA3" s="98"/>
      <c r="AB3" s="100"/>
      <c r="AC3" s="100"/>
      <c r="AD3" s="100"/>
      <c r="AE3" s="100"/>
      <c r="AF3" s="98"/>
      <c r="AG3" s="100"/>
      <c r="AH3" s="100"/>
      <c r="AI3" s="100"/>
      <c r="AJ3" s="100"/>
      <c r="AK3" s="98"/>
      <c r="AL3" s="100"/>
      <c r="AM3" s="100"/>
      <c r="AN3" s="100"/>
      <c r="AO3" s="100"/>
      <c r="AP3" s="98"/>
      <c r="AQ3" s="101"/>
      <c r="AR3" s="100"/>
      <c r="AS3" s="100"/>
      <c r="AT3" s="100"/>
      <c r="AU3" s="98"/>
      <c r="AV3" s="101"/>
      <c r="AW3" s="100"/>
      <c r="AX3" s="100"/>
      <c r="AY3" s="99"/>
      <c r="AZ3" s="98"/>
      <c r="BA3" s="98"/>
      <c r="BB3" s="101"/>
      <c r="BC3" s="100"/>
      <c r="BD3" s="100"/>
      <c r="BE3" s="99"/>
      <c r="BF3" s="98"/>
      <c r="BG3" s="101"/>
      <c r="BH3" s="100"/>
      <c r="BI3" s="100"/>
      <c r="BJ3" s="99"/>
      <c r="BK3" s="98"/>
      <c r="BL3" s="101"/>
      <c r="BM3" s="100"/>
      <c r="BN3" s="100"/>
      <c r="BO3" s="99"/>
      <c r="BP3" s="98"/>
      <c r="BQ3" s="98"/>
      <c r="BR3" s="101"/>
      <c r="BS3" s="100"/>
      <c r="BT3" s="100"/>
      <c r="BU3" s="99"/>
      <c r="BV3" s="98"/>
      <c r="BW3" s="101"/>
      <c r="BX3" s="100"/>
      <c r="BY3" s="100"/>
      <c r="BZ3" s="99"/>
      <c r="CA3" s="98"/>
      <c r="CB3" s="101"/>
      <c r="CC3" s="100"/>
      <c r="CD3" s="100"/>
      <c r="CE3" s="100"/>
      <c r="CF3" s="98"/>
      <c r="CG3" s="101"/>
      <c r="CH3" s="100"/>
      <c r="CI3" s="100"/>
      <c r="CJ3" s="99"/>
      <c r="CK3" s="98"/>
      <c r="CL3" s="101"/>
      <c r="CM3" s="100"/>
      <c r="CN3" s="100"/>
      <c r="CO3" s="100"/>
      <c r="CP3" s="98"/>
      <c r="CQ3" s="100"/>
      <c r="CR3" s="100"/>
      <c r="CS3" s="100"/>
      <c r="CT3" s="99"/>
      <c r="CU3" s="98"/>
      <c r="CV3" s="100"/>
      <c r="CW3" s="100"/>
      <c r="CX3" s="100"/>
      <c r="CY3" s="99"/>
      <c r="CZ3" s="98"/>
      <c r="DA3" s="100"/>
      <c r="DB3" s="100"/>
      <c r="DC3" s="100"/>
      <c r="DD3" s="99"/>
      <c r="DE3" s="450"/>
      <c r="DF3" s="100"/>
      <c r="DG3" s="100"/>
      <c r="DH3" s="100"/>
      <c r="DI3" s="99"/>
      <c r="DJ3" s="98"/>
      <c r="DK3" s="396"/>
      <c r="DL3" s="74"/>
      <c r="DM3" s="809"/>
      <c r="DN3" s="810"/>
      <c r="DO3" s="810"/>
      <c r="DP3" s="1053"/>
      <c r="DQ3" s="1053"/>
      <c r="DR3" s="1053"/>
      <c r="DS3" s="1242" t="s">
        <v>402</v>
      </c>
      <c r="DT3" s="1242" t="s">
        <v>403</v>
      </c>
      <c r="DU3" s="1242" t="s">
        <v>404</v>
      </c>
      <c r="DV3" s="1053"/>
      <c r="DW3" s="1053"/>
      <c r="DX3" s="1053"/>
      <c r="DY3" s="74"/>
      <c r="DZ3" s="361"/>
      <c r="EA3" s="361"/>
      <c r="EB3"/>
      <c r="EC3"/>
      <c r="ED3"/>
      <c r="EE3"/>
      <c r="EF3"/>
      <c r="EG3"/>
    </row>
    <row r="4" spans="1:137" s="363" customFormat="1">
      <c r="A4" s="87" t="s">
        <v>26</v>
      </c>
      <c r="B4" s="89">
        <v>5355</v>
      </c>
      <c r="C4" s="89">
        <v>6471</v>
      </c>
      <c r="D4" s="89">
        <v>10202</v>
      </c>
      <c r="E4" s="89">
        <v>11785</v>
      </c>
      <c r="F4" s="89">
        <v>12349</v>
      </c>
      <c r="G4" s="89">
        <v>12188</v>
      </c>
      <c r="H4" s="88">
        <v>2821</v>
      </c>
      <c r="I4" s="87">
        <v>3136</v>
      </c>
      <c r="J4" s="87">
        <v>3342</v>
      </c>
      <c r="K4" s="88">
        <v>3004</v>
      </c>
      <c r="L4" s="91">
        <f>SUM(H4:K4)</f>
        <v>12303</v>
      </c>
      <c r="M4" s="87">
        <v>2807</v>
      </c>
      <c r="N4" s="87">
        <v>2884</v>
      </c>
      <c r="O4" s="87">
        <v>2917</v>
      </c>
      <c r="P4" s="88">
        <v>2865</v>
      </c>
      <c r="Q4" s="89">
        <v>11473</v>
      </c>
      <c r="R4" s="87">
        <v>2781</v>
      </c>
      <c r="S4" s="87">
        <v>3086</v>
      </c>
      <c r="T4" s="87">
        <v>3084</v>
      </c>
      <c r="U4" s="88">
        <v>3250</v>
      </c>
      <c r="V4" s="91">
        <f>SUM(R4:U4)</f>
        <v>12201</v>
      </c>
      <c r="W4" s="87">
        <v>2940</v>
      </c>
      <c r="X4" s="87">
        <v>3143</v>
      </c>
      <c r="Y4" s="87">
        <v>3294</v>
      </c>
      <c r="Z4" s="88">
        <v>3830</v>
      </c>
      <c r="AA4" s="89">
        <f>SUM(W4:Z4)</f>
        <v>13207</v>
      </c>
      <c r="AB4" s="87">
        <v>3152</v>
      </c>
      <c r="AC4" s="87">
        <v>3390</v>
      </c>
      <c r="AD4" s="87">
        <v>3965</v>
      </c>
      <c r="AE4" s="88">
        <v>3855</v>
      </c>
      <c r="AF4" s="89">
        <f>SUM(AB4:AE4)</f>
        <v>14362</v>
      </c>
      <c r="AG4" s="88">
        <v>3706</v>
      </c>
      <c r="AH4" s="87">
        <v>3408</v>
      </c>
      <c r="AI4" s="87">
        <v>3698</v>
      </c>
      <c r="AJ4" s="88">
        <v>4141</v>
      </c>
      <c r="AK4" s="89">
        <f>+SUM(AG4:AJ4)</f>
        <v>14953</v>
      </c>
      <c r="AL4" s="87">
        <v>3186</v>
      </c>
      <c r="AM4" s="87">
        <v>3407</v>
      </c>
      <c r="AN4" s="87">
        <v>3632</v>
      </c>
      <c r="AO4" s="87">
        <v>3898</v>
      </c>
      <c r="AP4" s="89">
        <f>SUM(AL4:AO4)</f>
        <v>14123</v>
      </c>
      <c r="AQ4" s="87">
        <v>3386</v>
      </c>
      <c r="AR4" s="87">
        <v>3855</v>
      </c>
      <c r="AS4" s="87">
        <v>3544</v>
      </c>
      <c r="AT4" s="87">
        <v>4135</v>
      </c>
      <c r="AU4" s="89">
        <f>SUM(AQ4:AT4)</f>
        <v>14920</v>
      </c>
      <c r="AV4" s="87">
        <v>3134</v>
      </c>
      <c r="AW4" s="87">
        <v>4131</v>
      </c>
      <c r="AX4" s="87">
        <v>3921</v>
      </c>
      <c r="AY4" s="87">
        <v>4384</v>
      </c>
      <c r="AZ4" s="89">
        <f>SUM(AV4:AY4)</f>
        <v>15570</v>
      </c>
      <c r="BA4" s="89">
        <v>14123</v>
      </c>
      <c r="BB4" s="87">
        <v>3386</v>
      </c>
      <c r="BC4" s="87">
        <v>3855</v>
      </c>
      <c r="BD4" s="87">
        <v>3544</v>
      </c>
      <c r="BE4" s="87">
        <v>4135</v>
      </c>
      <c r="BF4" s="89">
        <v>14920</v>
      </c>
      <c r="BG4" s="87">
        <v>3134</v>
      </c>
      <c r="BH4" s="87">
        <v>4131</v>
      </c>
      <c r="BI4" s="87">
        <v>3921</v>
      </c>
      <c r="BJ4" s="87">
        <v>4384</v>
      </c>
      <c r="BK4" s="89">
        <v>15570</v>
      </c>
      <c r="BL4" s="87">
        <v>3799</v>
      </c>
      <c r="BM4" s="87">
        <v>4375</v>
      </c>
      <c r="BN4" s="87"/>
      <c r="BO4" s="87"/>
      <c r="BP4" s="89"/>
      <c r="BQ4" s="89">
        <v>14920</v>
      </c>
      <c r="BR4" s="87">
        <v>3134</v>
      </c>
      <c r="BS4" s="87">
        <v>4131</v>
      </c>
      <c r="BT4" s="87">
        <v>3921</v>
      </c>
      <c r="BU4" s="87">
        <v>4384</v>
      </c>
      <c r="BV4" s="89">
        <v>15570</v>
      </c>
      <c r="BW4" s="87">
        <v>3799</v>
      </c>
      <c r="BX4" s="87">
        <v>4375</v>
      </c>
      <c r="BY4" s="87">
        <v>4188</v>
      </c>
      <c r="BZ4" s="87">
        <v>5407</v>
      </c>
      <c r="CA4" s="1246">
        <f>SUM(BW4:BZ4)</f>
        <v>17769</v>
      </c>
      <c r="CB4" s="1249">
        <v>4106</v>
      </c>
      <c r="CC4" s="1249">
        <v>5225</v>
      </c>
      <c r="CD4" s="1249">
        <v>4771</v>
      </c>
      <c r="CE4" s="1249">
        <v>6046</v>
      </c>
      <c r="CF4" s="1246">
        <f>SUM(CB4:CE4)</f>
        <v>20148</v>
      </c>
      <c r="CG4" s="1249"/>
      <c r="CH4" s="1249"/>
      <c r="CI4" s="1249"/>
      <c r="CJ4" s="1249"/>
      <c r="CK4" s="1246">
        <v>17293</v>
      </c>
      <c r="CL4" s="1249"/>
      <c r="CM4" s="1249"/>
      <c r="CN4" s="1249"/>
      <c r="CO4" s="1249"/>
      <c r="CP4" s="1246">
        <v>19410</v>
      </c>
      <c r="CQ4" s="1243">
        <v>4200</v>
      </c>
      <c r="CR4" s="1243">
        <v>5450</v>
      </c>
      <c r="CS4" s="1243">
        <v>4950</v>
      </c>
      <c r="CT4" s="1244">
        <v>6200</v>
      </c>
      <c r="CU4" s="89">
        <f>+SUM(CQ4:CT4)</f>
        <v>20800</v>
      </c>
      <c r="CV4" s="88"/>
      <c r="CW4" s="88"/>
      <c r="CX4" s="88"/>
      <c r="CY4" s="93"/>
      <c r="CZ4" s="89">
        <f>CU4*(1+CZ5)</f>
        <v>22360</v>
      </c>
      <c r="DA4" s="88"/>
      <c r="DB4" s="88"/>
      <c r="DC4" s="88"/>
      <c r="DD4" s="93"/>
      <c r="DE4" s="89">
        <f>CZ4*(1+DE5)</f>
        <v>23142.6</v>
      </c>
      <c r="DF4" s="88"/>
      <c r="DG4" s="88"/>
      <c r="DH4" s="88"/>
      <c r="DI4" s="93"/>
      <c r="DJ4" s="89">
        <f>DE4*(1+DJ5)</f>
        <v>23142.6</v>
      </c>
      <c r="DK4" s="136"/>
      <c r="DL4" s="356"/>
      <c r="DM4" s="809" t="s">
        <v>391</v>
      </c>
      <c r="DN4" s="830"/>
      <c r="DO4" s="812"/>
      <c r="DP4" s="1053"/>
      <c r="DQ4" s="1053"/>
      <c r="DR4" s="1134"/>
      <c r="DS4" s="1150">
        <v>20.324999999999999</v>
      </c>
      <c r="DT4" s="1150">
        <f>(DS4+DU4)/2</f>
        <v>20.574999999999999</v>
      </c>
      <c r="DU4" s="1150">
        <v>20.824999999999999</v>
      </c>
      <c r="DV4" s="1134"/>
      <c r="DW4" s="1134"/>
      <c r="DX4" s="1134"/>
      <c r="DY4" s="356"/>
      <c r="DZ4" s="458"/>
      <c r="EA4" s="137"/>
      <c r="EB4"/>
      <c r="EC4"/>
      <c r="ED4"/>
      <c r="EE4"/>
      <c r="EF4"/>
      <c r="EG4"/>
    </row>
    <row r="5" spans="1:137" s="398" customFormat="1">
      <c r="A5" s="97" t="s">
        <v>53</v>
      </c>
      <c r="B5" s="80"/>
      <c r="C5" s="80">
        <f>C4/B4-1</f>
        <v>0.20840336134453774</v>
      </c>
      <c r="D5" s="80">
        <f>D4/C4-1</f>
        <v>0.57657239993818576</v>
      </c>
      <c r="E5" s="80">
        <f>E4/D4-1</f>
        <v>0.15516565379337388</v>
      </c>
      <c r="F5" s="80">
        <f>F4/E4-1</f>
        <v>4.7857445905812535E-2</v>
      </c>
      <c r="G5" s="80">
        <f>G4/F4-1</f>
        <v>-1.3037492914406035E-2</v>
      </c>
      <c r="H5" s="82"/>
      <c r="I5" s="82"/>
      <c r="J5" s="82"/>
      <c r="K5" s="82"/>
      <c r="L5" s="80">
        <f>L4/G4-1</f>
        <v>9.4355103380374672E-3</v>
      </c>
      <c r="M5" s="82">
        <f t="shared" ref="M5:AK5" si="0">M4/H4-1</f>
        <v>-4.9627791563275903E-3</v>
      </c>
      <c r="N5" s="82">
        <f t="shared" si="0"/>
        <v>-8.0357142857142905E-2</v>
      </c>
      <c r="O5" s="82">
        <f t="shared" si="0"/>
        <v>-0.12716935966487131</v>
      </c>
      <c r="P5" s="82">
        <f t="shared" si="0"/>
        <v>-4.6271637816244993E-2</v>
      </c>
      <c r="Q5" s="80">
        <f>Q4/L4-1</f>
        <v>-6.7463220352759534E-2</v>
      </c>
      <c r="R5" s="82">
        <f t="shared" si="0"/>
        <v>-9.2625578909868445E-3</v>
      </c>
      <c r="S5" s="82">
        <f t="shared" si="0"/>
        <v>7.0041608876560302E-2</v>
      </c>
      <c r="T5" s="82">
        <f t="shared" si="0"/>
        <v>5.725059993143633E-2</v>
      </c>
      <c r="U5" s="83">
        <f t="shared" si="0"/>
        <v>0.13438045375218155</v>
      </c>
      <c r="V5" s="80">
        <f>V4/Q4-1</f>
        <v>6.345332519829161E-2</v>
      </c>
      <c r="W5" s="83">
        <f t="shared" si="0"/>
        <v>5.7173678532901784E-2</v>
      </c>
      <c r="X5" s="82">
        <f t="shared" si="0"/>
        <v>1.8470511989630678E-2</v>
      </c>
      <c r="Y5" s="83">
        <f t="shared" si="0"/>
        <v>6.8093385214007762E-2</v>
      </c>
      <c r="Z5" s="83">
        <f t="shared" si="0"/>
        <v>0.17846153846153845</v>
      </c>
      <c r="AA5" s="84">
        <f>AA4/V4-1</f>
        <v>8.2452258011638468E-2</v>
      </c>
      <c r="AB5" s="83">
        <f t="shared" si="0"/>
        <v>7.2108843537414868E-2</v>
      </c>
      <c r="AC5" s="82">
        <f t="shared" si="0"/>
        <v>7.8587336939230035E-2</v>
      </c>
      <c r="AD5" s="82">
        <f t="shared" si="0"/>
        <v>0.20370370370370372</v>
      </c>
      <c r="AE5" s="82">
        <f t="shared" si="0"/>
        <v>6.5274151436032213E-3</v>
      </c>
      <c r="AF5" s="84">
        <f>AF4/AA4-1</f>
        <v>8.7453623078670439E-2</v>
      </c>
      <c r="AG5" s="83">
        <f t="shared" si="0"/>
        <v>0.17576142131979688</v>
      </c>
      <c r="AH5" s="82">
        <f t="shared" si="0"/>
        <v>5.3097345132744334E-3</v>
      </c>
      <c r="AI5" s="82">
        <f t="shared" si="0"/>
        <v>-6.7339218158890324E-2</v>
      </c>
      <c r="AJ5" s="82">
        <f t="shared" si="0"/>
        <v>7.4189364461737961E-2</v>
      </c>
      <c r="AK5" s="80">
        <f t="shared" si="0"/>
        <v>4.1150257624286368E-2</v>
      </c>
      <c r="AL5" s="82">
        <f t="shared" ref="AL5:AP5" si="1">AL4/AG4-1</f>
        <v>-0.14031300593631946</v>
      </c>
      <c r="AM5" s="82">
        <f t="shared" si="1"/>
        <v>-2.9342723004699423E-4</v>
      </c>
      <c r="AN5" s="82">
        <f t="shared" si="1"/>
        <v>-1.7847485127095775E-2</v>
      </c>
      <c r="AO5" s="82">
        <f t="shared" si="1"/>
        <v>-5.8681477903888002E-2</v>
      </c>
      <c r="AP5" s="80">
        <f t="shared" si="1"/>
        <v>-5.5507256069016297E-2</v>
      </c>
      <c r="AQ5" s="82">
        <f t="shared" ref="AQ5:AZ5" si="2">AQ4/AL4-1</f>
        <v>6.2774639045825475E-2</v>
      </c>
      <c r="AR5" s="82">
        <f t="shared" si="2"/>
        <v>0.13149398297622539</v>
      </c>
      <c r="AS5" s="82">
        <f t="shared" si="2"/>
        <v>-2.4229074889867808E-2</v>
      </c>
      <c r="AT5" s="82">
        <f t="shared" si="2"/>
        <v>6.0800410466906207E-2</v>
      </c>
      <c r="AU5" s="80">
        <f t="shared" si="2"/>
        <v>5.6432769241662628E-2</v>
      </c>
      <c r="AV5" s="82">
        <f t="shared" si="2"/>
        <v>-7.4424099232132335E-2</v>
      </c>
      <c r="AW5" s="82">
        <f t="shared" si="2"/>
        <v>7.1595330739299579E-2</v>
      </c>
      <c r="AX5" s="82">
        <f t="shared" si="2"/>
        <v>0.10637697516930023</v>
      </c>
      <c r="AY5" s="82">
        <f t="shared" si="2"/>
        <v>6.0217654171704993E-2</v>
      </c>
      <c r="AZ5" s="80">
        <f t="shared" si="2"/>
        <v>4.3565683646112685E-2</v>
      </c>
      <c r="BA5" s="80"/>
      <c r="BB5" s="82"/>
      <c r="BC5" s="82"/>
      <c r="BD5" s="82"/>
      <c r="BE5" s="82"/>
      <c r="BF5" s="80">
        <f t="shared" ref="BF5:BM5" si="3">BF4/BA4-1</f>
        <v>5.6432769241662628E-2</v>
      </c>
      <c r="BG5" s="82">
        <f t="shared" si="3"/>
        <v>-7.4424099232132335E-2</v>
      </c>
      <c r="BH5" s="82">
        <f t="shared" si="3"/>
        <v>7.1595330739299579E-2</v>
      </c>
      <c r="BI5" s="82">
        <f t="shared" si="3"/>
        <v>0.10637697516930023</v>
      </c>
      <c r="BJ5" s="82">
        <f t="shared" si="3"/>
        <v>6.0217654171704993E-2</v>
      </c>
      <c r="BK5" s="80">
        <f t="shared" si="3"/>
        <v>4.3565683646112685E-2</v>
      </c>
      <c r="BL5" s="82">
        <f t="shared" si="3"/>
        <v>0.2121888959795788</v>
      </c>
      <c r="BM5" s="82">
        <f t="shared" si="3"/>
        <v>5.9065601549261659E-2</v>
      </c>
      <c r="BN5" s="82"/>
      <c r="BO5" s="82"/>
      <c r="BP5" s="1006"/>
      <c r="BQ5" s="80"/>
      <c r="BR5" s="82">
        <f>+BR4/BB4-1</f>
        <v>-7.4424099232132335E-2</v>
      </c>
      <c r="BS5" s="82">
        <f t="shared" ref="BS5" si="4">+BS4/BC4-1</f>
        <v>7.1595330739299579E-2</v>
      </c>
      <c r="BT5" s="82">
        <f t="shared" ref="BT5" si="5">+BT4/BD4-1</f>
        <v>0.10637697516930023</v>
      </c>
      <c r="BU5" s="82">
        <f t="shared" ref="BU5" si="6">+BU4/BE4-1</f>
        <v>6.0217654171704993E-2</v>
      </c>
      <c r="BV5" s="80">
        <f t="shared" ref="BV5" si="7">+BV4/BF4-1</f>
        <v>4.3565683646112685E-2</v>
      </c>
      <c r="BW5" s="82">
        <f t="shared" ref="BW5:CF5" si="8">BW4/BR4-1</f>
        <v>0.2121888959795788</v>
      </c>
      <c r="BX5" s="82">
        <f t="shared" si="8"/>
        <v>5.9065601549261659E-2</v>
      </c>
      <c r="BY5" s="82">
        <f t="shared" si="8"/>
        <v>6.8094873756694652E-2</v>
      </c>
      <c r="BZ5" s="82">
        <f t="shared" si="8"/>
        <v>0.23334854014598538</v>
      </c>
      <c r="CA5" s="80">
        <f t="shared" si="8"/>
        <v>0.14123314065510595</v>
      </c>
      <c r="CB5" s="82">
        <f t="shared" si="8"/>
        <v>8.0810739668333742E-2</v>
      </c>
      <c r="CC5" s="973">
        <f t="shared" si="8"/>
        <v>0.19428571428571439</v>
      </c>
      <c r="CD5" s="82">
        <f t="shared" si="8"/>
        <v>0.13920725883476592</v>
      </c>
      <c r="CE5" s="82">
        <f t="shared" si="8"/>
        <v>0.11818013685962647</v>
      </c>
      <c r="CF5" s="80">
        <f t="shared" si="8"/>
        <v>0.13388485564747588</v>
      </c>
      <c r="CG5" s="82"/>
      <c r="CH5" s="82"/>
      <c r="CI5" s="82"/>
      <c r="CJ5" s="82"/>
      <c r="CK5" s="80"/>
      <c r="CL5" s="82"/>
      <c r="CM5" s="973"/>
      <c r="CN5" s="82"/>
      <c r="CO5" s="82"/>
      <c r="CP5" s="80">
        <f t="shared" ref="CP5" si="9">CP4/CK4-1</f>
        <v>0.12241947608859083</v>
      </c>
      <c r="CQ5" s="103"/>
      <c r="CR5" s="103"/>
      <c r="CS5" s="103"/>
      <c r="CT5" s="105"/>
      <c r="CU5" s="80">
        <f>CU4/CP4-1</f>
        <v>7.1612570839773237E-2</v>
      </c>
      <c r="CV5" s="103"/>
      <c r="CW5" s="103"/>
      <c r="CX5" s="103"/>
      <c r="CY5" s="105"/>
      <c r="CZ5" s="104">
        <v>7.4999999999999997E-2</v>
      </c>
      <c r="DA5" s="103"/>
      <c r="DB5" s="103"/>
      <c r="DC5" s="103"/>
      <c r="DD5" s="105"/>
      <c r="DE5" s="104">
        <v>3.5000000000000003E-2</v>
      </c>
      <c r="DF5" s="103"/>
      <c r="DG5" s="103"/>
      <c r="DH5" s="103"/>
      <c r="DI5" s="105"/>
      <c r="DJ5" s="104">
        <v>0</v>
      </c>
      <c r="DK5" s="397"/>
      <c r="DL5" s="74"/>
      <c r="DM5" s="809"/>
      <c r="DN5" s="830"/>
      <c r="DO5" s="809"/>
      <c r="DP5" s="1053"/>
      <c r="DQ5" s="1053"/>
      <c r="DR5" s="1053"/>
      <c r="DS5" s="1039"/>
      <c r="DT5" s="1039"/>
      <c r="DU5" s="1039"/>
      <c r="DV5" s="1039"/>
      <c r="DW5" s="1039"/>
      <c r="DX5" s="1039"/>
      <c r="DY5" s="360"/>
      <c r="DZ5" s="167"/>
      <c r="EA5" s="167"/>
      <c r="EB5"/>
      <c r="EC5"/>
      <c r="ED5"/>
      <c r="EE5"/>
      <c r="EF5"/>
      <c r="EG5"/>
    </row>
    <row r="6" spans="1:137" s="398" customFormat="1">
      <c r="A6" s="97" t="s">
        <v>55</v>
      </c>
      <c r="B6" s="80" t="str">
        <f>IF(ISERROR(B4/#REF!),"",B4/#REF!)</f>
        <v/>
      </c>
      <c r="C6" s="83">
        <f t="shared" ref="C6:AH6" si="10">C4/C55</f>
        <v>0.24361870341088773</v>
      </c>
      <c r="D6" s="80">
        <f t="shared" si="10"/>
        <v>0.32073692152917505</v>
      </c>
      <c r="E6" s="80">
        <f t="shared" si="10"/>
        <v>0.33172887462703371</v>
      </c>
      <c r="F6" s="80">
        <f t="shared" si="10"/>
        <v>0.3318463977642222</v>
      </c>
      <c r="G6" s="80">
        <f t="shared" si="10"/>
        <v>0.30762241292276626</v>
      </c>
      <c r="H6" s="82">
        <f t="shared" si="10"/>
        <v>0.30415094339622639</v>
      </c>
      <c r="I6" s="717">
        <f t="shared" si="10"/>
        <v>0.29443244765749693</v>
      </c>
      <c r="J6" s="717">
        <f t="shared" si="10"/>
        <v>0.30121676430824695</v>
      </c>
      <c r="K6" s="82">
        <f t="shared" si="10"/>
        <v>0.27709620883682318</v>
      </c>
      <c r="L6" s="80">
        <f t="shared" si="10"/>
        <v>0.29389422387845782</v>
      </c>
      <c r="M6" s="82">
        <f t="shared" si="10"/>
        <v>0.28117800260442755</v>
      </c>
      <c r="N6" s="82">
        <f t="shared" si="10"/>
        <v>0.26125554850982879</v>
      </c>
      <c r="O6" s="82">
        <f t="shared" si="10"/>
        <v>0.27578708518483502</v>
      </c>
      <c r="P6" s="82">
        <f t="shared" si="10"/>
        <v>0.25736615163492632</v>
      </c>
      <c r="Q6" s="80">
        <f t="shared" si="10"/>
        <v>0.26849359949451218</v>
      </c>
      <c r="R6" s="82">
        <f t="shared" si="10"/>
        <v>0.26809987467463609</v>
      </c>
      <c r="S6" s="82">
        <f t="shared" si="10"/>
        <v>0.27872109826589597</v>
      </c>
      <c r="T6" s="82">
        <f t="shared" si="10"/>
        <v>0.28643076065756479</v>
      </c>
      <c r="U6" s="83">
        <f t="shared" si="10"/>
        <v>0.26632795214291566</v>
      </c>
      <c r="V6" s="80">
        <f t="shared" si="10"/>
        <v>0.27470449172576833</v>
      </c>
      <c r="W6" s="83">
        <f t="shared" si="10"/>
        <v>0.28441520750701366</v>
      </c>
      <c r="X6" s="82">
        <f t="shared" si="10"/>
        <v>0.27863475177304964</v>
      </c>
      <c r="Y6" s="83">
        <f t="shared" si="10"/>
        <v>0.2903993652472891</v>
      </c>
      <c r="Z6" s="83">
        <f t="shared" si="10"/>
        <v>0.30013321839981194</v>
      </c>
      <c r="AA6" s="84">
        <f t="shared" si="10"/>
        <v>0.28886069858489533</v>
      </c>
      <c r="AB6" s="83">
        <f t="shared" si="10"/>
        <v>0.2966309053265575</v>
      </c>
      <c r="AC6" s="82">
        <f t="shared" si="10"/>
        <v>0.29368448410291953</v>
      </c>
      <c r="AD6" s="82">
        <f t="shared" si="10"/>
        <v>0.32717220892812937</v>
      </c>
      <c r="AE6" s="82">
        <f t="shared" si="10"/>
        <v>0.31569895995413971</v>
      </c>
      <c r="AF6" s="84">
        <f t="shared" si="10"/>
        <v>0.308866857351771</v>
      </c>
      <c r="AG6" s="83">
        <f t="shared" si="10"/>
        <v>0.32816789161427434</v>
      </c>
      <c r="AH6" s="82">
        <f t="shared" si="10"/>
        <v>0.28588205687442331</v>
      </c>
      <c r="AI6" s="82">
        <f t="shared" ref="AI6:BM6" si="11">AI4/AI55</f>
        <v>0.31156795012216698</v>
      </c>
      <c r="AJ6" s="82">
        <f t="shared" si="11"/>
        <v>0.34225969088354408</v>
      </c>
      <c r="AK6" s="80">
        <f t="shared" si="11"/>
        <v>0.31692170743079989</v>
      </c>
      <c r="AL6" s="82">
        <f t="shared" si="11"/>
        <v>0.28780487804878047</v>
      </c>
      <c r="AM6" s="82">
        <f t="shared" si="11"/>
        <v>0.29865007012622719</v>
      </c>
      <c r="AN6" s="82">
        <f t="shared" si="11"/>
        <v>0.32008460386005111</v>
      </c>
      <c r="AO6" s="82">
        <f t="shared" si="11"/>
        <v>0.33798664701291947</v>
      </c>
      <c r="AP6" s="80">
        <f t="shared" si="11"/>
        <v>0.31136734423916396</v>
      </c>
      <c r="AQ6" s="82">
        <f t="shared" si="11"/>
        <v>0.3179342723004695</v>
      </c>
      <c r="AR6" s="82">
        <f t="shared" si="11"/>
        <v>0.34096939678047056</v>
      </c>
      <c r="AS6" s="82">
        <f t="shared" si="11"/>
        <v>0.31887709195609143</v>
      </c>
      <c r="AT6" s="82">
        <f t="shared" si="11"/>
        <v>0.33000798084596966</v>
      </c>
      <c r="AU6" s="80">
        <f t="shared" si="11"/>
        <v>0.32719298245614037</v>
      </c>
      <c r="AV6" s="82">
        <f t="shared" si="11"/>
        <v>0.30995945010384729</v>
      </c>
      <c r="AW6" s="82">
        <f t="shared" si="11"/>
        <v>0.35480546250966244</v>
      </c>
      <c r="AX6" s="82">
        <f t="shared" si="11"/>
        <v>0.3421167437396388</v>
      </c>
      <c r="AY6" s="82">
        <f t="shared" si="11"/>
        <v>0.33939769296276223</v>
      </c>
      <c r="AZ6" s="80">
        <f t="shared" si="11"/>
        <v>0.33750975461718546</v>
      </c>
      <c r="BA6" s="80">
        <f t="shared" si="11"/>
        <v>0.31136734423916396</v>
      </c>
      <c r="BB6" s="82">
        <f t="shared" si="11"/>
        <v>0.3179342723004695</v>
      </c>
      <c r="BC6" s="82">
        <f t="shared" si="11"/>
        <v>0.34096939678047056</v>
      </c>
      <c r="BD6" s="82">
        <f t="shared" si="11"/>
        <v>0.31887709195609143</v>
      </c>
      <c r="BE6" s="82">
        <f t="shared" si="11"/>
        <v>0.33000798084596966</v>
      </c>
      <c r="BF6" s="80">
        <f t="shared" si="11"/>
        <v>0.32719298245614037</v>
      </c>
      <c r="BG6" s="82">
        <f t="shared" si="11"/>
        <v>0.30995945010384729</v>
      </c>
      <c r="BH6" s="82">
        <f t="shared" si="11"/>
        <v>0.35480546250966244</v>
      </c>
      <c r="BI6" s="82">
        <f t="shared" si="11"/>
        <v>0.3421167437396388</v>
      </c>
      <c r="BJ6" s="82">
        <f t="shared" si="11"/>
        <v>0.33939769296276223</v>
      </c>
      <c r="BK6" s="80">
        <f t="shared" si="11"/>
        <v>0.33750975461718546</v>
      </c>
      <c r="BL6" s="82">
        <f t="shared" si="11"/>
        <v>0.32464535976756109</v>
      </c>
      <c r="BM6" s="82">
        <f t="shared" si="11"/>
        <v>0.33877961901811987</v>
      </c>
      <c r="BN6" s="82"/>
      <c r="BO6" s="82"/>
      <c r="BP6" s="80"/>
      <c r="BQ6" s="80">
        <f t="shared" ref="BQ6:CC6" si="12">BQ4/BQ55</f>
        <v>0.37350423071146049</v>
      </c>
      <c r="BR6" s="82">
        <f t="shared" si="12"/>
        <v>0.35936245843366588</v>
      </c>
      <c r="BS6" s="82">
        <f t="shared" si="12"/>
        <v>0.40361504640937956</v>
      </c>
      <c r="BT6" s="82">
        <f t="shared" si="12"/>
        <v>0.3897614314115308</v>
      </c>
      <c r="BU6" s="82">
        <f t="shared" si="12"/>
        <v>0.38055555555555554</v>
      </c>
      <c r="BV6" s="80">
        <f t="shared" si="12"/>
        <v>0.38410301953818826</v>
      </c>
      <c r="BW6" s="82">
        <f t="shared" si="12"/>
        <v>0.36641589506172839</v>
      </c>
      <c r="BX6" s="82">
        <f t="shared" si="12"/>
        <v>0.37790446575105813</v>
      </c>
      <c r="BY6" s="82">
        <f t="shared" si="12"/>
        <v>0.36256601160072721</v>
      </c>
      <c r="BZ6" s="82">
        <f>BZ4/BZ55</f>
        <v>0.39317917393833623</v>
      </c>
      <c r="CA6" s="80">
        <f>CA4/CA55</f>
        <v>0.37607941076870977</v>
      </c>
      <c r="CB6" s="82">
        <f t="shared" si="12"/>
        <v>0.37134846703445779</v>
      </c>
      <c r="CC6" s="82">
        <f t="shared" si="12"/>
        <v>0.41190382341348047</v>
      </c>
      <c r="CD6" s="82">
        <f t="shared" ref="CD6" si="13">CD4/CD55</f>
        <v>0.39206179636781985</v>
      </c>
      <c r="CE6" s="82">
        <f>CE4/CE55</f>
        <v>0.39941864306005154</v>
      </c>
      <c r="CF6" s="80">
        <f>CF4/CF55</f>
        <v>0.39468735307945463</v>
      </c>
      <c r="CG6" s="82"/>
      <c r="CH6" s="82"/>
      <c r="CI6" s="82"/>
      <c r="CJ6" s="82"/>
      <c r="CK6" s="80"/>
      <c r="CL6" s="82"/>
      <c r="CM6" s="82"/>
      <c r="CN6" s="82"/>
      <c r="CO6" s="82"/>
      <c r="CP6" s="80">
        <f>CP4/CP55</f>
        <v>0.38838642548423241</v>
      </c>
      <c r="CQ6" s="82"/>
      <c r="CR6" s="82"/>
      <c r="CS6" s="82"/>
      <c r="CT6" s="81"/>
      <c r="CU6" s="1036">
        <f>CU4/CU55</f>
        <v>0.40545808966861596</v>
      </c>
      <c r="CV6" s="383"/>
      <c r="CW6" s="383"/>
      <c r="CX6" s="383"/>
      <c r="CY6" s="1037"/>
      <c r="CZ6" s="1036">
        <f>CZ4/CZ55</f>
        <v>0.40996681395647311</v>
      </c>
      <c r="DA6" s="383"/>
      <c r="DB6" s="383"/>
      <c r="DC6" s="383"/>
      <c r="DD6" s="1037"/>
      <c r="DE6" s="1036">
        <f>DE4/DE55</f>
        <v>0.40530252679661161</v>
      </c>
      <c r="DF6" s="383"/>
      <c r="DG6" s="383"/>
      <c r="DH6" s="383"/>
      <c r="DI6" s="1037"/>
      <c r="DJ6" s="1036">
        <f>DJ4/DJ55</f>
        <v>0.39240692847736935</v>
      </c>
      <c r="DK6" s="397"/>
      <c r="DL6" s="74"/>
      <c r="DM6" s="809"/>
      <c r="DN6" s="830"/>
      <c r="DO6" s="809"/>
      <c r="DP6" s="1105"/>
      <c r="DQ6" s="1105"/>
      <c r="DR6" s="1259"/>
      <c r="DS6" s="1260" t="s">
        <v>366</v>
      </c>
      <c r="DT6" s="1261" t="s">
        <v>370</v>
      </c>
      <c r="DU6" s="1262" t="s">
        <v>371</v>
      </c>
      <c r="DV6" s="1262" t="s">
        <v>372</v>
      </c>
      <c r="DW6" s="1262" t="s">
        <v>373</v>
      </c>
      <c r="DX6" s="1178"/>
      <c r="DY6" s="360"/>
      <c r="DZ6" s="458"/>
      <c r="EA6" s="167"/>
      <c r="EB6"/>
      <c r="EC6"/>
      <c r="ED6"/>
      <c r="EE6"/>
      <c r="EF6"/>
      <c r="EG6"/>
    </row>
    <row r="7" spans="1:137" s="144" customFormat="1">
      <c r="A7" s="480" t="s">
        <v>43</v>
      </c>
      <c r="B7" s="481"/>
      <c r="C7" s="481"/>
      <c r="D7" s="481"/>
      <c r="E7" s="481"/>
      <c r="F7" s="481"/>
      <c r="G7" s="481"/>
      <c r="H7" s="483"/>
      <c r="I7" s="483"/>
      <c r="J7" s="483"/>
      <c r="K7" s="483"/>
      <c r="L7" s="484"/>
      <c r="M7" s="484"/>
      <c r="N7" s="482"/>
      <c r="O7" s="482"/>
      <c r="P7" s="482"/>
      <c r="Q7" s="484"/>
      <c r="R7" s="484"/>
      <c r="S7" s="482"/>
      <c r="T7" s="482"/>
      <c r="U7" s="482"/>
      <c r="V7" s="486"/>
      <c r="W7" s="485"/>
      <c r="X7" s="487"/>
      <c r="Y7" s="487"/>
      <c r="Z7" s="487"/>
      <c r="AA7" s="982">
        <v>0</v>
      </c>
      <c r="AB7" s="982"/>
      <c r="AC7" s="983"/>
      <c r="AD7" s="983"/>
      <c r="AE7" s="983"/>
      <c r="AF7" s="982">
        <v>9</v>
      </c>
      <c r="AG7" s="982"/>
      <c r="AH7" s="983"/>
      <c r="AI7" s="983"/>
      <c r="AJ7" s="983"/>
      <c r="AK7" s="982">
        <v>30</v>
      </c>
      <c r="AL7" s="984">
        <v>0</v>
      </c>
      <c r="AM7" s="985">
        <v>12</v>
      </c>
      <c r="AN7" s="985">
        <v>10</v>
      </c>
      <c r="AO7" s="985">
        <v>13</v>
      </c>
      <c r="AP7" s="982">
        <v>35</v>
      </c>
      <c r="AQ7" s="986">
        <v>8</v>
      </c>
      <c r="AR7" s="985">
        <v>6</v>
      </c>
      <c r="AS7" s="987">
        <v>12</v>
      </c>
      <c r="AT7" s="985">
        <v>14</v>
      </c>
      <c r="AU7" s="982">
        <f>+SUM(AQ7:AT7)</f>
        <v>40</v>
      </c>
      <c r="AV7" s="986">
        <v>8</v>
      </c>
      <c r="AW7" s="988">
        <v>11</v>
      </c>
      <c r="AX7" s="987">
        <v>12</v>
      </c>
      <c r="AY7" s="985">
        <v>14</v>
      </c>
      <c r="AZ7" s="982">
        <v>45</v>
      </c>
      <c r="BA7" s="982"/>
      <c r="BB7" s="986">
        <v>8</v>
      </c>
      <c r="BC7" s="985">
        <v>6</v>
      </c>
      <c r="BD7" s="987">
        <v>12</v>
      </c>
      <c r="BE7" s="985">
        <v>14</v>
      </c>
      <c r="BF7" s="982">
        <f>+SUM(BB7:BE7)</f>
        <v>40</v>
      </c>
      <c r="BG7" s="986">
        <v>8</v>
      </c>
      <c r="BH7" s="988">
        <v>11</v>
      </c>
      <c r="BI7" s="987">
        <v>12</v>
      </c>
      <c r="BJ7" s="985">
        <v>14</v>
      </c>
      <c r="BK7" s="982">
        <f>+SUM(BG7:BJ7)</f>
        <v>45</v>
      </c>
      <c r="BL7" s="986">
        <v>6</v>
      </c>
      <c r="BM7" s="988">
        <v>14</v>
      </c>
      <c r="BN7" s="987"/>
      <c r="BO7" s="985"/>
      <c r="BP7" s="1007"/>
      <c r="BQ7" s="982"/>
      <c r="BR7" s="986">
        <v>8</v>
      </c>
      <c r="BS7" s="988">
        <v>11</v>
      </c>
      <c r="BT7" s="987">
        <v>12</v>
      </c>
      <c r="BU7" s="985">
        <v>14</v>
      </c>
      <c r="BV7" s="982">
        <f>+SUM(BR7:BU7)</f>
        <v>45</v>
      </c>
      <c r="BW7" s="986">
        <v>6</v>
      </c>
      <c r="BX7" s="988">
        <v>14</v>
      </c>
      <c r="BY7" s="987">
        <v>10</v>
      </c>
      <c r="BZ7" s="985">
        <v>16</v>
      </c>
      <c r="CA7" s="982">
        <f>+SUM(BW7:BZ7)</f>
        <v>46</v>
      </c>
      <c r="CB7" s="986">
        <v>15</v>
      </c>
      <c r="CC7" s="1040">
        <v>14</v>
      </c>
      <c r="CD7" s="987">
        <v>15</v>
      </c>
      <c r="CE7" s="1040">
        <v>22</v>
      </c>
      <c r="CF7" s="982">
        <f>+SUM(CB7:CE7)</f>
        <v>66</v>
      </c>
      <c r="CG7" s="986"/>
      <c r="CH7" s="988"/>
      <c r="CI7" s="987"/>
      <c r="CJ7" s="985"/>
      <c r="CK7" s="982"/>
      <c r="CL7" s="986"/>
      <c r="CM7" s="1040"/>
      <c r="CN7" s="987"/>
      <c r="CO7" s="1040"/>
      <c r="CP7" s="982">
        <v>66</v>
      </c>
      <c r="CQ7" s="1007">
        <v>22</v>
      </c>
      <c r="CR7" s="1008">
        <v>22</v>
      </c>
      <c r="CS7" s="1008">
        <v>23</v>
      </c>
      <c r="CT7" s="1009">
        <v>23</v>
      </c>
      <c r="CU7" s="1007">
        <f>SUM(CQ7:CT7)</f>
        <v>90</v>
      </c>
      <c r="CV7" s="1007"/>
      <c r="CW7" s="1008"/>
      <c r="CX7" s="1008"/>
      <c r="CY7" s="1009"/>
      <c r="CZ7" s="1007">
        <v>110</v>
      </c>
      <c r="DA7" s="1007"/>
      <c r="DB7" s="1008"/>
      <c r="DC7" s="1008"/>
      <c r="DD7" s="1009"/>
      <c r="DE7" s="1007">
        <v>130</v>
      </c>
      <c r="DF7" s="1007"/>
      <c r="DG7" s="1008"/>
      <c r="DH7" s="1008"/>
      <c r="DI7" s="1009"/>
      <c r="DJ7" s="1007">
        <v>155</v>
      </c>
      <c r="DK7" s="399"/>
      <c r="DL7" s="400"/>
      <c r="DM7" s="809"/>
      <c r="DN7" s="810"/>
      <c r="DO7" s="809"/>
      <c r="DP7" s="1105"/>
      <c r="DQ7" s="1105"/>
      <c r="DR7" s="1134"/>
      <c r="DS7" s="1105" t="s">
        <v>357</v>
      </c>
      <c r="DT7" s="1250">
        <v>90</v>
      </c>
      <c r="DU7" s="1250">
        <v>110</v>
      </c>
      <c r="DV7" s="1250">
        <v>130</v>
      </c>
      <c r="DW7" s="1250">
        <v>155</v>
      </c>
      <c r="DX7" s="1135"/>
      <c r="DY7" s="357"/>
      <c r="DZ7" s="143"/>
      <c r="EA7" s="143"/>
      <c r="EB7"/>
      <c r="EC7"/>
      <c r="ED7"/>
      <c r="EE7"/>
      <c r="EF7"/>
      <c r="EG7"/>
    </row>
    <row r="8" spans="1:137" s="144" customFormat="1">
      <c r="A8" s="480" t="s">
        <v>42</v>
      </c>
      <c r="B8" s="486"/>
      <c r="C8" s="486"/>
      <c r="D8" s="486"/>
      <c r="E8" s="486"/>
      <c r="F8" s="486"/>
      <c r="G8" s="486"/>
      <c r="H8" s="573"/>
      <c r="I8" s="573"/>
      <c r="J8" s="573"/>
      <c r="K8" s="573"/>
      <c r="L8" s="485"/>
      <c r="M8" s="485"/>
      <c r="N8" s="487"/>
      <c r="O8" s="487"/>
      <c r="P8" s="487"/>
      <c r="Q8" s="485"/>
      <c r="R8" s="485"/>
      <c r="S8" s="487"/>
      <c r="T8" s="487"/>
      <c r="U8" s="487"/>
      <c r="V8" s="982">
        <v>31</v>
      </c>
      <c r="W8" s="982"/>
      <c r="X8" s="983"/>
      <c r="Y8" s="983"/>
      <c r="Z8" s="983"/>
      <c r="AA8" s="982">
        <v>20</v>
      </c>
      <c r="AB8" s="982"/>
      <c r="AC8" s="983"/>
      <c r="AD8" s="983"/>
      <c r="AE8" s="983"/>
      <c r="AF8" s="982">
        <v>22</v>
      </c>
      <c r="AG8" s="982"/>
      <c r="AH8" s="983"/>
      <c r="AI8" s="983"/>
      <c r="AJ8" s="983"/>
      <c r="AK8" s="982">
        <v>37</v>
      </c>
      <c r="AL8" s="984">
        <v>4</v>
      </c>
      <c r="AM8" s="985">
        <v>3</v>
      </c>
      <c r="AN8" s="985">
        <v>2</v>
      </c>
      <c r="AO8" s="985">
        <v>4</v>
      </c>
      <c r="AP8" s="982">
        <v>13</v>
      </c>
      <c r="AQ8" s="986">
        <v>4</v>
      </c>
      <c r="AR8" s="985">
        <v>4</v>
      </c>
      <c r="AS8" s="987">
        <v>4</v>
      </c>
      <c r="AT8" s="985">
        <v>6</v>
      </c>
      <c r="AU8" s="982">
        <v>17</v>
      </c>
      <c r="AV8" s="986">
        <v>3</v>
      </c>
      <c r="AW8" s="988">
        <v>3</v>
      </c>
      <c r="AX8" s="996">
        <v>3</v>
      </c>
      <c r="AY8" s="985">
        <v>2</v>
      </c>
      <c r="AZ8" s="982">
        <v>11</v>
      </c>
      <c r="BA8" s="982"/>
      <c r="BB8" s="986">
        <v>4</v>
      </c>
      <c r="BC8" s="985">
        <v>4</v>
      </c>
      <c r="BD8" s="987">
        <v>4</v>
      </c>
      <c r="BE8" s="985">
        <v>6</v>
      </c>
      <c r="BF8" s="982">
        <v>17</v>
      </c>
      <c r="BG8" s="986">
        <v>3</v>
      </c>
      <c r="BH8" s="988">
        <v>3</v>
      </c>
      <c r="BI8" s="996">
        <v>3</v>
      </c>
      <c r="BJ8" s="985">
        <v>2</v>
      </c>
      <c r="BK8" s="982">
        <f>+SUM(BG8:BJ8)</f>
        <v>11</v>
      </c>
      <c r="BL8" s="986">
        <v>2</v>
      </c>
      <c r="BM8" s="988">
        <v>3</v>
      </c>
      <c r="BN8" s="996"/>
      <c r="BO8" s="985"/>
      <c r="BP8" s="1007"/>
      <c r="BQ8" s="982"/>
      <c r="BR8" s="986">
        <v>3</v>
      </c>
      <c r="BS8" s="988">
        <v>3</v>
      </c>
      <c r="BT8" s="996">
        <v>3</v>
      </c>
      <c r="BU8" s="985">
        <v>2</v>
      </c>
      <c r="BV8" s="982">
        <f>+SUM(BR8:BU8)</f>
        <v>11</v>
      </c>
      <c r="BW8" s="986">
        <v>2</v>
      </c>
      <c r="BX8" s="988">
        <v>3</v>
      </c>
      <c r="BY8" s="996">
        <v>3</v>
      </c>
      <c r="BZ8" s="985">
        <v>4</v>
      </c>
      <c r="CA8" s="982">
        <f>+SUM(BW8:BZ8)</f>
        <v>12</v>
      </c>
      <c r="CB8" s="986">
        <v>2</v>
      </c>
      <c r="CC8" s="1040">
        <v>3</v>
      </c>
      <c r="CD8" s="996">
        <v>2</v>
      </c>
      <c r="CE8" s="1040">
        <v>1</v>
      </c>
      <c r="CF8" s="982">
        <f>+SUM(CB8:CE8)</f>
        <v>8</v>
      </c>
      <c r="CG8" s="986"/>
      <c r="CH8" s="988"/>
      <c r="CI8" s="996"/>
      <c r="CJ8" s="985"/>
      <c r="CK8" s="982"/>
      <c r="CL8" s="986"/>
      <c r="CM8" s="1040"/>
      <c r="CN8" s="996"/>
      <c r="CO8" s="1040"/>
      <c r="CP8" s="982">
        <v>8</v>
      </c>
      <c r="CQ8" s="1007">
        <v>0</v>
      </c>
      <c r="CR8" s="1008">
        <v>0</v>
      </c>
      <c r="CS8" s="1008">
        <v>0</v>
      </c>
      <c r="CT8" s="1009">
        <v>0</v>
      </c>
      <c r="CU8" s="1007">
        <v>0</v>
      </c>
      <c r="CV8" s="1007"/>
      <c r="CW8" s="1008"/>
      <c r="CX8" s="1008"/>
      <c r="CY8" s="1009"/>
      <c r="CZ8" s="1007">
        <v>8</v>
      </c>
      <c r="DA8" s="1007"/>
      <c r="DB8" s="1008"/>
      <c r="DC8" s="1008"/>
      <c r="DD8" s="1009"/>
      <c r="DE8" s="1007">
        <v>10</v>
      </c>
      <c r="DF8" s="1007"/>
      <c r="DG8" s="1008"/>
      <c r="DH8" s="1008"/>
      <c r="DI8" s="1009"/>
      <c r="DJ8" s="1007">
        <v>12</v>
      </c>
      <c r="DK8" s="399"/>
      <c r="DL8" s="400"/>
      <c r="DM8" s="809"/>
      <c r="DN8" s="811"/>
      <c r="DO8" s="811"/>
      <c r="DP8" s="1105"/>
      <c r="DQ8" s="1105"/>
      <c r="DR8" s="1053"/>
      <c r="DS8" s="1105" t="s">
        <v>367</v>
      </c>
      <c r="DT8" s="1251">
        <v>110</v>
      </c>
      <c r="DU8" s="1251">
        <v>131.25</v>
      </c>
      <c r="DV8" s="1251">
        <v>148.75</v>
      </c>
      <c r="DW8" s="1251">
        <v>160</v>
      </c>
      <c r="DX8" s="1079"/>
      <c r="DY8" s="357"/>
      <c r="DZ8" s="143"/>
      <c r="EA8" s="1063"/>
      <c r="EB8"/>
      <c r="EC8"/>
      <c r="ED8"/>
      <c r="EE8"/>
      <c r="EF8"/>
      <c r="EG8"/>
    </row>
    <row r="9" spans="1:137" s="144" customFormat="1">
      <c r="A9" s="480" t="s">
        <v>109</v>
      </c>
      <c r="B9" s="486"/>
      <c r="C9" s="486"/>
      <c r="D9" s="486"/>
      <c r="E9" s="486"/>
      <c r="F9" s="486"/>
      <c r="G9" s="485"/>
      <c r="H9" s="572"/>
      <c r="I9" s="573"/>
      <c r="J9" s="573"/>
      <c r="K9" s="573"/>
      <c r="L9" s="485"/>
      <c r="M9" s="485"/>
      <c r="N9" s="487"/>
      <c r="O9" s="487"/>
      <c r="P9" s="487"/>
      <c r="Q9" s="485"/>
      <c r="R9" s="485"/>
      <c r="S9" s="487"/>
      <c r="T9" s="487"/>
      <c r="U9" s="487"/>
      <c r="V9" s="982">
        <v>16</v>
      </c>
      <c r="W9" s="982"/>
      <c r="X9" s="983"/>
      <c r="Y9" s="983"/>
      <c r="Z9" s="983"/>
      <c r="AA9" s="982">
        <v>25</v>
      </c>
      <c r="AB9" s="982"/>
      <c r="AC9" s="983"/>
      <c r="AD9" s="983"/>
      <c r="AE9" s="983"/>
      <c r="AF9" s="982">
        <v>33</v>
      </c>
      <c r="AG9" s="982"/>
      <c r="AH9" s="983"/>
      <c r="AI9" s="983"/>
      <c r="AJ9" s="983"/>
      <c r="AK9" s="982">
        <v>34</v>
      </c>
      <c r="AL9" s="984">
        <v>5</v>
      </c>
      <c r="AM9" s="985">
        <v>6</v>
      </c>
      <c r="AN9" s="985">
        <v>8</v>
      </c>
      <c r="AO9" s="985">
        <v>6</v>
      </c>
      <c r="AP9" s="982">
        <v>25</v>
      </c>
      <c r="AQ9" s="986">
        <v>5</v>
      </c>
      <c r="AR9" s="985">
        <v>6</v>
      </c>
      <c r="AS9" s="987">
        <v>5</v>
      </c>
      <c r="AT9" s="985">
        <v>8</v>
      </c>
      <c r="AU9" s="982">
        <v>24</v>
      </c>
      <c r="AV9" s="986">
        <v>4</v>
      </c>
      <c r="AW9" s="988">
        <v>6</v>
      </c>
      <c r="AX9" s="996">
        <v>4</v>
      </c>
      <c r="AY9" s="985">
        <v>7</v>
      </c>
      <c r="AZ9" s="982">
        <v>21</v>
      </c>
      <c r="BA9" s="982"/>
      <c r="BB9" s="986">
        <v>5</v>
      </c>
      <c r="BC9" s="985">
        <v>6</v>
      </c>
      <c r="BD9" s="987">
        <v>5</v>
      </c>
      <c r="BE9" s="985">
        <v>8</v>
      </c>
      <c r="BF9" s="982">
        <v>24</v>
      </c>
      <c r="BG9" s="986">
        <v>4</v>
      </c>
      <c r="BH9" s="988">
        <v>6</v>
      </c>
      <c r="BI9" s="996">
        <v>4</v>
      </c>
      <c r="BJ9" s="985">
        <v>7</v>
      </c>
      <c r="BK9" s="982">
        <f>+SUM(BG9:BJ9)</f>
        <v>21</v>
      </c>
      <c r="BL9" s="986">
        <v>6</v>
      </c>
      <c r="BM9" s="988">
        <v>6</v>
      </c>
      <c r="BN9" s="996"/>
      <c r="BO9" s="985"/>
      <c r="BP9" s="1007"/>
      <c r="BQ9" s="982"/>
      <c r="BR9" s="986">
        <v>4</v>
      </c>
      <c r="BS9" s="988">
        <v>6</v>
      </c>
      <c r="BT9" s="996">
        <v>4</v>
      </c>
      <c r="BU9" s="985">
        <v>7</v>
      </c>
      <c r="BV9" s="982">
        <f>+SUM(BR9:BU9)</f>
        <v>21</v>
      </c>
      <c r="BW9" s="986">
        <v>6</v>
      </c>
      <c r="BX9" s="988">
        <v>6</v>
      </c>
      <c r="BY9" s="996">
        <v>4</v>
      </c>
      <c r="BZ9" s="985">
        <v>8</v>
      </c>
      <c r="CA9" s="982">
        <f>+SUM(BW9:BZ9)</f>
        <v>24</v>
      </c>
      <c r="CB9" s="986">
        <v>5</v>
      </c>
      <c r="CC9" s="1040">
        <v>6</v>
      </c>
      <c r="CD9" s="996">
        <v>5</v>
      </c>
      <c r="CE9" s="1040">
        <v>10</v>
      </c>
      <c r="CF9" s="982">
        <f>+SUM(CB9:CE9)</f>
        <v>26</v>
      </c>
      <c r="CG9" s="986"/>
      <c r="CH9" s="988"/>
      <c r="CI9" s="996"/>
      <c r="CJ9" s="985"/>
      <c r="CK9" s="982"/>
      <c r="CL9" s="986"/>
      <c r="CM9" s="1040"/>
      <c r="CN9" s="996"/>
      <c r="CO9" s="1040"/>
      <c r="CP9" s="982">
        <v>26</v>
      </c>
      <c r="CQ9" s="1007">
        <v>6</v>
      </c>
      <c r="CR9" s="1008">
        <v>6</v>
      </c>
      <c r="CS9" s="1008">
        <v>6</v>
      </c>
      <c r="CT9" s="1009">
        <v>7</v>
      </c>
      <c r="CU9" s="1007">
        <f>SUM(CQ9:CT9)</f>
        <v>25</v>
      </c>
      <c r="CV9" s="1007"/>
      <c r="CW9" s="1008"/>
      <c r="CX9" s="1008"/>
      <c r="CY9" s="1009"/>
      <c r="CZ9" s="1007">
        <v>25</v>
      </c>
      <c r="DA9" s="1007"/>
      <c r="DB9" s="1008"/>
      <c r="DC9" s="1008"/>
      <c r="DD9" s="1009"/>
      <c r="DE9" s="1007">
        <v>25</v>
      </c>
      <c r="DF9" s="1007"/>
      <c r="DG9" s="1008"/>
      <c r="DH9" s="1008"/>
      <c r="DI9" s="1009"/>
      <c r="DJ9" s="1007">
        <v>25</v>
      </c>
      <c r="DK9" s="399"/>
      <c r="DL9" s="400"/>
      <c r="DM9" s="810"/>
      <c r="DN9" s="810"/>
      <c r="DO9" s="810"/>
      <c r="DP9" s="1053"/>
      <c r="DQ9" s="1053"/>
      <c r="DR9" s="1258"/>
      <c r="DS9" s="1258" t="s">
        <v>368</v>
      </c>
      <c r="DT9" s="1252">
        <v>82</v>
      </c>
      <c r="DU9" s="1252">
        <v>75</v>
      </c>
      <c r="DV9" s="1252">
        <v>70</v>
      </c>
      <c r="DW9" s="1252">
        <v>65</v>
      </c>
      <c r="DX9" s="1053"/>
      <c r="DY9" s="357"/>
      <c r="DZ9" s="458"/>
      <c r="EA9" s="143"/>
      <c r="EB9"/>
      <c r="EC9"/>
      <c r="ED9"/>
      <c r="EE9"/>
      <c r="EF9"/>
      <c r="EG9"/>
    </row>
    <row r="10" spans="1:137" s="144" customFormat="1">
      <c r="A10" s="480" t="s">
        <v>110</v>
      </c>
      <c r="B10" s="486"/>
      <c r="C10" s="486"/>
      <c r="D10" s="486"/>
      <c r="E10" s="486"/>
      <c r="F10" s="485"/>
      <c r="G10" s="485"/>
      <c r="H10" s="572"/>
      <c r="I10" s="573"/>
      <c r="J10" s="573"/>
      <c r="K10" s="573"/>
      <c r="L10" s="485"/>
      <c r="M10" s="572"/>
      <c r="N10" s="573"/>
      <c r="O10" s="487"/>
      <c r="P10" s="487"/>
      <c r="Q10" s="485"/>
      <c r="R10" s="485"/>
      <c r="S10" s="487"/>
      <c r="T10" s="487"/>
      <c r="U10" s="487"/>
      <c r="V10" s="982">
        <v>0</v>
      </c>
      <c r="W10" s="982"/>
      <c r="X10" s="983"/>
      <c r="Y10" s="983"/>
      <c r="Z10" s="983"/>
      <c r="AA10" s="982">
        <v>1</v>
      </c>
      <c r="AB10" s="982"/>
      <c r="AC10" s="983"/>
      <c r="AD10" s="983"/>
      <c r="AE10" s="983"/>
      <c r="AF10" s="982">
        <v>2</v>
      </c>
      <c r="AG10" s="982"/>
      <c r="AH10" s="983"/>
      <c r="AI10" s="983"/>
      <c r="AJ10" s="983"/>
      <c r="AK10" s="982">
        <v>4</v>
      </c>
      <c r="AL10" s="984">
        <v>0</v>
      </c>
      <c r="AM10" s="985">
        <v>1</v>
      </c>
      <c r="AN10" s="985">
        <v>1</v>
      </c>
      <c r="AO10" s="985">
        <v>4</v>
      </c>
      <c r="AP10" s="982">
        <v>6</v>
      </c>
      <c r="AQ10" s="986">
        <v>2</v>
      </c>
      <c r="AR10" s="985">
        <v>2</v>
      </c>
      <c r="AS10" s="987">
        <v>1</v>
      </c>
      <c r="AT10" s="985">
        <v>1</v>
      </c>
      <c r="AU10" s="982">
        <v>7</v>
      </c>
      <c r="AV10" s="986">
        <v>1</v>
      </c>
      <c r="AW10" s="988">
        <v>4</v>
      </c>
      <c r="AX10" s="996">
        <v>2</v>
      </c>
      <c r="AY10" s="985">
        <v>2</v>
      </c>
      <c r="AZ10" s="982">
        <v>9</v>
      </c>
      <c r="BA10" s="982"/>
      <c r="BB10" s="986">
        <v>2</v>
      </c>
      <c r="BC10" s="985">
        <v>2</v>
      </c>
      <c r="BD10" s="987">
        <v>1</v>
      </c>
      <c r="BE10" s="985">
        <v>1</v>
      </c>
      <c r="BF10" s="982">
        <v>7</v>
      </c>
      <c r="BG10" s="986">
        <v>1</v>
      </c>
      <c r="BH10" s="988">
        <v>4</v>
      </c>
      <c r="BI10" s="996">
        <v>2</v>
      </c>
      <c r="BJ10" s="985">
        <v>2</v>
      </c>
      <c r="BK10" s="982">
        <f>+SUM(BG10:BJ10)</f>
        <v>9</v>
      </c>
      <c r="BL10" s="986">
        <v>2</v>
      </c>
      <c r="BM10" s="988">
        <v>2</v>
      </c>
      <c r="BN10" s="996"/>
      <c r="BO10" s="985"/>
      <c r="BP10" s="1007"/>
      <c r="BQ10" s="982"/>
      <c r="BR10" s="986">
        <v>1</v>
      </c>
      <c r="BS10" s="988">
        <v>4</v>
      </c>
      <c r="BT10" s="996">
        <v>2</v>
      </c>
      <c r="BU10" s="985">
        <v>2</v>
      </c>
      <c r="BV10" s="982">
        <f>+SUM(BR10:BU10)</f>
        <v>9</v>
      </c>
      <c r="BW10" s="986">
        <v>2</v>
      </c>
      <c r="BX10" s="988">
        <v>2</v>
      </c>
      <c r="BY10" s="996">
        <v>2</v>
      </c>
      <c r="BZ10" s="985">
        <v>3</v>
      </c>
      <c r="CA10" s="982">
        <f>+SUM(BW10:BZ10)</f>
        <v>9</v>
      </c>
      <c r="CB10" s="986">
        <v>1</v>
      </c>
      <c r="CC10" s="988">
        <v>3</v>
      </c>
      <c r="CD10" s="996">
        <v>1</v>
      </c>
      <c r="CE10" s="1040">
        <v>2</v>
      </c>
      <c r="CF10" s="982">
        <f>+SUM(CB10:CE10)</f>
        <v>7</v>
      </c>
      <c r="CG10" s="986"/>
      <c r="CH10" s="988"/>
      <c r="CI10" s="996"/>
      <c r="CJ10" s="985"/>
      <c r="CK10" s="982"/>
      <c r="CL10" s="986"/>
      <c r="CM10" s="988"/>
      <c r="CN10" s="996"/>
      <c r="CO10" s="1040"/>
      <c r="CP10" s="982">
        <v>7</v>
      </c>
      <c r="CQ10" s="1007">
        <v>2</v>
      </c>
      <c r="CR10" s="1008">
        <v>2</v>
      </c>
      <c r="CS10" s="1008">
        <v>0</v>
      </c>
      <c r="CT10" s="1009">
        <v>0</v>
      </c>
      <c r="CU10" s="1007">
        <v>4</v>
      </c>
      <c r="CV10" s="1007"/>
      <c r="CW10" s="1008"/>
      <c r="CX10" s="1008"/>
      <c r="CY10" s="1009"/>
      <c r="CZ10" s="1007">
        <v>0</v>
      </c>
      <c r="DA10" s="1007"/>
      <c r="DB10" s="1008"/>
      <c r="DC10" s="1008"/>
      <c r="DD10" s="1009"/>
      <c r="DE10" s="1007">
        <v>0</v>
      </c>
      <c r="DF10" s="1007"/>
      <c r="DG10" s="1008"/>
      <c r="DH10" s="1008"/>
      <c r="DI10" s="1009"/>
      <c r="DJ10" s="1007">
        <v>0</v>
      </c>
      <c r="DK10" s="399"/>
      <c r="DL10" s="400"/>
      <c r="DM10" s="811"/>
      <c r="DN10" s="810"/>
      <c r="DO10" s="810"/>
      <c r="DP10" s="1053"/>
      <c r="DQ10" s="1053"/>
      <c r="DR10" s="1136"/>
      <c r="DS10" s="1053" t="s">
        <v>358</v>
      </c>
      <c r="DT10" s="1253">
        <v>9020</v>
      </c>
      <c r="DU10" s="1253">
        <v>9843.75</v>
      </c>
      <c r="DV10" s="1253">
        <v>10412.5</v>
      </c>
      <c r="DW10" s="1253">
        <v>10400</v>
      </c>
      <c r="DX10" s="1136"/>
      <c r="DY10" s="357"/>
      <c r="DZ10" s="143"/>
      <c r="EA10" s="143"/>
      <c r="EB10"/>
      <c r="EC10"/>
      <c r="ED10"/>
      <c r="EE10"/>
      <c r="EF10"/>
      <c r="EG10"/>
    </row>
    <row r="11" spans="1:137" s="144" customFormat="1" ht="12.75" customHeight="1">
      <c r="A11" s="387" t="s">
        <v>2</v>
      </c>
      <c r="B11" s="374">
        <v>36149</v>
      </c>
      <c r="C11" s="374">
        <v>35477</v>
      </c>
      <c r="D11" s="374">
        <v>37580</v>
      </c>
      <c r="E11" s="374">
        <v>30489</v>
      </c>
      <c r="F11" s="374">
        <v>29580</v>
      </c>
      <c r="G11" s="390">
        <v>26900</v>
      </c>
      <c r="H11" s="390">
        <v>25600</v>
      </c>
      <c r="I11" s="997">
        <v>23400</v>
      </c>
      <c r="J11" s="997">
        <v>25600</v>
      </c>
      <c r="K11" s="387">
        <v>26300</v>
      </c>
      <c r="L11" s="374">
        <v>26300</v>
      </c>
      <c r="M11" s="387">
        <v>25300</v>
      </c>
      <c r="N11" s="387">
        <v>25800</v>
      </c>
      <c r="O11" s="387">
        <v>26700</v>
      </c>
      <c r="P11" s="387">
        <v>27200</v>
      </c>
      <c r="Q11" s="390">
        <v>27200</v>
      </c>
      <c r="R11" s="390">
        <v>27100</v>
      </c>
      <c r="S11" s="387">
        <v>27900</v>
      </c>
      <c r="T11" s="387">
        <v>25900</v>
      </c>
      <c r="U11" s="387">
        <f>(V11)</f>
        <v>26700</v>
      </c>
      <c r="V11" s="374">
        <v>26700</v>
      </c>
      <c r="W11" s="387">
        <v>26000</v>
      </c>
      <c r="X11" s="388">
        <v>24400</v>
      </c>
      <c r="Y11" s="388">
        <v>24000</v>
      </c>
      <c r="Z11" s="387">
        <f>AA11</f>
        <v>27500</v>
      </c>
      <c r="AA11" s="374">
        <v>27500</v>
      </c>
      <c r="AB11" s="387">
        <v>31300</v>
      </c>
      <c r="AC11" s="388">
        <v>29900</v>
      </c>
      <c r="AD11" s="387">
        <v>27800</v>
      </c>
      <c r="AE11" s="387">
        <v>30500</v>
      </c>
      <c r="AF11" s="374">
        <f>AE11</f>
        <v>30500</v>
      </c>
      <c r="AG11" s="387">
        <v>28200</v>
      </c>
      <c r="AH11" s="388">
        <v>26900</v>
      </c>
      <c r="AI11" s="387">
        <v>26600</v>
      </c>
      <c r="AJ11" s="387">
        <v>30100</v>
      </c>
      <c r="AK11" s="374">
        <f>AJ11</f>
        <v>30100</v>
      </c>
      <c r="AL11" s="387">
        <v>28000</v>
      </c>
      <c r="AM11" s="387">
        <v>26500</v>
      </c>
      <c r="AN11" s="387">
        <v>29200</v>
      </c>
      <c r="AO11" s="387">
        <v>28000</v>
      </c>
      <c r="AP11" s="374">
        <f>AO11</f>
        <v>28000</v>
      </c>
      <c r="AQ11" s="387">
        <v>26500</v>
      </c>
      <c r="AR11" s="387">
        <v>24200</v>
      </c>
      <c r="AS11" s="387">
        <v>23300</v>
      </c>
      <c r="AT11" s="387">
        <v>27600</v>
      </c>
      <c r="AU11" s="374">
        <f>AT11</f>
        <v>27600</v>
      </c>
      <c r="AV11" s="844">
        <v>25300</v>
      </c>
      <c r="AW11" s="844">
        <v>23200</v>
      </c>
      <c r="AX11" s="387">
        <v>22600</v>
      </c>
      <c r="AY11" s="387">
        <v>31800</v>
      </c>
      <c r="AZ11" s="374">
        <f>AY11</f>
        <v>31800</v>
      </c>
      <c r="BA11" s="374">
        <f>AP11</f>
        <v>28000</v>
      </c>
      <c r="BB11" s="844">
        <v>26400</v>
      </c>
      <c r="BC11" s="844">
        <v>24200</v>
      </c>
      <c r="BD11" s="387">
        <v>23300</v>
      </c>
      <c r="BE11" s="387">
        <v>27600</v>
      </c>
      <c r="BF11" s="374">
        <f>AU11</f>
        <v>27600</v>
      </c>
      <c r="BG11" s="844">
        <v>25300</v>
      </c>
      <c r="BH11" s="844">
        <v>23200</v>
      </c>
      <c r="BI11" s="387">
        <v>22500</v>
      </c>
      <c r="BJ11" s="387">
        <v>31800</v>
      </c>
      <c r="BK11" s="374">
        <f>AZ11</f>
        <v>31800</v>
      </c>
      <c r="BL11" s="844">
        <v>30700</v>
      </c>
      <c r="BM11" s="844">
        <v>28800</v>
      </c>
      <c r="BN11" s="387"/>
      <c r="BO11" s="387"/>
      <c r="BP11" s="374"/>
      <c r="BQ11" s="374"/>
      <c r="BR11" s="844">
        <v>30700</v>
      </c>
      <c r="BS11" s="844">
        <v>28800</v>
      </c>
      <c r="BT11" s="387">
        <v>22500</v>
      </c>
      <c r="BU11" s="387">
        <v>31800</v>
      </c>
      <c r="BV11" s="374">
        <f>+BU11</f>
        <v>31800</v>
      </c>
      <c r="BW11" s="844">
        <v>30700</v>
      </c>
      <c r="BX11" s="844">
        <v>28800</v>
      </c>
      <c r="BY11" s="387">
        <v>27900</v>
      </c>
      <c r="BZ11" s="387">
        <v>34182</v>
      </c>
      <c r="CA11" s="374">
        <f>BZ11</f>
        <v>34182</v>
      </c>
      <c r="CB11" s="844">
        <v>32000</v>
      </c>
      <c r="CC11" s="844">
        <v>32000</v>
      </c>
      <c r="CD11" s="387">
        <v>39500</v>
      </c>
      <c r="CE11" s="387">
        <v>35832</v>
      </c>
      <c r="CF11" s="374">
        <f>CE11</f>
        <v>35832</v>
      </c>
      <c r="CG11" s="844"/>
      <c r="CH11" s="844"/>
      <c r="CI11" s="387"/>
      <c r="CJ11" s="387"/>
      <c r="CK11" s="374"/>
      <c r="CL11" s="844"/>
      <c r="CM11" s="844"/>
      <c r="CN11" s="387"/>
      <c r="CO11" s="387"/>
      <c r="CP11" s="374">
        <v>35692</v>
      </c>
      <c r="CQ11" s="387"/>
      <c r="CR11" s="387"/>
      <c r="CS11" s="387"/>
      <c r="CT11" s="391"/>
      <c r="CU11" s="374"/>
      <c r="CV11" s="387"/>
      <c r="CW11" s="387"/>
      <c r="CX11" s="387"/>
      <c r="CY11" s="391"/>
      <c r="CZ11" s="374"/>
      <c r="DA11" s="387"/>
      <c r="DB11" s="387"/>
      <c r="DC11" s="387"/>
      <c r="DD11" s="391"/>
      <c r="DE11" s="374"/>
      <c r="DF11" s="387"/>
      <c r="DG11" s="387"/>
      <c r="DH11" s="387"/>
      <c r="DI11" s="391"/>
      <c r="DJ11" s="374"/>
      <c r="DK11" s="399"/>
      <c r="DL11" s="400"/>
      <c r="DM11" s="810"/>
      <c r="DN11" s="810"/>
      <c r="DO11" s="810"/>
      <c r="DP11" s="1053"/>
      <c r="DQ11" s="1053"/>
      <c r="DR11" s="1053"/>
      <c r="DS11" s="1053" t="s">
        <v>369</v>
      </c>
      <c r="DT11" s="1253">
        <v>1359.8454999999999</v>
      </c>
      <c r="DU11" s="1253">
        <v>1273.6592499999997</v>
      </c>
      <c r="DV11" s="1253">
        <v>1121.3600000000001</v>
      </c>
      <c r="DW11" s="1253">
        <v>945.22550000000001</v>
      </c>
      <c r="DX11" s="1053"/>
      <c r="DY11" s="357"/>
      <c r="DZ11" s="352"/>
      <c r="EA11" s="143"/>
      <c r="EB11"/>
      <c r="EC11"/>
      <c r="ED11"/>
      <c r="EE11"/>
      <c r="EF11"/>
      <c r="EG11"/>
    </row>
    <row r="12" spans="1:137" s="398" customFormat="1">
      <c r="A12" s="97" t="s">
        <v>53</v>
      </c>
      <c r="B12" s="80"/>
      <c r="C12" s="80">
        <f>C11/B11-1</f>
        <v>-1.8589725856870132E-2</v>
      </c>
      <c r="D12" s="80">
        <f>D11/C11-1</f>
        <v>5.9277841982129376E-2</v>
      </c>
      <c r="E12" s="80">
        <f>E11/D11-1</f>
        <v>-0.1886907929749867</v>
      </c>
      <c r="F12" s="80">
        <f>F11/E11-1</f>
        <v>-2.9814031289973397E-2</v>
      </c>
      <c r="G12" s="85">
        <f>G11/F11-1</f>
        <v>-9.060175794455716E-2</v>
      </c>
      <c r="H12" s="85"/>
      <c r="I12" s="82"/>
      <c r="J12" s="82"/>
      <c r="K12" s="82"/>
      <c r="L12" s="80">
        <f t="shared" ref="L12:AL12" si="14">L11/G11-1</f>
        <v>-2.2304832713754608E-2</v>
      </c>
      <c r="M12" s="82">
        <f t="shared" si="14"/>
        <v>-1.171875E-2</v>
      </c>
      <c r="N12" s="82">
        <f t="shared" si="14"/>
        <v>0.10256410256410264</v>
      </c>
      <c r="O12" s="82">
        <f t="shared" si="14"/>
        <v>4.296875E-2</v>
      </c>
      <c r="P12" s="82">
        <f t="shared" si="14"/>
        <v>3.4220532319391594E-2</v>
      </c>
      <c r="Q12" s="85">
        <f t="shared" si="14"/>
        <v>3.4220532319391594E-2</v>
      </c>
      <c r="R12" s="85">
        <f t="shared" si="14"/>
        <v>7.1146245059288571E-2</v>
      </c>
      <c r="S12" s="82">
        <f t="shared" si="14"/>
        <v>8.1395348837209225E-2</v>
      </c>
      <c r="T12" s="82">
        <f t="shared" si="14"/>
        <v>-2.9962546816479363E-2</v>
      </c>
      <c r="U12" s="82">
        <f t="shared" si="14"/>
        <v>-1.8382352941176516E-2</v>
      </c>
      <c r="V12" s="80">
        <f t="shared" si="14"/>
        <v>-1.8382352941176516E-2</v>
      </c>
      <c r="W12" s="83">
        <f t="shared" si="14"/>
        <v>-4.0590405904059046E-2</v>
      </c>
      <c r="X12" s="82">
        <f t="shared" si="14"/>
        <v>-0.12544802867383509</v>
      </c>
      <c r="Y12" s="83">
        <f t="shared" si="14"/>
        <v>-7.3359073359073323E-2</v>
      </c>
      <c r="Z12" s="83">
        <f t="shared" si="14"/>
        <v>2.9962546816479474E-2</v>
      </c>
      <c r="AA12" s="84">
        <f t="shared" si="14"/>
        <v>2.9962546816479474E-2</v>
      </c>
      <c r="AB12" s="83">
        <f t="shared" si="14"/>
        <v>0.20384615384615379</v>
      </c>
      <c r="AC12" s="82">
        <f t="shared" si="14"/>
        <v>0.22540983606557385</v>
      </c>
      <c r="AD12" s="82">
        <f t="shared" si="14"/>
        <v>0.15833333333333344</v>
      </c>
      <c r="AE12" s="82">
        <f t="shared" si="14"/>
        <v>0.10909090909090913</v>
      </c>
      <c r="AF12" s="84">
        <f t="shared" si="14"/>
        <v>0.10909090909090913</v>
      </c>
      <c r="AG12" s="83">
        <f t="shared" si="14"/>
        <v>-9.9041533546325833E-2</v>
      </c>
      <c r="AH12" s="82">
        <f t="shared" si="14"/>
        <v>-0.10033444816053516</v>
      </c>
      <c r="AI12" s="82">
        <f t="shared" si="14"/>
        <v>-4.3165467625899234E-2</v>
      </c>
      <c r="AJ12" s="82">
        <f t="shared" si="14"/>
        <v>-1.3114754098360604E-2</v>
      </c>
      <c r="AK12" s="80">
        <f t="shared" si="14"/>
        <v>-1.3114754098360604E-2</v>
      </c>
      <c r="AL12" s="82">
        <f t="shared" si="14"/>
        <v>-7.0921985815602939E-3</v>
      </c>
      <c r="AM12" s="82">
        <f t="shared" ref="AM12:AP12" si="15">AM11/AH11-1</f>
        <v>-1.4869888475836479E-2</v>
      </c>
      <c r="AN12" s="83">
        <f t="shared" si="15"/>
        <v>9.7744360902255689E-2</v>
      </c>
      <c r="AO12" s="83">
        <f t="shared" si="15"/>
        <v>-6.9767441860465129E-2</v>
      </c>
      <c r="AP12" s="80">
        <f t="shared" si="15"/>
        <v>-6.9767441860465129E-2</v>
      </c>
      <c r="AQ12" s="82">
        <f t="shared" ref="AQ12:AZ12" si="16">AQ11/AL11-1</f>
        <v>-5.3571428571428603E-2</v>
      </c>
      <c r="AR12" s="82">
        <f t="shared" si="16"/>
        <v>-8.679245283018866E-2</v>
      </c>
      <c r="AS12" s="83">
        <f t="shared" si="16"/>
        <v>-0.20205479452054798</v>
      </c>
      <c r="AT12" s="83">
        <f t="shared" si="16"/>
        <v>-1.4285714285714235E-2</v>
      </c>
      <c r="AU12" s="80">
        <f t="shared" si="16"/>
        <v>-1.4285714285714235E-2</v>
      </c>
      <c r="AV12" s="82">
        <f t="shared" si="16"/>
        <v>-4.5283018867924518E-2</v>
      </c>
      <c r="AW12" s="82">
        <f t="shared" si="16"/>
        <v>-4.132231404958675E-2</v>
      </c>
      <c r="AX12" s="83">
        <f t="shared" si="16"/>
        <v>-3.0042918454935674E-2</v>
      </c>
      <c r="AY12" s="83">
        <f t="shared" si="16"/>
        <v>0.15217391304347827</v>
      </c>
      <c r="AZ12" s="80">
        <f t="shared" si="16"/>
        <v>0.15217391304347827</v>
      </c>
      <c r="BA12" s="80"/>
      <c r="BB12" s="82"/>
      <c r="BC12" s="82"/>
      <c r="BD12" s="83"/>
      <c r="BE12" s="83"/>
      <c r="BF12" s="80">
        <f t="shared" ref="BF12:BM12" si="17">BF11/BA11-1</f>
        <v>-1.4285714285714235E-2</v>
      </c>
      <c r="BG12" s="82">
        <f t="shared" si="17"/>
        <v>-4.166666666666663E-2</v>
      </c>
      <c r="BH12" s="82">
        <f t="shared" si="17"/>
        <v>-4.132231404958675E-2</v>
      </c>
      <c r="BI12" s="83">
        <f t="shared" si="17"/>
        <v>-3.4334763948497882E-2</v>
      </c>
      <c r="BJ12" s="83">
        <f t="shared" si="17"/>
        <v>0.15217391304347827</v>
      </c>
      <c r="BK12" s="80">
        <f t="shared" si="17"/>
        <v>0.15217391304347827</v>
      </c>
      <c r="BL12" s="82">
        <f t="shared" si="17"/>
        <v>0.21343873517786571</v>
      </c>
      <c r="BM12" s="82">
        <f t="shared" si="17"/>
        <v>0.24137931034482762</v>
      </c>
      <c r="BN12" s="83"/>
      <c r="BO12" s="83"/>
      <c r="BP12" s="80"/>
      <c r="BQ12" s="80"/>
      <c r="BR12" s="82">
        <f>+BR11/BB11-1</f>
        <v>0.16287878787878785</v>
      </c>
      <c r="BS12" s="82">
        <f t="shared" ref="BS12" si="18">+BS11/BC11-1</f>
        <v>0.19008264462809921</v>
      </c>
      <c r="BT12" s="83">
        <f t="shared" ref="BT12" si="19">+BT11/BD11-1</f>
        <v>-3.4334763948497882E-2</v>
      </c>
      <c r="BU12" s="83">
        <f t="shared" ref="BU12" si="20">+BU11/BE11-1</f>
        <v>0.15217391304347827</v>
      </c>
      <c r="BV12" s="80">
        <f t="shared" ref="BV12" si="21">+BV11/BF11-1</f>
        <v>0.15217391304347827</v>
      </c>
      <c r="BW12" s="82">
        <f>BW11/BR11-1</f>
        <v>0</v>
      </c>
      <c r="BX12" s="82">
        <f t="shared" ref="BX12:BY12" si="22">BX11/BS11-1</f>
        <v>0</v>
      </c>
      <c r="BY12" s="83">
        <f t="shared" si="22"/>
        <v>0.24</v>
      </c>
      <c r="BZ12" s="83">
        <f>BZ11/BU11-1</f>
        <v>7.4905660377358574E-2</v>
      </c>
      <c r="CA12" s="80">
        <f>CA11/BV11-1</f>
        <v>7.4905660377358574E-2</v>
      </c>
      <c r="CB12" s="82">
        <f>CB11/BW11-1</f>
        <v>4.2345276872964188E-2</v>
      </c>
      <c r="CC12" s="82">
        <f>CC11/BX11-1</f>
        <v>0.11111111111111116</v>
      </c>
      <c r="CD12" s="83">
        <f t="shared" ref="CD12" si="23">CD11/BY11-1</f>
        <v>0.41577060931899634</v>
      </c>
      <c r="CE12" s="83">
        <f>CE11/BZ11-1</f>
        <v>4.8271019835000928E-2</v>
      </c>
      <c r="CF12" s="80">
        <f>CF11/CA11-1</f>
        <v>4.8271019835000928E-2</v>
      </c>
      <c r="CG12" s="82"/>
      <c r="CH12" s="82"/>
      <c r="CI12" s="83"/>
      <c r="CJ12" s="83"/>
      <c r="CK12" s="80"/>
      <c r="CL12" s="82"/>
      <c r="CM12" s="82"/>
      <c r="CN12" s="83"/>
      <c r="CO12" s="83"/>
      <c r="CP12" s="80"/>
      <c r="CQ12" s="103"/>
      <c r="CR12" s="103"/>
      <c r="CS12" s="103"/>
      <c r="CT12" s="105"/>
      <c r="CU12" s="104"/>
      <c r="CV12" s="103"/>
      <c r="CW12" s="103"/>
      <c r="CX12" s="103"/>
      <c r="CY12" s="105"/>
      <c r="CZ12" s="104"/>
      <c r="DA12" s="103"/>
      <c r="DB12" s="103"/>
      <c r="DC12" s="103"/>
      <c r="DD12" s="105"/>
      <c r="DE12" s="104"/>
      <c r="DF12" s="103"/>
      <c r="DG12" s="103"/>
      <c r="DH12" s="103"/>
      <c r="DI12" s="105"/>
      <c r="DJ12" s="104"/>
      <c r="DK12" s="401"/>
      <c r="DL12" s="74"/>
      <c r="DM12" s="809"/>
      <c r="DN12" s="809"/>
      <c r="DO12" s="809"/>
      <c r="DP12" s="1053"/>
      <c r="DQ12" s="1053"/>
      <c r="DR12" s="1053"/>
      <c r="DS12" s="1053" t="s">
        <v>359</v>
      </c>
      <c r="DT12" s="1253">
        <v>2255</v>
      </c>
      <c r="DU12" s="1253">
        <v>2460.9375</v>
      </c>
      <c r="DV12" s="1253">
        <v>2342.8125</v>
      </c>
      <c r="DW12" s="1253">
        <v>2080</v>
      </c>
      <c r="DX12" s="1211"/>
      <c r="DY12" s="360"/>
      <c r="DZ12" s="167"/>
      <c r="EA12" s="167"/>
      <c r="EB12"/>
      <c r="EC12"/>
      <c r="ED12"/>
      <c r="EE12"/>
      <c r="EF12"/>
      <c r="EG12"/>
    </row>
    <row r="13" spans="1:137" s="398" customFormat="1" ht="12.75" customHeight="1">
      <c r="A13" s="373" t="s">
        <v>121</v>
      </c>
      <c r="B13" s="10"/>
      <c r="C13" s="10">
        <f t="shared" ref="C13:K13" si="24">C11-(B11-C4)</f>
        <v>5799</v>
      </c>
      <c r="D13" s="10">
        <f t="shared" si="24"/>
        <v>12305</v>
      </c>
      <c r="E13" s="10">
        <f t="shared" si="24"/>
        <v>4694</v>
      </c>
      <c r="F13" s="10">
        <f t="shared" si="24"/>
        <v>11440</v>
      </c>
      <c r="G13" s="62">
        <f t="shared" si="24"/>
        <v>9508</v>
      </c>
      <c r="H13" s="62">
        <f t="shared" si="24"/>
        <v>1521</v>
      </c>
      <c r="I13" s="35">
        <f t="shared" si="24"/>
        <v>936</v>
      </c>
      <c r="J13" s="35">
        <f t="shared" si="24"/>
        <v>5542</v>
      </c>
      <c r="K13" s="35">
        <f t="shared" si="24"/>
        <v>3704</v>
      </c>
      <c r="L13" s="10">
        <f>L11-(G11-L4)</f>
        <v>11703</v>
      </c>
      <c r="M13" s="35">
        <f>M11-(L11-M4)</f>
        <v>1807</v>
      </c>
      <c r="N13" s="35">
        <f>N11-(M11-N4)</f>
        <v>3384</v>
      </c>
      <c r="O13" s="35">
        <f>O11-(N11-O4)</f>
        <v>3817</v>
      </c>
      <c r="P13" s="35">
        <f>P11-(O11-P4)</f>
        <v>3365</v>
      </c>
      <c r="Q13" s="62">
        <f>Q11-(L11-Q4)</f>
        <v>12373</v>
      </c>
      <c r="R13" s="62">
        <f>R11-(Q11-R4)</f>
        <v>2681</v>
      </c>
      <c r="S13" s="35">
        <f>S11-(R11-S4)</f>
        <v>3886</v>
      </c>
      <c r="T13" s="35">
        <f>T11-(S11-T4)</f>
        <v>1084</v>
      </c>
      <c r="U13" s="35">
        <f>U11-(T11-U4)</f>
        <v>4050</v>
      </c>
      <c r="V13" s="10">
        <f>V11-(Q11-V4)</f>
        <v>11701</v>
      </c>
      <c r="W13" s="35">
        <f>W11-(V11-W4)</f>
        <v>2240</v>
      </c>
      <c r="X13" s="35">
        <f>X11-(W11-X4)</f>
        <v>1543</v>
      </c>
      <c r="Y13" s="35">
        <f>Y11-(X11-Y4)</f>
        <v>2894</v>
      </c>
      <c r="Z13" s="35">
        <f>Z11-(Y11-Z4)</f>
        <v>7330</v>
      </c>
      <c r="AA13" s="10">
        <f>AA11-(V11-AA4)</f>
        <v>14007</v>
      </c>
      <c r="AB13" s="35">
        <f>AB11-(AA11-AB4)</f>
        <v>6952</v>
      </c>
      <c r="AC13" s="35">
        <f>AC11-(AB11-AC4)</f>
        <v>1990</v>
      </c>
      <c r="AD13" s="35">
        <f>AD11-(AC11-AD4)</f>
        <v>1865</v>
      </c>
      <c r="AE13" s="35">
        <f>AE11-(AD11-AE4)</f>
        <v>6555</v>
      </c>
      <c r="AF13" s="10">
        <f>AF11-(AA11-AF4)</f>
        <v>17362</v>
      </c>
      <c r="AG13" s="35">
        <f>AG11-(AF11-AG4)</f>
        <v>1406</v>
      </c>
      <c r="AH13" s="35">
        <f>AH11-(AG11-AH4)</f>
        <v>2108</v>
      </c>
      <c r="AI13" s="35">
        <f>AI11-(AH11-AI4)</f>
        <v>3398</v>
      </c>
      <c r="AJ13" s="35">
        <f>AJ11-(AI11-AJ4)</f>
        <v>7641</v>
      </c>
      <c r="AK13" s="10">
        <f>AK11-(AF11-AK4)</f>
        <v>14553</v>
      </c>
      <c r="AL13" s="35">
        <f>AL11-(AK11-AL4)</f>
        <v>1086</v>
      </c>
      <c r="AM13" s="35">
        <f>AM11-(AL11-AM4)</f>
        <v>1907</v>
      </c>
      <c r="AN13" s="35">
        <f>AN11-(AM11-AN4)</f>
        <v>6332</v>
      </c>
      <c r="AO13" s="35">
        <f>AO11-(AN11-AO4)</f>
        <v>2698</v>
      </c>
      <c r="AP13" s="10">
        <f>AP11-(AK11-AP4)</f>
        <v>12023</v>
      </c>
      <c r="AQ13" s="35">
        <f>AQ11-(AP11-AQ4)</f>
        <v>1886</v>
      </c>
      <c r="AR13" s="35">
        <f>AR11-(AQ11-AR4)</f>
        <v>1555</v>
      </c>
      <c r="AS13" s="35">
        <f>AS11-(AR11-AS4)</f>
        <v>2644</v>
      </c>
      <c r="AT13" s="35">
        <f>AT11-(AS11-AT4)</f>
        <v>8435</v>
      </c>
      <c r="AU13" s="10">
        <f>AU11-(AP11-AU4)</f>
        <v>14520</v>
      </c>
      <c r="AV13" s="35">
        <f>AV11-(AU11-AV4)</f>
        <v>834</v>
      </c>
      <c r="AW13" s="35">
        <f>AW11-(AV11-AW4)</f>
        <v>2031</v>
      </c>
      <c r="AX13" s="35">
        <f>AX11-(AW11-AX4)</f>
        <v>3321</v>
      </c>
      <c r="AY13" s="35">
        <f>AY11-(AX11-AY4)</f>
        <v>13584</v>
      </c>
      <c r="AZ13" s="10">
        <f>AZ11-(AU11-AZ4)</f>
        <v>19770</v>
      </c>
      <c r="BA13" s="10"/>
      <c r="BB13" s="35">
        <f>+BF13-SUM(BC13:BE13)</f>
        <v>1786</v>
      </c>
      <c r="BC13" s="35">
        <f>BC11-(BB11-BC4)</f>
        <v>1655</v>
      </c>
      <c r="BD13" s="35">
        <f>BD11-(BC11-BD4)</f>
        <v>2644</v>
      </c>
      <c r="BE13" s="35">
        <f>BE11-(BD11-BE4)</f>
        <v>8435</v>
      </c>
      <c r="BF13" s="10">
        <f>BF11-(BA11-BF4)</f>
        <v>14520</v>
      </c>
      <c r="BG13" s="35">
        <f>BG11-(BF11-BG4)</f>
        <v>834</v>
      </c>
      <c r="BH13" s="35">
        <f>BH11-(BG11-BH4)</f>
        <v>2031</v>
      </c>
      <c r="BI13" s="35">
        <f>BI11-(BH11-BI4)</f>
        <v>3221</v>
      </c>
      <c r="BJ13" s="35">
        <f>BJ11-(BI11-BJ4)</f>
        <v>13684</v>
      </c>
      <c r="BK13" s="976">
        <f>BK11-(BF11-BK4)</f>
        <v>19770</v>
      </c>
      <c r="BL13" s="35">
        <f>BL11-(BK11-BL4)</f>
        <v>2699</v>
      </c>
      <c r="BM13" s="35">
        <f>BM11-(BL11-BM4)</f>
        <v>2475</v>
      </c>
      <c r="BN13" s="35"/>
      <c r="BO13" s="35"/>
      <c r="BP13" s="10"/>
      <c r="BQ13" s="10"/>
      <c r="BR13" s="35">
        <f>BR11-(BF11-BR4)</f>
        <v>6234</v>
      </c>
      <c r="BS13" s="35">
        <f>BS11-(BR11-BS4)</f>
        <v>2231</v>
      </c>
      <c r="BT13" s="35">
        <f>BT11-(BS11-BT4)</f>
        <v>-2379</v>
      </c>
      <c r="BU13" s="35">
        <f>BU11-(BT11-BU4)</f>
        <v>13684</v>
      </c>
      <c r="BV13" s="976">
        <f>BV11-(CE11-BV4)</f>
        <v>11538</v>
      </c>
      <c r="BW13" s="35">
        <f>BW11-(BV11-BW4)</f>
        <v>2699</v>
      </c>
      <c r="BX13" s="35">
        <f>BX11-(BW11-BX4)</f>
        <v>2475</v>
      </c>
      <c r="BY13" s="35">
        <f>BY11-(BX11-BY4)</f>
        <v>3288</v>
      </c>
      <c r="BZ13" s="35">
        <f>BZ11-(BY11-BZ4)</f>
        <v>11689</v>
      </c>
      <c r="CA13" s="10">
        <f>CA11-(BN11-CA4)</f>
        <v>51951</v>
      </c>
      <c r="CB13" s="35">
        <f>CB11-(CA11-CB4)</f>
        <v>1924</v>
      </c>
      <c r="CC13" s="35">
        <f>CC11-(CB11-CC4)</f>
        <v>5225</v>
      </c>
      <c r="CD13" s="35">
        <f>CD11-(CC11-CD4)</f>
        <v>12271</v>
      </c>
      <c r="CE13" s="35">
        <f>CE11-(CD11-CE4)</f>
        <v>2378</v>
      </c>
      <c r="CF13" s="10">
        <f>CF11-(BS11-CF4)</f>
        <v>27180</v>
      </c>
      <c r="CG13" s="35"/>
      <c r="CH13" s="35"/>
      <c r="CI13" s="35"/>
      <c r="CJ13" s="35"/>
      <c r="CK13" s="10"/>
      <c r="CL13" s="35"/>
      <c r="CM13" s="35"/>
      <c r="CN13" s="35"/>
      <c r="CO13" s="35"/>
      <c r="CP13" s="10"/>
      <c r="CQ13" s="55"/>
      <c r="CR13" s="55"/>
      <c r="CS13" s="55"/>
      <c r="CT13" s="58"/>
      <c r="CU13" s="57"/>
      <c r="CV13" s="55"/>
      <c r="CW13" s="55"/>
      <c r="CX13" s="55"/>
      <c r="CY13" s="58"/>
      <c r="CZ13" s="57"/>
      <c r="DA13" s="55"/>
      <c r="DB13" s="55"/>
      <c r="DC13" s="55"/>
      <c r="DD13" s="58"/>
      <c r="DE13" s="57"/>
      <c r="DF13" s="55"/>
      <c r="DG13" s="55"/>
      <c r="DH13" s="55"/>
      <c r="DI13" s="58"/>
      <c r="DJ13" s="57"/>
      <c r="DK13" s="397"/>
      <c r="DL13" s="74"/>
      <c r="DM13" s="809"/>
      <c r="DN13" s="809"/>
      <c r="DO13" s="809"/>
      <c r="DP13" s="1053"/>
      <c r="DQ13" s="1053"/>
      <c r="DR13" s="1138"/>
      <c r="DS13" s="1053" t="s">
        <v>374</v>
      </c>
      <c r="DT13" s="1254">
        <v>1983.4967080000006</v>
      </c>
      <c r="DU13" s="1254">
        <v>1983.4967080000006</v>
      </c>
      <c r="DV13" s="1254">
        <v>1884.3218726000005</v>
      </c>
      <c r="DW13" s="1254">
        <v>1790.1057789700003</v>
      </c>
      <c r="DX13" s="1178"/>
      <c r="DY13" s="360"/>
      <c r="DZ13" s="167"/>
      <c r="EA13" s="167"/>
      <c r="EB13"/>
      <c r="EC13"/>
      <c r="ED13"/>
      <c r="EE13"/>
      <c r="EF13"/>
      <c r="EG13"/>
    </row>
    <row r="14" spans="1:137" s="772" customFormat="1" ht="12.75" customHeight="1" thickBot="1">
      <c r="A14" s="762" t="s">
        <v>122</v>
      </c>
      <c r="B14" s="763"/>
      <c r="C14" s="764">
        <f t="shared" ref="C14:AH14" si="25">C13/C4</f>
        <v>0.89615206305053319</v>
      </c>
      <c r="D14" s="764">
        <f t="shared" si="25"/>
        <v>1.2061360517545578</v>
      </c>
      <c r="E14" s="764">
        <f t="shared" si="25"/>
        <v>0.3983029274501485</v>
      </c>
      <c r="F14" s="764">
        <f t="shared" si="25"/>
        <v>0.92639080087456471</v>
      </c>
      <c r="G14" s="773">
        <f t="shared" si="25"/>
        <v>0.78011158516573675</v>
      </c>
      <c r="H14" s="773">
        <f t="shared" si="25"/>
        <v>0.53917050691244239</v>
      </c>
      <c r="I14" s="765">
        <f t="shared" si="25"/>
        <v>0.29846938775510207</v>
      </c>
      <c r="J14" s="765">
        <f t="shared" si="25"/>
        <v>1.6582884500299222</v>
      </c>
      <c r="K14" s="765">
        <f t="shared" si="25"/>
        <v>1.233022636484687</v>
      </c>
      <c r="L14" s="764">
        <f t="shared" si="25"/>
        <v>0.95123140697390884</v>
      </c>
      <c r="M14" s="765">
        <f t="shared" si="25"/>
        <v>0.64374777342358391</v>
      </c>
      <c r="N14" s="765">
        <f t="shared" si="25"/>
        <v>1.1733703190013869</v>
      </c>
      <c r="O14" s="765">
        <f t="shared" si="25"/>
        <v>1.3085361672951663</v>
      </c>
      <c r="P14" s="765">
        <f t="shared" si="25"/>
        <v>1.174520069808028</v>
      </c>
      <c r="Q14" s="773">
        <f t="shared" si="25"/>
        <v>1.0784450448879979</v>
      </c>
      <c r="R14" s="773">
        <f t="shared" si="25"/>
        <v>0.96404171161452712</v>
      </c>
      <c r="S14" s="765">
        <f t="shared" si="25"/>
        <v>1.2592352559948152</v>
      </c>
      <c r="T14" s="765">
        <f t="shared" si="25"/>
        <v>0.35149156939040205</v>
      </c>
      <c r="U14" s="765">
        <f t="shared" si="25"/>
        <v>1.2461538461538462</v>
      </c>
      <c r="V14" s="764">
        <f t="shared" si="25"/>
        <v>0.95901975247930493</v>
      </c>
      <c r="W14" s="765">
        <f t="shared" si="25"/>
        <v>0.76190476190476186</v>
      </c>
      <c r="X14" s="765">
        <f t="shared" si="25"/>
        <v>0.49093223035316574</v>
      </c>
      <c r="Y14" s="765">
        <f t="shared" si="25"/>
        <v>0.87856709168184577</v>
      </c>
      <c r="Z14" s="765">
        <f t="shared" si="25"/>
        <v>1.9138381201044385</v>
      </c>
      <c r="AA14" s="764">
        <f t="shared" si="25"/>
        <v>1.0605739380631483</v>
      </c>
      <c r="AB14" s="765">
        <f t="shared" si="25"/>
        <v>2.2055837563451774</v>
      </c>
      <c r="AC14" s="765">
        <f t="shared" si="25"/>
        <v>0.58702064896755157</v>
      </c>
      <c r="AD14" s="765">
        <f t="shared" si="25"/>
        <v>0.47036569987389659</v>
      </c>
      <c r="AE14" s="765">
        <f t="shared" si="25"/>
        <v>1.7003891050583657</v>
      </c>
      <c r="AF14" s="764">
        <f t="shared" si="25"/>
        <v>1.2088845564684585</v>
      </c>
      <c r="AG14" s="765">
        <f t="shared" si="25"/>
        <v>0.37938478143550997</v>
      </c>
      <c r="AH14" s="765">
        <f t="shared" si="25"/>
        <v>0.61854460093896713</v>
      </c>
      <c r="AI14" s="765">
        <f t="shared" ref="AI14:AZ14" si="26">AI13/AI4</f>
        <v>0.91887506760411031</v>
      </c>
      <c r="AJ14" s="765">
        <f t="shared" si="26"/>
        <v>1.8452064718666989</v>
      </c>
      <c r="AK14" s="764">
        <f t="shared" si="26"/>
        <v>0.97324951514746205</v>
      </c>
      <c r="AL14" s="765">
        <f t="shared" si="26"/>
        <v>0.3408662900188324</v>
      </c>
      <c r="AM14" s="765">
        <f t="shared" si="26"/>
        <v>0.55972996771353101</v>
      </c>
      <c r="AN14" s="765">
        <f t="shared" si="26"/>
        <v>1.7433920704845816</v>
      </c>
      <c r="AO14" s="765">
        <f t="shared" si="26"/>
        <v>0.69214982042072859</v>
      </c>
      <c r="AP14" s="764">
        <f t="shared" si="26"/>
        <v>0.85130637966437728</v>
      </c>
      <c r="AQ14" s="765">
        <f t="shared" si="26"/>
        <v>0.55699940933254577</v>
      </c>
      <c r="AR14" s="765">
        <f t="shared" si="26"/>
        <v>0.40337224383916992</v>
      </c>
      <c r="AS14" s="765">
        <f t="shared" si="26"/>
        <v>0.74604966139954854</v>
      </c>
      <c r="AT14" s="765">
        <f t="shared" si="26"/>
        <v>2.0399032648125757</v>
      </c>
      <c r="AU14" s="764">
        <f t="shared" si="26"/>
        <v>0.97319034852546915</v>
      </c>
      <c r="AV14" s="765">
        <f t="shared" si="26"/>
        <v>0.26611359285258457</v>
      </c>
      <c r="AW14" s="765">
        <f t="shared" si="26"/>
        <v>0.49164851125635439</v>
      </c>
      <c r="AX14" s="765">
        <f t="shared" si="26"/>
        <v>0.84697781178270848</v>
      </c>
      <c r="AY14" s="765">
        <f t="shared" si="26"/>
        <v>3.0985401459854014</v>
      </c>
      <c r="AZ14" s="764">
        <f t="shared" si="26"/>
        <v>1.2697495183044316</v>
      </c>
      <c r="BA14" s="764"/>
      <c r="BB14" s="765">
        <f t="shared" ref="BB14:BM14" si="27">BB13/BB4</f>
        <v>0.52746603662138214</v>
      </c>
      <c r="BC14" s="765">
        <f t="shared" si="27"/>
        <v>0.4293125810635538</v>
      </c>
      <c r="BD14" s="765">
        <f t="shared" si="27"/>
        <v>0.74604966139954854</v>
      </c>
      <c r="BE14" s="765">
        <f t="shared" si="27"/>
        <v>2.0399032648125757</v>
      </c>
      <c r="BF14" s="764">
        <f t="shared" si="27"/>
        <v>0.97319034852546915</v>
      </c>
      <c r="BG14" s="765">
        <f t="shared" si="27"/>
        <v>0.26611359285258457</v>
      </c>
      <c r="BH14" s="765">
        <f t="shared" si="27"/>
        <v>0.49164851125635439</v>
      </c>
      <c r="BI14" s="765">
        <f t="shared" si="27"/>
        <v>0.82147411374649326</v>
      </c>
      <c r="BJ14" s="765">
        <f t="shared" si="27"/>
        <v>3.1213503649635035</v>
      </c>
      <c r="BK14" s="764">
        <f t="shared" si="27"/>
        <v>1.2697495183044316</v>
      </c>
      <c r="BL14" s="765">
        <f t="shared" si="27"/>
        <v>0.71045011845222428</v>
      </c>
      <c r="BM14" s="765">
        <f t="shared" si="27"/>
        <v>0.56571428571428573</v>
      </c>
      <c r="BN14" s="765"/>
      <c r="BO14" s="765"/>
      <c r="BP14" s="764"/>
      <c r="BQ14" s="764"/>
      <c r="BR14" s="765">
        <f t="shared" ref="BR14:CB14" si="28">BR13/BR4</f>
        <v>1.9891512444160817</v>
      </c>
      <c r="BS14" s="765">
        <f t="shared" si="28"/>
        <v>0.54006293875574918</v>
      </c>
      <c r="BT14" s="765">
        <f t="shared" si="28"/>
        <v>-0.60673297628156087</v>
      </c>
      <c r="BU14" s="765">
        <f t="shared" si="28"/>
        <v>3.1213503649635035</v>
      </c>
      <c r="BV14" s="764">
        <f t="shared" si="28"/>
        <v>0.74104046242774568</v>
      </c>
      <c r="BW14" s="765">
        <f t="shared" si="28"/>
        <v>0.71045011845222428</v>
      </c>
      <c r="BX14" s="765">
        <f t="shared" si="28"/>
        <v>0.56571428571428573</v>
      </c>
      <c r="BY14" s="765">
        <f t="shared" si="28"/>
        <v>0.78510028653295127</v>
      </c>
      <c r="BZ14" s="765">
        <f>BZ13/BZ4</f>
        <v>2.1618272609580176</v>
      </c>
      <c r="CA14" s="764">
        <f>CA13/CA4</f>
        <v>2.9236873206145533</v>
      </c>
      <c r="CB14" s="765">
        <f t="shared" si="28"/>
        <v>0.46858256210423771</v>
      </c>
      <c r="CC14" s="765">
        <f t="shared" ref="CC14:CD14" si="29">CC13/CC4</f>
        <v>1</v>
      </c>
      <c r="CD14" s="765">
        <f t="shared" si="29"/>
        <v>2.5719974848040241</v>
      </c>
      <c r="CE14" s="765">
        <f>CE13/CE4</f>
        <v>0.3933178961296725</v>
      </c>
      <c r="CF14" s="764">
        <f>CF13/CF4</f>
        <v>1.3490172721858249</v>
      </c>
      <c r="CG14" s="765"/>
      <c r="CH14" s="765"/>
      <c r="CI14" s="765"/>
      <c r="CJ14" s="765"/>
      <c r="CK14" s="764"/>
      <c r="CL14" s="765"/>
      <c r="CM14" s="765"/>
      <c r="CN14" s="765"/>
      <c r="CO14" s="765"/>
      <c r="CP14" s="764"/>
      <c r="CQ14" s="766"/>
      <c r="CR14" s="766"/>
      <c r="CS14" s="766"/>
      <c r="CT14" s="767"/>
      <c r="CU14" s="763"/>
      <c r="CV14" s="766"/>
      <c r="CW14" s="766"/>
      <c r="CX14" s="766"/>
      <c r="CY14" s="767"/>
      <c r="CZ14" s="763"/>
      <c r="DA14" s="766"/>
      <c r="DB14" s="766"/>
      <c r="DC14" s="766"/>
      <c r="DD14" s="767"/>
      <c r="DE14" s="763"/>
      <c r="DF14" s="766"/>
      <c r="DG14" s="766"/>
      <c r="DH14" s="766"/>
      <c r="DI14" s="767"/>
      <c r="DJ14" s="763"/>
      <c r="DK14" s="768"/>
      <c r="DL14" s="769"/>
      <c r="DM14" s="865"/>
      <c r="DN14" s="865"/>
      <c r="DO14" s="865"/>
      <c r="DP14" s="1053"/>
      <c r="DQ14" s="1053"/>
      <c r="DR14" s="1256"/>
      <c r="DS14" s="1257" t="s">
        <v>149</v>
      </c>
      <c r="DT14" s="1255">
        <v>14618.342208</v>
      </c>
      <c r="DU14" s="1255">
        <v>15561.843458000001</v>
      </c>
      <c r="DV14" s="1255">
        <v>15760.994372600002</v>
      </c>
      <c r="DW14" s="1255">
        <v>15215.331278970001</v>
      </c>
      <c r="DX14" s="1178"/>
      <c r="DY14" s="770"/>
      <c r="DZ14" s="771"/>
      <c r="EA14" s="771"/>
      <c r="EB14"/>
      <c r="EC14"/>
      <c r="ED14"/>
      <c r="EE14"/>
      <c r="EF14"/>
      <c r="EG14"/>
    </row>
    <row r="15" spans="1:137" s="772" customFormat="1" ht="12.75" customHeight="1" thickTop="1">
      <c r="A15" s="762" t="s">
        <v>10</v>
      </c>
      <c r="B15" s="764">
        <f t="shared" ref="B15:G15" si="30">B11/B4</f>
        <v>6.7505135387488329</v>
      </c>
      <c r="C15" s="764">
        <f t="shared" si="30"/>
        <v>5.4824602070777315</v>
      </c>
      <c r="D15" s="764">
        <f t="shared" si="30"/>
        <v>3.683591452656342</v>
      </c>
      <c r="E15" s="764">
        <f t="shared" si="30"/>
        <v>2.5871022486211284</v>
      </c>
      <c r="F15" s="764">
        <f t="shared" si="30"/>
        <v>2.3953356547088833</v>
      </c>
      <c r="G15" s="764">
        <f t="shared" si="30"/>
        <v>2.2070889399409257</v>
      </c>
      <c r="H15" s="765">
        <f>H11/H4/4</f>
        <v>2.2686990428925915</v>
      </c>
      <c r="I15" s="765">
        <f>I11/I4/4</f>
        <v>1.8654336734693877</v>
      </c>
      <c r="J15" s="765">
        <f>J11/J4/4</f>
        <v>1.9150209455415919</v>
      </c>
      <c r="K15" s="765">
        <f>K11/K4/4</f>
        <v>2.1887483355525967</v>
      </c>
      <c r="L15" s="764">
        <f>L11/L4</f>
        <v>2.1376899943103309</v>
      </c>
      <c r="M15" s="765">
        <f>M11/M4/4</f>
        <v>2.2532953330958319</v>
      </c>
      <c r="N15" s="765">
        <f>N11/N4/4</f>
        <v>2.2364771151178919</v>
      </c>
      <c r="O15" s="765">
        <f>O11/O4/4</f>
        <v>2.28830990743915</v>
      </c>
      <c r="P15" s="765">
        <f>P11/P4/4</f>
        <v>2.3734729493891797</v>
      </c>
      <c r="Q15" s="764">
        <f>Q11/Q4</f>
        <v>2.37078357883727</v>
      </c>
      <c r="R15" s="765">
        <f>R11/R4/4</f>
        <v>2.4361740381157855</v>
      </c>
      <c r="S15" s="765">
        <f>S11/S4/4</f>
        <v>2.2602073882047957</v>
      </c>
      <c r="T15" s="765">
        <f>T11/T4/4</f>
        <v>2.0995460440985734</v>
      </c>
      <c r="U15" s="765">
        <f>U11/U4/4</f>
        <v>2.0538461538461537</v>
      </c>
      <c r="V15" s="764">
        <f>V11/V4</f>
        <v>2.1883452176051144</v>
      </c>
      <c r="W15" s="765">
        <f>W11/W4/4</f>
        <v>2.2108843537414966</v>
      </c>
      <c r="X15" s="765">
        <f>X11/X4/4</f>
        <v>1.9408208717785556</v>
      </c>
      <c r="Y15" s="765">
        <f>Y11/Y4/4</f>
        <v>1.8214936247723132</v>
      </c>
      <c r="Z15" s="765">
        <f>Z11/Z4/4</f>
        <v>1.7950391644908616</v>
      </c>
      <c r="AA15" s="764">
        <f>AA11/AA4</f>
        <v>2.082229120920724</v>
      </c>
      <c r="AB15" s="765">
        <f>AB11/AB4/4</f>
        <v>2.4825507614213196</v>
      </c>
      <c r="AC15" s="765">
        <f>AC11/AC4/4</f>
        <v>2.2050147492625367</v>
      </c>
      <c r="AD15" s="765">
        <f>AD11/AD4/4</f>
        <v>1.7528373266078183</v>
      </c>
      <c r="AE15" s="765">
        <f>AE11/AE4/4</f>
        <v>1.9779507133592737</v>
      </c>
      <c r="AF15" s="764">
        <f>AF11/AF4</f>
        <v>2.1236596574293274</v>
      </c>
      <c r="AG15" s="765">
        <f>AG11/AG4/4</f>
        <v>1.9023205612520238</v>
      </c>
      <c r="AH15" s="765">
        <f>AH11/AH4/4</f>
        <v>1.9732981220657277</v>
      </c>
      <c r="AI15" s="765">
        <f>AI11/AI4/4</f>
        <v>1.7982693347755543</v>
      </c>
      <c r="AJ15" s="765">
        <f>AJ11/AJ4/4</f>
        <v>1.8171939145134026</v>
      </c>
      <c r="AK15" s="764">
        <f>AK11/AK4</f>
        <v>2.0129739851534807</v>
      </c>
      <c r="AL15" s="765">
        <f>AL11/AL4/4</f>
        <v>2.1971123666038919</v>
      </c>
      <c r="AM15" s="765">
        <f>AM11/AM4/4</f>
        <v>1.9445259759319049</v>
      </c>
      <c r="AN15" s="765">
        <f>AN11/AN4/4</f>
        <v>2.0099118942731278</v>
      </c>
      <c r="AO15" s="765">
        <f>AO11/AO4/4</f>
        <v>1.7957927142124166</v>
      </c>
      <c r="AP15" s="764">
        <f>AP11/AP4</f>
        <v>1.98258160447497</v>
      </c>
      <c r="AQ15" s="765">
        <f>AQ11/AQ4/4</f>
        <v>1.9565859421145895</v>
      </c>
      <c r="AR15" s="765">
        <f>AR11/AR4/4</f>
        <v>1.569390402075227</v>
      </c>
      <c r="AS15" s="765">
        <f>AS11/AS4/4</f>
        <v>1.6436230248306998</v>
      </c>
      <c r="AT15" s="765">
        <f>AT11/AT4/4</f>
        <v>1.6686819830713422</v>
      </c>
      <c r="AU15" s="764">
        <f>AU11/AU4</f>
        <v>1.8498659517426272</v>
      </c>
      <c r="AV15" s="765">
        <f>AV11/AV4/4</f>
        <v>2.0181876196553925</v>
      </c>
      <c r="AW15" s="765">
        <f>AW11/AW4/4</f>
        <v>1.4040183974824498</v>
      </c>
      <c r="AX15" s="765">
        <f>AX11/AX4/4</f>
        <v>1.4409589390461617</v>
      </c>
      <c r="AY15" s="765">
        <f>AY11/AY4/4</f>
        <v>1.8134124087591241</v>
      </c>
      <c r="AZ15" s="764">
        <f>AZ11/AZ4</f>
        <v>2.0423892100192678</v>
      </c>
      <c r="BA15" s="764">
        <f>BA11/BA4</f>
        <v>1.98258160447497</v>
      </c>
      <c r="BB15" s="765">
        <f>BB11/BB4/4</f>
        <v>1.9492025989367985</v>
      </c>
      <c r="BC15" s="765">
        <f>BC11/BC4/4</f>
        <v>1.569390402075227</v>
      </c>
      <c r="BD15" s="765">
        <f>BD11/BD4/4</f>
        <v>1.6436230248306998</v>
      </c>
      <c r="BE15" s="765">
        <f>BE11/BE4/4</f>
        <v>1.6686819830713422</v>
      </c>
      <c r="BF15" s="764">
        <f>BF11/BF4</f>
        <v>1.8498659517426272</v>
      </c>
      <c r="BG15" s="765">
        <f>BG11/BG4/4</f>
        <v>2.0181876196553925</v>
      </c>
      <c r="BH15" s="765">
        <f>BH11/BH4/4</f>
        <v>1.4040183974824498</v>
      </c>
      <c r="BI15" s="765">
        <f>BI11/BI4/4</f>
        <v>1.4345830145371079</v>
      </c>
      <c r="BJ15" s="765">
        <f>BJ11/BJ4/4</f>
        <v>1.8134124087591241</v>
      </c>
      <c r="BK15" s="764">
        <f>BK11/BK4</f>
        <v>2.0423892100192678</v>
      </c>
      <c r="BL15" s="765">
        <f>BL11/BL4/4</f>
        <v>2.0202684917083444</v>
      </c>
      <c r="BM15" s="765">
        <f>BM11/BM4/4</f>
        <v>1.6457142857142857</v>
      </c>
      <c r="BN15" s="765"/>
      <c r="BO15" s="765"/>
      <c r="BP15" s="764"/>
      <c r="BQ15" s="764"/>
      <c r="BR15" s="765">
        <f>BR11/BR4/4</f>
        <v>2.4489470325462666</v>
      </c>
      <c r="BS15" s="765">
        <f>BS11/BS4/4</f>
        <v>1.7429193899782136</v>
      </c>
      <c r="BT15" s="765">
        <f>BT11/BT4/4</f>
        <v>1.4345830145371079</v>
      </c>
      <c r="BU15" s="765">
        <f>BU11/BU4/4</f>
        <v>1.8134124087591241</v>
      </c>
      <c r="BV15" s="764">
        <f>BV11/BV4</f>
        <v>2.0423892100192678</v>
      </c>
      <c r="BW15" s="765">
        <f>BW11/BW4/4</f>
        <v>2.0202684917083444</v>
      </c>
      <c r="BX15" s="765">
        <f>BX11/BX4/4</f>
        <v>1.6457142857142857</v>
      </c>
      <c r="BY15" s="765">
        <f>BY11/BY4/4</f>
        <v>1.6654727793696276</v>
      </c>
      <c r="BZ15" s="765">
        <f>BZ11/BZ4/4</f>
        <v>1.5804512668762716</v>
      </c>
      <c r="CA15" s="764">
        <f>CA11/CA4</f>
        <v>1.9236873206145535</v>
      </c>
      <c r="CB15" s="765">
        <f>CB11/CB4/4</f>
        <v>1.948368241597662</v>
      </c>
      <c r="CC15" s="765">
        <f>CC11/CC4/4</f>
        <v>1.5311004784688995</v>
      </c>
      <c r="CD15" s="765">
        <f>CD11/CD4/4</f>
        <v>2.0697966883252987</v>
      </c>
      <c r="CE15" s="765">
        <f>CE11/CE4/4</f>
        <v>1.4816407542176646</v>
      </c>
      <c r="CF15" s="764">
        <f>CF11/CF4</f>
        <v>1.7784395473496128</v>
      </c>
      <c r="CG15" s="765"/>
      <c r="CH15" s="765"/>
      <c r="CI15" s="765"/>
      <c r="CJ15" s="765"/>
      <c r="CK15" s="764"/>
      <c r="CL15" s="765"/>
      <c r="CM15" s="765"/>
      <c r="CN15" s="765"/>
      <c r="CO15" s="765"/>
      <c r="CP15" s="764">
        <f>CP11/CP4</f>
        <v>1.8388459556929417</v>
      </c>
      <c r="CQ15" s="766"/>
      <c r="CR15" s="766"/>
      <c r="CS15" s="766"/>
      <c r="CT15" s="767"/>
      <c r="CU15" s="763"/>
      <c r="CV15" s="766"/>
      <c r="CW15" s="766"/>
      <c r="CX15" s="766"/>
      <c r="CY15" s="767"/>
      <c r="CZ15" s="763"/>
      <c r="DA15" s="766"/>
      <c r="DB15" s="766"/>
      <c r="DC15" s="766"/>
      <c r="DD15" s="767"/>
      <c r="DE15" s="763"/>
      <c r="DF15" s="766"/>
      <c r="DG15" s="766"/>
      <c r="DH15" s="766"/>
      <c r="DI15" s="767"/>
      <c r="DJ15" s="763"/>
      <c r="DK15" s="768"/>
      <c r="DL15" s="769"/>
      <c r="DM15" s="865"/>
      <c r="DN15" s="865"/>
      <c r="DO15" s="865"/>
      <c r="DP15" s="1053"/>
      <c r="DQ15" s="1178"/>
      <c r="DR15" s="1178"/>
      <c r="DS15" s="1178"/>
      <c r="DT15" s="1178"/>
      <c r="DU15" s="1178"/>
      <c r="DV15" s="1178"/>
      <c r="DW15" s="1178"/>
      <c r="DX15" s="1178"/>
      <c r="DY15" s="770"/>
      <c r="DZ15" s="771"/>
      <c r="EA15" s="771"/>
      <c r="EB15"/>
      <c r="EC15"/>
      <c r="ED15"/>
      <c r="EE15"/>
      <c r="EF15"/>
      <c r="EG15"/>
    </row>
    <row r="16" spans="1:137" s="363" customFormat="1" hidden="1" outlineLevel="1" collapsed="1">
      <c r="A16" s="87" t="s">
        <v>270</v>
      </c>
      <c r="B16" s="91">
        <f>2970+2763</f>
        <v>5733</v>
      </c>
      <c r="C16" s="91">
        <v>6119</v>
      </c>
      <c r="D16" s="91">
        <f>3174+3420</f>
        <v>6594</v>
      </c>
      <c r="E16" s="91">
        <v>7653</v>
      </c>
      <c r="F16" s="91">
        <v>8233</v>
      </c>
      <c r="G16" s="91">
        <v>8990</v>
      </c>
      <c r="H16" s="90">
        <v>2145</v>
      </c>
      <c r="I16" s="94">
        <v>2520</v>
      </c>
      <c r="J16" s="94">
        <v>2713</v>
      </c>
      <c r="K16" s="90">
        <v>2835</v>
      </c>
      <c r="L16" s="91">
        <f>SUM(H16:K16)</f>
        <v>10213</v>
      </c>
      <c r="M16" s="94">
        <v>2504</v>
      </c>
      <c r="N16" s="94">
        <v>2858</v>
      </c>
      <c r="O16" s="94">
        <v>2950</v>
      </c>
      <c r="P16" s="90">
        <v>3299</v>
      </c>
      <c r="Q16" s="91">
        <f>SUM(M16:P16)</f>
        <v>11611</v>
      </c>
      <c r="R16" s="94">
        <v>2761</v>
      </c>
      <c r="S16" s="94">
        <v>2535</v>
      </c>
      <c r="T16" s="94">
        <v>2356</v>
      </c>
      <c r="U16" s="88">
        <v>2632</v>
      </c>
      <c r="V16" s="91">
        <f>SUM(R16:U16)</f>
        <v>10284</v>
      </c>
      <c r="W16" s="94">
        <v>2234</v>
      </c>
      <c r="X16" s="94">
        <v>2522</v>
      </c>
      <c r="Y16" s="94">
        <v>2525</v>
      </c>
      <c r="Z16" s="90">
        <v>2640</v>
      </c>
      <c r="AA16" s="89">
        <f>SUM(W16:Z16)</f>
        <v>9921</v>
      </c>
      <c r="AB16" s="94">
        <v>2149</v>
      </c>
      <c r="AC16" s="94">
        <v>2361</v>
      </c>
      <c r="AD16" s="94">
        <v>2323</v>
      </c>
      <c r="AE16" s="90">
        <v>2548</v>
      </c>
      <c r="AF16" s="91">
        <f>SUM(AB16:AE16)</f>
        <v>9381</v>
      </c>
      <c r="AG16" s="90">
        <v>2090</v>
      </c>
      <c r="AH16" s="94">
        <v>2263</v>
      </c>
      <c r="AI16" s="94">
        <v>2292</v>
      </c>
      <c r="AJ16" s="90">
        <v>2201</v>
      </c>
      <c r="AK16" s="91">
        <f>+SUM(AG16:AJ16)</f>
        <v>8846</v>
      </c>
      <c r="AL16" s="94">
        <v>2106</v>
      </c>
      <c r="AM16" s="94">
        <v>2101</v>
      </c>
      <c r="AN16" s="87">
        <v>2059</v>
      </c>
      <c r="AO16" s="87">
        <v>2101</v>
      </c>
      <c r="AP16" s="89">
        <f>SUM(AL16:AO16)</f>
        <v>8367</v>
      </c>
      <c r="AQ16" s="94">
        <v>1910</v>
      </c>
      <c r="AR16" s="94">
        <v>1941</v>
      </c>
      <c r="AS16" s="87">
        <v>1949</v>
      </c>
      <c r="AT16" s="87">
        <v>1988</v>
      </c>
      <c r="AU16" s="89">
        <f>SUM(AQ16:AT16)</f>
        <v>7788</v>
      </c>
      <c r="AV16" s="94">
        <v>1869</v>
      </c>
      <c r="AW16" s="94">
        <v>1898</v>
      </c>
      <c r="AX16" s="87">
        <v>1870</v>
      </c>
      <c r="AY16" s="87">
        <f>7458-AX16-AW16-AV16</f>
        <v>1821</v>
      </c>
      <c r="AZ16" s="89">
        <f>SUM(AV16:AY16)</f>
        <v>7458</v>
      </c>
      <c r="BA16" s="89">
        <v>6115</v>
      </c>
      <c r="BB16" s="94">
        <v>1343</v>
      </c>
      <c r="BC16" s="94">
        <v>1379</v>
      </c>
      <c r="BD16" s="87">
        <v>1441</v>
      </c>
      <c r="BE16" s="87">
        <v>1491</v>
      </c>
      <c r="BF16" s="89">
        <v>5654</v>
      </c>
      <c r="BG16" s="94">
        <v>1390</v>
      </c>
      <c r="BH16" s="94">
        <v>1408</v>
      </c>
      <c r="BI16" s="87">
        <v>1401</v>
      </c>
      <c r="BJ16" s="87">
        <v>1397</v>
      </c>
      <c r="BK16" s="89">
        <v>5596</v>
      </c>
      <c r="BL16" s="94">
        <v>1334</v>
      </c>
      <c r="BM16" s="94">
        <v>1337</v>
      </c>
      <c r="BN16" s="87"/>
      <c r="BO16" s="87"/>
      <c r="BP16" s="89"/>
      <c r="BQ16" s="89"/>
      <c r="BR16" s="94"/>
      <c r="BS16" s="94"/>
      <c r="BT16" s="87"/>
      <c r="BU16" s="87"/>
      <c r="BV16" s="89"/>
      <c r="BW16" s="94"/>
      <c r="BX16" s="94"/>
      <c r="BY16" s="87"/>
      <c r="BZ16" s="87"/>
      <c r="CA16" s="89"/>
      <c r="CB16" s="94"/>
      <c r="CC16" s="94"/>
      <c r="CD16" s="87"/>
      <c r="CE16" s="87"/>
      <c r="CF16" s="89"/>
      <c r="CG16" s="94"/>
      <c r="CH16" s="94"/>
      <c r="CI16" s="87"/>
      <c r="CJ16" s="87"/>
      <c r="CK16" s="89"/>
      <c r="CL16" s="94"/>
      <c r="CM16" s="94"/>
      <c r="CN16" s="87"/>
      <c r="CO16" s="87"/>
      <c r="CP16" s="89"/>
      <c r="CQ16" s="88"/>
      <c r="CR16" s="88"/>
      <c r="CS16" s="88"/>
      <c r="CT16" s="93"/>
      <c r="CU16" s="89"/>
      <c r="CV16" s="88"/>
      <c r="CW16" s="88"/>
      <c r="CX16" s="88"/>
      <c r="CY16" s="93"/>
      <c r="CZ16" s="89"/>
      <c r="DA16" s="88"/>
      <c r="DB16" s="88"/>
      <c r="DC16" s="88"/>
      <c r="DD16" s="93"/>
      <c r="DE16" s="89"/>
      <c r="DF16" s="88"/>
      <c r="DG16" s="88"/>
      <c r="DH16" s="88"/>
      <c r="DI16" s="93"/>
      <c r="DJ16" s="89"/>
      <c r="DK16" s="136"/>
      <c r="DL16" s="356"/>
      <c r="DM16" s="809"/>
      <c r="DN16" s="809"/>
      <c r="DO16" s="810"/>
      <c r="DP16" s="1053"/>
      <c r="DQ16" s="1079"/>
      <c r="DR16" s="1079"/>
      <c r="DS16" s="1079" t="s">
        <v>406</v>
      </c>
      <c r="DT16" s="1079">
        <f>+DT14</f>
        <v>14618.342208</v>
      </c>
      <c r="DU16" s="1079">
        <f>+DU14</f>
        <v>15561.843458000001</v>
      </c>
      <c r="DV16" s="1079">
        <f>+DV14</f>
        <v>15760.994372600002</v>
      </c>
      <c r="DW16" s="1079">
        <f>+DW14</f>
        <v>15215.331278970001</v>
      </c>
      <c r="DX16" s="1079"/>
      <c r="DY16" s="356"/>
      <c r="DZ16" s="137"/>
      <c r="EA16" s="137"/>
      <c r="EB16"/>
      <c r="EC16"/>
      <c r="ED16"/>
      <c r="EE16"/>
      <c r="EF16"/>
      <c r="EG16"/>
    </row>
    <row r="17" spans="1:137" s="398" customFormat="1" hidden="1" outlineLevel="1">
      <c r="A17" s="97" t="s">
        <v>53</v>
      </c>
      <c r="B17" s="80"/>
      <c r="C17" s="80">
        <f>C16/B16-1</f>
        <v>6.7329495900924519E-2</v>
      </c>
      <c r="D17" s="80">
        <f>D16/C16-1</f>
        <v>7.7627063245628403E-2</v>
      </c>
      <c r="E17" s="80">
        <f>E16/D16-1</f>
        <v>0.16060054595086437</v>
      </c>
      <c r="F17" s="80">
        <f>F16/E16-1</f>
        <v>7.5787272964850327E-2</v>
      </c>
      <c r="G17" s="80">
        <f>G16/F16-1</f>
        <v>9.1947042390380096E-2</v>
      </c>
      <c r="H17" s="82"/>
      <c r="I17" s="82"/>
      <c r="J17" s="82"/>
      <c r="K17" s="82"/>
      <c r="L17" s="80">
        <f t="shared" ref="L17:AK17" si="31">L16/G16-1</f>
        <v>0.13604004449388207</v>
      </c>
      <c r="M17" s="82">
        <f t="shared" si="31"/>
        <v>0.16736596736596732</v>
      </c>
      <c r="N17" s="82">
        <f t="shared" si="31"/>
        <v>0.13412698412698409</v>
      </c>
      <c r="O17" s="82">
        <f t="shared" si="31"/>
        <v>8.7357169185403594E-2</v>
      </c>
      <c r="P17" s="82">
        <f t="shared" si="31"/>
        <v>0.16366843033509704</v>
      </c>
      <c r="Q17" s="80">
        <f t="shared" si="31"/>
        <v>0.13688436306667962</v>
      </c>
      <c r="R17" s="82">
        <f t="shared" si="31"/>
        <v>0.10263578274760388</v>
      </c>
      <c r="S17" s="82">
        <f t="shared" si="31"/>
        <v>-0.11301609517144862</v>
      </c>
      <c r="T17" s="82">
        <f t="shared" si="31"/>
        <v>-0.20135593220338988</v>
      </c>
      <c r="U17" s="82">
        <f t="shared" si="31"/>
        <v>-0.20218247953925428</v>
      </c>
      <c r="V17" s="80">
        <f t="shared" si="31"/>
        <v>-0.11428817500645938</v>
      </c>
      <c r="W17" s="83">
        <f t="shared" si="31"/>
        <v>-0.1908728721477726</v>
      </c>
      <c r="X17" s="82">
        <f t="shared" si="31"/>
        <v>-5.12820512820511E-3</v>
      </c>
      <c r="Y17" s="83">
        <f t="shared" si="31"/>
        <v>7.1731748726655331E-2</v>
      </c>
      <c r="Z17" s="83">
        <f t="shared" si="31"/>
        <v>3.0395136778116338E-3</v>
      </c>
      <c r="AA17" s="84">
        <f t="shared" si="31"/>
        <v>-3.5297549591598587E-2</v>
      </c>
      <c r="AB17" s="83">
        <f t="shared" si="31"/>
        <v>-3.8048343777976723E-2</v>
      </c>
      <c r="AC17" s="82">
        <f t="shared" si="31"/>
        <v>-6.383822363203806E-2</v>
      </c>
      <c r="AD17" s="82">
        <f t="shared" si="31"/>
        <v>-7.999999999999996E-2</v>
      </c>
      <c r="AE17" s="82">
        <f t="shared" si="31"/>
        <v>-3.4848484848484795E-2</v>
      </c>
      <c r="AF17" s="84">
        <f t="shared" si="31"/>
        <v>-5.4429996976111283E-2</v>
      </c>
      <c r="AG17" s="83">
        <f t="shared" si="31"/>
        <v>-2.7454630060493201E-2</v>
      </c>
      <c r="AH17" s="82">
        <f t="shared" si="31"/>
        <v>-4.1507835662854764E-2</v>
      </c>
      <c r="AI17" s="82">
        <f t="shared" si="31"/>
        <v>-1.334481274214383E-2</v>
      </c>
      <c r="AJ17" s="82">
        <f t="shared" si="31"/>
        <v>-0.13618524332810045</v>
      </c>
      <c r="AK17" s="80">
        <f t="shared" si="31"/>
        <v>-5.7030167359556572E-2</v>
      </c>
      <c r="AL17" s="82">
        <f t="shared" ref="AL17:AP17" si="32">AL16/AG16-1</f>
        <v>7.655502392344582E-3</v>
      </c>
      <c r="AM17" s="82">
        <f t="shared" si="32"/>
        <v>-7.1586389748121926E-2</v>
      </c>
      <c r="AN17" s="82">
        <f t="shared" si="32"/>
        <v>-0.10165794066317624</v>
      </c>
      <c r="AO17" s="82">
        <f t="shared" si="32"/>
        <v>-4.5433893684688753E-2</v>
      </c>
      <c r="AP17" s="80">
        <f t="shared" si="32"/>
        <v>-5.4148767804657494E-2</v>
      </c>
      <c r="AQ17" s="82">
        <f t="shared" ref="AQ17:AZ17" si="33">AQ16/AL16-1</f>
        <v>-9.3067426400759712E-2</v>
      </c>
      <c r="AR17" s="82">
        <f t="shared" si="33"/>
        <v>-7.615421227986674E-2</v>
      </c>
      <c r="AS17" s="82">
        <f t="shared" si="33"/>
        <v>-5.3423992229237549E-2</v>
      </c>
      <c r="AT17" s="82">
        <f t="shared" si="33"/>
        <v>-5.37839124226559E-2</v>
      </c>
      <c r="AU17" s="80">
        <f t="shared" si="33"/>
        <v>-6.9200430261742607E-2</v>
      </c>
      <c r="AV17" s="82">
        <f t="shared" si="33"/>
        <v>-2.1465968586387385E-2</v>
      </c>
      <c r="AW17" s="82">
        <f t="shared" si="33"/>
        <v>-2.2153529108706826E-2</v>
      </c>
      <c r="AX17" s="82">
        <f t="shared" si="33"/>
        <v>-4.0533606977937398E-2</v>
      </c>
      <c r="AY17" s="82">
        <f t="shared" si="33"/>
        <v>-8.4004024144869183E-2</v>
      </c>
      <c r="AZ17" s="80">
        <f t="shared" si="33"/>
        <v>-4.2372881355932202E-2</v>
      </c>
      <c r="BA17" s="80"/>
      <c r="BB17" s="82"/>
      <c r="BC17" s="82"/>
      <c r="BD17" s="82"/>
      <c r="BE17" s="82"/>
      <c r="BF17" s="80">
        <f t="shared" ref="BF17:BM17" si="34">BF16/BA16-1</f>
        <v>-7.5388389206868411E-2</v>
      </c>
      <c r="BG17" s="82">
        <f t="shared" si="34"/>
        <v>3.4996276991809294E-2</v>
      </c>
      <c r="BH17" s="82">
        <f t="shared" si="34"/>
        <v>2.1029731689630182E-2</v>
      </c>
      <c r="BI17" s="82">
        <f t="shared" si="34"/>
        <v>-2.7758501040943795E-2</v>
      </c>
      <c r="BJ17" s="82">
        <f t="shared" si="34"/>
        <v>-6.304493628437291E-2</v>
      </c>
      <c r="BK17" s="80">
        <f t="shared" si="34"/>
        <v>-1.0258224266006422E-2</v>
      </c>
      <c r="BL17" s="82">
        <f t="shared" si="34"/>
        <v>-4.02877697841727E-2</v>
      </c>
      <c r="BM17" s="82">
        <f t="shared" si="34"/>
        <v>-5.0426136363636354E-2</v>
      </c>
      <c r="BN17" s="82"/>
      <c r="BO17" s="82"/>
      <c r="BP17" s="104"/>
      <c r="BQ17" s="80"/>
      <c r="BR17" s="82"/>
      <c r="BS17" s="82"/>
      <c r="BT17" s="82"/>
      <c r="BU17" s="82"/>
      <c r="BV17" s="80"/>
      <c r="BW17" s="82"/>
      <c r="BX17" s="82"/>
      <c r="BY17" s="82"/>
      <c r="BZ17" s="82"/>
      <c r="CA17" s="104"/>
      <c r="CB17" s="82"/>
      <c r="CC17" s="82"/>
      <c r="CD17" s="82"/>
      <c r="CE17" s="82"/>
      <c r="CF17" s="104"/>
      <c r="CG17" s="82"/>
      <c r="CH17" s="82"/>
      <c r="CI17" s="82"/>
      <c r="CJ17" s="82"/>
      <c r="CK17" s="104"/>
      <c r="CL17" s="82"/>
      <c r="CM17" s="82"/>
      <c r="CN17" s="82"/>
      <c r="CO17" s="82"/>
      <c r="CP17" s="104"/>
      <c r="CQ17" s="103"/>
      <c r="CR17" s="103"/>
      <c r="CS17" s="103"/>
      <c r="CT17" s="105"/>
      <c r="CU17" s="104"/>
      <c r="CV17" s="103"/>
      <c r="CW17" s="103"/>
      <c r="CX17" s="103"/>
      <c r="CY17" s="105"/>
      <c r="CZ17" s="104"/>
      <c r="DA17" s="103"/>
      <c r="DB17" s="103"/>
      <c r="DC17" s="103"/>
      <c r="DD17" s="105"/>
      <c r="DE17" s="104"/>
      <c r="DF17" s="103"/>
      <c r="DG17" s="103"/>
      <c r="DH17" s="103"/>
      <c r="DI17" s="105"/>
      <c r="DJ17" s="104"/>
      <c r="DK17" s="401"/>
      <c r="DL17" s="74"/>
      <c r="DM17" s="830"/>
      <c r="DN17" s="809"/>
      <c r="DO17" s="809"/>
      <c r="DP17" s="1297"/>
      <c r="DQ17" s="1079"/>
      <c r="DR17" s="1079"/>
      <c r="DS17" s="1153" t="s">
        <v>156</v>
      </c>
      <c r="DT17" s="1079">
        <f>+CU4-DT16</f>
        <v>6181.657792</v>
      </c>
      <c r="DU17" s="1079">
        <f>DT17*1.1</f>
        <v>6799.8235712000005</v>
      </c>
      <c r="DV17" s="1079">
        <f>DU17*1.08</f>
        <v>7343.8094568960014</v>
      </c>
      <c r="DW17" s="1079">
        <f>DV17*1.06</f>
        <v>7784.4380243097621</v>
      </c>
      <c r="DX17" s="1079"/>
      <c r="DY17" s="360"/>
      <c r="DZ17" s="167"/>
      <c r="EA17" s="167"/>
      <c r="EB17"/>
      <c r="EC17"/>
      <c r="ED17"/>
      <c r="EE17"/>
      <c r="EF17"/>
      <c r="EG17"/>
    </row>
    <row r="18" spans="1:137" s="398" customFormat="1" ht="13.5" hidden="1" outlineLevel="1" thickBot="1">
      <c r="A18" s="97" t="s">
        <v>55</v>
      </c>
      <c r="B18" s="80">
        <f t="shared" ref="B18:BF18" si="35">B16/B55</f>
        <v>0.23919392523364486</v>
      </c>
      <c r="C18" s="80">
        <f t="shared" si="35"/>
        <v>0.23036668925532716</v>
      </c>
      <c r="D18" s="80">
        <f t="shared" si="35"/>
        <v>0.207306338028169</v>
      </c>
      <c r="E18" s="80">
        <f t="shared" si="35"/>
        <v>0.21541969261948996</v>
      </c>
      <c r="F18" s="80">
        <f t="shared" si="35"/>
        <v>0.22123988928600222</v>
      </c>
      <c r="G18" s="80">
        <f t="shared" si="35"/>
        <v>0.22690560323069156</v>
      </c>
      <c r="H18" s="82">
        <f t="shared" si="35"/>
        <v>0.231266846361186</v>
      </c>
      <c r="I18" s="82">
        <f t="shared" si="35"/>
        <v>0.2365975025819172</v>
      </c>
      <c r="J18" s="82">
        <f t="shared" si="35"/>
        <v>0.24452456061288869</v>
      </c>
      <c r="K18" s="82">
        <f t="shared" si="35"/>
        <v>0.26150724102942535</v>
      </c>
      <c r="L18" s="80">
        <f t="shared" si="35"/>
        <v>0.24396827671874252</v>
      </c>
      <c r="M18" s="82">
        <f t="shared" si="35"/>
        <v>0.25082640488831015</v>
      </c>
      <c r="N18" s="82">
        <f t="shared" si="35"/>
        <v>0.25890026270495514</v>
      </c>
      <c r="O18" s="82">
        <f t="shared" si="35"/>
        <v>0.27890706249409097</v>
      </c>
      <c r="P18" s="82">
        <f t="shared" si="35"/>
        <v>0.29635285662953648</v>
      </c>
      <c r="Q18" s="80">
        <f t="shared" si="35"/>
        <v>0.27172310500573355</v>
      </c>
      <c r="R18" s="82">
        <f t="shared" si="35"/>
        <v>0.26617179215270415</v>
      </c>
      <c r="S18" s="82">
        <f t="shared" si="35"/>
        <v>0.22895592485549132</v>
      </c>
      <c r="T18" s="82">
        <f t="shared" si="35"/>
        <v>0.21881675489922914</v>
      </c>
      <c r="U18" s="83">
        <f t="shared" si="35"/>
        <v>0.2156846677046628</v>
      </c>
      <c r="V18" s="80">
        <f t="shared" si="35"/>
        <v>0.23154339750084432</v>
      </c>
      <c r="W18" s="83">
        <f t="shared" si="35"/>
        <v>0.21611686175873077</v>
      </c>
      <c r="X18" s="82">
        <f t="shared" si="35"/>
        <v>0.22358156028368795</v>
      </c>
      <c r="Y18" s="83">
        <f t="shared" si="35"/>
        <v>0.22260424931675923</v>
      </c>
      <c r="Z18" s="83">
        <f t="shared" si="35"/>
        <v>0.20688033853146306</v>
      </c>
      <c r="AA18" s="84">
        <f t="shared" si="35"/>
        <v>0.21699000459307538</v>
      </c>
      <c r="AB18" s="83">
        <f t="shared" si="35"/>
        <v>0.20223978919631094</v>
      </c>
      <c r="AC18" s="82">
        <f t="shared" si="35"/>
        <v>0.20453954777787403</v>
      </c>
      <c r="AD18" s="82">
        <f t="shared" si="35"/>
        <v>0.19168248205297467</v>
      </c>
      <c r="AE18" s="82">
        <f t="shared" si="35"/>
        <v>0.20866431905658833</v>
      </c>
      <c r="AF18" s="84">
        <f t="shared" si="35"/>
        <v>0.2017462741134218</v>
      </c>
      <c r="AG18" s="83">
        <f t="shared" si="35"/>
        <v>0.18507039759142832</v>
      </c>
      <c r="AH18" s="82">
        <f t="shared" si="35"/>
        <v>0.1898330676956631</v>
      </c>
      <c r="AI18" s="82">
        <f t="shared" si="35"/>
        <v>0.19310809672255455</v>
      </c>
      <c r="AJ18" s="82">
        <f t="shared" si="35"/>
        <v>0.18191586081494338</v>
      </c>
      <c r="AK18" s="80">
        <f t="shared" si="35"/>
        <v>0.18748675342291551</v>
      </c>
      <c r="AL18" s="82">
        <f t="shared" si="35"/>
        <v>0.19024390243902439</v>
      </c>
      <c r="AM18" s="82">
        <f t="shared" si="35"/>
        <v>0.18416900420757362</v>
      </c>
      <c r="AN18" s="82">
        <f t="shared" si="35"/>
        <v>0.18145765400546399</v>
      </c>
      <c r="AO18" s="82">
        <f t="shared" si="35"/>
        <v>0.18217289517038066</v>
      </c>
      <c r="AP18" s="80">
        <f t="shared" si="35"/>
        <v>0.18446580537060717</v>
      </c>
      <c r="AQ18" s="82">
        <f t="shared" si="35"/>
        <v>0.17934272300469484</v>
      </c>
      <c r="AR18" s="82">
        <f t="shared" si="35"/>
        <v>0.17167875464355209</v>
      </c>
      <c r="AS18" s="82">
        <f t="shared" si="35"/>
        <v>0.17536440525463379</v>
      </c>
      <c r="AT18" s="82">
        <f t="shared" si="35"/>
        <v>0.15865921787709497</v>
      </c>
      <c r="AU18" s="80">
        <f t="shared" si="35"/>
        <v>0.17078947368421052</v>
      </c>
      <c r="AV18" s="82">
        <f>AV16/AV55</f>
        <v>0.18484818514489171</v>
      </c>
      <c r="AW18" s="82">
        <f>AW16/AW55</f>
        <v>0.16301640470669071</v>
      </c>
      <c r="AX18" s="82">
        <f>AX16/AX55</f>
        <v>0.16316202774626995</v>
      </c>
      <c r="AY18" s="82">
        <f>AY16/AY55</f>
        <v>0.14097700704497948</v>
      </c>
      <c r="AZ18" s="80">
        <f>AZ16/AZ55</f>
        <v>0.16166652215381946</v>
      </c>
      <c r="BA18" s="80">
        <f t="shared" ref="BA18" si="36">BA16/BA55</f>
        <v>0.13481634992724548</v>
      </c>
      <c r="BB18" s="82">
        <f t="shared" si="35"/>
        <v>0.12610328638497653</v>
      </c>
      <c r="BC18" s="82">
        <f t="shared" si="35"/>
        <v>0.12197063506102954</v>
      </c>
      <c r="BD18" s="82">
        <f t="shared" si="35"/>
        <v>0.12965628936476517</v>
      </c>
      <c r="BE18" s="82">
        <f t="shared" si="35"/>
        <v>0.11899441340782123</v>
      </c>
      <c r="BF18" s="80">
        <f t="shared" si="35"/>
        <v>0.12399122807017544</v>
      </c>
      <c r="BG18" s="82">
        <f t="shared" ref="BG18:BK18" si="37">BG16/BG55</f>
        <v>0.13747403817624371</v>
      </c>
      <c r="BH18" s="82">
        <f t="shared" si="37"/>
        <v>0.12093103152108563</v>
      </c>
      <c r="BI18" s="82">
        <f t="shared" ref="BI18:BJ18" si="38">BI16/BI55</f>
        <v>0.12224064217782044</v>
      </c>
      <c r="BJ18" s="82">
        <f t="shared" si="38"/>
        <v>0.1081520476890919</v>
      </c>
      <c r="BK18" s="80">
        <f t="shared" si="37"/>
        <v>0.12130408393306165</v>
      </c>
      <c r="BL18" s="82">
        <f t="shared" ref="BL18:BM18" si="39">BL16/BL55</f>
        <v>0.11399760724662451</v>
      </c>
      <c r="BM18" s="82">
        <f t="shared" si="39"/>
        <v>0.10353105157193743</v>
      </c>
      <c r="BN18" s="82"/>
      <c r="BO18" s="82"/>
      <c r="BP18" s="80"/>
      <c r="BQ18" s="80"/>
      <c r="BR18" s="82"/>
      <c r="BS18" s="82"/>
      <c r="BT18" s="82"/>
      <c r="BU18" s="82"/>
      <c r="BV18" s="80"/>
      <c r="BW18" s="82"/>
      <c r="BX18" s="82"/>
      <c r="BY18" s="82"/>
      <c r="BZ18" s="82"/>
      <c r="CA18" s="80"/>
      <c r="CB18" s="82"/>
      <c r="CC18" s="82"/>
      <c r="CD18" s="82"/>
      <c r="CE18" s="82"/>
      <c r="CF18" s="80"/>
      <c r="CG18" s="82"/>
      <c r="CH18" s="82"/>
      <c r="CI18" s="82"/>
      <c r="CJ18" s="82"/>
      <c r="CK18" s="80"/>
      <c r="CL18" s="82"/>
      <c r="CM18" s="82"/>
      <c r="CN18" s="82"/>
      <c r="CO18" s="82"/>
      <c r="CP18" s="80"/>
      <c r="CQ18" s="82"/>
      <c r="CR18" s="82"/>
      <c r="CS18" s="82"/>
      <c r="CT18" s="81"/>
      <c r="CU18" s="80"/>
      <c r="CV18" s="82"/>
      <c r="CW18" s="82"/>
      <c r="CX18" s="82"/>
      <c r="CY18" s="81"/>
      <c r="CZ18" s="80"/>
      <c r="DA18" s="82"/>
      <c r="DB18" s="82"/>
      <c r="DC18" s="82"/>
      <c r="DD18" s="81"/>
      <c r="DE18" s="80"/>
      <c r="DF18" s="82"/>
      <c r="DG18" s="82"/>
      <c r="DH18" s="82"/>
      <c r="DI18" s="81"/>
      <c r="DJ18" s="80"/>
      <c r="DK18" s="397"/>
      <c r="DL18" s="74"/>
      <c r="DM18" s="810"/>
      <c r="DN18" s="809"/>
      <c r="DO18" s="809"/>
      <c r="DP18" s="1053"/>
      <c r="DQ18" s="1053"/>
      <c r="DR18" s="1054"/>
      <c r="DS18" s="1303" t="s">
        <v>149</v>
      </c>
      <c r="DT18" s="1303">
        <f>DT16+DT17</f>
        <v>20800</v>
      </c>
      <c r="DU18" s="1303">
        <f>DU16+DU17</f>
        <v>22361.667029200002</v>
      </c>
      <c r="DV18" s="1303">
        <f>DV16+DV17</f>
        <v>23104.803829496002</v>
      </c>
      <c r="DW18" s="1303">
        <f>DW16+DW17</f>
        <v>22999.769303279762</v>
      </c>
      <c r="DX18" s="1079"/>
      <c r="DY18" s="360"/>
      <c r="DZ18" s="167"/>
      <c r="EA18" s="167"/>
      <c r="EB18"/>
      <c r="EC18"/>
      <c r="ED18"/>
      <c r="EE18"/>
      <c r="EF18"/>
      <c r="EG18"/>
    </row>
    <row r="19" spans="1:137" s="398" customFormat="1" ht="13.5" hidden="1" outlineLevel="1" thickTop="1">
      <c r="A19" s="387" t="s">
        <v>345</v>
      </c>
      <c r="B19" s="374">
        <v>8786</v>
      </c>
      <c r="C19" s="374">
        <v>8173</v>
      </c>
      <c r="D19" s="374">
        <v>9124</v>
      </c>
      <c r="E19" s="374">
        <v>9146</v>
      </c>
      <c r="F19" s="374">
        <v>9388</v>
      </c>
      <c r="G19" s="390">
        <v>10500</v>
      </c>
      <c r="H19" s="390">
        <v>10200</v>
      </c>
      <c r="I19" s="997">
        <v>10200</v>
      </c>
      <c r="J19" s="997">
        <v>11200</v>
      </c>
      <c r="K19" s="387">
        <v>11800</v>
      </c>
      <c r="L19" s="374">
        <v>11800</v>
      </c>
      <c r="M19" s="387">
        <v>12200</v>
      </c>
      <c r="N19" s="387">
        <v>11900</v>
      </c>
      <c r="O19" s="387">
        <v>12300</v>
      </c>
      <c r="P19" s="387">
        <v>13300</v>
      </c>
      <c r="Q19" s="390">
        <v>13300</v>
      </c>
      <c r="R19" s="390">
        <v>12900</v>
      </c>
      <c r="S19" s="387">
        <v>11900</v>
      </c>
      <c r="T19" s="387">
        <v>12000</v>
      </c>
      <c r="U19" s="387">
        <f>(V19)</f>
        <v>10900</v>
      </c>
      <c r="V19" s="374">
        <v>10900</v>
      </c>
      <c r="W19" s="387">
        <v>12200</v>
      </c>
      <c r="X19" s="388">
        <v>9900</v>
      </c>
      <c r="Y19" s="388">
        <v>9600</v>
      </c>
      <c r="Z19" s="387">
        <f>AA19</f>
        <v>9700</v>
      </c>
      <c r="AA19" s="374">
        <v>9700</v>
      </c>
      <c r="AB19" s="387">
        <v>9100</v>
      </c>
      <c r="AC19" s="388">
        <v>8600</v>
      </c>
      <c r="AD19" s="387">
        <v>8300</v>
      </c>
      <c r="AE19" s="387">
        <v>9300</v>
      </c>
      <c r="AF19" s="374">
        <f>AE19</f>
        <v>9300</v>
      </c>
      <c r="AG19" s="387">
        <v>8700</v>
      </c>
      <c r="AH19" s="388">
        <v>8300</v>
      </c>
      <c r="AI19" s="387">
        <v>8200</v>
      </c>
      <c r="AJ19" s="387">
        <v>8700</v>
      </c>
      <c r="AK19" s="374">
        <f>AJ19</f>
        <v>8700</v>
      </c>
      <c r="AL19" s="387">
        <v>7800</v>
      </c>
      <c r="AM19" s="387">
        <v>7400</v>
      </c>
      <c r="AN19" s="387">
        <v>7700</v>
      </c>
      <c r="AO19" s="387">
        <v>8300</v>
      </c>
      <c r="AP19" s="374">
        <f>AO19</f>
        <v>8300</v>
      </c>
      <c r="AQ19" s="387">
        <v>8200</v>
      </c>
      <c r="AR19" s="387">
        <v>7500</v>
      </c>
      <c r="AS19" s="387">
        <v>8000</v>
      </c>
      <c r="AT19" s="387">
        <v>8700</v>
      </c>
      <c r="AU19" s="374">
        <f>AT19</f>
        <v>8700</v>
      </c>
      <c r="AV19" s="844">
        <v>8100</v>
      </c>
      <c r="AW19" s="844">
        <v>7500</v>
      </c>
      <c r="AX19" s="387">
        <v>6800</v>
      </c>
      <c r="AY19" s="387">
        <v>6800</v>
      </c>
      <c r="AZ19" s="374">
        <f>AY19</f>
        <v>6800</v>
      </c>
      <c r="BA19" s="374">
        <v>6300</v>
      </c>
      <c r="BB19" s="844">
        <v>6000</v>
      </c>
      <c r="BC19" s="844">
        <v>5500</v>
      </c>
      <c r="BD19" s="387">
        <v>6200</v>
      </c>
      <c r="BE19" s="387">
        <v>6000</v>
      </c>
      <c r="BF19" s="374">
        <v>6000</v>
      </c>
      <c r="BG19" s="844">
        <v>5300</v>
      </c>
      <c r="BH19" s="844">
        <v>5000</v>
      </c>
      <c r="BI19" s="387">
        <v>4700</v>
      </c>
      <c r="BJ19" s="387">
        <v>4800</v>
      </c>
      <c r="BK19" s="374">
        <v>4800</v>
      </c>
      <c r="BL19" s="844">
        <v>4500</v>
      </c>
      <c r="BM19" s="844">
        <v>4300</v>
      </c>
      <c r="BN19" s="387"/>
      <c r="BO19" s="387"/>
      <c r="BP19" s="374"/>
      <c r="BQ19" s="374"/>
      <c r="BR19" s="844"/>
      <c r="BS19" s="844"/>
      <c r="BT19" s="387"/>
      <c r="BU19" s="387"/>
      <c r="BV19" s="374"/>
      <c r="BW19" s="844"/>
      <c r="BX19" s="844"/>
      <c r="BY19" s="387"/>
      <c r="BZ19" s="387"/>
      <c r="CA19" s="374"/>
      <c r="CB19" s="844"/>
      <c r="CC19" s="844"/>
      <c r="CD19" s="387"/>
      <c r="CE19" s="387"/>
      <c r="CF19" s="374"/>
      <c r="CG19" s="844"/>
      <c r="CH19" s="844"/>
      <c r="CI19" s="387"/>
      <c r="CJ19" s="387"/>
      <c r="CK19" s="374"/>
      <c r="CL19" s="844"/>
      <c r="CM19" s="844"/>
      <c r="CN19" s="387"/>
      <c r="CO19" s="387"/>
      <c r="CP19" s="374"/>
      <c r="CQ19" s="387"/>
      <c r="CR19" s="387"/>
      <c r="CS19" s="387"/>
      <c r="CT19" s="391"/>
      <c r="CU19" s="374"/>
      <c r="CV19" s="387"/>
      <c r="CW19" s="387"/>
      <c r="CX19" s="387"/>
      <c r="CY19" s="391"/>
      <c r="CZ19" s="374"/>
      <c r="DA19" s="387"/>
      <c r="DB19" s="387"/>
      <c r="DC19" s="387"/>
      <c r="DD19" s="391"/>
      <c r="DE19" s="374"/>
      <c r="DF19" s="387"/>
      <c r="DG19" s="387"/>
      <c r="DH19" s="387"/>
      <c r="DI19" s="391"/>
      <c r="DJ19" s="374"/>
      <c r="DK19" s="397"/>
      <c r="DL19" s="74"/>
      <c r="DM19" s="810"/>
      <c r="DN19" s="809"/>
      <c r="DO19" s="809"/>
      <c r="DP19" s="1053"/>
      <c r="DQ19" s="1053"/>
      <c r="DR19" s="1054"/>
      <c r="DS19" s="1137"/>
      <c r="DT19" s="1298"/>
      <c r="DU19" s="1137"/>
      <c r="DV19" s="1137"/>
      <c r="DW19" s="1137"/>
      <c r="DX19" s="1153"/>
      <c r="DY19" s="360"/>
      <c r="DZ19" s="167"/>
      <c r="EA19" s="167"/>
      <c r="EB19"/>
      <c r="EC19"/>
      <c r="ED19"/>
      <c r="EE19"/>
      <c r="EF19"/>
      <c r="EG19"/>
    </row>
    <row r="20" spans="1:137" s="398" customFormat="1" hidden="1" outlineLevel="1">
      <c r="A20" s="97" t="s">
        <v>53</v>
      </c>
      <c r="B20" s="971"/>
      <c r="C20" s="971">
        <f>C19/B19-1</f>
        <v>-6.9770088777600714E-2</v>
      </c>
      <c r="D20" s="971">
        <f>D19/C19-1</f>
        <v>0.11635874219992659</v>
      </c>
      <c r="E20" s="971">
        <f>E19/D19-1</f>
        <v>2.4112231477422252E-3</v>
      </c>
      <c r="F20" s="971">
        <f>F19/E19-1</f>
        <v>2.6459654493767859E-2</v>
      </c>
      <c r="G20" s="971">
        <f>G19/F19-1</f>
        <v>0.11844908393694076</v>
      </c>
      <c r="H20" s="972"/>
      <c r="I20" s="972"/>
      <c r="J20" s="972"/>
      <c r="K20" s="972"/>
      <c r="L20" s="971">
        <f t="shared" ref="L20:AP20" si="40">L19/G19-1</f>
        <v>0.12380952380952381</v>
      </c>
      <c r="M20" s="972">
        <f t="shared" si="40"/>
        <v>0.19607843137254899</v>
      </c>
      <c r="N20" s="972">
        <f t="shared" si="40"/>
        <v>0.16666666666666674</v>
      </c>
      <c r="O20" s="972">
        <f t="shared" si="40"/>
        <v>9.8214285714285809E-2</v>
      </c>
      <c r="P20" s="972">
        <f t="shared" si="40"/>
        <v>0.12711864406779672</v>
      </c>
      <c r="Q20" s="971">
        <f t="shared" si="40"/>
        <v>0.12711864406779672</v>
      </c>
      <c r="R20" s="972">
        <f t="shared" si="40"/>
        <v>5.7377049180327822E-2</v>
      </c>
      <c r="S20" s="972">
        <f t="shared" si="40"/>
        <v>0</v>
      </c>
      <c r="T20" s="972">
        <f t="shared" si="40"/>
        <v>-2.4390243902439046E-2</v>
      </c>
      <c r="U20" s="972">
        <f t="shared" si="40"/>
        <v>-0.18045112781954886</v>
      </c>
      <c r="V20" s="971">
        <f t="shared" si="40"/>
        <v>-0.18045112781954886</v>
      </c>
      <c r="W20" s="973">
        <f t="shared" si="40"/>
        <v>-5.4263565891472854E-2</v>
      </c>
      <c r="X20" s="972">
        <f t="shared" si="40"/>
        <v>-0.16806722689075626</v>
      </c>
      <c r="Y20" s="973">
        <f t="shared" si="40"/>
        <v>-0.19999999999999996</v>
      </c>
      <c r="Z20" s="973">
        <f t="shared" si="40"/>
        <v>-0.11009174311926606</v>
      </c>
      <c r="AA20" s="974">
        <f t="shared" si="40"/>
        <v>-0.11009174311926606</v>
      </c>
      <c r="AB20" s="973">
        <f t="shared" si="40"/>
        <v>-0.25409836065573765</v>
      </c>
      <c r="AC20" s="972">
        <f t="shared" si="40"/>
        <v>-0.13131313131313127</v>
      </c>
      <c r="AD20" s="972">
        <f t="shared" si="40"/>
        <v>-0.13541666666666663</v>
      </c>
      <c r="AE20" s="972">
        <f t="shared" si="40"/>
        <v>-4.123711340206182E-2</v>
      </c>
      <c r="AF20" s="974">
        <f t="shared" si="40"/>
        <v>-4.123711340206182E-2</v>
      </c>
      <c r="AG20" s="973">
        <f t="shared" si="40"/>
        <v>-4.3956043956043911E-2</v>
      </c>
      <c r="AH20" s="972">
        <f t="shared" si="40"/>
        <v>-3.4883720930232509E-2</v>
      </c>
      <c r="AI20" s="972">
        <f t="shared" si="40"/>
        <v>-1.2048192771084376E-2</v>
      </c>
      <c r="AJ20" s="972">
        <f t="shared" si="40"/>
        <v>-6.4516129032258118E-2</v>
      </c>
      <c r="AK20" s="971">
        <f t="shared" si="40"/>
        <v>-6.4516129032258118E-2</v>
      </c>
      <c r="AL20" s="972">
        <f t="shared" si="40"/>
        <v>-0.10344827586206895</v>
      </c>
      <c r="AM20" s="972">
        <f t="shared" si="40"/>
        <v>-0.10843373493975905</v>
      </c>
      <c r="AN20" s="973">
        <f t="shared" si="40"/>
        <v>-6.0975609756097615E-2</v>
      </c>
      <c r="AO20" s="973">
        <f t="shared" si="40"/>
        <v>-4.5977011494252928E-2</v>
      </c>
      <c r="AP20" s="971">
        <f t="shared" si="40"/>
        <v>-4.5977011494252928E-2</v>
      </c>
      <c r="AQ20" s="972">
        <f t="shared" ref="AQ20:AZ20" si="41">AQ19/AL19-1</f>
        <v>5.1282051282051322E-2</v>
      </c>
      <c r="AR20" s="972">
        <f t="shared" si="41"/>
        <v>1.3513513513513598E-2</v>
      </c>
      <c r="AS20" s="973">
        <f t="shared" si="41"/>
        <v>3.8961038961038863E-2</v>
      </c>
      <c r="AT20" s="973">
        <f t="shared" si="41"/>
        <v>4.8192771084337283E-2</v>
      </c>
      <c r="AU20" s="971">
        <f t="shared" si="41"/>
        <v>4.8192771084337283E-2</v>
      </c>
      <c r="AV20" s="972">
        <f t="shared" si="41"/>
        <v>-1.2195121951219523E-2</v>
      </c>
      <c r="AW20" s="972">
        <f t="shared" si="41"/>
        <v>0</v>
      </c>
      <c r="AX20" s="973">
        <f t="shared" si="41"/>
        <v>-0.15000000000000002</v>
      </c>
      <c r="AY20" s="973">
        <f t="shared" si="41"/>
        <v>-0.2183908045977011</v>
      </c>
      <c r="AZ20" s="971">
        <f t="shared" si="41"/>
        <v>-0.2183908045977011</v>
      </c>
      <c r="BA20" s="971"/>
      <c r="BB20" s="972"/>
      <c r="BC20" s="972"/>
      <c r="BD20" s="973"/>
      <c r="BE20" s="973"/>
      <c r="BF20" s="971">
        <f t="shared" ref="BF20:BM20" si="42">BF19/BA19-1</f>
        <v>-4.7619047619047672E-2</v>
      </c>
      <c r="BG20" s="82">
        <f t="shared" si="42"/>
        <v>-0.1166666666666667</v>
      </c>
      <c r="BH20" s="82">
        <f t="shared" si="42"/>
        <v>-9.0909090909090939E-2</v>
      </c>
      <c r="BI20" s="83">
        <f t="shared" si="42"/>
        <v>-0.24193548387096775</v>
      </c>
      <c r="BJ20" s="83">
        <f t="shared" si="42"/>
        <v>-0.19999999999999996</v>
      </c>
      <c r="BK20" s="80">
        <f t="shared" si="42"/>
        <v>-0.19999999999999996</v>
      </c>
      <c r="BL20" s="82">
        <f t="shared" si="42"/>
        <v>-0.15094339622641506</v>
      </c>
      <c r="BM20" s="82">
        <f t="shared" si="42"/>
        <v>-0.14000000000000001</v>
      </c>
      <c r="BN20" s="83"/>
      <c r="BO20" s="83"/>
      <c r="BP20" s="80"/>
      <c r="BQ20" s="971"/>
      <c r="BR20" s="82"/>
      <c r="BS20" s="82"/>
      <c r="BT20" s="83"/>
      <c r="BU20" s="83"/>
      <c r="BV20" s="80"/>
      <c r="BW20" s="82"/>
      <c r="BX20" s="82"/>
      <c r="BY20" s="83"/>
      <c r="BZ20" s="83"/>
      <c r="CA20" s="80"/>
      <c r="CB20" s="82"/>
      <c r="CC20" s="82"/>
      <c r="CD20" s="83"/>
      <c r="CE20" s="83"/>
      <c r="CF20" s="80"/>
      <c r="CG20" s="82"/>
      <c r="CH20" s="82"/>
      <c r="CI20" s="83"/>
      <c r="CJ20" s="83"/>
      <c r="CK20" s="80"/>
      <c r="CL20" s="82"/>
      <c r="CM20" s="82"/>
      <c r="CN20" s="83"/>
      <c r="CO20" s="83"/>
      <c r="CP20" s="80"/>
      <c r="CQ20" s="82"/>
      <c r="CR20" s="82"/>
      <c r="CS20" s="82"/>
      <c r="CT20" s="81"/>
      <c r="CU20" s="80"/>
      <c r="CV20" s="82"/>
      <c r="CW20" s="82"/>
      <c r="CX20" s="82"/>
      <c r="CY20" s="81"/>
      <c r="CZ20" s="80"/>
      <c r="DA20" s="82"/>
      <c r="DB20" s="82"/>
      <c r="DC20" s="82"/>
      <c r="DD20" s="81"/>
      <c r="DE20" s="80"/>
      <c r="DF20" s="82"/>
      <c r="DG20" s="82"/>
      <c r="DH20" s="82"/>
      <c r="DI20" s="81"/>
      <c r="DJ20" s="80"/>
      <c r="DK20" s="397"/>
      <c r="DL20" s="74"/>
      <c r="DM20" s="810"/>
      <c r="DN20" s="809"/>
      <c r="DO20" s="809"/>
      <c r="DP20" s="1053"/>
      <c r="DQ20" s="1053"/>
      <c r="DR20" s="1134"/>
      <c r="DS20" s="1137"/>
      <c r="DT20" s="1298"/>
      <c r="DU20" s="1137"/>
      <c r="DV20" s="1137"/>
      <c r="DW20" s="1137"/>
      <c r="DX20" s="1137"/>
      <c r="DY20" s="360"/>
      <c r="DZ20" s="167"/>
      <c r="EA20" s="167"/>
      <c r="EB20"/>
      <c r="EC20"/>
      <c r="ED20"/>
      <c r="EE20"/>
      <c r="EF20"/>
      <c r="EG20"/>
    </row>
    <row r="21" spans="1:137" s="398" customFormat="1" hidden="1" outlineLevel="1">
      <c r="A21" s="975" t="s">
        <v>121</v>
      </c>
      <c r="B21" s="976"/>
      <c r="C21" s="976">
        <f t="shared" ref="C21:AU21" si="43">C19-(B19-C16)</f>
        <v>5506</v>
      </c>
      <c r="D21" s="976">
        <f t="shared" si="43"/>
        <v>7545</v>
      </c>
      <c r="E21" s="976">
        <f t="shared" si="43"/>
        <v>7675</v>
      </c>
      <c r="F21" s="976">
        <f t="shared" si="43"/>
        <v>8475</v>
      </c>
      <c r="G21" s="976">
        <f t="shared" si="43"/>
        <v>10102</v>
      </c>
      <c r="H21" s="977">
        <f t="shared" si="43"/>
        <v>1845</v>
      </c>
      <c r="I21" s="978">
        <f t="shared" si="43"/>
        <v>2520</v>
      </c>
      <c r="J21" s="978">
        <f t="shared" si="43"/>
        <v>3713</v>
      </c>
      <c r="K21" s="977">
        <f t="shared" si="43"/>
        <v>3435</v>
      </c>
      <c r="L21" s="976">
        <f t="shared" si="43"/>
        <v>10213</v>
      </c>
      <c r="M21" s="977">
        <f t="shared" si="43"/>
        <v>2904</v>
      </c>
      <c r="N21" s="978">
        <f t="shared" si="43"/>
        <v>2558</v>
      </c>
      <c r="O21" s="978">
        <f t="shared" si="43"/>
        <v>3350</v>
      </c>
      <c r="P21" s="977">
        <f t="shared" si="43"/>
        <v>4299</v>
      </c>
      <c r="Q21" s="976">
        <f t="shared" si="43"/>
        <v>11611</v>
      </c>
      <c r="R21" s="977">
        <f t="shared" si="43"/>
        <v>2361</v>
      </c>
      <c r="S21" s="978">
        <f t="shared" si="43"/>
        <v>1535</v>
      </c>
      <c r="T21" s="978">
        <f t="shared" si="43"/>
        <v>2456</v>
      </c>
      <c r="U21" s="977">
        <f t="shared" si="43"/>
        <v>1532</v>
      </c>
      <c r="V21" s="976">
        <f t="shared" si="43"/>
        <v>10284</v>
      </c>
      <c r="W21" s="977">
        <f t="shared" si="43"/>
        <v>3534</v>
      </c>
      <c r="X21" s="978">
        <f t="shared" si="43"/>
        <v>222</v>
      </c>
      <c r="Y21" s="978">
        <f t="shared" si="43"/>
        <v>2225</v>
      </c>
      <c r="Z21" s="977">
        <f t="shared" si="43"/>
        <v>2740</v>
      </c>
      <c r="AA21" s="976">
        <f t="shared" si="43"/>
        <v>9921</v>
      </c>
      <c r="AB21" s="977">
        <f t="shared" si="43"/>
        <v>1549</v>
      </c>
      <c r="AC21" s="978">
        <f t="shared" si="43"/>
        <v>1861</v>
      </c>
      <c r="AD21" s="978">
        <f t="shared" si="43"/>
        <v>2023</v>
      </c>
      <c r="AE21" s="977">
        <f t="shared" si="43"/>
        <v>3548</v>
      </c>
      <c r="AF21" s="976">
        <f t="shared" si="43"/>
        <v>9381</v>
      </c>
      <c r="AG21" s="977">
        <f t="shared" si="43"/>
        <v>1490</v>
      </c>
      <c r="AH21" s="978">
        <f t="shared" si="43"/>
        <v>1863</v>
      </c>
      <c r="AI21" s="978">
        <f t="shared" si="43"/>
        <v>2192</v>
      </c>
      <c r="AJ21" s="977">
        <f t="shared" si="43"/>
        <v>2701</v>
      </c>
      <c r="AK21" s="976">
        <f t="shared" si="43"/>
        <v>8846</v>
      </c>
      <c r="AL21" s="977">
        <f t="shared" si="43"/>
        <v>1206</v>
      </c>
      <c r="AM21" s="978">
        <f t="shared" si="43"/>
        <v>1701</v>
      </c>
      <c r="AN21" s="978">
        <f t="shared" si="43"/>
        <v>2359</v>
      </c>
      <c r="AO21" s="978">
        <f t="shared" si="43"/>
        <v>2701</v>
      </c>
      <c r="AP21" s="976">
        <f t="shared" si="43"/>
        <v>8367</v>
      </c>
      <c r="AQ21" s="977">
        <f>AQ19-(AP19-AQ16)</f>
        <v>1810</v>
      </c>
      <c r="AR21" s="978">
        <f t="shared" si="43"/>
        <v>1241</v>
      </c>
      <c r="AS21" s="978">
        <f t="shared" si="43"/>
        <v>2449</v>
      </c>
      <c r="AT21" s="978">
        <f t="shared" si="43"/>
        <v>2688</v>
      </c>
      <c r="AU21" s="976">
        <f t="shared" si="43"/>
        <v>7788</v>
      </c>
      <c r="AV21" s="977">
        <f>AV19-(AU19-AV16)</f>
        <v>1269</v>
      </c>
      <c r="AW21" s="978">
        <f>AW19-(AV19-AW16)</f>
        <v>1298</v>
      </c>
      <c r="AX21" s="978">
        <f t="shared" ref="AX21:AZ21" si="44">AX19-(AW19-AX16)</f>
        <v>1170</v>
      </c>
      <c r="AY21" s="978">
        <f t="shared" si="44"/>
        <v>1821</v>
      </c>
      <c r="AZ21" s="976">
        <f t="shared" si="44"/>
        <v>7458</v>
      </c>
      <c r="BA21" s="976"/>
      <c r="BB21" s="35">
        <f>BB19-(BA19-BB16)</f>
        <v>1043</v>
      </c>
      <c r="BC21" s="978">
        <f>BC19-(BB19-BC16)</f>
        <v>879</v>
      </c>
      <c r="BD21" s="978">
        <f t="shared" ref="BD21:BE21" si="45">BD19-(BC19-BD16)</f>
        <v>2141</v>
      </c>
      <c r="BE21" s="978">
        <f t="shared" si="45"/>
        <v>1291</v>
      </c>
      <c r="BF21" s="976">
        <f>BF19-(BA19-BF16)</f>
        <v>5354</v>
      </c>
      <c r="BG21" s="977">
        <f>BG19-(BF19-BG16)</f>
        <v>690</v>
      </c>
      <c r="BH21" s="978">
        <f>BH19-(BG19-BH16)</f>
        <v>1108</v>
      </c>
      <c r="BI21" s="978">
        <f t="shared" ref="BI21:BJ21" si="46">BI19-(BH19-BI16)</f>
        <v>1101</v>
      </c>
      <c r="BJ21" s="978">
        <f t="shared" si="46"/>
        <v>1497</v>
      </c>
      <c r="BK21" s="976">
        <f>BK19-(BF19-BK16)</f>
        <v>4396</v>
      </c>
      <c r="BL21" s="977">
        <f>BL19-(BK19-BL16)</f>
        <v>1034</v>
      </c>
      <c r="BM21" s="978">
        <f>BM19-(BL19-BM16)</f>
        <v>1137</v>
      </c>
      <c r="BN21" s="978"/>
      <c r="BO21" s="978"/>
      <c r="BP21" s="80"/>
      <c r="BQ21" s="976"/>
      <c r="BR21" s="977"/>
      <c r="BS21" s="978"/>
      <c r="BT21" s="978"/>
      <c r="BU21" s="978"/>
      <c r="BV21" s="976"/>
      <c r="BW21" s="977"/>
      <c r="BX21" s="978"/>
      <c r="BY21" s="978"/>
      <c r="BZ21" s="978"/>
      <c r="CA21" s="80"/>
      <c r="CB21" s="977"/>
      <c r="CC21" s="978"/>
      <c r="CD21" s="978"/>
      <c r="CE21" s="978"/>
      <c r="CF21" s="80"/>
      <c r="CG21" s="977"/>
      <c r="CH21" s="978"/>
      <c r="CI21" s="978"/>
      <c r="CJ21" s="978"/>
      <c r="CK21" s="80"/>
      <c r="CL21" s="977"/>
      <c r="CM21" s="978"/>
      <c r="CN21" s="978"/>
      <c r="CO21" s="978"/>
      <c r="CP21" s="80"/>
      <c r="CQ21" s="82"/>
      <c r="CR21" s="82"/>
      <c r="CS21" s="82"/>
      <c r="CT21" s="81"/>
      <c r="CU21" s="80"/>
      <c r="CV21" s="82"/>
      <c r="CW21" s="82"/>
      <c r="CX21" s="82"/>
      <c r="CY21" s="81"/>
      <c r="CZ21" s="80"/>
      <c r="DA21" s="82"/>
      <c r="DB21" s="82"/>
      <c r="DC21" s="82"/>
      <c r="DD21" s="81"/>
      <c r="DE21" s="80"/>
      <c r="DF21" s="82"/>
      <c r="DG21" s="82"/>
      <c r="DH21" s="82"/>
      <c r="DI21" s="81"/>
      <c r="DJ21" s="80"/>
      <c r="DK21" s="397"/>
      <c r="DL21" s="74"/>
      <c r="DM21" s="810"/>
      <c r="DN21" s="809"/>
      <c r="DO21" s="809"/>
      <c r="DP21" s="1053"/>
      <c r="DQ21" s="1053"/>
      <c r="DR21" s="1054"/>
      <c r="DS21" s="1139"/>
      <c r="DT21" s="1080"/>
      <c r="DU21" s="1080"/>
      <c r="DV21" s="1153"/>
      <c r="DW21" s="1153"/>
      <c r="DX21" s="1080"/>
      <c r="DY21" s="360"/>
      <c r="DZ21" s="167"/>
      <c r="EA21" s="167"/>
      <c r="EB21"/>
      <c r="EC21"/>
      <c r="ED21"/>
      <c r="EE21"/>
      <c r="EF21"/>
      <c r="EG21"/>
    </row>
    <row r="22" spans="1:137" s="398" customFormat="1" hidden="1" outlineLevel="1">
      <c r="A22" s="979" t="s">
        <v>122</v>
      </c>
      <c r="B22" s="763"/>
      <c r="C22" s="980">
        <f t="shared" ref="C22:BF22" si="47">+C21/C16</f>
        <v>0.89982023206406281</v>
      </c>
      <c r="D22" s="980">
        <f t="shared" si="47"/>
        <v>1.1442220200181983</v>
      </c>
      <c r="E22" s="980">
        <f t="shared" si="47"/>
        <v>1.002874689664184</v>
      </c>
      <c r="F22" s="980">
        <f t="shared" si="47"/>
        <v>1.0293939025871492</v>
      </c>
      <c r="G22" s="980">
        <f t="shared" si="47"/>
        <v>1.1236929922135706</v>
      </c>
      <c r="H22" s="981">
        <f t="shared" si="47"/>
        <v>0.8601398601398601</v>
      </c>
      <c r="I22" s="981">
        <f t="shared" si="47"/>
        <v>1</v>
      </c>
      <c r="J22" s="981">
        <f t="shared" si="47"/>
        <v>1.3685956505713233</v>
      </c>
      <c r="K22" s="981">
        <f t="shared" si="47"/>
        <v>1.2116402116402116</v>
      </c>
      <c r="L22" s="980">
        <f t="shared" si="47"/>
        <v>1</v>
      </c>
      <c r="M22" s="981">
        <f t="shared" si="47"/>
        <v>1.159744408945687</v>
      </c>
      <c r="N22" s="981">
        <f t="shared" si="47"/>
        <v>0.89503149055283415</v>
      </c>
      <c r="O22" s="981">
        <f t="shared" si="47"/>
        <v>1.1355932203389831</v>
      </c>
      <c r="P22" s="981">
        <f t="shared" si="47"/>
        <v>1.3031221582297665</v>
      </c>
      <c r="Q22" s="980">
        <f t="shared" si="47"/>
        <v>1</v>
      </c>
      <c r="R22" s="981">
        <f t="shared" si="47"/>
        <v>0.85512495472654837</v>
      </c>
      <c r="S22" s="981">
        <f t="shared" si="47"/>
        <v>0.60552268244575935</v>
      </c>
      <c r="T22" s="981">
        <f t="shared" si="47"/>
        <v>1.0424448217317488</v>
      </c>
      <c r="U22" s="981">
        <f t="shared" si="47"/>
        <v>0.58206686930091189</v>
      </c>
      <c r="V22" s="980">
        <f t="shared" si="47"/>
        <v>1</v>
      </c>
      <c r="W22" s="981">
        <f t="shared" si="47"/>
        <v>1.5819158460161147</v>
      </c>
      <c r="X22" s="981">
        <f t="shared" si="47"/>
        <v>8.8025376685170506E-2</v>
      </c>
      <c r="Y22" s="981">
        <f t="shared" si="47"/>
        <v>0.88118811881188119</v>
      </c>
      <c r="Z22" s="981">
        <f t="shared" si="47"/>
        <v>1.0378787878787878</v>
      </c>
      <c r="AA22" s="980">
        <f t="shared" si="47"/>
        <v>1</v>
      </c>
      <c r="AB22" s="981">
        <f t="shared" si="47"/>
        <v>0.72080037226617033</v>
      </c>
      <c r="AC22" s="981">
        <f t="shared" si="47"/>
        <v>0.78822532825074121</v>
      </c>
      <c r="AD22" s="981">
        <f t="shared" si="47"/>
        <v>0.87085665088247954</v>
      </c>
      <c r="AE22" s="981">
        <f t="shared" si="47"/>
        <v>1.3924646781789638</v>
      </c>
      <c r="AF22" s="980">
        <f t="shared" si="47"/>
        <v>1</v>
      </c>
      <c r="AG22" s="981">
        <f t="shared" si="47"/>
        <v>0.71291866028708128</v>
      </c>
      <c r="AH22" s="981">
        <f t="shared" si="47"/>
        <v>0.82324348210340259</v>
      </c>
      <c r="AI22" s="981">
        <f t="shared" si="47"/>
        <v>0.95636998254799299</v>
      </c>
      <c r="AJ22" s="981">
        <f t="shared" si="47"/>
        <v>1.227169468423444</v>
      </c>
      <c r="AK22" s="980">
        <f t="shared" si="47"/>
        <v>1</v>
      </c>
      <c r="AL22" s="981">
        <f t="shared" si="47"/>
        <v>0.57264957264957261</v>
      </c>
      <c r="AM22" s="981">
        <f t="shared" si="47"/>
        <v>0.80961446930033321</v>
      </c>
      <c r="AN22" s="981">
        <f t="shared" si="47"/>
        <v>1.1457017969888295</v>
      </c>
      <c r="AO22" s="981">
        <f t="shared" si="47"/>
        <v>1.2855782960495001</v>
      </c>
      <c r="AP22" s="980">
        <f t="shared" si="47"/>
        <v>1</v>
      </c>
      <c r="AQ22" s="981">
        <f t="shared" si="47"/>
        <v>0.94764397905759157</v>
      </c>
      <c r="AR22" s="981">
        <f t="shared" si="47"/>
        <v>0.63936115404430705</v>
      </c>
      <c r="AS22" s="981">
        <f t="shared" si="47"/>
        <v>1.2565418163160595</v>
      </c>
      <c r="AT22" s="981">
        <f t="shared" si="47"/>
        <v>1.352112676056338</v>
      </c>
      <c r="AU22" s="980">
        <f t="shared" si="47"/>
        <v>1</v>
      </c>
      <c r="AV22" s="981">
        <f>+AV21/AV16</f>
        <v>0.67897271268057779</v>
      </c>
      <c r="AW22" s="981">
        <f>+AW21/AW16</f>
        <v>0.68387776606954687</v>
      </c>
      <c r="AX22" s="981">
        <f>+AX21/AX16</f>
        <v>0.62566844919786091</v>
      </c>
      <c r="AY22" s="981">
        <f>+AY21/AY16</f>
        <v>1</v>
      </c>
      <c r="AZ22" s="980">
        <f>+AZ21/AZ16</f>
        <v>1</v>
      </c>
      <c r="BA22" s="980"/>
      <c r="BB22" s="765">
        <f t="shared" ref="BB22" si="48">BB21/BB16</f>
        <v>0.77661950856291884</v>
      </c>
      <c r="BC22" s="981">
        <f>+BC21/BC16</f>
        <v>0.63741841914430752</v>
      </c>
      <c r="BD22" s="981">
        <f t="shared" ref="BD22" si="49">+BD21/BD16</f>
        <v>1.4857737682165164</v>
      </c>
      <c r="BE22" s="981">
        <f t="shared" ref="BE22" si="50">+BE21/BE16</f>
        <v>0.86586183769282365</v>
      </c>
      <c r="BF22" s="980">
        <f t="shared" si="47"/>
        <v>0.94694021931376016</v>
      </c>
      <c r="BG22" s="981">
        <f t="shared" ref="BG22" si="51">+BG21/BG16</f>
        <v>0.49640287769784175</v>
      </c>
      <c r="BH22" s="981">
        <f>+BH21/BH16</f>
        <v>0.78693181818181823</v>
      </c>
      <c r="BI22" s="981">
        <f t="shared" ref="BI22" si="52">+BI21/BI16</f>
        <v>0.78586723768736622</v>
      </c>
      <c r="BJ22" s="981">
        <f t="shared" ref="BJ22" si="53">+BJ21/BJ16</f>
        <v>1.0715819613457409</v>
      </c>
      <c r="BK22" s="980">
        <f t="shared" ref="BK22" si="54">+BK21/BK16</f>
        <v>0.78556111508220161</v>
      </c>
      <c r="BL22" s="981">
        <f t="shared" ref="BL22" si="55">+BL21/BL16</f>
        <v>0.77511244377811095</v>
      </c>
      <c r="BM22" s="981">
        <f>+BM21/BM16</f>
        <v>0.85041136873597611</v>
      </c>
      <c r="BN22" s="981"/>
      <c r="BO22" s="981"/>
      <c r="BP22" s="80"/>
      <c r="BQ22" s="980"/>
      <c r="BR22" s="981"/>
      <c r="BS22" s="981"/>
      <c r="BT22" s="981"/>
      <c r="BU22" s="981"/>
      <c r="BV22" s="980"/>
      <c r="BW22" s="981"/>
      <c r="BX22" s="981"/>
      <c r="BY22" s="981"/>
      <c r="BZ22" s="981"/>
      <c r="CA22" s="80"/>
      <c r="CB22" s="981"/>
      <c r="CC22" s="981"/>
      <c r="CD22" s="981"/>
      <c r="CE22" s="981"/>
      <c r="CF22" s="80"/>
      <c r="CG22" s="981"/>
      <c r="CH22" s="981"/>
      <c r="CI22" s="981"/>
      <c r="CJ22" s="981"/>
      <c r="CK22" s="80"/>
      <c r="CL22" s="981"/>
      <c r="CM22" s="981"/>
      <c r="CN22" s="981"/>
      <c r="CO22" s="981"/>
      <c r="CP22" s="80"/>
      <c r="CQ22" s="82"/>
      <c r="CR22" s="82"/>
      <c r="CS22" s="82"/>
      <c r="CT22" s="81"/>
      <c r="CU22" s="80"/>
      <c r="CV22" s="82"/>
      <c r="CW22" s="82"/>
      <c r="CX22" s="82"/>
      <c r="CY22" s="81"/>
      <c r="CZ22" s="80"/>
      <c r="DA22" s="82"/>
      <c r="DB22" s="82"/>
      <c r="DC22" s="82"/>
      <c r="DD22" s="81"/>
      <c r="DE22" s="80"/>
      <c r="DF22" s="82"/>
      <c r="DG22" s="82"/>
      <c r="DH22" s="82"/>
      <c r="DI22" s="81"/>
      <c r="DJ22" s="80"/>
      <c r="DK22" s="397"/>
      <c r="DL22" s="74"/>
      <c r="DM22" s="810"/>
      <c r="DN22" s="809"/>
      <c r="DO22" s="809"/>
      <c r="DP22" s="1053"/>
      <c r="DQ22" s="1053"/>
      <c r="DR22" s="1053"/>
      <c r="DS22" s="1053"/>
      <c r="DT22" s="1080"/>
      <c r="DU22" s="1084"/>
      <c r="DV22" s="1084"/>
      <c r="DW22" s="1084"/>
      <c r="DX22" s="1053"/>
      <c r="DY22" s="360"/>
      <c r="DZ22" s="167"/>
      <c r="EA22" s="167"/>
      <c r="EB22"/>
      <c r="EC22"/>
      <c r="ED22"/>
      <c r="EE22"/>
      <c r="EF22"/>
      <c r="EG22"/>
    </row>
    <row r="23" spans="1:137" s="398" customFormat="1" hidden="1" outlineLevel="1">
      <c r="A23" s="979" t="s">
        <v>10</v>
      </c>
      <c r="B23" s="980">
        <f t="shared" ref="B23:AU23" si="56">+B19/B16</f>
        <v>1.5325309611023896</v>
      </c>
      <c r="C23" s="980">
        <f t="shared" si="56"/>
        <v>1.3356757640137278</v>
      </c>
      <c r="D23" s="980">
        <f t="shared" si="56"/>
        <v>1.3836821352744919</v>
      </c>
      <c r="E23" s="980">
        <f t="shared" si="56"/>
        <v>1.1950868940284856</v>
      </c>
      <c r="F23" s="980">
        <f t="shared" si="56"/>
        <v>1.140289080529576</v>
      </c>
      <c r="G23" s="980">
        <f t="shared" si="56"/>
        <v>1.167964404894327</v>
      </c>
      <c r="H23" s="981">
        <f>+H19/H16/4</f>
        <v>1.1888111888111887</v>
      </c>
      <c r="I23" s="981">
        <f>+I19/I16/4</f>
        <v>1.0119047619047619</v>
      </c>
      <c r="J23" s="981">
        <f>+J19/J16/4</f>
        <v>1.0320678215997052</v>
      </c>
      <c r="K23" s="981">
        <f>+K19/K16/4</f>
        <v>1.0405643738977073</v>
      </c>
      <c r="L23" s="980">
        <f>+L19/L16</f>
        <v>1.1553901889748359</v>
      </c>
      <c r="M23" s="981">
        <f>+M19/M16/4</f>
        <v>1.2180511182108626</v>
      </c>
      <c r="N23" s="981">
        <f>+N19/N16/4</f>
        <v>1.0409377186843947</v>
      </c>
      <c r="O23" s="981">
        <f>+O19/O16/4</f>
        <v>1.0423728813559323</v>
      </c>
      <c r="P23" s="981">
        <f>+P19/P16/4</f>
        <v>1.0078811761139739</v>
      </c>
      <c r="Q23" s="980">
        <f t="shared" si="56"/>
        <v>1.1454655068469555</v>
      </c>
      <c r="R23" s="981">
        <f>+R19/R16/4</f>
        <v>1.168055052517204</v>
      </c>
      <c r="S23" s="981">
        <f>+S19/S16/4</f>
        <v>1.1735700197238659</v>
      </c>
      <c r="T23" s="981">
        <f>+T19/T16/4</f>
        <v>1.2733446519524618</v>
      </c>
      <c r="U23" s="981">
        <f>+U19/U16/4</f>
        <v>1.0353343465045592</v>
      </c>
      <c r="V23" s="980">
        <f>+V19/V16</f>
        <v>1.0598988720342279</v>
      </c>
      <c r="W23" s="981">
        <f>+W19/W16/4</f>
        <v>1.3652641002685766</v>
      </c>
      <c r="X23" s="981">
        <f>+X19/X16/4</f>
        <v>0.98136399682791431</v>
      </c>
      <c r="Y23" s="981">
        <f>+Y19/Y16/4</f>
        <v>0.95049504950495045</v>
      </c>
      <c r="Z23" s="981">
        <f>+Z19/Z16/4</f>
        <v>0.91856060606060608</v>
      </c>
      <c r="AA23" s="980">
        <f>+AA19/AA16</f>
        <v>0.97772401975607293</v>
      </c>
      <c r="AB23" s="981">
        <f>+AB19/AB16/4</f>
        <v>1.0586319218241043</v>
      </c>
      <c r="AC23" s="981">
        <f>+AC19/AC16/4</f>
        <v>0.91063108852181274</v>
      </c>
      <c r="AD23" s="981">
        <f>+AD19/AD16/4</f>
        <v>0.8932414980628498</v>
      </c>
      <c r="AE23" s="981">
        <f>+AE19/AE16/4</f>
        <v>0.91248037676609106</v>
      </c>
      <c r="AF23" s="980">
        <f>+AF19/AF16</f>
        <v>0.99136552606331951</v>
      </c>
      <c r="AG23" s="981">
        <f>+AG19/AG16/4</f>
        <v>1.0406698564593302</v>
      </c>
      <c r="AH23" s="981">
        <f>+AH19/AH16/4</f>
        <v>0.91692443658859923</v>
      </c>
      <c r="AI23" s="981">
        <f>+AI19/AI16/4</f>
        <v>0.89441535776614312</v>
      </c>
      <c r="AJ23" s="981">
        <f>+AJ19/AJ16/4</f>
        <v>0.98818718764198088</v>
      </c>
      <c r="AK23" s="980">
        <f t="shared" si="56"/>
        <v>0.98349536513678504</v>
      </c>
      <c r="AL23" s="981">
        <f>+AL19/AL16/4</f>
        <v>0.92592592592592593</v>
      </c>
      <c r="AM23" s="981">
        <f>+AM19/AM16/4</f>
        <v>0.88053307948595905</v>
      </c>
      <c r="AN23" s="981">
        <f>+AN19/AN16/4</f>
        <v>0.93491986401165617</v>
      </c>
      <c r="AO23" s="981">
        <f>+AO19/AO16/4</f>
        <v>0.98762494050452165</v>
      </c>
      <c r="AP23" s="980">
        <f t="shared" si="56"/>
        <v>0.99199235090235449</v>
      </c>
      <c r="AQ23" s="981">
        <f>+AQ19/AQ16/4</f>
        <v>1.0732984293193717</v>
      </c>
      <c r="AR23" s="981">
        <f>+AR19/AR16/4</f>
        <v>0.96599690880989186</v>
      </c>
      <c r="AS23" s="981">
        <f>+AS19/AS16/4</f>
        <v>1.026167265264238</v>
      </c>
      <c r="AT23" s="981">
        <f>+AT19/AT16/4</f>
        <v>1.0940643863179074</v>
      </c>
      <c r="AU23" s="980">
        <f t="shared" si="56"/>
        <v>1.1171032357473036</v>
      </c>
      <c r="AV23" s="981">
        <f>+AV19/AV16/4</f>
        <v>1.0834670947030498</v>
      </c>
      <c r="AW23" s="981">
        <f>+AW19/AW16/4</f>
        <v>0.987881981032666</v>
      </c>
      <c r="AX23" s="981">
        <f>+AX19/AX16/4</f>
        <v>0.90909090909090906</v>
      </c>
      <c r="AY23" s="981">
        <f>+AY19/AY16/4</f>
        <v>0.9335529928610653</v>
      </c>
      <c r="AZ23" s="980">
        <f>+AZ19/AZ16</f>
        <v>0.91177259318852244</v>
      </c>
      <c r="BA23" s="980">
        <f>+BA19/BA16</f>
        <v>1.0302534750613246</v>
      </c>
      <c r="BB23" s="981">
        <f>+BB19/BB16/4</f>
        <v>1.1169024571854058</v>
      </c>
      <c r="BC23" s="981">
        <f>+BC19/BC16/4</f>
        <v>0.99709934735315442</v>
      </c>
      <c r="BD23" s="981">
        <f>+BD19/BD16/4</f>
        <v>1.0756419153365717</v>
      </c>
      <c r="BE23" s="981">
        <f>+BE19/BE16/4</f>
        <v>1.0060362173038229</v>
      </c>
      <c r="BF23" s="980">
        <f t="shared" ref="BF23" si="57">+BF19/BF16</f>
        <v>1.0611956137247966</v>
      </c>
      <c r="BG23" s="981">
        <f>+BG19/BG16/4</f>
        <v>0.9532374100719424</v>
      </c>
      <c r="BH23" s="981">
        <f>+BH19/BH16/4</f>
        <v>0.88778409090909094</v>
      </c>
      <c r="BI23" s="981">
        <f>+BI19/BI16/4</f>
        <v>0.83868665239114915</v>
      </c>
      <c r="BJ23" s="981">
        <f>+BJ19/BJ16/4</f>
        <v>0.85898353614889045</v>
      </c>
      <c r="BK23" s="980">
        <f t="shared" ref="BK23" si="58">+BK19/BK16</f>
        <v>0.85775553967119367</v>
      </c>
      <c r="BL23" s="981">
        <f>+BL19/BL16/4</f>
        <v>0.843328335832084</v>
      </c>
      <c r="BM23" s="981">
        <f>+BM19/BM16/4</f>
        <v>0.80403889304412868</v>
      </c>
      <c r="BN23" s="981"/>
      <c r="BO23" s="981"/>
      <c r="BP23" s="80"/>
      <c r="BQ23" s="980"/>
      <c r="BR23" s="981"/>
      <c r="BS23" s="981"/>
      <c r="BT23" s="981"/>
      <c r="BU23" s="981"/>
      <c r="BV23" s="980"/>
      <c r="BW23" s="981"/>
      <c r="BX23" s="981"/>
      <c r="BY23" s="981"/>
      <c r="BZ23" s="981"/>
      <c r="CA23" s="80"/>
      <c r="CB23" s="981"/>
      <c r="CC23" s="981"/>
      <c r="CD23" s="981"/>
      <c r="CE23" s="981"/>
      <c r="CF23" s="80"/>
      <c r="CG23" s="981"/>
      <c r="CH23" s="981"/>
      <c r="CI23" s="981"/>
      <c r="CJ23" s="981"/>
      <c r="CK23" s="80"/>
      <c r="CL23" s="981"/>
      <c r="CM23" s="981"/>
      <c r="CN23" s="981"/>
      <c r="CO23" s="981"/>
      <c r="CP23" s="80"/>
      <c r="CQ23" s="82"/>
      <c r="CR23" s="82"/>
      <c r="CS23" s="82"/>
      <c r="CT23" s="81"/>
      <c r="CU23" s="80"/>
      <c r="CV23" s="82"/>
      <c r="CW23" s="82"/>
      <c r="CX23" s="82"/>
      <c r="CY23" s="81"/>
      <c r="CZ23" s="80"/>
      <c r="DA23" s="82"/>
      <c r="DB23" s="82"/>
      <c r="DC23" s="82"/>
      <c r="DD23" s="81"/>
      <c r="DE23" s="80"/>
      <c r="DF23" s="82"/>
      <c r="DG23" s="82"/>
      <c r="DH23" s="82"/>
      <c r="DI23" s="81"/>
      <c r="DJ23" s="80"/>
      <c r="DK23" s="397"/>
      <c r="DL23" s="74"/>
      <c r="DM23" s="810"/>
      <c r="DN23" s="809"/>
      <c r="DO23" s="809"/>
      <c r="DP23" s="1053"/>
      <c r="DQ23" s="1053"/>
      <c r="DR23" s="1053"/>
      <c r="DS23" s="1242"/>
      <c r="DT23" s="1299"/>
      <c r="DU23" s="1299"/>
      <c r="DV23" s="1299"/>
      <c r="DW23" s="1299"/>
      <c r="DX23" s="1053"/>
      <c r="DY23" s="360"/>
      <c r="DZ23" s="167"/>
      <c r="EA23" s="167"/>
      <c r="EB23"/>
      <c r="EC23"/>
      <c r="ED23"/>
      <c r="EE23"/>
      <c r="EF23"/>
      <c r="EG23"/>
    </row>
    <row r="24" spans="1:137" s="363" customFormat="1" collapsed="1">
      <c r="A24" s="87" t="s">
        <v>103</v>
      </c>
      <c r="B24" s="89"/>
      <c r="C24" s="89"/>
      <c r="D24" s="89"/>
      <c r="E24" s="89"/>
      <c r="F24" s="89"/>
      <c r="G24" s="92"/>
      <c r="H24" s="92"/>
      <c r="I24" s="87"/>
      <c r="J24" s="87"/>
      <c r="K24" s="88"/>
      <c r="L24" s="89"/>
      <c r="M24" s="87"/>
      <c r="N24" s="87"/>
      <c r="O24" s="87"/>
      <c r="P24" s="88"/>
      <c r="Q24" s="92"/>
      <c r="R24" s="92"/>
      <c r="S24" s="87"/>
      <c r="T24" s="87"/>
      <c r="U24" s="88"/>
      <c r="V24" s="89"/>
      <c r="W24" s="87"/>
      <c r="X24" s="87"/>
      <c r="Y24" s="87"/>
      <c r="Z24" s="88"/>
      <c r="AA24" s="89">
        <v>6930</v>
      </c>
      <c r="AB24" s="94">
        <v>1762</v>
      </c>
      <c r="AC24" s="94">
        <v>1983</v>
      </c>
      <c r="AD24" s="94">
        <v>1892</v>
      </c>
      <c r="AE24" s="90">
        <v>1826</v>
      </c>
      <c r="AF24" s="89">
        <f>SUM(AB24:AE24)</f>
        <v>7463</v>
      </c>
      <c r="AG24" s="90">
        <v>1766</v>
      </c>
      <c r="AH24" s="94">
        <v>1843</v>
      </c>
      <c r="AI24" s="94">
        <v>1951</v>
      </c>
      <c r="AJ24" s="90">
        <v>1897</v>
      </c>
      <c r="AK24" s="89">
        <f>+SUM(AG24:AJ24)</f>
        <v>7457</v>
      </c>
      <c r="AL24" s="87">
        <v>1988</v>
      </c>
      <c r="AM24" s="87">
        <v>2043</v>
      </c>
      <c r="AN24" s="87">
        <v>2003</v>
      </c>
      <c r="AO24" s="87">
        <v>1723</v>
      </c>
      <c r="AP24" s="89">
        <f>SUM(AL24:AO24)</f>
        <v>7757</v>
      </c>
      <c r="AQ24" s="87">
        <v>1867</v>
      </c>
      <c r="AR24" s="87">
        <v>1891</v>
      </c>
      <c r="AS24" s="87">
        <v>1908</v>
      </c>
      <c r="AT24" s="87">
        <v>2014</v>
      </c>
      <c r="AU24" s="89">
        <f>SUM(AQ24:AT24)</f>
        <v>7680</v>
      </c>
      <c r="AV24" s="87">
        <v>1503</v>
      </c>
      <c r="AW24" s="87">
        <v>1777</v>
      </c>
      <c r="AX24" s="87">
        <v>1938</v>
      </c>
      <c r="AY24" s="87">
        <f>7366-AX24-AW24-AV24</f>
        <v>2148</v>
      </c>
      <c r="AZ24" s="89">
        <f>SUM(AV24:AY24)</f>
        <v>7366</v>
      </c>
      <c r="BA24" s="89">
        <v>6795</v>
      </c>
      <c r="BB24" s="87">
        <v>1719</v>
      </c>
      <c r="BC24" s="87">
        <v>1747</v>
      </c>
      <c r="BD24" s="87">
        <v>1763</v>
      </c>
      <c r="BE24" s="87">
        <v>1863</v>
      </c>
      <c r="BF24" s="89">
        <v>7092</v>
      </c>
      <c r="BG24" s="87">
        <v>1383</v>
      </c>
      <c r="BH24" s="87">
        <v>1649</v>
      </c>
      <c r="BI24" s="87">
        <v>1769</v>
      </c>
      <c r="BJ24" s="87">
        <v>1969</v>
      </c>
      <c r="BK24" s="89">
        <v>6770</v>
      </c>
      <c r="BL24" s="87">
        <v>1434</v>
      </c>
      <c r="BM24" s="87">
        <v>1680</v>
      </c>
      <c r="BN24" s="87"/>
      <c r="BO24" s="87"/>
      <c r="BP24" s="89"/>
      <c r="BQ24" s="89">
        <v>7092</v>
      </c>
      <c r="BR24" s="87">
        <v>1383</v>
      </c>
      <c r="BS24" s="87">
        <v>1649</v>
      </c>
      <c r="BT24" s="87">
        <v>1769</v>
      </c>
      <c r="BU24" s="87">
        <v>1969</v>
      </c>
      <c r="BV24" s="89">
        <v>6770</v>
      </c>
      <c r="BW24" s="87">
        <v>1434</v>
      </c>
      <c r="BX24" s="87">
        <v>1680</v>
      </c>
      <c r="BY24" s="87">
        <v>1737</v>
      </c>
      <c r="BZ24" s="87">
        <v>1757</v>
      </c>
      <c r="CA24" s="89">
        <f>SUM(BW24:BZ24)</f>
        <v>6608</v>
      </c>
      <c r="CB24" s="87">
        <v>1489</v>
      </c>
      <c r="CC24" s="87">
        <v>1637</v>
      </c>
      <c r="CD24" s="87">
        <v>1793</v>
      </c>
      <c r="CE24" s="87">
        <v>2293</v>
      </c>
      <c r="CF24" s="1246">
        <f>SUM(CB24:CE24)</f>
        <v>7212</v>
      </c>
      <c r="CG24" s="1249"/>
      <c r="CH24" s="1249"/>
      <c r="CI24" s="1249"/>
      <c r="CJ24" s="1249"/>
      <c r="CK24" s="1246">
        <v>6814</v>
      </c>
      <c r="CL24" s="1249"/>
      <c r="CM24" s="1249"/>
      <c r="CN24" s="1249"/>
      <c r="CO24" s="1249"/>
      <c r="CP24" s="1246">
        <v>7294</v>
      </c>
      <c r="CQ24" s="1243">
        <v>1600</v>
      </c>
      <c r="CR24" s="1243">
        <v>1800</v>
      </c>
      <c r="CS24" s="1243">
        <v>1900</v>
      </c>
      <c r="CT24" s="1244">
        <v>2500</v>
      </c>
      <c r="CU24" s="89">
        <f>+SUM(CQ24:CT24)</f>
        <v>7800</v>
      </c>
      <c r="CV24" s="88"/>
      <c r="CW24" s="88"/>
      <c r="CX24" s="88"/>
      <c r="CY24" s="93"/>
      <c r="CZ24" s="89">
        <f>CU24*(1+CZ25)</f>
        <v>8346</v>
      </c>
      <c r="DA24" s="88"/>
      <c r="DB24" s="88"/>
      <c r="DC24" s="88"/>
      <c r="DD24" s="93"/>
      <c r="DE24" s="89">
        <f>CZ24*(1+DE25)</f>
        <v>8930.2200000000012</v>
      </c>
      <c r="DF24" s="88"/>
      <c r="DG24" s="88"/>
      <c r="DH24" s="88"/>
      <c r="DI24" s="93"/>
      <c r="DJ24" s="89">
        <f>DE24*(1+DJ25)</f>
        <v>9555.3354000000018</v>
      </c>
      <c r="DK24" s="136"/>
      <c r="DL24" s="356"/>
      <c r="DM24" s="809" t="s">
        <v>392</v>
      </c>
      <c r="DN24" s="809"/>
      <c r="DO24" s="809"/>
      <c r="DP24" s="1053"/>
      <c r="DQ24" s="1053"/>
      <c r="DR24" s="1053"/>
      <c r="DS24" s="1242" t="s">
        <v>402</v>
      </c>
      <c r="DT24" s="1242" t="s">
        <v>403</v>
      </c>
      <c r="DU24" s="1242" t="s">
        <v>404</v>
      </c>
      <c r="DV24" s="810"/>
      <c r="DW24" s="812"/>
      <c r="DX24" s="810"/>
      <c r="DY24" s="356"/>
      <c r="DZ24" s="137"/>
      <c r="EA24" s="137"/>
      <c r="EB24"/>
      <c r="EC24"/>
      <c r="ED24"/>
      <c r="EE24"/>
      <c r="EF24"/>
      <c r="EG24"/>
    </row>
    <row r="25" spans="1:137" s="398" customFormat="1">
      <c r="A25" s="97" t="s">
        <v>53</v>
      </c>
      <c r="B25" s="80"/>
      <c r="C25" s="80"/>
      <c r="D25" s="80"/>
      <c r="E25" s="80"/>
      <c r="F25" s="80"/>
      <c r="G25" s="85"/>
      <c r="H25" s="85"/>
      <c r="I25" s="82"/>
      <c r="J25" s="82"/>
      <c r="K25" s="82"/>
      <c r="L25" s="80"/>
      <c r="M25" s="82"/>
      <c r="N25" s="82"/>
      <c r="O25" s="82"/>
      <c r="P25" s="82"/>
      <c r="Q25" s="85"/>
      <c r="R25" s="85"/>
      <c r="S25" s="82"/>
      <c r="T25" s="82"/>
      <c r="U25" s="83"/>
      <c r="V25" s="80"/>
      <c r="W25" s="83"/>
      <c r="X25" s="82"/>
      <c r="Y25" s="83"/>
      <c r="Z25" s="83"/>
      <c r="AA25" s="84"/>
      <c r="AB25" s="83"/>
      <c r="AC25" s="82"/>
      <c r="AD25" s="82"/>
      <c r="AE25" s="82"/>
      <c r="AF25" s="84"/>
      <c r="AG25" s="83">
        <f t="shared" ref="AG25:AL25" si="59">AG24/AB24-1</f>
        <v>2.2701475595914289E-3</v>
      </c>
      <c r="AH25" s="82">
        <f t="shared" si="59"/>
        <v>-7.0600100857286963E-2</v>
      </c>
      <c r="AI25" s="82">
        <f t="shared" si="59"/>
        <v>3.118393234672312E-2</v>
      </c>
      <c r="AJ25" s="82">
        <f t="shared" si="59"/>
        <v>3.8882803943044886E-2</v>
      </c>
      <c r="AK25" s="80">
        <f t="shared" si="59"/>
        <v>-8.0396623341816298E-4</v>
      </c>
      <c r="AL25" s="82">
        <f t="shared" si="59"/>
        <v>0.12570781426953559</v>
      </c>
      <c r="AM25" s="82">
        <f t="shared" ref="AM25:AP25" si="60">AM24/AH24-1</f>
        <v>0.10851871947911018</v>
      </c>
      <c r="AN25" s="82">
        <f t="shared" si="60"/>
        <v>2.6652998462326938E-2</v>
      </c>
      <c r="AO25" s="82">
        <f t="shared" si="60"/>
        <v>-9.1723774380600975E-2</v>
      </c>
      <c r="AP25" s="80">
        <f t="shared" si="60"/>
        <v>4.0230655759688982E-2</v>
      </c>
      <c r="AQ25" s="82">
        <f t="shared" ref="AQ25:AZ25" si="61">AQ24/AL24-1</f>
        <v>-6.086519114688127E-2</v>
      </c>
      <c r="AR25" s="82">
        <f t="shared" si="61"/>
        <v>-7.4400391581008307E-2</v>
      </c>
      <c r="AS25" s="82">
        <f t="shared" si="61"/>
        <v>-4.7428856714927581E-2</v>
      </c>
      <c r="AT25" s="82">
        <f t="shared" si="61"/>
        <v>0.16889146836912361</v>
      </c>
      <c r="AU25" s="80">
        <f t="shared" si="61"/>
        <v>-9.9265179837566553E-3</v>
      </c>
      <c r="AV25" s="82">
        <f t="shared" si="61"/>
        <v>-0.19496518478843061</v>
      </c>
      <c r="AW25" s="82">
        <f t="shared" si="61"/>
        <v>-6.0285563194077185E-2</v>
      </c>
      <c r="AX25" s="82">
        <f t="shared" si="61"/>
        <v>1.572327044025168E-2</v>
      </c>
      <c r="AY25" s="82">
        <f t="shared" si="61"/>
        <v>6.6534260178748861E-2</v>
      </c>
      <c r="AZ25" s="80">
        <f t="shared" si="61"/>
        <v>-4.0885416666666674E-2</v>
      </c>
      <c r="BA25" s="80"/>
      <c r="BB25" s="82"/>
      <c r="BC25" s="82"/>
      <c r="BD25" s="82"/>
      <c r="BE25" s="82"/>
      <c r="BF25" s="80">
        <f t="shared" ref="BF25:BM25" si="62">BF24/BA24-1</f>
        <v>4.3708609271523091E-2</v>
      </c>
      <c r="BG25" s="82">
        <f t="shared" si="62"/>
        <v>-0.1954624781849913</v>
      </c>
      <c r="BH25" s="82">
        <f t="shared" si="62"/>
        <v>-5.6096164854035457E-2</v>
      </c>
      <c r="BI25" s="82">
        <f t="shared" si="62"/>
        <v>3.4032898468518979E-3</v>
      </c>
      <c r="BJ25" s="82">
        <f t="shared" si="62"/>
        <v>5.689747718733229E-2</v>
      </c>
      <c r="BK25" s="80">
        <f t="shared" si="62"/>
        <v>-4.5403271291596159E-2</v>
      </c>
      <c r="BL25" s="82">
        <f t="shared" si="62"/>
        <v>3.6876355748373113E-2</v>
      </c>
      <c r="BM25" s="82">
        <f t="shared" si="62"/>
        <v>1.8799272286234014E-2</v>
      </c>
      <c r="BN25" s="82"/>
      <c r="BO25" s="82"/>
      <c r="BP25" s="104"/>
      <c r="BQ25" s="80"/>
      <c r="BR25" s="82">
        <f>+BR24/BB24-1</f>
        <v>-0.1954624781849913</v>
      </c>
      <c r="BS25" s="82">
        <f>+BS24/BC24-1</f>
        <v>-5.6096164854035457E-2</v>
      </c>
      <c r="BT25" s="82">
        <f>+BT24/BD24-1</f>
        <v>3.4032898468518979E-3</v>
      </c>
      <c r="BU25" s="82">
        <f>+BU24/BE24-1</f>
        <v>5.689747718733229E-2</v>
      </c>
      <c r="BV25" s="80">
        <f>+BV24/BF24-1</f>
        <v>-4.5403271291596159E-2</v>
      </c>
      <c r="BW25" s="82">
        <f t="shared" ref="BW25:CF25" si="63">BW24/BR24-1</f>
        <v>3.6876355748373113E-2</v>
      </c>
      <c r="BX25" s="82">
        <f t="shared" si="63"/>
        <v>1.8799272286234014E-2</v>
      </c>
      <c r="BY25" s="82">
        <f t="shared" si="63"/>
        <v>-1.8089315997738886E-2</v>
      </c>
      <c r="BZ25" s="82">
        <f t="shared" si="63"/>
        <v>-0.10766886744540372</v>
      </c>
      <c r="CA25" s="80">
        <f t="shared" si="63"/>
        <v>-2.3929098966026574E-2</v>
      </c>
      <c r="CB25" s="82">
        <f t="shared" si="63"/>
        <v>3.8354253835425345E-2</v>
      </c>
      <c r="CC25" s="973">
        <f t="shared" si="63"/>
        <v>-2.5595238095238115E-2</v>
      </c>
      <c r="CD25" s="82">
        <f t="shared" si="63"/>
        <v>3.2239493379389694E-2</v>
      </c>
      <c r="CE25" s="82">
        <f t="shared" si="63"/>
        <v>0.30506545247581096</v>
      </c>
      <c r="CF25" s="80">
        <f t="shared" si="63"/>
        <v>9.1404358353510906E-2</v>
      </c>
      <c r="CG25" s="82"/>
      <c r="CH25" s="82"/>
      <c r="CI25" s="82"/>
      <c r="CJ25" s="82"/>
      <c r="CK25" s="80"/>
      <c r="CL25" s="82"/>
      <c r="CM25" s="973"/>
      <c r="CN25" s="82"/>
      <c r="CO25" s="82"/>
      <c r="CP25" s="80">
        <f t="shared" ref="CP25" si="64">CP24/CK24-1</f>
        <v>7.0443205165835021E-2</v>
      </c>
      <c r="CQ25" s="103"/>
      <c r="CR25" s="103"/>
      <c r="CS25" s="103"/>
      <c r="CT25" s="105"/>
      <c r="CU25" s="80">
        <f>CU24/CP24-1</f>
        <v>6.9372086646558806E-2</v>
      </c>
      <c r="CV25" s="103"/>
      <c r="CW25" s="103"/>
      <c r="CX25" s="103"/>
      <c r="CY25" s="105"/>
      <c r="CZ25" s="104">
        <v>7.0000000000000007E-2</v>
      </c>
      <c r="DA25" s="103"/>
      <c r="DB25" s="103"/>
      <c r="DC25" s="103"/>
      <c r="DD25" s="105"/>
      <c r="DE25" s="104">
        <v>7.0000000000000007E-2</v>
      </c>
      <c r="DF25" s="103"/>
      <c r="DG25" s="103"/>
      <c r="DH25" s="103"/>
      <c r="DI25" s="105"/>
      <c r="DJ25" s="104">
        <v>7.0000000000000007E-2</v>
      </c>
      <c r="DK25" s="397"/>
      <c r="DL25" s="74"/>
      <c r="DM25" s="809"/>
      <c r="DN25" s="809"/>
      <c r="DO25" s="1122"/>
      <c r="DP25" s="1054"/>
      <c r="DQ25" s="1054"/>
      <c r="DR25" s="1054"/>
      <c r="DS25" s="1150">
        <v>7.5250000000000004</v>
      </c>
      <c r="DT25" s="1150">
        <f>(DS25+DU25)/2</f>
        <v>7.6750000000000007</v>
      </c>
      <c r="DU25" s="1150">
        <v>7.8250000000000002</v>
      </c>
      <c r="DV25" s="809"/>
      <c r="DW25" s="809"/>
      <c r="DX25" s="809"/>
      <c r="DY25" s="360"/>
      <c r="DZ25" s="167"/>
      <c r="EA25" s="167"/>
      <c r="EB25"/>
      <c r="EC25"/>
      <c r="ED25"/>
      <c r="EE25"/>
      <c r="EF25"/>
      <c r="EG25"/>
    </row>
    <row r="26" spans="1:137" s="398" customFormat="1">
      <c r="A26" s="97" t="s">
        <v>55</v>
      </c>
      <c r="B26" s="80"/>
      <c r="C26" s="80"/>
      <c r="D26" s="80"/>
      <c r="E26" s="81"/>
      <c r="F26" s="80"/>
      <c r="G26" s="82"/>
      <c r="H26" s="85"/>
      <c r="I26" s="82"/>
      <c r="J26" s="82"/>
      <c r="K26" s="82"/>
      <c r="L26" s="80"/>
      <c r="M26" s="82"/>
      <c r="N26" s="82"/>
      <c r="O26" s="82"/>
      <c r="P26" s="82"/>
      <c r="Q26" s="85"/>
      <c r="R26" s="85"/>
      <c r="S26" s="82"/>
      <c r="T26" s="82"/>
      <c r="U26" s="83"/>
      <c r="V26" s="80"/>
      <c r="W26" s="83"/>
      <c r="X26" s="82"/>
      <c r="Y26" s="83"/>
      <c r="Z26" s="83"/>
      <c r="AA26" s="84"/>
      <c r="AB26" s="83" t="str">
        <f>IF(ISERROR(AB24/#REF!),"",AB24/#REF!)</f>
        <v/>
      </c>
      <c r="AC26" s="82" t="str">
        <f>IF(ISERROR(AC24/#REF!),"",AC24/#REF!)</f>
        <v/>
      </c>
      <c r="AD26" s="82" t="str">
        <f>IF(ISERROR(AD24/#REF!),"",AD24/#REF!)</f>
        <v/>
      </c>
      <c r="AE26" s="82" t="str">
        <f>IF(ISERROR(AE24/#REF!),"",AE24/#REF!)</f>
        <v/>
      </c>
      <c r="AF26" s="84" t="str">
        <f>IF(ISERROR(AF24/#REF!),"",AF24/#REF!)</f>
        <v/>
      </c>
      <c r="AG26" s="83">
        <f t="shared" ref="AG26:BF26" si="65">AG24/AG55</f>
        <v>0.15638005844328345</v>
      </c>
      <c r="AH26" s="82">
        <f t="shared" si="65"/>
        <v>0.15460112406677293</v>
      </c>
      <c r="AI26" s="82">
        <f t="shared" si="65"/>
        <v>0.16437779088381499</v>
      </c>
      <c r="AJ26" s="82">
        <f t="shared" si="65"/>
        <v>0.15678981734027606</v>
      </c>
      <c r="AK26" s="80">
        <f t="shared" si="65"/>
        <v>0.15804756051036412</v>
      </c>
      <c r="AL26" s="82">
        <f t="shared" si="65"/>
        <v>0.17958446251129179</v>
      </c>
      <c r="AM26" s="82">
        <f t="shared" si="65"/>
        <v>0.17908485273492286</v>
      </c>
      <c r="AN26" s="82">
        <f t="shared" si="65"/>
        <v>0.17652242883581565</v>
      </c>
      <c r="AO26" s="82">
        <f t="shared" si="65"/>
        <v>0.14939738142720888</v>
      </c>
      <c r="AP26" s="80">
        <f t="shared" si="65"/>
        <v>0.17101724061907492</v>
      </c>
      <c r="AQ26" s="82">
        <f t="shared" si="65"/>
        <v>0.17530516431924884</v>
      </c>
      <c r="AR26" s="82">
        <f t="shared" si="65"/>
        <v>0.167256324075712</v>
      </c>
      <c r="AS26" s="82">
        <f t="shared" si="65"/>
        <v>0.17167536440525463</v>
      </c>
      <c r="AT26" s="82">
        <f t="shared" si="65"/>
        <v>0.1607342378292099</v>
      </c>
      <c r="AU26" s="80">
        <f t="shared" si="65"/>
        <v>0.16842105263157894</v>
      </c>
      <c r="AV26" s="82">
        <f>AV24/AV55</f>
        <v>0.14864998516467215</v>
      </c>
      <c r="AW26" s="82">
        <f>AW24/AW55</f>
        <v>0.15262389418534741</v>
      </c>
      <c r="AX26" s="82">
        <f>AX24/AX55</f>
        <v>0.16909519239158888</v>
      </c>
      <c r="AY26" s="82">
        <f>AY24/AY55</f>
        <v>0.16629248277463807</v>
      </c>
      <c r="AZ26" s="80">
        <f>AZ24/AZ55</f>
        <v>0.15967224486256829</v>
      </c>
      <c r="BA26" s="80">
        <f t="shared" ref="BA26" si="66">BA24/BA55</f>
        <v>0.14980819260108472</v>
      </c>
      <c r="BB26" s="82">
        <f t="shared" si="65"/>
        <v>0.16140845070422535</v>
      </c>
      <c r="BC26" s="82">
        <f t="shared" si="65"/>
        <v>0.15451972404033257</v>
      </c>
      <c r="BD26" s="82">
        <f t="shared" si="65"/>
        <v>0.15862875652330394</v>
      </c>
      <c r="BE26" s="82">
        <f t="shared" si="65"/>
        <v>0.14868316041500398</v>
      </c>
      <c r="BF26" s="80">
        <f t="shared" si="65"/>
        <v>0.15552631578947368</v>
      </c>
      <c r="BG26" s="82">
        <f t="shared" ref="BG26:BJ26" si="67">BG24/BG55</f>
        <v>0.13678172287607557</v>
      </c>
      <c r="BH26" s="82">
        <f t="shared" si="67"/>
        <v>0.14163016404706691</v>
      </c>
      <c r="BI26" s="82">
        <f t="shared" si="67"/>
        <v>0.15434953319954628</v>
      </c>
      <c r="BJ26" s="82">
        <f t="shared" si="67"/>
        <v>0.15243477587675155</v>
      </c>
      <c r="BK26" s="80">
        <f t="shared" ref="BK26:BM26" si="68">BK24/BK55</f>
        <v>0.14675279632359317</v>
      </c>
      <c r="BL26" s="82">
        <f t="shared" si="68"/>
        <v>0.12254315501623654</v>
      </c>
      <c r="BM26" s="82">
        <f t="shared" si="68"/>
        <v>0.13009137370295804</v>
      </c>
      <c r="BN26" s="82"/>
      <c r="BO26" s="82"/>
      <c r="BP26" s="80"/>
      <c r="BQ26" s="80"/>
      <c r="BR26" s="82">
        <f t="shared" ref="BR26:BY26" si="69">BR24/BR55</f>
        <v>0.15858273133814929</v>
      </c>
      <c r="BS26" s="82">
        <f t="shared" si="69"/>
        <v>0.16111382510991695</v>
      </c>
      <c r="BT26" s="82">
        <f t="shared" si="69"/>
        <v>0.17584493041749502</v>
      </c>
      <c r="BU26" s="82">
        <f t="shared" si="69"/>
        <v>0.17092013888888888</v>
      </c>
      <c r="BV26" s="80">
        <f t="shared" si="69"/>
        <v>0.16701203868166567</v>
      </c>
      <c r="BW26" s="82">
        <f t="shared" si="69"/>
        <v>0.13831018518518517</v>
      </c>
      <c r="BX26" s="82">
        <f t="shared" si="69"/>
        <v>0.14511531484840631</v>
      </c>
      <c r="BY26" s="82">
        <f t="shared" si="69"/>
        <v>0.15037659077136178</v>
      </c>
      <c r="BZ26" s="82">
        <f>BZ24/BZ55</f>
        <v>0.12776323443862711</v>
      </c>
      <c r="CA26" s="80">
        <f>CA24/CA55</f>
        <v>0.13985777175753472</v>
      </c>
      <c r="CB26" s="82">
        <f t="shared" ref="CB26:CD26" si="70">CB24/CB55</f>
        <v>0.13466582255584697</v>
      </c>
      <c r="CC26" s="82">
        <f t="shared" si="70"/>
        <v>0.12905005912495074</v>
      </c>
      <c r="CD26" s="82">
        <f t="shared" si="70"/>
        <v>0.14734160571945107</v>
      </c>
      <c r="CE26" s="82">
        <f>CE24/CE55</f>
        <v>0.1514831208297549</v>
      </c>
      <c r="CF26" s="80">
        <f>CF24/CF55</f>
        <v>0.14127879642689234</v>
      </c>
      <c r="CG26" s="82"/>
      <c r="CH26" s="82"/>
      <c r="CI26" s="82"/>
      <c r="CJ26" s="82"/>
      <c r="CK26" s="80"/>
      <c r="CL26" s="82"/>
      <c r="CM26" s="82"/>
      <c r="CN26" s="82"/>
      <c r="CO26" s="82"/>
      <c r="CP26" s="80">
        <f>CP24/CP55</f>
        <v>0.1459500560268929</v>
      </c>
      <c r="CQ26" s="82"/>
      <c r="CR26" s="82"/>
      <c r="CS26" s="82"/>
      <c r="CT26" s="81"/>
      <c r="CU26" s="80">
        <f>CU24/CU55</f>
        <v>0.15204678362573099</v>
      </c>
      <c r="CV26" s="82"/>
      <c r="CW26" s="82"/>
      <c r="CX26" s="82"/>
      <c r="CY26" s="81"/>
      <c r="CZ26" s="80">
        <f>CZ24/CZ55</f>
        <v>0.1530224968372417</v>
      </c>
      <c r="DA26" s="82"/>
      <c r="DB26" s="82"/>
      <c r="DC26" s="82"/>
      <c r="DD26" s="81"/>
      <c r="DE26" s="80">
        <f>DE24/DE55</f>
        <v>0.15639732488353242</v>
      </c>
      <c r="DF26" s="82"/>
      <c r="DG26" s="82"/>
      <c r="DH26" s="82"/>
      <c r="DI26" s="81"/>
      <c r="DJ26" s="80">
        <f>DJ24/DJ55</f>
        <v>0.16202068111988613</v>
      </c>
      <c r="DK26" s="397"/>
      <c r="DL26" s="74"/>
      <c r="DM26" s="810"/>
      <c r="DN26" s="809"/>
      <c r="DO26" s="809"/>
      <c r="DP26" s="1105"/>
      <c r="DQ26" s="1054"/>
      <c r="DR26" s="1054"/>
      <c r="DS26" s="1154"/>
      <c r="DT26" s="1154"/>
      <c r="DU26" s="1154"/>
      <c r="DV26" s="1154"/>
      <c r="DW26" s="1154"/>
      <c r="DX26" s="1154"/>
      <c r="DY26" s="360"/>
      <c r="DZ26" s="167"/>
      <c r="EA26" s="167"/>
      <c r="EB26"/>
      <c r="EC26"/>
      <c r="ED26"/>
      <c r="EE26"/>
      <c r="EF26"/>
      <c r="EG26"/>
    </row>
    <row r="27" spans="1:137" s="144" customFormat="1" ht="12.75" customHeight="1">
      <c r="A27" s="387" t="s">
        <v>3</v>
      </c>
      <c r="B27" s="374"/>
      <c r="C27" s="374"/>
      <c r="D27" s="374"/>
      <c r="E27" s="374"/>
      <c r="F27" s="374"/>
      <c r="G27" s="390"/>
      <c r="H27" s="390"/>
      <c r="I27" s="387"/>
      <c r="J27" s="387"/>
      <c r="K27" s="387"/>
      <c r="L27" s="374"/>
      <c r="M27" s="387"/>
      <c r="N27" s="387"/>
      <c r="O27" s="387"/>
      <c r="P27" s="387"/>
      <c r="Q27" s="390"/>
      <c r="R27" s="390"/>
      <c r="S27" s="387"/>
      <c r="T27" s="387"/>
      <c r="U27" s="387"/>
      <c r="V27" s="374"/>
      <c r="W27" s="387"/>
      <c r="X27" s="388"/>
      <c r="Y27" s="388"/>
      <c r="Z27" s="387"/>
      <c r="AA27" s="374"/>
      <c r="AB27" s="387">
        <v>12100</v>
      </c>
      <c r="AC27" s="388">
        <v>11800</v>
      </c>
      <c r="AD27" s="387">
        <v>11500</v>
      </c>
      <c r="AE27" s="387">
        <v>14400</v>
      </c>
      <c r="AF27" s="374">
        <f>AE27</f>
        <v>14400</v>
      </c>
      <c r="AG27" s="387">
        <v>13400</v>
      </c>
      <c r="AH27" s="388">
        <v>13500</v>
      </c>
      <c r="AI27" s="387">
        <v>14500</v>
      </c>
      <c r="AJ27" s="387">
        <v>14700</v>
      </c>
      <c r="AK27" s="374">
        <f>AJ27</f>
        <v>14700</v>
      </c>
      <c r="AL27" s="387">
        <v>13400</v>
      </c>
      <c r="AM27" s="387">
        <v>12600</v>
      </c>
      <c r="AN27" s="387">
        <v>14100</v>
      </c>
      <c r="AO27" s="387">
        <v>15000</v>
      </c>
      <c r="AP27" s="374">
        <f>AO27</f>
        <v>15000</v>
      </c>
      <c r="AQ27" s="387">
        <v>14400</v>
      </c>
      <c r="AR27" s="387">
        <v>13400</v>
      </c>
      <c r="AS27" s="387">
        <v>12800</v>
      </c>
      <c r="AT27" s="387">
        <v>13600</v>
      </c>
      <c r="AU27" s="374">
        <f>AT27</f>
        <v>13600</v>
      </c>
      <c r="AV27" s="844">
        <v>12800</v>
      </c>
      <c r="AW27" s="844">
        <v>12200</v>
      </c>
      <c r="AX27" s="387">
        <v>14000</v>
      </c>
      <c r="AY27" s="387">
        <v>15500</v>
      </c>
      <c r="AZ27" s="374">
        <f>AY27</f>
        <v>15500</v>
      </c>
      <c r="BA27" s="374">
        <v>14300</v>
      </c>
      <c r="BB27" s="844">
        <v>13900</v>
      </c>
      <c r="BC27" s="844">
        <v>13000</v>
      </c>
      <c r="BD27" s="387">
        <v>12300</v>
      </c>
      <c r="BE27" s="387">
        <v>13300</v>
      </c>
      <c r="BF27" s="374">
        <v>13300</v>
      </c>
      <c r="BG27" s="844">
        <v>12600</v>
      </c>
      <c r="BH27" s="844">
        <v>12000</v>
      </c>
      <c r="BI27" s="387">
        <v>13400</v>
      </c>
      <c r="BJ27" s="387">
        <v>15500</v>
      </c>
      <c r="BK27" s="374">
        <v>15500</v>
      </c>
      <c r="BL27" s="844">
        <v>15100</v>
      </c>
      <c r="BM27" s="844">
        <v>15300</v>
      </c>
      <c r="BN27" s="387"/>
      <c r="BO27" s="387"/>
      <c r="BP27" s="374"/>
      <c r="BQ27" s="374"/>
      <c r="BR27" s="844">
        <v>12600</v>
      </c>
      <c r="BS27" s="844">
        <v>12000</v>
      </c>
      <c r="BT27" s="387">
        <v>13400</v>
      </c>
      <c r="BU27" s="387">
        <v>15500</v>
      </c>
      <c r="BV27" s="374">
        <v>15500</v>
      </c>
      <c r="BW27" s="844">
        <v>15100</v>
      </c>
      <c r="BX27" s="844">
        <v>15300</v>
      </c>
      <c r="BY27" s="387">
        <v>14500</v>
      </c>
      <c r="BZ27" s="387">
        <v>14704</v>
      </c>
      <c r="CA27" s="374">
        <f>BZ27</f>
        <v>14704</v>
      </c>
      <c r="CB27" s="844">
        <v>14500</v>
      </c>
      <c r="CC27" s="844">
        <v>15000</v>
      </c>
      <c r="CD27" s="387">
        <v>16800</v>
      </c>
      <c r="CE27" s="387">
        <v>17863</v>
      </c>
      <c r="CF27" s="374">
        <f>CE27</f>
        <v>17863</v>
      </c>
      <c r="CG27" s="844"/>
      <c r="CH27" s="844"/>
      <c r="CI27" s="387"/>
      <c r="CJ27" s="387"/>
      <c r="CK27" s="374"/>
      <c r="CL27" s="844"/>
      <c r="CM27" s="844"/>
      <c r="CN27" s="387"/>
      <c r="CO27" s="387"/>
      <c r="CP27" s="374">
        <v>17678</v>
      </c>
      <c r="CQ27" s="387"/>
      <c r="CR27" s="387"/>
      <c r="CS27" s="387"/>
      <c r="CT27" s="391"/>
      <c r="CU27" s="374"/>
      <c r="CV27" s="387"/>
      <c r="CW27" s="387"/>
      <c r="CX27" s="387"/>
      <c r="CY27" s="391"/>
      <c r="CZ27" s="374"/>
      <c r="DA27" s="387"/>
      <c r="DB27" s="387"/>
      <c r="DC27" s="387"/>
      <c r="DD27" s="391"/>
      <c r="DE27" s="374"/>
      <c r="DF27" s="387"/>
      <c r="DG27" s="387"/>
      <c r="DH27" s="387"/>
      <c r="DI27" s="391"/>
      <c r="DJ27" s="374"/>
      <c r="DK27" s="399"/>
      <c r="DL27" s="400"/>
      <c r="DM27" s="810"/>
      <c r="DN27" s="810"/>
      <c r="DO27" s="810"/>
      <c r="DP27" s="1105"/>
      <c r="DQ27" s="1053"/>
      <c r="DR27" s="1053"/>
      <c r="DS27" s="809"/>
      <c r="DT27" s="1153"/>
      <c r="DU27" s="1153"/>
      <c r="DV27" s="1153"/>
      <c r="DW27" s="1153"/>
      <c r="DX27" s="1153"/>
      <c r="DY27" s="357"/>
      <c r="DZ27" s="143"/>
      <c r="EA27" s="143"/>
      <c r="EB27"/>
      <c r="EC27"/>
      <c r="ED27"/>
      <c r="EE27"/>
      <c r="EF27"/>
      <c r="EG27"/>
    </row>
    <row r="28" spans="1:137" s="398" customFormat="1">
      <c r="A28" s="97" t="s">
        <v>53</v>
      </c>
      <c r="B28" s="80"/>
      <c r="C28" s="80"/>
      <c r="D28" s="80"/>
      <c r="E28" s="80"/>
      <c r="F28" s="80"/>
      <c r="G28" s="85"/>
      <c r="H28" s="85"/>
      <c r="I28" s="82"/>
      <c r="J28" s="82"/>
      <c r="K28" s="82"/>
      <c r="L28" s="80"/>
      <c r="M28" s="82"/>
      <c r="N28" s="82"/>
      <c r="O28" s="82"/>
      <c r="P28" s="82"/>
      <c r="Q28" s="85"/>
      <c r="R28" s="85"/>
      <c r="S28" s="82"/>
      <c r="T28" s="82"/>
      <c r="U28" s="82"/>
      <c r="V28" s="80"/>
      <c r="W28" s="83"/>
      <c r="X28" s="82"/>
      <c r="Y28" s="83"/>
      <c r="Z28" s="83"/>
      <c r="AA28" s="84"/>
      <c r="AB28" s="83"/>
      <c r="AC28" s="82"/>
      <c r="AD28" s="82"/>
      <c r="AE28" s="82"/>
      <c r="AF28" s="84"/>
      <c r="AG28" s="83">
        <f t="shared" ref="AG28:AL28" si="71">AG27/AB27-1</f>
        <v>0.10743801652892571</v>
      </c>
      <c r="AH28" s="82">
        <f t="shared" si="71"/>
        <v>0.14406779661016955</v>
      </c>
      <c r="AI28" s="82">
        <f t="shared" si="71"/>
        <v>0.26086956521739135</v>
      </c>
      <c r="AJ28" s="82">
        <f t="shared" si="71"/>
        <v>2.0833333333333259E-2</v>
      </c>
      <c r="AK28" s="80">
        <f t="shared" si="71"/>
        <v>2.0833333333333259E-2</v>
      </c>
      <c r="AL28" s="82">
        <f t="shared" si="71"/>
        <v>0</v>
      </c>
      <c r="AM28" s="82">
        <f t="shared" ref="AM28:AP28" si="72">AM27/AH27-1</f>
        <v>-6.6666666666666652E-2</v>
      </c>
      <c r="AN28" s="83">
        <f t="shared" si="72"/>
        <v>-2.7586206896551779E-2</v>
      </c>
      <c r="AO28" s="83">
        <f t="shared" si="72"/>
        <v>2.0408163265306145E-2</v>
      </c>
      <c r="AP28" s="80">
        <f t="shared" si="72"/>
        <v>2.0408163265306145E-2</v>
      </c>
      <c r="AQ28" s="82">
        <f t="shared" ref="AQ28:AZ28" si="73">AQ27/AL27-1</f>
        <v>7.4626865671641784E-2</v>
      </c>
      <c r="AR28" s="82">
        <f t="shared" si="73"/>
        <v>6.3492063492063489E-2</v>
      </c>
      <c r="AS28" s="83">
        <f t="shared" si="73"/>
        <v>-9.219858156028371E-2</v>
      </c>
      <c r="AT28" s="83">
        <f t="shared" si="73"/>
        <v>-9.3333333333333379E-2</v>
      </c>
      <c r="AU28" s="80">
        <f t="shared" si="73"/>
        <v>-9.3333333333333379E-2</v>
      </c>
      <c r="AV28" s="82">
        <f t="shared" si="73"/>
        <v>-0.11111111111111116</v>
      </c>
      <c r="AW28" s="82">
        <f t="shared" si="73"/>
        <v>-8.9552238805970186E-2</v>
      </c>
      <c r="AX28" s="83">
        <f t="shared" si="73"/>
        <v>9.375E-2</v>
      </c>
      <c r="AY28" s="83">
        <f t="shared" si="73"/>
        <v>0.13970588235294112</v>
      </c>
      <c r="AZ28" s="80">
        <f t="shared" si="73"/>
        <v>0.13970588235294112</v>
      </c>
      <c r="BA28" s="971"/>
      <c r="BB28" s="82"/>
      <c r="BC28" s="82"/>
      <c r="BD28" s="83"/>
      <c r="BE28" s="83"/>
      <c r="BF28" s="80">
        <f t="shared" ref="BF28:BM28" si="74">BF27/BA27-1</f>
        <v>-6.9930069930069894E-2</v>
      </c>
      <c r="BG28" s="82">
        <f t="shared" si="74"/>
        <v>-9.3525179856115082E-2</v>
      </c>
      <c r="BH28" s="82">
        <f t="shared" si="74"/>
        <v>-7.6923076923076872E-2</v>
      </c>
      <c r="BI28" s="83">
        <f t="shared" si="74"/>
        <v>8.9430894308943021E-2</v>
      </c>
      <c r="BJ28" s="83">
        <f t="shared" si="74"/>
        <v>0.16541353383458657</v>
      </c>
      <c r="BK28" s="80">
        <f t="shared" si="74"/>
        <v>0.16541353383458657</v>
      </c>
      <c r="BL28" s="82">
        <f t="shared" si="74"/>
        <v>0.19841269841269837</v>
      </c>
      <c r="BM28" s="82">
        <f t="shared" si="74"/>
        <v>0.27499999999999991</v>
      </c>
      <c r="BN28" s="83"/>
      <c r="BO28" s="83"/>
      <c r="BP28" s="80"/>
      <c r="BQ28" s="971"/>
      <c r="BR28" s="82">
        <f>+BR27/BB27-1</f>
        <v>-9.3525179856115082E-2</v>
      </c>
      <c r="BS28" s="82">
        <f t="shared" ref="BS28" si="75">+BS27/BC27-1</f>
        <v>-7.6923076923076872E-2</v>
      </c>
      <c r="BT28" s="83">
        <f t="shared" ref="BT28" si="76">+BT27/BD27-1</f>
        <v>8.9430894308943021E-2</v>
      </c>
      <c r="BU28" s="83">
        <f t="shared" ref="BU28" si="77">+BU27/BE27-1</f>
        <v>0.16541353383458657</v>
      </c>
      <c r="BV28" s="80">
        <f t="shared" ref="BV28" si="78">+BV27/BF27-1</f>
        <v>0.16541353383458657</v>
      </c>
      <c r="BW28" s="82">
        <f>BW27/BR27-1</f>
        <v>0.19841269841269837</v>
      </c>
      <c r="BX28" s="82">
        <f t="shared" ref="BX28" si="79">BX27/BS27-1</f>
        <v>0.27499999999999991</v>
      </c>
      <c r="BY28" s="83">
        <f t="shared" ref="BY28" si="80">BY27/BT27-1</f>
        <v>8.2089552238805874E-2</v>
      </c>
      <c r="BZ28" s="83">
        <f>BZ27/BU27-1</f>
        <v>-5.1354838709677386E-2</v>
      </c>
      <c r="CA28" s="80">
        <f>CA27/BV27-1</f>
        <v>-5.1354838709677386E-2</v>
      </c>
      <c r="CB28" s="82">
        <f>CB27/BW27-1</f>
        <v>-3.9735099337748325E-2</v>
      </c>
      <c r="CC28" s="82">
        <f>CC27/BX27-1</f>
        <v>-1.9607843137254943E-2</v>
      </c>
      <c r="CD28" s="83">
        <f t="shared" ref="CD28" si="81">CD27/BY27-1</f>
        <v>0.15862068965517251</v>
      </c>
      <c r="CE28" s="83">
        <f>CE27/BZ27-1</f>
        <v>0.21483949945593039</v>
      </c>
      <c r="CF28" s="80">
        <f>CF27/CA27-1</f>
        <v>0.21483949945593039</v>
      </c>
      <c r="CG28" s="82"/>
      <c r="CH28" s="82"/>
      <c r="CI28" s="83"/>
      <c r="CJ28" s="83"/>
      <c r="CK28" s="80"/>
      <c r="CL28" s="82"/>
      <c r="CM28" s="82"/>
      <c r="CN28" s="83"/>
      <c r="CO28" s="83"/>
      <c r="CP28" s="80"/>
      <c r="CQ28" s="103"/>
      <c r="CR28" s="103"/>
      <c r="CS28" s="103"/>
      <c r="CT28" s="105"/>
      <c r="CU28" s="104"/>
      <c r="CV28" s="103"/>
      <c r="CW28" s="103"/>
      <c r="CX28" s="103"/>
      <c r="CY28" s="105"/>
      <c r="CZ28" s="104"/>
      <c r="DA28" s="103"/>
      <c r="DB28" s="103"/>
      <c r="DC28" s="103"/>
      <c r="DD28" s="105"/>
      <c r="DE28" s="104"/>
      <c r="DF28" s="103"/>
      <c r="DG28" s="103"/>
      <c r="DH28" s="103"/>
      <c r="DI28" s="105"/>
      <c r="DJ28" s="104"/>
      <c r="DK28" s="401"/>
      <c r="DL28" s="74"/>
      <c r="DM28" s="809"/>
      <c r="DN28" s="809"/>
      <c r="DO28" s="809"/>
      <c r="DP28" s="1105"/>
      <c r="DQ28" s="1054"/>
      <c r="DR28" s="1054"/>
      <c r="DS28" s="809"/>
      <c r="DT28" s="810"/>
      <c r="DU28" s="810"/>
      <c r="DV28" s="810"/>
      <c r="DW28" s="810"/>
      <c r="DX28" s="810"/>
      <c r="DY28" s="360"/>
      <c r="DZ28" s="167"/>
      <c r="EA28" s="167"/>
      <c r="EB28"/>
      <c r="EC28"/>
      <c r="ED28"/>
      <c r="EE28"/>
      <c r="EF28"/>
      <c r="EG28"/>
    </row>
    <row r="29" spans="1:137" s="398" customFormat="1" ht="12.75" customHeight="1">
      <c r="A29" s="373" t="s">
        <v>121</v>
      </c>
      <c r="B29" s="10"/>
      <c r="C29" s="10"/>
      <c r="D29" s="10"/>
      <c r="E29" s="10"/>
      <c r="F29" s="10"/>
      <c r="G29" s="62"/>
      <c r="H29" s="62"/>
      <c r="I29" s="33"/>
      <c r="J29" s="33"/>
      <c r="K29" s="35"/>
      <c r="L29" s="10"/>
      <c r="M29" s="33"/>
      <c r="N29" s="33"/>
      <c r="O29" s="33"/>
      <c r="P29" s="35"/>
      <c r="Q29" s="62"/>
      <c r="R29" s="62"/>
      <c r="S29" s="33"/>
      <c r="T29" s="33"/>
      <c r="U29" s="35"/>
      <c r="V29" s="10"/>
      <c r="W29" s="33"/>
      <c r="X29" s="372"/>
      <c r="Y29" s="372"/>
      <c r="Z29" s="35"/>
      <c r="AA29" s="10"/>
      <c r="AB29" s="33"/>
      <c r="AC29" s="35">
        <f>AC27-(AB27-AC24)</f>
        <v>1683</v>
      </c>
      <c r="AD29" s="35">
        <f>AD27-(AC27-AD24)</f>
        <v>1592</v>
      </c>
      <c r="AE29" s="35">
        <f>AE27-(AD27-AE24)</f>
        <v>4726</v>
      </c>
      <c r="AF29" s="10"/>
      <c r="AG29" s="35">
        <f>AG27-(AF27-AG24)</f>
        <v>766</v>
      </c>
      <c r="AH29" s="35">
        <f>AH27-(AG27-AH24)</f>
        <v>1943</v>
      </c>
      <c r="AI29" s="35">
        <f>AI27-(AH27-AI24)</f>
        <v>2951</v>
      </c>
      <c r="AJ29" s="35">
        <f>AJ27-(AI27-AJ24)</f>
        <v>2097</v>
      </c>
      <c r="AK29" s="178">
        <f>AK27-(AF27-AK24)</f>
        <v>7757</v>
      </c>
      <c r="AL29" s="35">
        <f>AL27-(AK27-AL24)</f>
        <v>688</v>
      </c>
      <c r="AM29" s="35">
        <f>AM27-(AL27-AM24)</f>
        <v>1243</v>
      </c>
      <c r="AN29" s="35">
        <f>AN27-(AM27-AN24)</f>
        <v>3503</v>
      </c>
      <c r="AO29" s="35">
        <f>AO27-(AN27-AO24)</f>
        <v>2623</v>
      </c>
      <c r="AP29" s="178">
        <f>AP27-(AK27-AP24)</f>
        <v>8057</v>
      </c>
      <c r="AQ29" s="35">
        <f>AQ27-(AP27-AQ24)</f>
        <v>1267</v>
      </c>
      <c r="AR29" s="35">
        <f>AR27-(AQ27-AR24)</f>
        <v>891</v>
      </c>
      <c r="AS29" s="35">
        <f>AS27-(AR27-AS24)</f>
        <v>1308</v>
      </c>
      <c r="AT29" s="35">
        <f>AT27-(AS27-AT24)</f>
        <v>2814</v>
      </c>
      <c r="AU29" s="178">
        <f>AU27-(AP27-AU24)</f>
        <v>6280</v>
      </c>
      <c r="AV29" s="35">
        <f>AV27-(AU27-AV24)</f>
        <v>703</v>
      </c>
      <c r="AW29" s="35">
        <f>AW27-(AV27-AW24)</f>
        <v>1177</v>
      </c>
      <c r="AX29" s="35">
        <f>AX27-(AW27-AX24)</f>
        <v>3738</v>
      </c>
      <c r="AY29" s="35">
        <f>AY27-(AX27-AY24)</f>
        <v>3648</v>
      </c>
      <c r="AZ29" s="178">
        <f>AZ27-(AU27-AZ24)</f>
        <v>9266</v>
      </c>
      <c r="BA29" s="976"/>
      <c r="BB29" s="35">
        <f>BB27-(BA27-BB24)</f>
        <v>1319</v>
      </c>
      <c r="BC29" s="35">
        <f>BC27-(BB27-BC24)</f>
        <v>847</v>
      </c>
      <c r="BD29" s="35">
        <f>BD27-(BC27-BD24)</f>
        <v>1063</v>
      </c>
      <c r="BE29" s="35">
        <f>BE27-(BD27-BE24)</f>
        <v>2863</v>
      </c>
      <c r="BF29" s="178">
        <f>BF27-(BA27-BF24)</f>
        <v>6092</v>
      </c>
      <c r="BG29" s="35">
        <f>BG27-(BF27-BG24)</f>
        <v>683</v>
      </c>
      <c r="BH29" s="35">
        <f>BH27-(BG27-BH24)</f>
        <v>1049</v>
      </c>
      <c r="BI29" s="35">
        <f>BI27-(BH27-BI24)</f>
        <v>3169</v>
      </c>
      <c r="BJ29" s="35">
        <f>BJ27-(BI27-BJ24)</f>
        <v>4069</v>
      </c>
      <c r="BK29" s="178">
        <f>BK27-(BF27-BK24)</f>
        <v>8970</v>
      </c>
      <c r="BL29" s="35">
        <f>BL27-(BK27-BL24)</f>
        <v>1034</v>
      </c>
      <c r="BM29" s="35">
        <f>BM27-(BL27-BM24)</f>
        <v>1880</v>
      </c>
      <c r="BN29" s="35"/>
      <c r="BO29" s="35"/>
      <c r="BP29" s="178"/>
      <c r="BQ29" s="976"/>
      <c r="BR29" s="35">
        <f>BR27-(BF27-BR24)</f>
        <v>683</v>
      </c>
      <c r="BS29" s="35">
        <f>BS27-(BR27-BS24)</f>
        <v>1049</v>
      </c>
      <c r="BT29" s="35">
        <f>BT27-(BS27-BT24)</f>
        <v>3169</v>
      </c>
      <c r="BU29" s="35">
        <f>BU27-(BT27-BU24)</f>
        <v>4069</v>
      </c>
      <c r="BV29" s="178">
        <f>BV27-(CE27-BV24)</f>
        <v>4407</v>
      </c>
      <c r="BW29" s="35">
        <f>BW27-(BV27-BW24)</f>
        <v>1034</v>
      </c>
      <c r="BX29" s="35">
        <f>BX27-(BW27-BX24)</f>
        <v>1880</v>
      </c>
      <c r="BY29" s="35">
        <f>BY27-(BX27-BY24)</f>
        <v>937</v>
      </c>
      <c r="BZ29" s="35">
        <f>BZ27-(BY27-BZ24)</f>
        <v>1961</v>
      </c>
      <c r="CA29" s="178">
        <f>CA27-(BN27-CA24)</f>
        <v>21312</v>
      </c>
      <c r="CB29" s="35">
        <f>CB27-(CA27-CB24)</f>
        <v>1285</v>
      </c>
      <c r="CC29" s="35">
        <f>CC27-(CB27-CC24)</f>
        <v>2137</v>
      </c>
      <c r="CD29" s="35">
        <f>CD27-(CC27-CD24)</f>
        <v>3593</v>
      </c>
      <c r="CE29" s="35">
        <f>CE27-(CD27-CE24)</f>
        <v>3356</v>
      </c>
      <c r="CF29" s="178">
        <f>CF27-(BS27-CF24)</f>
        <v>13075</v>
      </c>
      <c r="CG29" s="35"/>
      <c r="CH29" s="35"/>
      <c r="CI29" s="35"/>
      <c r="CJ29" s="35"/>
      <c r="CK29" s="178"/>
      <c r="CL29" s="35"/>
      <c r="CM29" s="35"/>
      <c r="CN29" s="35"/>
      <c r="CO29" s="35"/>
      <c r="CP29" s="178"/>
      <c r="CQ29" s="55"/>
      <c r="CR29" s="55"/>
      <c r="CS29" s="55"/>
      <c r="CT29" s="58"/>
      <c r="CU29" s="57"/>
      <c r="CV29" s="55"/>
      <c r="CW29" s="55"/>
      <c r="CX29" s="55"/>
      <c r="CY29" s="58"/>
      <c r="CZ29" s="57"/>
      <c r="DA29" s="55"/>
      <c r="DB29" s="55"/>
      <c r="DC29" s="55"/>
      <c r="DD29" s="58"/>
      <c r="DE29" s="57"/>
      <c r="DF29" s="55"/>
      <c r="DG29" s="55"/>
      <c r="DH29" s="55"/>
      <c r="DI29" s="58"/>
      <c r="DJ29" s="57"/>
      <c r="DK29" s="397"/>
      <c r="DL29" s="74"/>
      <c r="DM29" s="809"/>
      <c r="DN29" s="809"/>
      <c r="DO29" s="809"/>
      <c r="DP29" s="1054"/>
      <c r="DQ29" s="1054"/>
      <c r="DR29" s="1054"/>
      <c r="DS29" s="809"/>
      <c r="DT29" s="1089"/>
      <c r="DU29" s="864"/>
      <c r="DV29" s="864"/>
      <c r="DW29" s="864"/>
      <c r="DX29" s="809"/>
      <c r="DY29" s="360"/>
      <c r="DZ29" s="167"/>
      <c r="EA29" s="167"/>
      <c r="EB29"/>
      <c r="EC29"/>
      <c r="ED29"/>
      <c r="EE29"/>
      <c r="EF29"/>
      <c r="EG29"/>
    </row>
    <row r="30" spans="1:137" s="772" customFormat="1" ht="12.75" customHeight="1">
      <c r="A30" s="762" t="s">
        <v>122</v>
      </c>
      <c r="B30" s="763"/>
      <c r="C30" s="764"/>
      <c r="D30" s="764"/>
      <c r="E30" s="764"/>
      <c r="F30" s="764"/>
      <c r="G30" s="764"/>
      <c r="H30" s="765"/>
      <c r="I30" s="765"/>
      <c r="J30" s="765"/>
      <c r="K30" s="765"/>
      <c r="L30" s="764"/>
      <c r="M30" s="765"/>
      <c r="N30" s="765"/>
      <c r="O30" s="765"/>
      <c r="P30" s="765"/>
      <c r="Q30" s="773"/>
      <c r="R30" s="773"/>
      <c r="S30" s="765"/>
      <c r="T30" s="765"/>
      <c r="U30" s="765"/>
      <c r="V30" s="764"/>
      <c r="W30" s="765"/>
      <c r="X30" s="765"/>
      <c r="Y30" s="765"/>
      <c r="Z30" s="765"/>
      <c r="AA30" s="764"/>
      <c r="AB30" s="765"/>
      <c r="AC30" s="765">
        <f>AC29/AC24</f>
        <v>0.84871406959152795</v>
      </c>
      <c r="AD30" s="765">
        <f>AD29/AD24</f>
        <v>0.84143763213530653</v>
      </c>
      <c r="AE30" s="765">
        <f>AE29/AE24</f>
        <v>2.5881708652792992</v>
      </c>
      <c r="AF30" s="764"/>
      <c r="AG30" s="765">
        <f t="shared" ref="AG30:BE30" si="82">AG29/AG24</f>
        <v>0.43374858437146091</v>
      </c>
      <c r="AH30" s="765">
        <f t="shared" si="82"/>
        <v>1.0542593597395551</v>
      </c>
      <c r="AI30" s="765">
        <f t="shared" si="82"/>
        <v>1.5125576627370578</v>
      </c>
      <c r="AJ30" s="765">
        <f t="shared" si="82"/>
        <v>1.1054296257248286</v>
      </c>
      <c r="AK30" s="764">
        <f t="shared" si="82"/>
        <v>1.040230655759689</v>
      </c>
      <c r="AL30" s="765">
        <f t="shared" si="82"/>
        <v>0.34607645875251508</v>
      </c>
      <c r="AM30" s="765">
        <f t="shared" si="82"/>
        <v>0.60841899167890356</v>
      </c>
      <c r="AN30" s="765">
        <f t="shared" si="82"/>
        <v>1.7488766849725412</v>
      </c>
      <c r="AO30" s="765">
        <f t="shared" si="82"/>
        <v>1.522344747533372</v>
      </c>
      <c r="AP30" s="764">
        <f t="shared" si="82"/>
        <v>1.0386747453912595</v>
      </c>
      <c r="AQ30" s="765">
        <f t="shared" si="82"/>
        <v>0.67862881628280669</v>
      </c>
      <c r="AR30" s="765">
        <f t="shared" si="82"/>
        <v>0.47117927022739292</v>
      </c>
      <c r="AS30" s="765">
        <f t="shared" si="82"/>
        <v>0.68553459119496851</v>
      </c>
      <c r="AT30" s="765">
        <f t="shared" si="82"/>
        <v>1.3972194637537239</v>
      </c>
      <c r="AU30" s="764">
        <f t="shared" si="82"/>
        <v>0.81770833333333337</v>
      </c>
      <c r="AV30" s="765">
        <f>AV29/AV24</f>
        <v>0.46773120425815035</v>
      </c>
      <c r="AW30" s="765">
        <f>AW29/AW24</f>
        <v>0.66235227912211592</v>
      </c>
      <c r="AX30" s="765">
        <f>AX29/AX24</f>
        <v>1.9287925696594428</v>
      </c>
      <c r="AY30" s="765">
        <f>AY29/AY24</f>
        <v>1.6983240223463687</v>
      </c>
      <c r="AZ30" s="764">
        <f>AZ29/AZ24</f>
        <v>1.2579418951941352</v>
      </c>
      <c r="BA30" s="980"/>
      <c r="BB30" s="765">
        <f t="shared" si="82"/>
        <v>0.7673065735892961</v>
      </c>
      <c r="BC30" s="765">
        <f t="shared" si="82"/>
        <v>0.48483113909559244</v>
      </c>
      <c r="BD30" s="765">
        <f t="shared" si="82"/>
        <v>0.60294951786727169</v>
      </c>
      <c r="BE30" s="765">
        <f t="shared" si="82"/>
        <v>1.5367686527106816</v>
      </c>
      <c r="BF30" s="764">
        <f t="shared" ref="BF30" si="83">BF29/BF24</f>
        <v>0.85899605188945294</v>
      </c>
      <c r="BG30" s="765">
        <f t="shared" ref="BG30:BJ30" si="84">BG29/BG24</f>
        <v>0.4938539407086045</v>
      </c>
      <c r="BH30" s="765">
        <f t="shared" si="84"/>
        <v>0.63614311704063065</v>
      </c>
      <c r="BI30" s="765">
        <f t="shared" si="84"/>
        <v>1.7914075749010741</v>
      </c>
      <c r="BJ30" s="765">
        <f t="shared" si="84"/>
        <v>2.0665312341289996</v>
      </c>
      <c r="BK30" s="764">
        <f t="shared" ref="BK30:BM30" si="85">BK29/BK24</f>
        <v>1.3249630723781389</v>
      </c>
      <c r="BL30" s="765">
        <f t="shared" si="85"/>
        <v>0.72105997210599726</v>
      </c>
      <c r="BM30" s="765">
        <f t="shared" si="85"/>
        <v>1.1190476190476191</v>
      </c>
      <c r="BN30" s="765"/>
      <c r="BO30" s="765"/>
      <c r="BP30" s="764"/>
      <c r="BQ30" s="980"/>
      <c r="BR30" s="765">
        <f t="shared" ref="BR30:BY30" si="86">BR29/BR24</f>
        <v>0.4938539407086045</v>
      </c>
      <c r="BS30" s="765">
        <f t="shared" si="86"/>
        <v>0.63614311704063065</v>
      </c>
      <c r="BT30" s="765">
        <f t="shared" si="86"/>
        <v>1.7914075749010741</v>
      </c>
      <c r="BU30" s="765">
        <f t="shared" si="86"/>
        <v>2.0665312341289996</v>
      </c>
      <c r="BV30" s="764">
        <f t="shared" si="86"/>
        <v>0.65096011816838995</v>
      </c>
      <c r="BW30" s="765">
        <f t="shared" si="86"/>
        <v>0.72105997210599726</v>
      </c>
      <c r="BX30" s="765">
        <f t="shared" si="86"/>
        <v>1.1190476190476191</v>
      </c>
      <c r="BY30" s="765">
        <f t="shared" si="86"/>
        <v>0.53943580886586073</v>
      </c>
      <c r="BZ30" s="765">
        <f>BZ29/BZ24</f>
        <v>1.116107000569152</v>
      </c>
      <c r="CA30" s="764">
        <f>CA29/CA24</f>
        <v>3.2251815980629539</v>
      </c>
      <c r="CB30" s="765">
        <f t="shared" ref="CB30" si="87">CB29/CB24</f>
        <v>0.86299529885829418</v>
      </c>
      <c r="CC30" s="765">
        <f t="shared" ref="CC30:CD30" si="88">CC29/CC24</f>
        <v>1.3054367745876603</v>
      </c>
      <c r="CD30" s="765">
        <f t="shared" si="88"/>
        <v>2.0039040713887339</v>
      </c>
      <c r="CE30" s="765">
        <f>CE29/CE24</f>
        <v>1.4635848233754907</v>
      </c>
      <c r="CF30" s="764">
        <f>CF29/CF24</f>
        <v>1.8129506378258458</v>
      </c>
      <c r="CG30" s="765"/>
      <c r="CH30" s="765"/>
      <c r="CI30" s="765"/>
      <c r="CJ30" s="765"/>
      <c r="CK30" s="764"/>
      <c r="CL30" s="765"/>
      <c r="CM30" s="765"/>
      <c r="CN30" s="765"/>
      <c r="CO30" s="765"/>
      <c r="CP30" s="764"/>
      <c r="CQ30" s="766"/>
      <c r="CR30" s="766"/>
      <c r="CS30" s="766"/>
      <c r="CT30" s="767"/>
      <c r="CU30" s="763"/>
      <c r="CV30" s="766"/>
      <c r="CW30" s="766"/>
      <c r="CX30" s="766"/>
      <c r="CY30" s="767"/>
      <c r="CZ30" s="763"/>
      <c r="DA30" s="766"/>
      <c r="DB30" s="766"/>
      <c r="DC30" s="766"/>
      <c r="DD30" s="767"/>
      <c r="DE30" s="763"/>
      <c r="DF30" s="766"/>
      <c r="DG30" s="766"/>
      <c r="DH30" s="766"/>
      <c r="DI30" s="767"/>
      <c r="DJ30" s="763"/>
      <c r="DK30" s="768"/>
      <c r="DL30" s="769"/>
      <c r="DM30" s="865"/>
      <c r="DN30" s="865"/>
      <c r="DO30" s="865"/>
      <c r="DP30" s="1081"/>
      <c r="DQ30" s="1081"/>
      <c r="DR30" s="1081"/>
      <c r="DS30" s="1039"/>
      <c r="DT30" s="1039"/>
      <c r="DU30" s="1039"/>
      <c r="DV30" s="1039"/>
      <c r="DW30" s="1039"/>
      <c r="DX30" s="865"/>
      <c r="DY30" s="770"/>
      <c r="DZ30" s="771"/>
      <c r="EA30" s="771"/>
      <c r="EB30"/>
      <c r="EC30"/>
      <c r="ED30"/>
      <c r="EE30"/>
      <c r="EF30"/>
      <c r="EG30"/>
    </row>
    <row r="31" spans="1:137" s="772" customFormat="1" ht="12.75" customHeight="1">
      <c r="A31" s="762" t="s">
        <v>10</v>
      </c>
      <c r="B31" s="763"/>
      <c r="C31" s="764"/>
      <c r="D31" s="764"/>
      <c r="E31" s="764"/>
      <c r="F31" s="764"/>
      <c r="G31" s="764"/>
      <c r="H31" s="765"/>
      <c r="I31" s="765"/>
      <c r="J31" s="765"/>
      <c r="K31" s="765"/>
      <c r="L31" s="764"/>
      <c r="M31" s="765"/>
      <c r="N31" s="765"/>
      <c r="O31" s="765"/>
      <c r="P31" s="765"/>
      <c r="Q31" s="764"/>
      <c r="R31" s="765"/>
      <c r="S31" s="765"/>
      <c r="T31" s="765"/>
      <c r="U31" s="765"/>
      <c r="V31" s="764"/>
      <c r="W31" s="765"/>
      <c r="X31" s="765"/>
      <c r="Y31" s="765"/>
      <c r="Z31" s="765"/>
      <c r="AA31" s="764"/>
      <c r="AB31" s="765"/>
      <c r="AC31" s="765"/>
      <c r="AD31" s="765"/>
      <c r="AE31" s="765"/>
      <c r="AF31" s="764">
        <f>AF27/AF24</f>
        <v>1.9295189602036715</v>
      </c>
      <c r="AG31" s="765"/>
      <c r="AH31" s="765"/>
      <c r="AI31" s="765"/>
      <c r="AJ31" s="765"/>
      <c r="AK31" s="764">
        <f>AK27/AK24</f>
        <v>1.9713021322247553</v>
      </c>
      <c r="AL31" s="765"/>
      <c r="AM31" s="765"/>
      <c r="AN31" s="765"/>
      <c r="AO31" s="765"/>
      <c r="AP31" s="764">
        <f>AP27/AP24</f>
        <v>1.9337372695629753</v>
      </c>
      <c r="AQ31" s="765">
        <f>AQ27/AQ24/4</f>
        <v>1.9282271023031601</v>
      </c>
      <c r="AR31" s="765">
        <f>AR27/AR24/4</f>
        <v>1.7715494447382338</v>
      </c>
      <c r="AS31" s="765"/>
      <c r="AT31" s="765"/>
      <c r="AU31" s="764">
        <f>AU27/AU24</f>
        <v>1.7708333333333333</v>
      </c>
      <c r="AV31" s="765">
        <f>AV27/AV24/4</f>
        <v>2.1290751829673984</v>
      </c>
      <c r="AW31" s="765">
        <f>AW27/AW24/4</f>
        <v>1.7163759144625774</v>
      </c>
      <c r="AX31" s="765">
        <f>AX27/AX24/4</f>
        <v>1.805985552115583</v>
      </c>
      <c r="AY31" s="765">
        <f>AY27/AY24/4</f>
        <v>1.804003724394786</v>
      </c>
      <c r="AZ31" s="764">
        <f>AZ27/AZ24</f>
        <v>2.1042628292153136</v>
      </c>
      <c r="BA31" s="980">
        <f t="shared" ref="BA31" si="89">+BA27/BA24</f>
        <v>2.1044885945548195</v>
      </c>
      <c r="BB31" s="765">
        <f>BB27/BB24/4</f>
        <v>2.0215241419429901</v>
      </c>
      <c r="BC31" s="765">
        <f>BC27/BC24/4</f>
        <v>1.8603319977103605</v>
      </c>
      <c r="BD31" s="765">
        <f>BD27/BD24/4</f>
        <v>1.7441860465116279</v>
      </c>
      <c r="BE31" s="765">
        <f>BE27/BE24/4</f>
        <v>1.7847557702630166</v>
      </c>
      <c r="BF31" s="764">
        <f>BF27/BF24</f>
        <v>1.8753525098702764</v>
      </c>
      <c r="BG31" s="765">
        <f>BG27/BG24/4</f>
        <v>2.2776572668112798</v>
      </c>
      <c r="BH31" s="765">
        <f>BH27/BH24/4</f>
        <v>1.8192844147968465</v>
      </c>
      <c r="BI31" s="765">
        <f>BI27/BI24/4</f>
        <v>1.8937252685132844</v>
      </c>
      <c r="BJ31" s="765">
        <f>BJ27/BJ24/4</f>
        <v>1.96800406297613</v>
      </c>
      <c r="BK31" s="764">
        <f>BK27/BK24</f>
        <v>2.2895125553914326</v>
      </c>
      <c r="BL31" s="765">
        <f>BL27/BL24/4</f>
        <v>2.6324965132496514</v>
      </c>
      <c r="BM31" s="765">
        <f>BM27/BM24/4</f>
        <v>2.2767857142857144</v>
      </c>
      <c r="BN31" s="765"/>
      <c r="BO31" s="765"/>
      <c r="BP31" s="764"/>
      <c r="BQ31" s="980"/>
      <c r="BR31" s="765">
        <f>BR27/BR24/4</f>
        <v>2.2776572668112798</v>
      </c>
      <c r="BS31" s="765">
        <f>BS27/BS24/4</f>
        <v>1.8192844147968465</v>
      </c>
      <c r="BT31" s="765">
        <f>BT27/BT24/4</f>
        <v>1.8937252685132844</v>
      </c>
      <c r="BU31" s="765">
        <f>BU27/BU24/4</f>
        <v>1.96800406297613</v>
      </c>
      <c r="BV31" s="764">
        <f>BV27/BV24</f>
        <v>2.2895125553914326</v>
      </c>
      <c r="BW31" s="765">
        <f>BW27/BW24/4</f>
        <v>2.6324965132496514</v>
      </c>
      <c r="BX31" s="765">
        <f>BX27/BX24/4</f>
        <v>2.2767857142857144</v>
      </c>
      <c r="BY31" s="765">
        <f>BY27/BY24/4</f>
        <v>2.0869314910765686</v>
      </c>
      <c r="BZ31" s="765">
        <f>BZ27/BZ24/4</f>
        <v>2.0922026180990323</v>
      </c>
      <c r="CA31" s="764">
        <f>CA27/CA24</f>
        <v>2.2251815980629539</v>
      </c>
      <c r="CB31" s="765">
        <f>CB27/CB24/4</f>
        <v>2.4345198119543316</v>
      </c>
      <c r="CC31" s="765">
        <f>CC27/CC24/4</f>
        <v>2.2907758094074526</v>
      </c>
      <c r="CD31" s="765">
        <f>CD27/CD24/4</f>
        <v>2.3424428332403791</v>
      </c>
      <c r="CE31" s="765">
        <f>CE27/CE24/4</f>
        <v>1.9475577845617096</v>
      </c>
      <c r="CF31" s="764">
        <f>CF27/CF24</f>
        <v>2.4768441486411534</v>
      </c>
      <c r="CG31" s="765"/>
      <c r="CH31" s="765"/>
      <c r="CI31" s="765"/>
      <c r="CJ31" s="765"/>
      <c r="CK31" s="764"/>
      <c r="CL31" s="765"/>
      <c r="CM31" s="765"/>
      <c r="CN31" s="765"/>
      <c r="CO31" s="765"/>
      <c r="CP31" s="764">
        <f>CP27/CP24</f>
        <v>2.4236358650945982</v>
      </c>
      <c r="CQ31" s="766"/>
      <c r="CR31" s="766"/>
      <c r="CS31" s="766"/>
      <c r="CT31" s="767"/>
      <c r="CU31" s="763"/>
      <c r="CV31" s="766"/>
      <c r="CW31" s="766"/>
      <c r="CX31" s="766"/>
      <c r="CY31" s="767"/>
      <c r="CZ31" s="763"/>
      <c r="DA31" s="766"/>
      <c r="DB31" s="766"/>
      <c r="DC31" s="766"/>
      <c r="DD31" s="767"/>
      <c r="DE31" s="763"/>
      <c r="DF31" s="766"/>
      <c r="DG31" s="766"/>
      <c r="DH31" s="766"/>
      <c r="DI31" s="767"/>
      <c r="DJ31" s="763"/>
      <c r="DK31" s="768"/>
      <c r="DL31" s="769"/>
      <c r="DM31" s="865"/>
      <c r="DN31" s="865"/>
      <c r="DO31" s="865"/>
      <c r="DP31" s="1081"/>
      <c r="DQ31" s="1081"/>
      <c r="DR31" s="1081"/>
      <c r="DS31" s="1242"/>
      <c r="DT31" s="1242"/>
      <c r="DU31" s="1242"/>
      <c r="DV31" s="1039"/>
      <c r="DW31" s="865"/>
      <c r="DX31" s="865"/>
      <c r="DY31" s="770"/>
      <c r="DZ31" s="771"/>
      <c r="EA31" s="771"/>
      <c r="EB31"/>
      <c r="EC31"/>
      <c r="ED31"/>
      <c r="EE31"/>
      <c r="EF31"/>
      <c r="EG31"/>
    </row>
    <row r="32" spans="1:137" s="363" customFormat="1" collapsed="1">
      <c r="A32" s="87" t="s">
        <v>284</v>
      </c>
      <c r="B32" s="89"/>
      <c r="C32" s="89"/>
      <c r="D32" s="89"/>
      <c r="E32" s="89"/>
      <c r="F32" s="89"/>
      <c r="G32" s="89"/>
      <c r="H32" s="88"/>
      <c r="I32" s="87"/>
      <c r="J32" s="87"/>
      <c r="K32" s="88"/>
      <c r="L32" s="89"/>
      <c r="M32" s="87"/>
      <c r="N32" s="87"/>
      <c r="O32" s="87"/>
      <c r="P32" s="88"/>
      <c r="Q32" s="92"/>
      <c r="R32" s="92"/>
      <c r="S32" s="87"/>
      <c r="T32" s="87"/>
      <c r="U32" s="88"/>
      <c r="V32" s="89"/>
      <c r="W32" s="87"/>
      <c r="X32" s="87"/>
      <c r="Y32" s="87"/>
      <c r="Z32" s="88"/>
      <c r="AA32" s="89">
        <v>7443</v>
      </c>
      <c r="AB32" s="94">
        <v>1715</v>
      </c>
      <c r="AC32" s="94">
        <v>1793</v>
      </c>
      <c r="AD32" s="94">
        <v>1766</v>
      </c>
      <c r="AE32" s="90">
        <v>1858</v>
      </c>
      <c r="AF32" s="89">
        <f>SUM(AB32:AE32)</f>
        <v>7132</v>
      </c>
      <c r="AG32" s="90">
        <v>1838</v>
      </c>
      <c r="AH32" s="94">
        <v>2019</v>
      </c>
      <c r="AI32" s="94">
        <v>1862</v>
      </c>
      <c r="AJ32" s="90">
        <v>1860</v>
      </c>
      <c r="AK32" s="89">
        <f>+SUM(AG32:AJ32)</f>
        <v>7579</v>
      </c>
      <c r="AL32" s="87">
        <v>1830</v>
      </c>
      <c r="AM32" s="87">
        <v>1770</v>
      </c>
      <c r="AN32" s="87">
        <v>1698</v>
      </c>
      <c r="AO32" s="87">
        <v>1855</v>
      </c>
      <c r="AP32" s="89">
        <f>SUM(AL32:AO32)</f>
        <v>7153</v>
      </c>
      <c r="AQ32" s="87">
        <v>1628</v>
      </c>
      <c r="AR32" s="87">
        <v>1771</v>
      </c>
      <c r="AS32" s="87">
        <v>1679</v>
      </c>
      <c r="AT32" s="87">
        <f>7147-AS32-AR32-AQ32</f>
        <v>2069</v>
      </c>
      <c r="AU32" s="89">
        <f>SUM(AQ32:AT32)</f>
        <v>7147</v>
      </c>
      <c r="AV32" s="87">
        <v>1651</v>
      </c>
      <c r="AW32" s="87">
        <v>1808</v>
      </c>
      <c r="AX32" s="87">
        <v>1802</v>
      </c>
      <c r="AY32" s="87">
        <f>7697-AX32-AW32-AV32</f>
        <v>2436</v>
      </c>
      <c r="AZ32" s="89">
        <f>SUM(AV32:AY32)</f>
        <v>7697</v>
      </c>
      <c r="BA32" s="89">
        <v>9037</v>
      </c>
      <c r="BB32" s="87">
        <v>2045</v>
      </c>
      <c r="BC32" s="87">
        <v>2175</v>
      </c>
      <c r="BD32" s="87">
        <v>2061</v>
      </c>
      <c r="BE32" s="87">
        <v>2451</v>
      </c>
      <c r="BF32" s="89">
        <v>8732</v>
      </c>
      <c r="BG32" s="87">
        <v>1979</v>
      </c>
      <c r="BH32" s="87">
        <v>2165</v>
      </c>
      <c r="BI32" s="87">
        <v>2162</v>
      </c>
      <c r="BJ32" s="87">
        <v>2785</v>
      </c>
      <c r="BK32" s="89">
        <v>9091</v>
      </c>
      <c r="BL32" s="87">
        <v>3004</v>
      </c>
      <c r="BM32" s="87">
        <v>3303</v>
      </c>
      <c r="BN32" s="87"/>
      <c r="BO32" s="87"/>
      <c r="BP32" s="89"/>
      <c r="BQ32" s="89">
        <v>8732</v>
      </c>
      <c r="BR32" s="87">
        <v>1979</v>
      </c>
      <c r="BS32" s="87">
        <v>2165</v>
      </c>
      <c r="BT32" s="87">
        <v>2162</v>
      </c>
      <c r="BU32" s="87">
        <v>2785</v>
      </c>
      <c r="BV32" s="1246">
        <v>9091</v>
      </c>
      <c r="BW32" s="1249">
        <v>3004</v>
      </c>
      <c r="BX32" s="1249">
        <v>3303</v>
      </c>
      <c r="BY32" s="1249">
        <v>3346</v>
      </c>
      <c r="BZ32" s="1249">
        <v>3809</v>
      </c>
      <c r="CA32" s="1246">
        <f>SUM(BW32:BZ32)</f>
        <v>13462</v>
      </c>
      <c r="CB32" s="1249">
        <v>3101</v>
      </c>
      <c r="CC32" s="1249">
        <v>3410</v>
      </c>
      <c r="CD32" s="1249">
        <v>3353</v>
      </c>
      <c r="CE32" s="1249">
        <v>4351</v>
      </c>
      <c r="CF32" s="1246">
        <f>SUM(CB32:CE32)</f>
        <v>14215</v>
      </c>
      <c r="CG32" s="1249"/>
      <c r="CH32" s="1249"/>
      <c r="CI32" s="1249"/>
      <c r="CJ32" s="1249"/>
      <c r="CK32" s="1246">
        <v>13595</v>
      </c>
      <c r="CL32" s="1249"/>
      <c r="CM32" s="1249"/>
      <c r="CN32" s="1249"/>
      <c r="CO32" s="1249"/>
      <c r="CP32" s="1246">
        <v>13663</v>
      </c>
      <c r="CQ32" s="1243">
        <v>3000</v>
      </c>
      <c r="CR32" s="1243">
        <v>3300</v>
      </c>
      <c r="CS32" s="1243">
        <v>3250</v>
      </c>
      <c r="CT32" s="1244">
        <v>4150</v>
      </c>
      <c r="CU32" s="89">
        <f>+SUM(CQ32:CT32)</f>
        <v>13700</v>
      </c>
      <c r="CV32" s="88"/>
      <c r="CW32" s="88"/>
      <c r="CX32" s="88"/>
      <c r="CY32" s="93"/>
      <c r="CZ32" s="89">
        <f>CU32*(1+CZ33)</f>
        <v>14385</v>
      </c>
      <c r="DA32" s="88"/>
      <c r="DB32" s="88"/>
      <c r="DC32" s="88"/>
      <c r="DD32" s="93"/>
      <c r="DE32" s="89">
        <f>CZ32*(1+DE33)</f>
        <v>15104.25</v>
      </c>
      <c r="DF32" s="88"/>
      <c r="DG32" s="88"/>
      <c r="DH32" s="88"/>
      <c r="DI32" s="93"/>
      <c r="DJ32" s="89">
        <f>DE32*(1+DJ33)</f>
        <v>15859.462500000001</v>
      </c>
      <c r="DK32" s="136"/>
      <c r="DL32" s="356"/>
      <c r="DM32" s="809" t="s">
        <v>393</v>
      </c>
      <c r="DN32" s="1092"/>
      <c r="DO32" s="1122"/>
      <c r="DP32" s="1053"/>
      <c r="DQ32" s="1053"/>
      <c r="DR32" s="1053"/>
      <c r="DS32" s="1242" t="s">
        <v>402</v>
      </c>
      <c r="DT32" s="1242" t="s">
        <v>403</v>
      </c>
      <c r="DU32" s="1242" t="s">
        <v>404</v>
      </c>
      <c r="DV32" s="1039"/>
      <c r="DW32" s="810"/>
      <c r="DX32" s="810"/>
      <c r="DY32" s="356"/>
      <c r="DZ32" s="137"/>
      <c r="EA32" s="137"/>
      <c r="EB32"/>
      <c r="EC32"/>
      <c r="ED32"/>
      <c r="EE32"/>
      <c r="EF32"/>
      <c r="EG32"/>
    </row>
    <row r="33" spans="1:137" s="398" customFormat="1">
      <c r="A33" s="97" t="s">
        <v>53</v>
      </c>
      <c r="B33" s="80"/>
      <c r="C33" s="80"/>
      <c r="D33" s="80"/>
      <c r="E33" s="80"/>
      <c r="F33" s="80"/>
      <c r="G33" s="80"/>
      <c r="H33" s="82"/>
      <c r="I33" s="82"/>
      <c r="J33" s="82"/>
      <c r="K33" s="82"/>
      <c r="L33" s="80"/>
      <c r="M33" s="82"/>
      <c r="N33" s="82"/>
      <c r="O33" s="82"/>
      <c r="P33" s="82"/>
      <c r="Q33" s="85"/>
      <c r="R33" s="85"/>
      <c r="S33" s="82"/>
      <c r="T33" s="82"/>
      <c r="U33" s="83"/>
      <c r="V33" s="80"/>
      <c r="W33" s="83"/>
      <c r="X33" s="82"/>
      <c r="Y33" s="83"/>
      <c r="Z33" s="83"/>
      <c r="AA33" s="84"/>
      <c r="AB33" s="83"/>
      <c r="AC33" s="82"/>
      <c r="AD33" s="82"/>
      <c r="AE33" s="82"/>
      <c r="AF33" s="84"/>
      <c r="AG33" s="83">
        <f t="shared" ref="AG33:AO33" si="90">AG32/AB32-1</f>
        <v>7.1720116618075869E-2</v>
      </c>
      <c r="AH33" s="82">
        <f t="shared" si="90"/>
        <v>0.12604573340769654</v>
      </c>
      <c r="AI33" s="82">
        <f t="shared" si="90"/>
        <v>5.4360135900339834E-2</v>
      </c>
      <c r="AJ33" s="82">
        <f t="shared" si="90"/>
        <v>1.0764262648008671E-3</v>
      </c>
      <c r="AK33" s="80">
        <f t="shared" si="90"/>
        <v>6.2675266404935481E-2</v>
      </c>
      <c r="AL33" s="82">
        <f t="shared" si="90"/>
        <v>-4.3525571273123065E-3</v>
      </c>
      <c r="AM33" s="82">
        <f t="shared" si="90"/>
        <v>-0.12332838038632987</v>
      </c>
      <c r="AN33" s="82">
        <f t="shared" si="90"/>
        <v>-8.8077336197636913E-2</v>
      </c>
      <c r="AO33" s="82">
        <f t="shared" si="90"/>
        <v>-2.6881720430107503E-3</v>
      </c>
      <c r="AP33" s="80">
        <f t="shared" ref="AP33:AZ33" si="91">AP32/AK32-1</f>
        <v>-5.6207943000395777E-2</v>
      </c>
      <c r="AQ33" s="82">
        <f t="shared" si="91"/>
        <v>-0.11038251366120222</v>
      </c>
      <c r="AR33" s="82">
        <f t="shared" si="91"/>
        <v>5.6497175141245748E-4</v>
      </c>
      <c r="AS33" s="82">
        <f t="shared" si="91"/>
        <v>-1.1189634864546494E-2</v>
      </c>
      <c r="AT33" s="82">
        <f t="shared" si="91"/>
        <v>0.11536388140161735</v>
      </c>
      <c r="AU33" s="80">
        <f t="shared" si="91"/>
        <v>-8.3880889137422088E-4</v>
      </c>
      <c r="AV33" s="82">
        <f t="shared" si="91"/>
        <v>1.4127764127764175E-2</v>
      </c>
      <c r="AW33" s="82">
        <f t="shared" si="91"/>
        <v>2.0892151326934005E-2</v>
      </c>
      <c r="AX33" s="82">
        <f t="shared" si="91"/>
        <v>7.3257891602144243E-2</v>
      </c>
      <c r="AY33" s="82">
        <f t="shared" si="91"/>
        <v>0.17738037699371678</v>
      </c>
      <c r="AZ33" s="80">
        <f t="shared" si="91"/>
        <v>7.6955365887785065E-2</v>
      </c>
      <c r="BA33" s="80"/>
      <c r="BB33" s="82"/>
      <c r="BC33" s="82"/>
      <c r="BD33" s="82"/>
      <c r="BE33" s="82"/>
      <c r="BF33" s="80">
        <f t="shared" ref="BF33:BM33" si="92">BF32/BA32-1</f>
        <v>-3.3750138320238987E-2</v>
      </c>
      <c r="BG33" s="82">
        <f t="shared" si="92"/>
        <v>-3.2273838630806795E-2</v>
      </c>
      <c r="BH33" s="82">
        <f t="shared" si="92"/>
        <v>-4.5977011494252595E-3</v>
      </c>
      <c r="BI33" s="82">
        <f t="shared" si="92"/>
        <v>4.9005337214944156E-2</v>
      </c>
      <c r="BJ33" s="82">
        <f t="shared" si="92"/>
        <v>0.13627090983272128</v>
      </c>
      <c r="BK33" s="80">
        <f t="shared" si="92"/>
        <v>4.1113147045350518E-2</v>
      </c>
      <c r="BL33" s="82">
        <f t="shared" si="92"/>
        <v>0.51793835270338562</v>
      </c>
      <c r="BM33" s="82">
        <f t="shared" si="92"/>
        <v>0.52563510392609691</v>
      </c>
      <c r="BN33" s="82"/>
      <c r="BO33" s="82"/>
      <c r="BP33" s="104"/>
      <c r="BQ33" s="80"/>
      <c r="BR33" s="82">
        <f>+BR32/BB32-1</f>
        <v>-3.2273838630806795E-2</v>
      </c>
      <c r="BS33" s="82">
        <f t="shared" ref="BS33" si="93">+BS32/BC32-1</f>
        <v>-4.5977011494252595E-3</v>
      </c>
      <c r="BT33" s="82">
        <f t="shared" ref="BT33" si="94">+BT32/BD32-1</f>
        <v>4.9005337214944156E-2</v>
      </c>
      <c r="BU33" s="82">
        <f t="shared" ref="BU33" si="95">+BU32/BE32-1</f>
        <v>0.13627090983272128</v>
      </c>
      <c r="BV33" s="80">
        <f t="shared" ref="BV33" si="96">+BV32/BF32-1</f>
        <v>4.1113147045350518E-2</v>
      </c>
      <c r="BW33" s="82">
        <f t="shared" ref="BW33:CF33" si="97">BW32/BR32-1</f>
        <v>0.51793835270338562</v>
      </c>
      <c r="BX33" s="82">
        <f t="shared" si="97"/>
        <v>0.52563510392609691</v>
      </c>
      <c r="BY33" s="82">
        <f t="shared" si="97"/>
        <v>0.54764107308048104</v>
      </c>
      <c r="BZ33" s="82">
        <f t="shared" si="97"/>
        <v>0.36768402154398561</v>
      </c>
      <c r="CA33" s="80">
        <f t="shared" si="97"/>
        <v>0.48080519194808047</v>
      </c>
      <c r="CB33" s="82">
        <f t="shared" si="97"/>
        <v>3.2290279627163798E-2</v>
      </c>
      <c r="CC33" s="82">
        <f t="shared" si="97"/>
        <v>3.2394792612776335E-2</v>
      </c>
      <c r="CD33" s="82">
        <f t="shared" si="97"/>
        <v>2.0920502092049986E-3</v>
      </c>
      <c r="CE33" s="82">
        <f t="shared" si="97"/>
        <v>0.14229456550275654</v>
      </c>
      <c r="CF33" s="80">
        <f t="shared" si="97"/>
        <v>5.5935225077997419E-2</v>
      </c>
      <c r="CG33" s="82"/>
      <c r="CH33" s="82"/>
      <c r="CI33" s="82"/>
      <c r="CJ33" s="82"/>
      <c r="CK33" s="80"/>
      <c r="CL33" s="82"/>
      <c r="CM33" s="82"/>
      <c r="CN33" s="82"/>
      <c r="CO33" s="82"/>
      <c r="CP33" s="80">
        <f t="shared" ref="CP33" si="98">CP32/CK32-1</f>
        <v>5.0018389113644091E-3</v>
      </c>
      <c r="CQ33" s="103"/>
      <c r="CR33" s="103"/>
      <c r="CS33" s="103"/>
      <c r="CT33" s="105"/>
      <c r="CU33" s="80">
        <f>CU32/CP32-1</f>
        <v>2.7080436214594883E-3</v>
      </c>
      <c r="CV33" s="103"/>
      <c r="CW33" s="103"/>
      <c r="CX33" s="103"/>
      <c r="CY33" s="105"/>
      <c r="CZ33" s="104">
        <v>0.05</v>
      </c>
      <c r="DA33" s="103"/>
      <c r="DB33" s="103"/>
      <c r="DC33" s="103"/>
      <c r="DD33" s="105"/>
      <c r="DE33" s="104">
        <v>0.05</v>
      </c>
      <c r="DF33" s="103"/>
      <c r="DG33" s="103"/>
      <c r="DH33" s="103"/>
      <c r="DI33" s="105"/>
      <c r="DJ33" s="104">
        <v>0.05</v>
      </c>
      <c r="DK33" s="397"/>
      <c r="DL33" s="74"/>
      <c r="DM33" s="809"/>
      <c r="DN33" s="809"/>
      <c r="DO33" s="809"/>
      <c r="DP33" s="1054"/>
      <c r="DQ33" s="1149"/>
      <c r="DR33" s="1054"/>
      <c r="DS33" s="1150">
        <v>13.3</v>
      </c>
      <c r="DT33" s="1150">
        <f>(DS33+DU33)/2</f>
        <v>13.5</v>
      </c>
      <c r="DU33" s="1150">
        <v>13.7</v>
      </c>
      <c r="DV33" s="1039"/>
      <c r="DW33" s="809"/>
      <c r="DX33" s="809"/>
      <c r="DY33" s="360"/>
      <c r="DZ33" s="167"/>
      <c r="EA33" s="167"/>
      <c r="EB33"/>
      <c r="EC33"/>
      <c r="ED33"/>
      <c r="EE33"/>
      <c r="EF33"/>
      <c r="EG33"/>
    </row>
    <row r="34" spans="1:137" s="398" customFormat="1">
      <c r="A34" s="97" t="s">
        <v>55</v>
      </c>
      <c r="B34" s="80"/>
      <c r="C34" s="80"/>
      <c r="D34" s="80"/>
      <c r="E34" s="80"/>
      <c r="F34" s="80"/>
      <c r="G34" s="80"/>
      <c r="H34" s="82"/>
      <c r="I34" s="82"/>
      <c r="J34" s="82"/>
      <c r="K34" s="82"/>
      <c r="L34" s="80"/>
      <c r="M34" s="82"/>
      <c r="N34" s="82"/>
      <c r="O34" s="82"/>
      <c r="P34" s="82"/>
      <c r="Q34" s="460"/>
      <c r="R34" s="85"/>
      <c r="S34" s="82"/>
      <c r="T34" s="82"/>
      <c r="U34" s="83"/>
      <c r="V34" s="80"/>
      <c r="W34" s="83"/>
      <c r="X34" s="82"/>
      <c r="Y34" s="83"/>
      <c r="Z34" s="83"/>
      <c r="AA34" s="84"/>
      <c r="AB34" s="83" t="str">
        <f>IF(ISERROR(AB32/#REF!),"",AB32/#REF!)</f>
        <v/>
      </c>
      <c r="AC34" s="82" t="str">
        <f>IF(ISERROR(AC32/#REF!),"",AC32/#REF!)</f>
        <v/>
      </c>
      <c r="AD34" s="82" t="str">
        <f>IF(ISERROR(AD32/#REF!),"",AD32/#REF!)</f>
        <v/>
      </c>
      <c r="AE34" s="82" t="str">
        <f>IF(ISERROR(AE32/#REF!),"",AE32/#REF!)</f>
        <v/>
      </c>
      <c r="AF34" s="84" t="str">
        <f>IF(ISERROR(AF32/#REF!),"",AF32/#REF!)</f>
        <v/>
      </c>
      <c r="AG34" s="83">
        <f>AG32/$AG$55</f>
        <v>0.16275568936509341</v>
      </c>
      <c r="AH34" s="82">
        <f t="shared" ref="AH34:BF34" si="99">AH32/AH55</f>
        <v>0.16936498615887929</v>
      </c>
      <c r="AI34" s="82">
        <f t="shared" si="99"/>
        <v>0.15687926531300025</v>
      </c>
      <c r="AJ34" s="82">
        <f t="shared" si="99"/>
        <v>0.1537317133647409</v>
      </c>
      <c r="AK34" s="80">
        <f t="shared" si="99"/>
        <v>0.16063329235725488</v>
      </c>
      <c r="AL34" s="82">
        <f t="shared" si="99"/>
        <v>0.16531165311653118</v>
      </c>
      <c r="AM34" s="82">
        <f t="shared" si="99"/>
        <v>0.15515427769985976</v>
      </c>
      <c r="AN34" s="82">
        <f t="shared" si="99"/>
        <v>0.14964307746540936</v>
      </c>
      <c r="AO34" s="82">
        <f t="shared" si="99"/>
        <v>0.16084279892482442</v>
      </c>
      <c r="AP34" s="80">
        <f t="shared" si="99"/>
        <v>0.15770095683231183</v>
      </c>
      <c r="AQ34" s="82">
        <f t="shared" si="99"/>
        <v>0.15286384976525821</v>
      </c>
      <c r="AR34" s="82">
        <f t="shared" si="99"/>
        <v>0.15664249071289582</v>
      </c>
      <c r="AS34" s="82">
        <f t="shared" si="99"/>
        <v>0.15107072161238078</v>
      </c>
      <c r="AT34" s="82">
        <f t="shared" si="99"/>
        <v>0.16512370311252994</v>
      </c>
      <c r="AU34" s="80">
        <f t="shared" si="99"/>
        <v>0.15673245614035089</v>
      </c>
      <c r="AV34" s="82">
        <f>AV32/AV55</f>
        <v>0.16328750865394126</v>
      </c>
      <c r="AW34" s="82">
        <f>AW32/AW55</f>
        <v>0.15528643820321222</v>
      </c>
      <c r="AX34" s="82">
        <f>AX32/AX55</f>
        <v>0.15722886310095105</v>
      </c>
      <c r="AY34" s="82">
        <f>AY32/AY55</f>
        <v>0.18858868158241077</v>
      </c>
      <c r="AZ34" s="80">
        <f>AZ32/AZ55</f>
        <v>0.16684730772565681</v>
      </c>
      <c r="BA34" s="80">
        <f t="shared" ref="BA34" si="100">BA32/BA55</f>
        <v>0.19923717976983113</v>
      </c>
      <c r="BB34" s="82">
        <f t="shared" si="99"/>
        <v>0.19201877934272302</v>
      </c>
      <c r="BC34" s="82">
        <f t="shared" si="99"/>
        <v>0.19237572970104369</v>
      </c>
      <c r="BD34" s="82">
        <f t="shared" si="99"/>
        <v>0.18544178513586468</v>
      </c>
      <c r="BE34" s="82">
        <f t="shared" si="99"/>
        <v>0.19561053471667997</v>
      </c>
      <c r="BF34" s="80">
        <f t="shared" si="99"/>
        <v>0.19149122807017543</v>
      </c>
      <c r="BG34" s="82">
        <f t="shared" ref="BG34:BJ34" si="101">BG32/BG55</f>
        <v>0.19572742557610523</v>
      </c>
      <c r="BH34" s="82">
        <f t="shared" si="101"/>
        <v>0.18594863866701022</v>
      </c>
      <c r="BI34" s="82">
        <f t="shared" si="101"/>
        <v>0.1886397347526394</v>
      </c>
      <c r="BJ34" s="82">
        <f t="shared" si="101"/>
        <v>0.21560733916544089</v>
      </c>
      <c r="BK34" s="80">
        <f t="shared" ref="BK34:BM34" si="102">BK32/BK55</f>
        <v>0.19706494407352815</v>
      </c>
      <c r="BL34" s="82">
        <f t="shared" si="102"/>
        <v>0.25670825499914546</v>
      </c>
      <c r="BM34" s="82">
        <f t="shared" si="102"/>
        <v>0.25576893294099429</v>
      </c>
      <c r="BN34" s="82"/>
      <c r="BO34" s="82"/>
      <c r="BP34" s="80"/>
      <c r="BQ34" s="80">
        <f t="shared" ref="BQ34" si="103">BQ32/BQ55</f>
        <v>0.21859510338957594</v>
      </c>
      <c r="BR34" s="82">
        <f t="shared" ref="BR34:BY34" si="104">BR32/BR55</f>
        <v>0.22692351794518978</v>
      </c>
      <c r="BS34" s="82">
        <f t="shared" si="104"/>
        <v>0.21152906692721055</v>
      </c>
      <c r="BT34" s="82">
        <f t="shared" si="104"/>
        <v>0.21491053677932406</v>
      </c>
      <c r="BU34" s="82">
        <f t="shared" si="104"/>
        <v>0.24175347222222221</v>
      </c>
      <c r="BV34" s="80">
        <f t="shared" si="104"/>
        <v>0.22426978488257351</v>
      </c>
      <c r="BW34" s="82">
        <f t="shared" si="104"/>
        <v>0.28973765432098764</v>
      </c>
      <c r="BX34" s="82">
        <f t="shared" si="104"/>
        <v>0.28530707437159886</v>
      </c>
      <c r="BY34" s="82">
        <f t="shared" si="104"/>
        <v>0.28967188987966408</v>
      </c>
      <c r="BZ34" s="82">
        <f>BZ32/BZ55</f>
        <v>0.27697789412449098</v>
      </c>
      <c r="CA34" s="80">
        <f>CA32/CA55</f>
        <v>0.28492211310531662</v>
      </c>
      <c r="CB34" s="82">
        <f t="shared" ref="CB34:CD34" si="105">CB32/CB55</f>
        <v>0.28045581984263362</v>
      </c>
      <c r="CC34" s="82">
        <f t="shared" si="105"/>
        <v>0.26882144264879781</v>
      </c>
      <c r="CD34" s="82">
        <f t="shared" si="105"/>
        <v>0.27553619853726685</v>
      </c>
      <c r="CE34" s="82">
        <f>CE32/CE55</f>
        <v>0.28744136883134042</v>
      </c>
      <c r="CF34" s="80">
        <f>CF32/CF55</f>
        <v>0.27846340698950006</v>
      </c>
      <c r="CG34" s="82"/>
      <c r="CH34" s="82"/>
      <c r="CI34" s="82"/>
      <c r="CJ34" s="82"/>
      <c r="CK34" s="80"/>
      <c r="CL34" s="82"/>
      <c r="CM34" s="82"/>
      <c r="CN34" s="82"/>
      <c r="CO34" s="82"/>
      <c r="CP34" s="80">
        <f>CP32/CP55</f>
        <v>0.27339122778933889</v>
      </c>
      <c r="CQ34" s="82"/>
      <c r="CR34" s="82"/>
      <c r="CS34" s="82"/>
      <c r="CT34" s="81"/>
      <c r="CU34" s="80">
        <f>CU32/CU55</f>
        <v>0.26705653021442494</v>
      </c>
      <c r="CV34" s="82"/>
      <c r="CW34" s="82"/>
      <c r="CX34" s="82"/>
      <c r="CY34" s="81"/>
      <c r="CZ34" s="80">
        <f>CZ32/CZ55</f>
        <v>0.26374653930070957</v>
      </c>
      <c r="DA34" s="82"/>
      <c r="DB34" s="82"/>
      <c r="DC34" s="82"/>
      <c r="DD34" s="81"/>
      <c r="DE34" s="80">
        <f>DE32/DE55</f>
        <v>0.26452475911815099</v>
      </c>
      <c r="DF34" s="82"/>
      <c r="DG34" s="82"/>
      <c r="DH34" s="82"/>
      <c r="DI34" s="81"/>
      <c r="DJ34" s="80">
        <f>DJ32/DJ55</f>
        <v>0.26891373341487224</v>
      </c>
      <c r="DK34" s="397"/>
      <c r="DL34" s="74"/>
      <c r="DM34" s="810"/>
      <c r="DN34" s="810"/>
      <c r="DO34" s="809"/>
      <c r="DP34" s="1105"/>
      <c r="DQ34" s="1149"/>
      <c r="DR34" s="1054"/>
      <c r="DS34" s="809"/>
      <c r="DT34" s="809"/>
      <c r="DU34" s="809"/>
      <c r="DV34" s="809"/>
      <c r="DW34" s="809"/>
      <c r="DX34" s="809"/>
      <c r="DY34" s="360"/>
      <c r="DZ34" s="167"/>
      <c r="EA34" s="167"/>
      <c r="EB34"/>
      <c r="EC34"/>
      <c r="ED34"/>
      <c r="EE34"/>
      <c r="EF34"/>
      <c r="EG34"/>
    </row>
    <row r="35" spans="1:137" s="144" customFormat="1" ht="12.75" customHeight="1">
      <c r="A35" s="387" t="s">
        <v>341</v>
      </c>
      <c r="B35" s="374"/>
      <c r="C35" s="374"/>
      <c r="D35" s="374"/>
      <c r="E35" s="374"/>
      <c r="F35" s="374"/>
      <c r="G35" s="374"/>
      <c r="H35" s="387"/>
      <c r="I35" s="387"/>
      <c r="J35" s="387"/>
      <c r="K35" s="387"/>
      <c r="L35" s="374"/>
      <c r="M35" s="387"/>
      <c r="N35" s="387"/>
      <c r="O35" s="387"/>
      <c r="P35" s="387"/>
      <c r="Q35" s="374"/>
      <c r="R35" s="387"/>
      <c r="S35" s="387"/>
      <c r="T35" s="387"/>
      <c r="U35" s="387"/>
      <c r="V35" s="374"/>
      <c r="W35" s="387"/>
      <c r="X35" s="388"/>
      <c r="Y35" s="388"/>
      <c r="Z35" s="387"/>
      <c r="AA35" s="374"/>
      <c r="AB35" s="387">
        <v>10500</v>
      </c>
      <c r="AC35" s="388">
        <v>10400</v>
      </c>
      <c r="AD35" s="387">
        <v>10200</v>
      </c>
      <c r="AE35" s="387">
        <v>10500</v>
      </c>
      <c r="AF35" s="374">
        <f>AE35</f>
        <v>10500</v>
      </c>
      <c r="AG35" s="387">
        <v>10900</v>
      </c>
      <c r="AH35" s="388">
        <v>11000</v>
      </c>
      <c r="AI35" s="387">
        <v>10800</v>
      </c>
      <c r="AJ35" s="387">
        <v>10700</v>
      </c>
      <c r="AK35" s="374">
        <f>AJ35</f>
        <v>10700</v>
      </c>
      <c r="AL35" s="387">
        <v>10800</v>
      </c>
      <c r="AM35" s="387">
        <v>10600</v>
      </c>
      <c r="AN35" s="387">
        <v>10500</v>
      </c>
      <c r="AO35" s="387">
        <v>10800</v>
      </c>
      <c r="AP35" s="374">
        <f>AO35</f>
        <v>10800</v>
      </c>
      <c r="AQ35" s="387">
        <v>10900</v>
      </c>
      <c r="AR35" s="387">
        <v>11600</v>
      </c>
      <c r="AS35" s="387">
        <v>12200</v>
      </c>
      <c r="AT35" s="387">
        <v>11700</v>
      </c>
      <c r="AU35" s="374">
        <f>AT35</f>
        <v>11700</v>
      </c>
      <c r="AV35" s="844">
        <v>12300</v>
      </c>
      <c r="AW35" s="844">
        <v>12300</v>
      </c>
      <c r="AX35" s="844">
        <v>11800</v>
      </c>
      <c r="AY35" s="387">
        <v>30100</v>
      </c>
      <c r="AZ35" s="374">
        <f>AY35</f>
        <v>30100</v>
      </c>
      <c r="BA35" s="374">
        <v>12600</v>
      </c>
      <c r="BB35" s="844">
        <v>12800</v>
      </c>
      <c r="BC35" s="844">
        <v>13300</v>
      </c>
      <c r="BD35" s="844">
        <v>13800</v>
      </c>
      <c r="BE35" s="387">
        <v>13300</v>
      </c>
      <c r="BF35" s="374">
        <v>13300</v>
      </c>
      <c r="BG35" s="844">
        <v>13900</v>
      </c>
      <c r="BH35" s="844">
        <v>13800</v>
      </c>
      <c r="BI35" s="844">
        <v>13200</v>
      </c>
      <c r="BJ35" s="387">
        <v>30100</v>
      </c>
      <c r="BK35" s="374">
        <v>30100</v>
      </c>
      <c r="BL35" s="844">
        <v>29800</v>
      </c>
      <c r="BM35" s="844">
        <v>29500</v>
      </c>
      <c r="BN35" s="844"/>
      <c r="BO35" s="387"/>
      <c r="BP35" s="374"/>
      <c r="BQ35" s="374"/>
      <c r="BR35" s="844">
        <v>13900</v>
      </c>
      <c r="BS35" s="844">
        <v>13800</v>
      </c>
      <c r="BT35" s="844">
        <v>13200</v>
      </c>
      <c r="BU35" s="387">
        <v>30100</v>
      </c>
      <c r="BV35" s="374">
        <v>30100</v>
      </c>
      <c r="BW35" s="844">
        <v>29800</v>
      </c>
      <c r="BX35" s="844">
        <v>29500</v>
      </c>
      <c r="BY35" s="844">
        <v>29200</v>
      </c>
      <c r="BZ35" s="387">
        <v>28430</v>
      </c>
      <c r="CA35" s="374">
        <f>BZ35</f>
        <v>28430</v>
      </c>
      <c r="CB35" s="844">
        <v>27500</v>
      </c>
      <c r="CC35" s="844">
        <v>26700</v>
      </c>
      <c r="CD35" s="844">
        <v>29800</v>
      </c>
      <c r="CE35" s="387">
        <v>28974</v>
      </c>
      <c r="CF35" s="374">
        <f>CE35</f>
        <v>28974</v>
      </c>
      <c r="CG35" s="844"/>
      <c r="CH35" s="844"/>
      <c r="CI35" s="844"/>
      <c r="CJ35" s="387"/>
      <c r="CK35" s="374"/>
      <c r="CL35" s="844"/>
      <c r="CM35" s="844"/>
      <c r="CN35" s="844"/>
      <c r="CO35" s="387"/>
      <c r="CP35" s="374">
        <v>30030</v>
      </c>
      <c r="CQ35" s="387"/>
      <c r="CR35" s="387"/>
      <c r="CS35" s="387"/>
      <c r="CT35" s="391"/>
      <c r="CU35" s="374"/>
      <c r="CV35" s="387"/>
      <c r="CW35" s="387"/>
      <c r="CX35" s="387"/>
      <c r="CY35" s="391"/>
      <c r="CZ35" s="374"/>
      <c r="DA35" s="387"/>
      <c r="DB35" s="387"/>
      <c r="DC35" s="387"/>
      <c r="DD35" s="391"/>
      <c r="DE35" s="374"/>
      <c r="DF35" s="387"/>
      <c r="DG35" s="387"/>
      <c r="DH35" s="387"/>
      <c r="DI35" s="391"/>
      <c r="DJ35" s="374"/>
      <c r="DK35" s="399"/>
      <c r="DL35" s="400"/>
      <c r="DM35" s="810"/>
      <c r="DN35" s="810"/>
      <c r="DO35" s="810"/>
      <c r="DP35" s="1105"/>
      <c r="DQ35" s="1053"/>
      <c r="DR35" s="1053"/>
      <c r="DS35" s="810"/>
      <c r="DT35" s="810"/>
      <c r="DU35" s="810"/>
      <c r="DV35" s="810"/>
      <c r="DW35" s="810"/>
      <c r="DX35" s="810"/>
      <c r="DY35" s="357"/>
      <c r="DZ35" s="143"/>
      <c r="EA35" s="143"/>
      <c r="EB35"/>
      <c r="EC35"/>
      <c r="ED35"/>
      <c r="EE35"/>
      <c r="EF35"/>
      <c r="EG35"/>
    </row>
    <row r="36" spans="1:137" s="398" customFormat="1" ht="12.75" customHeight="1">
      <c r="A36" s="97" t="s">
        <v>53</v>
      </c>
      <c r="B36" s="10"/>
      <c r="C36" s="10"/>
      <c r="D36" s="10"/>
      <c r="E36" s="10"/>
      <c r="F36" s="10"/>
      <c r="G36" s="10"/>
      <c r="H36" s="35"/>
      <c r="I36" s="33"/>
      <c r="J36" s="33"/>
      <c r="K36" s="35"/>
      <c r="L36" s="10"/>
      <c r="M36" s="33"/>
      <c r="N36" s="33"/>
      <c r="O36" s="33"/>
      <c r="P36" s="35"/>
      <c r="Q36" s="10"/>
      <c r="R36" s="33"/>
      <c r="S36" s="33"/>
      <c r="T36" s="33"/>
      <c r="U36" s="35"/>
      <c r="V36" s="10"/>
      <c r="W36" s="33"/>
      <c r="X36" s="372"/>
      <c r="Y36" s="372"/>
      <c r="Z36" s="35"/>
      <c r="AA36" s="10"/>
      <c r="AB36" s="33"/>
      <c r="AC36" s="372"/>
      <c r="AD36" s="33"/>
      <c r="AE36" s="35"/>
      <c r="AF36" s="10"/>
      <c r="AG36" s="83">
        <f t="shared" ref="AG36:AL36" si="106">AG35/AB35-1</f>
        <v>3.8095238095238182E-2</v>
      </c>
      <c r="AH36" s="82">
        <f t="shared" si="106"/>
        <v>5.7692307692307709E-2</v>
      </c>
      <c r="AI36" s="82">
        <f t="shared" si="106"/>
        <v>5.8823529411764719E-2</v>
      </c>
      <c r="AJ36" s="82">
        <f t="shared" si="106"/>
        <v>1.904761904761898E-2</v>
      </c>
      <c r="AK36" s="80">
        <f t="shared" si="106"/>
        <v>1.904761904761898E-2</v>
      </c>
      <c r="AL36" s="82">
        <f t="shared" si="106"/>
        <v>-9.1743119266054496E-3</v>
      </c>
      <c r="AM36" s="82">
        <f t="shared" ref="AM36:AP36" si="107">AM35/AH35-1</f>
        <v>-3.6363636363636376E-2</v>
      </c>
      <c r="AN36" s="83">
        <f t="shared" si="107"/>
        <v>-2.777777777777779E-2</v>
      </c>
      <c r="AO36" s="83">
        <f t="shared" si="107"/>
        <v>9.3457943925232545E-3</v>
      </c>
      <c r="AP36" s="80">
        <f t="shared" si="107"/>
        <v>9.3457943925232545E-3</v>
      </c>
      <c r="AQ36" s="82">
        <f t="shared" ref="AQ36:AZ36" si="108">AQ35/AL35-1</f>
        <v>9.2592592592593004E-3</v>
      </c>
      <c r="AR36" s="82">
        <f t="shared" si="108"/>
        <v>9.4339622641509413E-2</v>
      </c>
      <c r="AS36" s="83">
        <f t="shared" si="108"/>
        <v>0.161904761904762</v>
      </c>
      <c r="AT36" s="83">
        <f t="shared" si="108"/>
        <v>8.3333333333333259E-2</v>
      </c>
      <c r="AU36" s="80">
        <f t="shared" si="108"/>
        <v>8.3333333333333259E-2</v>
      </c>
      <c r="AV36" s="82">
        <f t="shared" si="108"/>
        <v>0.12844036697247696</v>
      </c>
      <c r="AW36" s="82">
        <f t="shared" si="108"/>
        <v>6.0344827586206851E-2</v>
      </c>
      <c r="AX36" s="83">
        <f t="shared" si="108"/>
        <v>-3.2786885245901676E-2</v>
      </c>
      <c r="AY36" s="83">
        <f t="shared" si="108"/>
        <v>1.5726495726495728</v>
      </c>
      <c r="AZ36" s="80">
        <f t="shared" si="108"/>
        <v>1.5726495726495728</v>
      </c>
      <c r="BA36" s="971"/>
      <c r="BB36" s="82"/>
      <c r="BC36" s="82"/>
      <c r="BD36" s="83"/>
      <c r="BE36" s="83"/>
      <c r="BF36" s="80">
        <f t="shared" ref="BF36:BM36" si="109">BF35/BA35-1</f>
        <v>5.555555555555558E-2</v>
      </c>
      <c r="BG36" s="82">
        <f t="shared" si="109"/>
        <v>8.59375E-2</v>
      </c>
      <c r="BH36" s="82">
        <f t="shared" si="109"/>
        <v>3.7593984962406068E-2</v>
      </c>
      <c r="BI36" s="83">
        <f t="shared" si="109"/>
        <v>-4.3478260869565188E-2</v>
      </c>
      <c r="BJ36" s="83">
        <f t="shared" si="109"/>
        <v>1.263157894736842</v>
      </c>
      <c r="BK36" s="80">
        <f t="shared" si="109"/>
        <v>1.263157894736842</v>
      </c>
      <c r="BL36" s="82">
        <f t="shared" si="109"/>
        <v>1.1438848920863309</v>
      </c>
      <c r="BM36" s="82">
        <f t="shared" si="109"/>
        <v>1.13768115942029</v>
      </c>
      <c r="BN36" s="83"/>
      <c r="BO36" s="83"/>
      <c r="BP36" s="80"/>
      <c r="BQ36" s="971"/>
      <c r="BR36" s="82">
        <f>+BR35/BB35-1</f>
        <v>8.59375E-2</v>
      </c>
      <c r="BS36" s="82">
        <f>+BS35/BC35-1</f>
        <v>3.7593984962406068E-2</v>
      </c>
      <c r="BT36" s="83">
        <f>+BT35/BD35-1</f>
        <v>-4.3478260869565188E-2</v>
      </c>
      <c r="BU36" s="83">
        <f>+BU35/BE35-1</f>
        <v>1.263157894736842</v>
      </c>
      <c r="BV36" s="80">
        <f>+BV35/BF35-1</f>
        <v>1.263157894736842</v>
      </c>
      <c r="BW36" s="82">
        <f>BW35/BR35-1</f>
        <v>1.1438848920863309</v>
      </c>
      <c r="BX36" s="82">
        <f t="shared" ref="BX36" si="110">BX35/BS35-1</f>
        <v>1.13768115942029</v>
      </c>
      <c r="BY36" s="83">
        <f t="shared" ref="BY36" si="111">BY35/BT35-1</f>
        <v>1.2121212121212119</v>
      </c>
      <c r="BZ36" s="83">
        <f>BZ35/BU35-1</f>
        <v>-5.5481727574750783E-2</v>
      </c>
      <c r="CA36" s="80">
        <f>CA35/BV35-1</f>
        <v>-5.5481727574750783E-2</v>
      </c>
      <c r="CB36" s="82">
        <f>CB35/BW35-1</f>
        <v>-7.718120805369133E-2</v>
      </c>
      <c r="CC36" s="82">
        <f t="shared" ref="CC36:CD36" si="112">CC35/BX35-1</f>
        <v>-9.4915254237288083E-2</v>
      </c>
      <c r="CD36" s="83">
        <f t="shared" si="112"/>
        <v>2.0547945205479534E-2</v>
      </c>
      <c r="CE36" s="83">
        <f>CE35/BZ35-1</f>
        <v>1.9134716848399513E-2</v>
      </c>
      <c r="CF36" s="80">
        <f>CF35/CA35-1</f>
        <v>1.9134716848399513E-2</v>
      </c>
      <c r="CG36" s="82"/>
      <c r="CH36" s="82"/>
      <c r="CI36" s="83"/>
      <c r="CJ36" s="83"/>
      <c r="CK36" s="80"/>
      <c r="CL36" s="82"/>
      <c r="CM36" s="82"/>
      <c r="CN36" s="83"/>
      <c r="CO36" s="83"/>
      <c r="CP36" s="80"/>
      <c r="CQ36" s="55"/>
      <c r="CR36" s="55"/>
      <c r="CS36" s="55"/>
      <c r="CT36" s="58"/>
      <c r="CU36" s="57"/>
      <c r="CV36" s="55"/>
      <c r="CW36" s="55"/>
      <c r="CX36" s="55"/>
      <c r="CY36" s="58"/>
      <c r="CZ36" s="57"/>
      <c r="DA36" s="55"/>
      <c r="DB36" s="55"/>
      <c r="DC36" s="55"/>
      <c r="DD36" s="58"/>
      <c r="DE36" s="57"/>
      <c r="DF36" s="55"/>
      <c r="DG36" s="55"/>
      <c r="DH36" s="55"/>
      <c r="DI36" s="58"/>
      <c r="DJ36" s="57"/>
      <c r="DK36" s="397"/>
      <c r="DL36" s="74"/>
      <c r="DM36" s="809"/>
      <c r="DN36" s="809"/>
      <c r="DO36" s="809"/>
      <c r="DP36" s="1105"/>
      <c r="DQ36" s="1054"/>
      <c r="DR36" s="1054"/>
      <c r="DS36" s="810"/>
      <c r="DT36" s="810"/>
      <c r="DU36" s="810"/>
      <c r="DV36" s="810"/>
      <c r="DW36" s="809"/>
      <c r="DX36" s="809"/>
      <c r="DY36" s="360"/>
      <c r="DZ36" s="167"/>
      <c r="EA36" s="167"/>
      <c r="EB36"/>
      <c r="EC36"/>
      <c r="ED36"/>
      <c r="EE36"/>
      <c r="EF36"/>
      <c r="EG36"/>
    </row>
    <row r="37" spans="1:137" s="398" customFormat="1" ht="12.75" customHeight="1">
      <c r="A37" s="373" t="s">
        <v>121</v>
      </c>
      <c r="B37" s="10"/>
      <c r="C37" s="10"/>
      <c r="D37" s="10"/>
      <c r="E37" s="10"/>
      <c r="F37" s="10"/>
      <c r="G37" s="10"/>
      <c r="H37" s="35"/>
      <c r="I37" s="33"/>
      <c r="J37" s="33"/>
      <c r="K37" s="35"/>
      <c r="L37" s="10"/>
      <c r="M37" s="33"/>
      <c r="N37" s="33"/>
      <c r="O37" s="33"/>
      <c r="P37" s="35"/>
      <c r="Q37" s="10"/>
      <c r="R37" s="33"/>
      <c r="S37" s="33"/>
      <c r="T37" s="33"/>
      <c r="U37" s="35"/>
      <c r="V37" s="10"/>
      <c r="W37" s="33"/>
      <c r="X37" s="372"/>
      <c r="Y37" s="372"/>
      <c r="Z37" s="35"/>
      <c r="AA37" s="10"/>
      <c r="AB37" s="33"/>
      <c r="AC37" s="35">
        <f>AC35-(AB35-AC32)</f>
        <v>1693</v>
      </c>
      <c r="AD37" s="35">
        <f>AD35-(AC35-AD32)</f>
        <v>1566</v>
      </c>
      <c r="AE37" s="35">
        <f>AE35-(AD35-AE32)</f>
        <v>2158</v>
      </c>
      <c r="AF37" s="10"/>
      <c r="AG37" s="35">
        <f>AG35-(AF35-AG32)</f>
        <v>2238</v>
      </c>
      <c r="AH37" s="35">
        <f>AH35-(AG35-AH32)</f>
        <v>2119</v>
      </c>
      <c r="AI37" s="35">
        <f>AI35-(AH35-AI32)</f>
        <v>1662</v>
      </c>
      <c r="AJ37" s="35">
        <f>AJ35-(AI35-AJ32)</f>
        <v>1760</v>
      </c>
      <c r="AK37" s="178">
        <f>AK35-(AF35-AK32)</f>
        <v>7779</v>
      </c>
      <c r="AL37" s="35">
        <f>AL35-(AK35-AL32)</f>
        <v>1930</v>
      </c>
      <c r="AM37" s="35">
        <f>AM35-(AL35-AM32)</f>
        <v>1570</v>
      </c>
      <c r="AN37" s="35">
        <f>AN35-(AM35-AN32)</f>
        <v>1598</v>
      </c>
      <c r="AO37" s="35">
        <f>AO35-(AN35-AO32)</f>
        <v>2155</v>
      </c>
      <c r="AP37" s="178">
        <f>AP35-(AK35-AP32)</f>
        <v>7253</v>
      </c>
      <c r="AQ37" s="35">
        <f>AQ35-(AP35-AQ32)</f>
        <v>1728</v>
      </c>
      <c r="AR37" s="35">
        <f>AR35-(AQ35-AR32)</f>
        <v>2471</v>
      </c>
      <c r="AS37" s="35">
        <f>AS35-(AR35-AS32)</f>
        <v>2279</v>
      </c>
      <c r="AT37" s="35">
        <f>AT35-(AS35-AT32)</f>
        <v>1569</v>
      </c>
      <c r="AU37" s="178">
        <f>AU35-(AP35-AU32)</f>
        <v>8047</v>
      </c>
      <c r="AV37" s="35">
        <f>AV35-(AU35-AV32)</f>
        <v>2251</v>
      </c>
      <c r="AW37" s="35">
        <f>AW35-(AV35-AW32)</f>
        <v>1808</v>
      </c>
      <c r="AX37" s="35">
        <f>AX35-(AW35-AX32)</f>
        <v>1302</v>
      </c>
      <c r="AY37" s="35">
        <f>AY35-(AX35-AY32)</f>
        <v>20736</v>
      </c>
      <c r="AZ37" s="178">
        <f>AZ35-(AU35-AZ32)</f>
        <v>26097</v>
      </c>
      <c r="BA37" s="976"/>
      <c r="BB37" s="35">
        <f>BB35-(BA35-BB32)</f>
        <v>2245</v>
      </c>
      <c r="BC37" s="35">
        <f>BC35-(BB35-BC32)</f>
        <v>2675</v>
      </c>
      <c r="BD37" s="35">
        <f>BD35-(BC35-BD32)</f>
        <v>2561</v>
      </c>
      <c r="BE37" s="35">
        <f>BE35-(BD35-BE32)</f>
        <v>1951</v>
      </c>
      <c r="BF37" s="178">
        <f>BF35-(BA35-BF32)</f>
        <v>9432</v>
      </c>
      <c r="BG37" s="35">
        <f>BG35-(BF35-BG32)</f>
        <v>2579</v>
      </c>
      <c r="BH37" s="35">
        <f>BH35-(BG35-BH32)</f>
        <v>2065</v>
      </c>
      <c r="BI37" s="35">
        <f>BI35-(BH35-BI32)</f>
        <v>1562</v>
      </c>
      <c r="BJ37" s="35">
        <f>BJ35-(BI35-BJ32)</f>
        <v>19685</v>
      </c>
      <c r="BK37" s="178">
        <f>BK35-(BF35-BK32)</f>
        <v>25891</v>
      </c>
      <c r="BL37" s="35">
        <f>BL35-(BK35-BL32)</f>
        <v>2704</v>
      </c>
      <c r="BM37" s="35">
        <f>BM35-(BL35-BM32)</f>
        <v>3003</v>
      </c>
      <c r="BN37" s="35"/>
      <c r="BO37" s="35"/>
      <c r="BP37" s="178"/>
      <c r="BQ37" s="976"/>
      <c r="BR37" s="35">
        <f>BR35-(BF35-BR32)</f>
        <v>2579</v>
      </c>
      <c r="BS37" s="35">
        <f>BS35-(BR35-BS32)</f>
        <v>2065</v>
      </c>
      <c r="BT37" s="35">
        <f>BT35-(BS35-BT32)</f>
        <v>1562</v>
      </c>
      <c r="BU37" s="35">
        <f>BU35-(BT35-BU32)</f>
        <v>19685</v>
      </c>
      <c r="BV37" s="178">
        <f>BV35-(CE35-BV32)</f>
        <v>10217</v>
      </c>
      <c r="BW37" s="35">
        <f>BW35-(BV35-BW32)</f>
        <v>2704</v>
      </c>
      <c r="BX37" s="35">
        <f>BX35-(BW35-BX32)</f>
        <v>3003</v>
      </c>
      <c r="BY37" s="35">
        <f>BY35-(BX35-BY32)</f>
        <v>3046</v>
      </c>
      <c r="BZ37" s="35">
        <f>BZ35-(BY35-BZ32)</f>
        <v>3039</v>
      </c>
      <c r="CA37" s="178">
        <f>CA35-(BN35-CA32)</f>
        <v>41892</v>
      </c>
      <c r="CB37" s="35">
        <f>CB35-(CA35-CB32)</f>
        <v>2171</v>
      </c>
      <c r="CC37" s="35">
        <f>CC35-(CB35-CC32)</f>
        <v>2610</v>
      </c>
      <c r="CD37" s="35">
        <f>CD35-(CC35-CD32)</f>
        <v>6453</v>
      </c>
      <c r="CE37" s="35">
        <f>CE35-(CD35-CE32)</f>
        <v>3525</v>
      </c>
      <c r="CF37" s="178">
        <f>CF35-(BS35-CF32)</f>
        <v>29389</v>
      </c>
      <c r="CG37" s="35"/>
      <c r="CH37" s="35"/>
      <c r="CI37" s="35"/>
      <c r="CJ37" s="35"/>
      <c r="CK37" s="178"/>
      <c r="CL37" s="35"/>
      <c r="CM37" s="35"/>
      <c r="CN37" s="35"/>
      <c r="CO37" s="35"/>
      <c r="CP37" s="178"/>
      <c r="CQ37" s="55"/>
      <c r="CR37" s="55"/>
      <c r="CS37" s="55"/>
      <c r="CT37" s="58"/>
      <c r="CU37" s="57"/>
      <c r="CV37" s="55"/>
      <c r="CW37" s="55"/>
      <c r="CX37" s="55"/>
      <c r="CY37" s="58"/>
      <c r="CZ37" s="57"/>
      <c r="DA37" s="55"/>
      <c r="DB37" s="55"/>
      <c r="DC37" s="55"/>
      <c r="DD37" s="58"/>
      <c r="DE37" s="57"/>
      <c r="DF37" s="55"/>
      <c r="DG37" s="55"/>
      <c r="DH37" s="55"/>
      <c r="DI37" s="58"/>
      <c r="DJ37" s="57"/>
      <c r="DK37" s="397"/>
      <c r="DL37" s="74"/>
      <c r="DM37" s="809"/>
      <c r="DN37" s="809"/>
      <c r="DO37" s="809"/>
      <c r="DP37" s="1054"/>
      <c r="DQ37" s="1054"/>
      <c r="DR37" s="1054"/>
      <c r="DS37" s="810"/>
      <c r="DT37" s="810"/>
      <c r="DU37" s="810"/>
      <c r="DV37" s="810"/>
      <c r="DW37" s="809"/>
      <c r="DX37" s="809"/>
      <c r="DY37" s="360"/>
      <c r="DZ37" s="167"/>
      <c r="EA37" s="167"/>
      <c r="EB37"/>
      <c r="EC37"/>
      <c r="ED37"/>
      <c r="EE37"/>
      <c r="EF37"/>
      <c r="EG37"/>
    </row>
    <row r="38" spans="1:137" s="772" customFormat="1" ht="12.75" customHeight="1">
      <c r="A38" s="762" t="s">
        <v>122</v>
      </c>
      <c r="B38" s="763"/>
      <c r="C38" s="764"/>
      <c r="D38" s="764"/>
      <c r="E38" s="764"/>
      <c r="F38" s="764"/>
      <c r="G38" s="764"/>
      <c r="H38" s="765"/>
      <c r="I38" s="765"/>
      <c r="J38" s="765"/>
      <c r="K38" s="765"/>
      <c r="L38" s="764"/>
      <c r="M38" s="765"/>
      <c r="N38" s="765"/>
      <c r="O38" s="765"/>
      <c r="P38" s="765"/>
      <c r="Q38" s="764"/>
      <c r="R38" s="765"/>
      <c r="S38" s="765"/>
      <c r="T38" s="765"/>
      <c r="U38" s="765"/>
      <c r="V38" s="764"/>
      <c r="W38" s="765"/>
      <c r="X38" s="765"/>
      <c r="Y38" s="765"/>
      <c r="Z38" s="765"/>
      <c r="AA38" s="764"/>
      <c r="AB38" s="765"/>
      <c r="AC38" s="765">
        <f>AC37/AC32</f>
        <v>0.94422755158951477</v>
      </c>
      <c r="AD38" s="765">
        <f>AD37/AD32</f>
        <v>0.88674971687429216</v>
      </c>
      <c r="AE38" s="765">
        <f>AE37/AE32</f>
        <v>1.1614639397201292</v>
      </c>
      <c r="AF38" s="764"/>
      <c r="AG38" s="765">
        <f t="shared" ref="AG38:BE38" si="113">AG37/AG32</f>
        <v>1.2176278563656149</v>
      </c>
      <c r="AH38" s="765">
        <f t="shared" si="113"/>
        <v>1.0495294700346707</v>
      </c>
      <c r="AI38" s="765">
        <f t="shared" si="113"/>
        <v>0.89258861439312565</v>
      </c>
      <c r="AJ38" s="765">
        <f t="shared" si="113"/>
        <v>0.94623655913978499</v>
      </c>
      <c r="AK38" s="764">
        <f t="shared" si="113"/>
        <v>1.0263887056339887</v>
      </c>
      <c r="AL38" s="765">
        <f t="shared" si="113"/>
        <v>1.0546448087431695</v>
      </c>
      <c r="AM38" s="765">
        <f t="shared" si="113"/>
        <v>0.88700564971751417</v>
      </c>
      <c r="AN38" s="765">
        <f t="shared" si="113"/>
        <v>0.94110718492343937</v>
      </c>
      <c r="AO38" s="765">
        <f t="shared" si="113"/>
        <v>1.1617250673854447</v>
      </c>
      <c r="AP38" s="764">
        <f t="shared" si="113"/>
        <v>1.0139801481895707</v>
      </c>
      <c r="AQ38" s="765">
        <f t="shared" si="113"/>
        <v>1.0614250614250613</v>
      </c>
      <c r="AR38" s="765">
        <f t="shared" si="113"/>
        <v>1.3952569169960474</v>
      </c>
      <c r="AS38" s="765">
        <f t="shared" si="113"/>
        <v>1.3573555687909471</v>
      </c>
      <c r="AT38" s="765">
        <f t="shared" si="113"/>
        <v>0.75833736104398264</v>
      </c>
      <c r="AU38" s="764">
        <f t="shared" si="113"/>
        <v>1.1259269623618302</v>
      </c>
      <c r="AV38" s="765">
        <f>AV37/AV32</f>
        <v>1.3634161114476075</v>
      </c>
      <c r="AW38" s="765">
        <f>AW37/AW32</f>
        <v>1</v>
      </c>
      <c r="AX38" s="765">
        <f>AX37/AX32</f>
        <v>0.72253052164261933</v>
      </c>
      <c r="AY38" s="765">
        <f>AY37/AY32</f>
        <v>8.5123152709359609</v>
      </c>
      <c r="AZ38" s="764">
        <f>AZ37/AZ32</f>
        <v>3.3905417695205924</v>
      </c>
      <c r="BA38" s="980"/>
      <c r="BB38" s="765">
        <f t="shared" si="113"/>
        <v>1.097799511002445</v>
      </c>
      <c r="BC38" s="765">
        <f t="shared" si="113"/>
        <v>1.2298850574712643</v>
      </c>
      <c r="BD38" s="765">
        <f t="shared" si="113"/>
        <v>1.242600679281902</v>
      </c>
      <c r="BE38" s="765">
        <f t="shared" si="113"/>
        <v>0.79600163198694407</v>
      </c>
      <c r="BF38" s="764">
        <f t="shared" ref="BF38" si="114">BF37/BF32</f>
        <v>1.0801649106733853</v>
      </c>
      <c r="BG38" s="765">
        <f t="shared" ref="BG38:BJ38" si="115">BG37/BG32</f>
        <v>1.3031834259727135</v>
      </c>
      <c r="BH38" s="765">
        <f t="shared" si="115"/>
        <v>0.95381062355658197</v>
      </c>
      <c r="BI38" s="765">
        <f t="shared" si="115"/>
        <v>0.72247918593894545</v>
      </c>
      <c r="BJ38" s="765">
        <f t="shared" si="115"/>
        <v>7.0682226211849191</v>
      </c>
      <c r="BK38" s="764">
        <f t="shared" ref="BK38:BM38" si="116">BK37/BK32</f>
        <v>2.8479815201847982</v>
      </c>
      <c r="BL38" s="765">
        <f t="shared" si="116"/>
        <v>0.90013315579227693</v>
      </c>
      <c r="BM38" s="765">
        <f t="shared" si="116"/>
        <v>0.90917347865576748</v>
      </c>
      <c r="BN38" s="765"/>
      <c r="BO38" s="765"/>
      <c r="BP38" s="764"/>
      <c r="BQ38" s="980"/>
      <c r="BR38" s="765">
        <f t="shared" ref="BR38:BY38" si="117">BR37/BR32</f>
        <v>1.3031834259727135</v>
      </c>
      <c r="BS38" s="765">
        <f t="shared" si="117"/>
        <v>0.95381062355658197</v>
      </c>
      <c r="BT38" s="765">
        <f t="shared" si="117"/>
        <v>0.72247918593894545</v>
      </c>
      <c r="BU38" s="765">
        <f t="shared" si="117"/>
        <v>7.0682226211849191</v>
      </c>
      <c r="BV38" s="764">
        <f t="shared" si="117"/>
        <v>1.1238587614123858</v>
      </c>
      <c r="BW38" s="765">
        <f t="shared" si="117"/>
        <v>0.90013315579227693</v>
      </c>
      <c r="BX38" s="765">
        <f t="shared" si="117"/>
        <v>0.90917347865576748</v>
      </c>
      <c r="BY38" s="765">
        <f t="shared" si="117"/>
        <v>0.91034070531978484</v>
      </c>
      <c r="BZ38" s="765">
        <f>BZ37/BZ32</f>
        <v>0.79784720399054865</v>
      </c>
      <c r="CA38" s="764">
        <f>CA37/CA32</f>
        <v>3.1118704501559948</v>
      </c>
      <c r="CB38" s="765">
        <f t="shared" ref="CB38:CD38" si="118">CB37/CB32</f>
        <v>0.70009674298613356</v>
      </c>
      <c r="CC38" s="765">
        <f t="shared" si="118"/>
        <v>0.76539589442815248</v>
      </c>
      <c r="CD38" s="765">
        <f t="shared" si="118"/>
        <v>1.9245451834178349</v>
      </c>
      <c r="CE38" s="765">
        <f>CE37/CE32</f>
        <v>0.8101585842335095</v>
      </c>
      <c r="CF38" s="764">
        <f>CF37/CF32</f>
        <v>2.0674639465353501</v>
      </c>
      <c r="CG38" s="765"/>
      <c r="CH38" s="765"/>
      <c r="CI38" s="765"/>
      <c r="CJ38" s="765"/>
      <c r="CK38" s="764"/>
      <c r="CL38" s="765"/>
      <c r="CM38" s="765"/>
      <c r="CN38" s="765"/>
      <c r="CO38" s="765"/>
      <c r="CP38" s="764"/>
      <c r="CQ38" s="766"/>
      <c r="CR38" s="766"/>
      <c r="CS38" s="766"/>
      <c r="CT38" s="767"/>
      <c r="CU38" s="763"/>
      <c r="CV38" s="766"/>
      <c r="CW38" s="766"/>
      <c r="CX38" s="766"/>
      <c r="CY38" s="767"/>
      <c r="CZ38" s="763"/>
      <c r="DA38" s="766"/>
      <c r="DB38" s="766"/>
      <c r="DC38" s="766"/>
      <c r="DD38" s="767"/>
      <c r="DE38" s="763"/>
      <c r="DF38" s="766"/>
      <c r="DG38" s="766"/>
      <c r="DH38" s="766"/>
      <c r="DI38" s="767"/>
      <c r="DJ38" s="763"/>
      <c r="DK38" s="768"/>
      <c r="DL38" s="769"/>
      <c r="DM38" s="865"/>
      <c r="DN38" s="865"/>
      <c r="DO38" s="865"/>
      <c r="DP38" s="1081"/>
      <c r="DQ38" s="1081"/>
      <c r="DR38" s="1081"/>
      <c r="DS38" s="810"/>
      <c r="DT38" s="810"/>
      <c r="DU38" s="810"/>
      <c r="DV38" s="810"/>
      <c r="DW38" s="865"/>
      <c r="DX38" s="865"/>
      <c r="DY38" s="770"/>
      <c r="DZ38" s="771"/>
      <c r="EA38" s="771"/>
      <c r="EB38"/>
      <c r="EC38"/>
      <c r="ED38"/>
      <c r="EE38"/>
      <c r="EF38"/>
      <c r="EG38"/>
    </row>
    <row r="39" spans="1:137" s="772" customFormat="1" ht="12.75" customHeight="1">
      <c r="A39" s="762" t="s">
        <v>10</v>
      </c>
      <c r="B39" s="763"/>
      <c r="C39" s="764"/>
      <c r="D39" s="764"/>
      <c r="E39" s="764"/>
      <c r="F39" s="764"/>
      <c r="G39" s="764"/>
      <c r="H39" s="765"/>
      <c r="I39" s="765"/>
      <c r="J39" s="765"/>
      <c r="K39" s="765"/>
      <c r="L39" s="764"/>
      <c r="M39" s="765"/>
      <c r="N39" s="765"/>
      <c r="O39" s="765"/>
      <c r="P39" s="765"/>
      <c r="Q39" s="764"/>
      <c r="R39" s="765"/>
      <c r="S39" s="765"/>
      <c r="T39" s="765"/>
      <c r="U39" s="765"/>
      <c r="V39" s="764"/>
      <c r="W39" s="765"/>
      <c r="X39" s="765"/>
      <c r="Y39" s="765"/>
      <c r="Z39" s="765"/>
      <c r="AA39" s="764"/>
      <c r="AB39" s="765">
        <f>AB35/AB32/4</f>
        <v>1.5306122448979591</v>
      </c>
      <c r="AC39" s="765">
        <f>AC35/AC32/4</f>
        <v>1.4500836586726158</v>
      </c>
      <c r="AD39" s="765">
        <f>AD35/AD32/4</f>
        <v>1.4439411098527746</v>
      </c>
      <c r="AE39" s="765">
        <f>AE35/AE32/4</f>
        <v>1.4128094725511302</v>
      </c>
      <c r="AF39" s="764">
        <f>AF35/AF32</f>
        <v>1.4722378014582165</v>
      </c>
      <c r="AG39" s="765">
        <f>AG35/AG32/4</f>
        <v>1.4825897714907508</v>
      </c>
      <c r="AH39" s="765">
        <f>AH35/AH32/4</f>
        <v>1.3620604259534423</v>
      </c>
      <c r="AI39" s="765">
        <f>AI35/AI32/4</f>
        <v>1.4500537056928033</v>
      </c>
      <c r="AJ39" s="765">
        <f>AJ35/AJ32/4</f>
        <v>1.4381720430107527</v>
      </c>
      <c r="AK39" s="764">
        <f>AK35/AK32</f>
        <v>1.411795751418393</v>
      </c>
      <c r="AL39" s="765">
        <f>AL35/AL32/4</f>
        <v>1.4754098360655739</v>
      </c>
      <c r="AM39" s="765">
        <f>AM35/AM32/4</f>
        <v>1.4971751412429379</v>
      </c>
      <c r="AN39" s="765">
        <f>AN35/AN32/4</f>
        <v>1.5459363957597174</v>
      </c>
      <c r="AO39" s="765">
        <f>AO35/AO32/4</f>
        <v>1.4555256064690028</v>
      </c>
      <c r="AP39" s="764">
        <f>AP35/AP32</f>
        <v>1.5098560044736473</v>
      </c>
      <c r="AQ39" s="765">
        <f>AQ35/AQ32/4</f>
        <v>1.6738329238329239</v>
      </c>
      <c r="AR39" s="765">
        <f>AR35/AR32/4</f>
        <v>1.637492941840768</v>
      </c>
      <c r="AS39" s="765">
        <f>AS35/AS32/4</f>
        <v>1.8165574746873139</v>
      </c>
      <c r="AT39" s="765">
        <f>AT35/AT32/4</f>
        <v>1.4137264378927017</v>
      </c>
      <c r="AU39" s="764">
        <f>AU35/AU32</f>
        <v>1.6370505107037918</v>
      </c>
      <c r="AV39" s="765">
        <f>AV35/AV32/4</f>
        <v>1.8625075711689885</v>
      </c>
      <c r="AW39" s="765">
        <f>AW35/AW32/4</f>
        <v>1.7007743362831858</v>
      </c>
      <c r="AX39" s="765">
        <f>AX35/AX32/4</f>
        <v>1.6370699223085461</v>
      </c>
      <c r="AY39" s="765">
        <f>AY35/AY32/4</f>
        <v>3.0890804597701149</v>
      </c>
      <c r="AZ39" s="764">
        <f>AZ35/AZ32</f>
        <v>3.9106145251396649</v>
      </c>
      <c r="BA39" s="980">
        <f t="shared" ref="BA39" si="119">+BA35/BA32</f>
        <v>1.3942680092951201</v>
      </c>
      <c r="BB39" s="765">
        <f>BB35/BB32/4</f>
        <v>1.5647921760391199</v>
      </c>
      <c r="BC39" s="765">
        <f>BC35/BC32/4</f>
        <v>1.5287356321839081</v>
      </c>
      <c r="BD39" s="765">
        <f>BD35/BD32/4</f>
        <v>1.6739446870451238</v>
      </c>
      <c r="BE39" s="765">
        <f>BE35/BE32/4</f>
        <v>1.3565891472868217</v>
      </c>
      <c r="BF39" s="764">
        <f>BF35/BF32</f>
        <v>1.5231333027943197</v>
      </c>
      <c r="BG39" s="765">
        <f>BG35/BG32/4</f>
        <v>1.7559373420919657</v>
      </c>
      <c r="BH39" s="765">
        <f>BH35/BH32/4</f>
        <v>1.5935334872979214</v>
      </c>
      <c r="BI39" s="765">
        <f>BI35/BI32/4</f>
        <v>1.5263644773358003</v>
      </c>
      <c r="BJ39" s="765">
        <f>BJ35/BJ32/4</f>
        <v>2.7019748653500897</v>
      </c>
      <c r="BK39" s="764">
        <f>BK35/BK32</f>
        <v>3.3109668903310965</v>
      </c>
      <c r="BL39" s="765">
        <f>BL35/BL32/4</f>
        <v>2.4800266311584553</v>
      </c>
      <c r="BM39" s="765">
        <f>BM35/BM32/4</f>
        <v>2.2328186497123825</v>
      </c>
      <c r="BN39" s="765"/>
      <c r="BO39" s="765"/>
      <c r="BP39" s="764"/>
      <c r="BQ39" s="980"/>
      <c r="BR39" s="765">
        <f>BR35/BR32/4</f>
        <v>1.7559373420919657</v>
      </c>
      <c r="BS39" s="765">
        <f>BS35/BS32/4</f>
        <v>1.5935334872979214</v>
      </c>
      <c r="BT39" s="765">
        <f>BT35/BT32/4</f>
        <v>1.5263644773358003</v>
      </c>
      <c r="BU39" s="765">
        <f>BU35/BU32/4</f>
        <v>2.7019748653500897</v>
      </c>
      <c r="BV39" s="764">
        <f>BV35/BV32</f>
        <v>3.3109668903310965</v>
      </c>
      <c r="BW39" s="765">
        <f>BW35/BW32/4</f>
        <v>2.4800266311584553</v>
      </c>
      <c r="BX39" s="765">
        <f>BX35/BX32/4</f>
        <v>2.2328186497123825</v>
      </c>
      <c r="BY39" s="765">
        <f>BY35/BY32/4</f>
        <v>2.1817095038852363</v>
      </c>
      <c r="BZ39" s="765">
        <f>BZ35/BZ32/4</f>
        <v>1.865975321606721</v>
      </c>
      <c r="CA39" s="764">
        <f>CA35/CA32</f>
        <v>2.1118704501559948</v>
      </c>
      <c r="CB39" s="765">
        <f>CB35/CB32/4</f>
        <v>2.2170267655594968</v>
      </c>
      <c r="CC39" s="765">
        <f>CC35/CC32/4</f>
        <v>1.9574780058651027</v>
      </c>
      <c r="CD39" s="765">
        <f>CD35/CD32/4</f>
        <v>2.2218908440202805</v>
      </c>
      <c r="CE39" s="765">
        <f>CE35/CE32/4</f>
        <v>1.664789703516433</v>
      </c>
      <c r="CF39" s="764">
        <f>CF35/CF32</f>
        <v>2.038269433696799</v>
      </c>
      <c r="CG39" s="765"/>
      <c r="CH39" s="765"/>
      <c r="CI39" s="765"/>
      <c r="CJ39" s="765"/>
      <c r="CK39" s="764"/>
      <c r="CL39" s="765"/>
      <c r="CM39" s="765"/>
      <c r="CN39" s="765"/>
      <c r="CO39" s="765"/>
      <c r="CP39" s="764">
        <f>CP35/CP32</f>
        <v>2.1979067554709801</v>
      </c>
      <c r="CQ39" s="766"/>
      <c r="CR39" s="766"/>
      <c r="CS39" s="766"/>
      <c r="CT39" s="767"/>
      <c r="CU39" s="763"/>
      <c r="CV39" s="766"/>
      <c r="CW39" s="766"/>
      <c r="CX39" s="766"/>
      <c r="CY39" s="767"/>
      <c r="CZ39" s="763"/>
      <c r="DA39" s="766"/>
      <c r="DB39" s="766"/>
      <c r="DC39" s="766"/>
      <c r="DD39" s="767"/>
      <c r="DE39" s="763"/>
      <c r="DF39" s="766"/>
      <c r="DG39" s="766"/>
      <c r="DH39" s="766"/>
      <c r="DI39" s="767"/>
      <c r="DJ39" s="763"/>
      <c r="DK39" s="768"/>
      <c r="DL39" s="769"/>
      <c r="DM39" s="865"/>
      <c r="DN39" s="865"/>
      <c r="DO39" s="865"/>
      <c r="DP39" s="1081"/>
      <c r="DQ39" s="1081"/>
      <c r="DR39" s="1081"/>
      <c r="DS39" s="1242"/>
      <c r="DT39" s="1242"/>
      <c r="DU39" s="1242"/>
      <c r="DV39" s="810"/>
      <c r="DW39" s="865"/>
      <c r="DX39" s="865"/>
      <c r="DY39" s="770"/>
      <c r="DZ39" s="771"/>
      <c r="EA39" s="771"/>
      <c r="EB39"/>
      <c r="EC39"/>
      <c r="ED39"/>
      <c r="EE39"/>
      <c r="EF39"/>
      <c r="EG39"/>
    </row>
    <row r="40" spans="1:137" s="363" customFormat="1" collapsed="1">
      <c r="A40" s="87" t="s">
        <v>27</v>
      </c>
      <c r="B40" s="91">
        <v>4801</v>
      </c>
      <c r="C40" s="91">
        <v>5287</v>
      </c>
      <c r="D40" s="91">
        <v>6021</v>
      </c>
      <c r="E40" s="91">
        <v>6359</v>
      </c>
      <c r="F40" s="91">
        <v>6820</v>
      </c>
      <c r="G40" s="91">
        <v>7923</v>
      </c>
      <c r="H40" s="90">
        <v>1794</v>
      </c>
      <c r="I40" s="94">
        <v>2068</v>
      </c>
      <c r="J40" s="94">
        <v>2213</v>
      </c>
      <c r="K40" s="90">
        <v>2128</v>
      </c>
      <c r="L40" s="91">
        <f>SUM(H40:K40)</f>
        <v>8203</v>
      </c>
      <c r="M40" s="94">
        <v>1883</v>
      </c>
      <c r="N40" s="94">
        <v>2202</v>
      </c>
      <c r="O40" s="94">
        <v>1908</v>
      </c>
      <c r="P40" s="90">
        <v>2034</v>
      </c>
      <c r="Q40" s="91">
        <f>SUM(M40:P40)</f>
        <v>8027</v>
      </c>
      <c r="R40" s="94">
        <v>1918</v>
      </c>
      <c r="S40" s="94">
        <v>2056</v>
      </c>
      <c r="T40" s="94">
        <v>2073</v>
      </c>
      <c r="U40" s="88">
        <v>2607</v>
      </c>
      <c r="V40" s="91">
        <f>SUM(R40:U40)</f>
        <v>8654</v>
      </c>
      <c r="W40" s="94">
        <v>1913</v>
      </c>
      <c r="X40" s="94">
        <v>2081</v>
      </c>
      <c r="Y40" s="94">
        <v>1968</v>
      </c>
      <c r="Z40" s="90">
        <v>2280</v>
      </c>
      <c r="AA40" s="89">
        <f>SUM(W40:Z40)</f>
        <v>8242</v>
      </c>
      <c r="AB40" s="94">
        <v>1848</v>
      </c>
      <c r="AC40" s="94">
        <v>2016</v>
      </c>
      <c r="AD40" s="94">
        <v>2173</v>
      </c>
      <c r="AE40" s="90">
        <v>2124</v>
      </c>
      <c r="AF40" s="91">
        <f>SUM(AB40:AE40)</f>
        <v>8161</v>
      </c>
      <c r="AG40" s="90">
        <v>1893</v>
      </c>
      <c r="AH40" s="94">
        <v>2388</v>
      </c>
      <c r="AI40" s="94">
        <v>2066</v>
      </c>
      <c r="AJ40" s="90">
        <v>2000</v>
      </c>
      <c r="AK40" s="91">
        <f>+SUM(AG40:AJ40)</f>
        <v>8347</v>
      </c>
      <c r="AL40" s="94">
        <v>1960</v>
      </c>
      <c r="AM40" s="94">
        <v>2087</v>
      </c>
      <c r="AN40" s="87">
        <v>1955</v>
      </c>
      <c r="AO40" s="87">
        <v>1956</v>
      </c>
      <c r="AP40" s="89">
        <f>SUM(AL40:AO40)</f>
        <v>7958</v>
      </c>
      <c r="AQ40" s="94">
        <v>1859</v>
      </c>
      <c r="AR40" s="94">
        <v>1848</v>
      </c>
      <c r="AS40" s="87">
        <v>2034</v>
      </c>
      <c r="AT40" s="87">
        <v>2324</v>
      </c>
      <c r="AU40" s="89">
        <f>SUM(AQ40:AT40)</f>
        <v>8065</v>
      </c>
      <c r="AV40" s="94">
        <v>1954</v>
      </c>
      <c r="AW40" s="94">
        <v>2029</v>
      </c>
      <c r="AX40" s="87">
        <v>1930</v>
      </c>
      <c r="AY40" s="87">
        <f>8041-AX40-AW40-AV40</f>
        <v>2128</v>
      </c>
      <c r="AZ40" s="89">
        <f>SUM(AV40:AY40)</f>
        <v>8041</v>
      </c>
      <c r="BA40" s="89">
        <v>9288</v>
      </c>
      <c r="BB40" s="94">
        <v>2157</v>
      </c>
      <c r="BC40" s="94">
        <v>2150</v>
      </c>
      <c r="BD40" s="87">
        <v>2305</v>
      </c>
      <c r="BE40" s="87">
        <v>2590</v>
      </c>
      <c r="BF40" s="89">
        <v>9202</v>
      </c>
      <c r="BG40" s="94">
        <v>2225</v>
      </c>
      <c r="BH40" s="94">
        <v>2290</v>
      </c>
      <c r="BI40" s="87">
        <v>2208</v>
      </c>
      <c r="BJ40" s="87">
        <v>2382</v>
      </c>
      <c r="BK40" s="89">
        <v>9105</v>
      </c>
      <c r="BL40" s="94">
        <v>2131</v>
      </c>
      <c r="BM40" s="94">
        <v>2219</v>
      </c>
      <c r="BN40" s="87"/>
      <c r="BO40" s="87"/>
      <c r="BP40" s="89"/>
      <c r="BQ40" s="89">
        <v>9202</v>
      </c>
      <c r="BR40" s="94">
        <v>2225</v>
      </c>
      <c r="BS40" s="94">
        <v>2290</v>
      </c>
      <c r="BT40" s="87">
        <v>2208</v>
      </c>
      <c r="BU40" s="87">
        <v>2382</v>
      </c>
      <c r="BV40" s="89">
        <v>9105</v>
      </c>
      <c r="BW40" s="94">
        <v>2131</v>
      </c>
      <c r="BX40" s="94">
        <v>2219</v>
      </c>
      <c r="BY40" s="87">
        <v>2280</v>
      </c>
      <c r="BZ40" s="87">
        <v>2779</v>
      </c>
      <c r="CA40" s="1246">
        <f>SUM(BW40:BZ40)</f>
        <v>9409</v>
      </c>
      <c r="CB40" s="1248">
        <v>2361</v>
      </c>
      <c r="CC40" s="1249">
        <v>2413</v>
      </c>
      <c r="CD40" s="1249">
        <v>2252</v>
      </c>
      <c r="CE40" s="1249">
        <v>2447</v>
      </c>
      <c r="CF40" s="1246">
        <f>SUM(CB40:CE40)</f>
        <v>9473</v>
      </c>
      <c r="CG40" s="1248"/>
      <c r="CH40" s="1248"/>
      <c r="CI40" s="1249"/>
      <c r="CJ40" s="1249"/>
      <c r="CK40" s="1246">
        <v>9618</v>
      </c>
      <c r="CL40" s="1248"/>
      <c r="CM40" s="1249"/>
      <c r="CN40" s="1249"/>
      <c r="CO40" s="1249"/>
      <c r="CP40" s="1246">
        <v>9609</v>
      </c>
      <c r="CQ40" s="1243">
        <v>2300</v>
      </c>
      <c r="CR40" s="1243">
        <v>2300</v>
      </c>
      <c r="CS40" s="1243">
        <v>2100</v>
      </c>
      <c r="CT40" s="1244">
        <v>2300</v>
      </c>
      <c r="CU40" s="89">
        <f>+SUM(CQ40:CT40)</f>
        <v>9000</v>
      </c>
      <c r="CV40" s="88"/>
      <c r="CW40" s="88"/>
      <c r="CX40" s="88"/>
      <c r="CY40" s="93"/>
      <c r="CZ40" s="89">
        <f>CU40*(1+CZ41)</f>
        <v>9450</v>
      </c>
      <c r="DA40" s="88"/>
      <c r="DB40" s="88"/>
      <c r="DC40" s="88"/>
      <c r="DD40" s="93"/>
      <c r="DE40" s="89">
        <f>CZ40*(1+DE41)</f>
        <v>9922.5</v>
      </c>
      <c r="DF40" s="88"/>
      <c r="DG40" s="88"/>
      <c r="DH40" s="88"/>
      <c r="DI40" s="93"/>
      <c r="DJ40" s="89">
        <f>DE40*(1+DJ41)</f>
        <v>10418.625</v>
      </c>
      <c r="DK40" s="136"/>
      <c r="DL40" s="356"/>
      <c r="DM40" s="809" t="s">
        <v>394</v>
      </c>
      <c r="DN40" s="809"/>
      <c r="DO40" s="1122"/>
      <c r="DP40" s="1053"/>
      <c r="DQ40" s="1053"/>
      <c r="DR40" s="1053"/>
      <c r="DS40" s="1242" t="s">
        <v>402</v>
      </c>
      <c r="DT40" s="1242" t="s">
        <v>403</v>
      </c>
      <c r="DU40" s="1242" t="s">
        <v>404</v>
      </c>
      <c r="DV40" s="810"/>
      <c r="DW40" s="810"/>
      <c r="DX40" s="810"/>
      <c r="DY40" s="356"/>
      <c r="DZ40" s="137"/>
      <c r="EA40" s="137"/>
      <c r="EB40"/>
      <c r="EC40"/>
      <c r="ED40"/>
      <c r="EE40"/>
      <c r="EF40"/>
      <c r="EG40"/>
    </row>
    <row r="41" spans="1:137" s="398" customFormat="1">
      <c r="A41" s="97" t="s">
        <v>53</v>
      </c>
      <c r="B41" s="80"/>
      <c r="C41" s="80">
        <f>C40/B40-1</f>
        <v>0.10122891064361594</v>
      </c>
      <c r="D41" s="80">
        <f>D40/C40-1</f>
        <v>0.13883109513902014</v>
      </c>
      <c r="E41" s="80">
        <f>E40/D40-1</f>
        <v>5.6136854343132425E-2</v>
      </c>
      <c r="F41" s="80">
        <f>F40/E40-1</f>
        <v>7.2495675420663597E-2</v>
      </c>
      <c r="G41" s="80">
        <f>G40/F40-1</f>
        <v>0.16173020527859228</v>
      </c>
      <c r="H41" s="82"/>
      <c r="I41" s="82"/>
      <c r="J41" s="82"/>
      <c r="K41" s="82"/>
      <c r="L41" s="80">
        <f t="shared" ref="L41:AL41" si="120">L40/G40-1</f>
        <v>3.5340148933484805E-2</v>
      </c>
      <c r="M41" s="82">
        <f t="shared" si="120"/>
        <v>4.9609810479375627E-2</v>
      </c>
      <c r="N41" s="82">
        <f t="shared" si="120"/>
        <v>6.4796905222437085E-2</v>
      </c>
      <c r="O41" s="82">
        <f t="shared" si="120"/>
        <v>-0.13782196113872569</v>
      </c>
      <c r="P41" s="82">
        <f t="shared" si="120"/>
        <v>-4.4172932330827086E-2</v>
      </c>
      <c r="Q41" s="80">
        <f t="shared" si="120"/>
        <v>-2.145556503718149E-2</v>
      </c>
      <c r="R41" s="82">
        <f t="shared" si="120"/>
        <v>1.8587360594795488E-2</v>
      </c>
      <c r="S41" s="82">
        <f t="shared" si="120"/>
        <v>-6.6303360581289716E-2</v>
      </c>
      <c r="T41" s="82">
        <f t="shared" si="120"/>
        <v>8.6477987421383684E-2</v>
      </c>
      <c r="U41" s="83">
        <f t="shared" si="120"/>
        <v>0.28171091445427732</v>
      </c>
      <c r="V41" s="80">
        <f t="shared" si="120"/>
        <v>7.811137411237068E-2</v>
      </c>
      <c r="W41" s="83">
        <f t="shared" si="120"/>
        <v>-2.6068821689260169E-3</v>
      </c>
      <c r="X41" s="82">
        <f t="shared" si="120"/>
        <v>1.2159533073929918E-2</v>
      </c>
      <c r="Y41" s="83">
        <f t="shared" si="120"/>
        <v>-5.0651230101302458E-2</v>
      </c>
      <c r="Z41" s="83">
        <f t="shared" si="120"/>
        <v>-0.12543153049482159</v>
      </c>
      <c r="AA41" s="84">
        <f t="shared" si="120"/>
        <v>-4.7608042523688443E-2</v>
      </c>
      <c r="AB41" s="83">
        <f t="shared" si="120"/>
        <v>-3.3978044955567221E-2</v>
      </c>
      <c r="AC41" s="82">
        <f t="shared" si="120"/>
        <v>-3.1234983181162912E-2</v>
      </c>
      <c r="AD41" s="82">
        <f t="shared" si="120"/>
        <v>0.10416666666666674</v>
      </c>
      <c r="AE41" s="82">
        <f t="shared" si="120"/>
        <v>-6.8421052631578938E-2</v>
      </c>
      <c r="AF41" s="84">
        <f t="shared" si="120"/>
        <v>-9.8277117204561559E-3</v>
      </c>
      <c r="AG41" s="83">
        <f t="shared" si="120"/>
        <v>2.4350649350649345E-2</v>
      </c>
      <c r="AH41" s="82">
        <f t="shared" si="120"/>
        <v>0.18452380952380953</v>
      </c>
      <c r="AI41" s="82">
        <f t="shared" si="120"/>
        <v>-4.9240681086056171E-2</v>
      </c>
      <c r="AJ41" s="82">
        <f t="shared" si="120"/>
        <v>-5.8380414312617757E-2</v>
      </c>
      <c r="AK41" s="80">
        <f t="shared" si="120"/>
        <v>2.279132459257438E-2</v>
      </c>
      <c r="AL41" s="82">
        <f t="shared" si="120"/>
        <v>3.5393555203380833E-2</v>
      </c>
      <c r="AM41" s="82">
        <f t="shared" ref="AM41:AP41" si="121">AM40/AH40-1</f>
        <v>-0.12604690117252937</v>
      </c>
      <c r="AN41" s="82">
        <f t="shared" si="121"/>
        <v>-5.3727008712487923E-2</v>
      </c>
      <c r="AO41" s="82">
        <f t="shared" si="121"/>
        <v>-2.200000000000002E-2</v>
      </c>
      <c r="AP41" s="80">
        <f t="shared" si="121"/>
        <v>-4.6603570144962303E-2</v>
      </c>
      <c r="AQ41" s="82">
        <f t="shared" ref="AQ41:AZ41" si="122">AQ40/AL40-1</f>
        <v>-5.1530612244897966E-2</v>
      </c>
      <c r="AR41" s="82">
        <f t="shared" si="122"/>
        <v>-0.11451844753234308</v>
      </c>
      <c r="AS41" s="82">
        <f t="shared" si="122"/>
        <v>4.0409207161125282E-2</v>
      </c>
      <c r="AT41" s="82">
        <f t="shared" si="122"/>
        <v>0.18813905930470343</v>
      </c>
      <c r="AU41" s="80">
        <f t="shared" si="122"/>
        <v>1.3445589344056375E-2</v>
      </c>
      <c r="AV41" s="82">
        <f t="shared" si="122"/>
        <v>5.1102743410435636E-2</v>
      </c>
      <c r="AW41" s="82">
        <f t="shared" si="122"/>
        <v>9.7943722943722999E-2</v>
      </c>
      <c r="AX41" s="82">
        <f t="shared" si="122"/>
        <v>-5.1130776794493626E-2</v>
      </c>
      <c r="AY41" s="82">
        <f t="shared" si="122"/>
        <v>-8.4337349397590411E-2</v>
      </c>
      <c r="AZ41" s="80">
        <f t="shared" si="122"/>
        <v>-2.9758214507129566E-3</v>
      </c>
      <c r="BA41" s="80"/>
      <c r="BB41" s="82"/>
      <c r="BC41" s="82"/>
      <c r="BD41" s="82"/>
      <c r="BE41" s="82"/>
      <c r="BF41" s="80">
        <f t="shared" ref="BF41:BM41" si="123">BF40/BA40-1</f>
        <v>-9.2592592592593004E-3</v>
      </c>
      <c r="BG41" s="82">
        <f t="shared" si="123"/>
        <v>3.1525266573945387E-2</v>
      </c>
      <c r="BH41" s="82">
        <f t="shared" si="123"/>
        <v>6.5116279069767469E-2</v>
      </c>
      <c r="BI41" s="82">
        <f t="shared" si="123"/>
        <v>-4.2082429501084651E-2</v>
      </c>
      <c r="BJ41" s="82">
        <f t="shared" si="123"/>
        <v>-8.0308880308880282E-2</v>
      </c>
      <c r="BK41" s="80">
        <f t="shared" si="123"/>
        <v>-1.0541186698543759E-2</v>
      </c>
      <c r="BL41" s="82">
        <f t="shared" si="123"/>
        <v>-4.2247191011235974E-2</v>
      </c>
      <c r="BM41" s="82">
        <f t="shared" si="123"/>
        <v>-3.1004366812227069E-2</v>
      </c>
      <c r="BN41" s="82"/>
      <c r="BO41" s="82"/>
      <c r="BP41" s="104"/>
      <c r="BQ41" s="80"/>
      <c r="BR41" s="82">
        <f>+BR40/BB40-1</f>
        <v>3.1525266573945387E-2</v>
      </c>
      <c r="BS41" s="82">
        <f t="shared" ref="BS41" si="124">+BS40/BC40-1</f>
        <v>6.5116279069767469E-2</v>
      </c>
      <c r="BT41" s="82">
        <f t="shared" ref="BT41" si="125">+BT40/BD40-1</f>
        <v>-4.2082429501084651E-2</v>
      </c>
      <c r="BU41" s="82">
        <f t="shared" ref="BU41" si="126">+BU40/BE40-1</f>
        <v>-8.0308880308880282E-2</v>
      </c>
      <c r="BV41" s="80">
        <f t="shared" ref="BV41" si="127">+BV40/BF40-1</f>
        <v>-1.0541186698543759E-2</v>
      </c>
      <c r="BW41" s="82">
        <f>BW40/BR40-1</f>
        <v>-4.2247191011235974E-2</v>
      </c>
      <c r="BX41" s="82">
        <f t="shared" ref="BX41:CD41" si="128">BX40/BS40-1</f>
        <v>-3.1004366812227069E-2</v>
      </c>
      <c r="BY41" s="82">
        <f t="shared" si="128"/>
        <v>3.2608695652173836E-2</v>
      </c>
      <c r="BZ41" s="82">
        <f>BZ40/BU40-1</f>
        <v>0.16666666666666674</v>
      </c>
      <c r="CA41" s="80">
        <f>CA40/BV40-1</f>
        <v>3.3388248215266314E-2</v>
      </c>
      <c r="CB41" s="82">
        <f>CB40/BW40-1</f>
        <v>0.10793054903801025</v>
      </c>
      <c r="CC41" s="82">
        <f t="shared" si="128"/>
        <v>8.7426768814781397E-2</v>
      </c>
      <c r="CD41" s="82">
        <f t="shared" si="128"/>
        <v>-1.2280701754386003E-2</v>
      </c>
      <c r="CE41" s="82">
        <f>CE40/BZ40-1</f>
        <v>-0.11946743432889528</v>
      </c>
      <c r="CF41" s="80">
        <f>CF40/CA40-1</f>
        <v>6.8019980869380436E-3</v>
      </c>
      <c r="CG41" s="82"/>
      <c r="CH41" s="82"/>
      <c r="CI41" s="82"/>
      <c r="CJ41" s="82"/>
      <c r="CK41" s="80"/>
      <c r="CL41" s="82"/>
      <c r="CM41" s="82"/>
      <c r="CN41" s="82"/>
      <c r="CO41" s="82"/>
      <c r="CP41" s="80">
        <f>CP40/CK40-1</f>
        <v>-9.3574547723018764E-4</v>
      </c>
      <c r="CQ41" s="103"/>
      <c r="CR41" s="103"/>
      <c r="CS41" s="103"/>
      <c r="CT41" s="105"/>
      <c r="CU41" s="80">
        <f>CU40/CP40-1</f>
        <v>-6.3378083047143319E-2</v>
      </c>
      <c r="CV41" s="103"/>
      <c r="CW41" s="103"/>
      <c r="CX41" s="103"/>
      <c r="CY41" s="105"/>
      <c r="CZ41" s="104">
        <v>0.05</v>
      </c>
      <c r="DA41" s="103"/>
      <c r="DB41" s="103"/>
      <c r="DC41" s="103"/>
      <c r="DD41" s="105"/>
      <c r="DE41" s="104">
        <v>0.05</v>
      </c>
      <c r="DF41" s="103"/>
      <c r="DG41" s="103"/>
      <c r="DH41" s="103"/>
      <c r="DI41" s="105"/>
      <c r="DJ41" s="104">
        <v>0.05</v>
      </c>
      <c r="DK41" s="397"/>
      <c r="DL41" s="74"/>
      <c r="DM41" s="809"/>
      <c r="DN41" s="1092"/>
      <c r="DO41" s="809"/>
      <c r="DP41" s="1054"/>
      <c r="DQ41" s="1054"/>
      <c r="DR41" s="1054"/>
      <c r="DS41" s="1150">
        <v>8.85</v>
      </c>
      <c r="DT41" s="1150">
        <f>(DS41+DU41)/2</f>
        <v>9</v>
      </c>
      <c r="DU41" s="1150">
        <v>9.15</v>
      </c>
      <c r="DV41" s="810"/>
      <c r="DW41" s="809"/>
      <c r="DX41" s="809"/>
      <c r="DY41" s="360"/>
      <c r="DZ41" s="167"/>
      <c r="EA41" s="167"/>
      <c r="EB41"/>
      <c r="EC41"/>
      <c r="ED41"/>
      <c r="EE41"/>
      <c r="EF41"/>
      <c r="EG41"/>
    </row>
    <row r="42" spans="1:137" s="398" customFormat="1">
      <c r="A42" s="97" t="s">
        <v>55</v>
      </c>
      <c r="B42" s="80">
        <f t="shared" ref="B42:AG42" si="129">IF(ISERROR(B40/B$55),"",B40/B$55)</f>
        <v>0.20030874499332443</v>
      </c>
      <c r="C42" s="80">
        <f t="shared" si="129"/>
        <v>0.19904374670582034</v>
      </c>
      <c r="D42" s="80">
        <f t="shared" si="129"/>
        <v>0.18929200201207244</v>
      </c>
      <c r="E42" s="80">
        <f t="shared" si="129"/>
        <v>0.17899566514665316</v>
      </c>
      <c r="F42" s="80">
        <f t="shared" si="129"/>
        <v>0.18326928761454331</v>
      </c>
      <c r="G42" s="80">
        <f t="shared" si="129"/>
        <v>0.19997476022211005</v>
      </c>
      <c r="H42" s="82">
        <f t="shared" si="129"/>
        <v>0.19342318059299191</v>
      </c>
      <c r="I42" s="82">
        <f t="shared" si="129"/>
        <v>0.19416017275373204</v>
      </c>
      <c r="J42" s="82">
        <f t="shared" si="129"/>
        <v>0.19945921586300136</v>
      </c>
      <c r="K42" s="82">
        <f t="shared" si="129"/>
        <v>0.19629185499492666</v>
      </c>
      <c r="L42" s="80">
        <f t="shared" si="129"/>
        <v>0.1959533705986336</v>
      </c>
      <c r="M42" s="82">
        <f t="shared" si="129"/>
        <v>0.18862065511369328</v>
      </c>
      <c r="N42" s="82">
        <f t="shared" si="129"/>
        <v>0.19947459008968205</v>
      </c>
      <c r="O42" s="82">
        <f t="shared" si="129"/>
        <v>0.1803914153351612</v>
      </c>
      <c r="P42" s="82">
        <f t="shared" si="129"/>
        <v>0.18271649299317283</v>
      </c>
      <c r="Q42" s="80">
        <f t="shared" si="129"/>
        <v>0.18784957056937587</v>
      </c>
      <c r="R42" s="82">
        <f t="shared" si="129"/>
        <v>0.18490311385327293</v>
      </c>
      <c r="S42" s="82">
        <f t="shared" si="129"/>
        <v>0.18569364161849711</v>
      </c>
      <c r="T42" s="82">
        <f t="shared" si="129"/>
        <v>0.19253273892449149</v>
      </c>
      <c r="U42" s="83">
        <f t="shared" si="129"/>
        <v>0.21363599114971729</v>
      </c>
      <c r="V42" s="80">
        <f t="shared" si="129"/>
        <v>0.19484408420578633</v>
      </c>
      <c r="W42" s="83">
        <f t="shared" si="129"/>
        <v>0.18506336461255685</v>
      </c>
      <c r="X42" s="82">
        <f t="shared" si="129"/>
        <v>0.18448581560283689</v>
      </c>
      <c r="Y42" s="83">
        <f t="shared" si="129"/>
        <v>0.17349907431896325</v>
      </c>
      <c r="Z42" s="83">
        <f t="shared" si="129"/>
        <v>0.17866938327717263</v>
      </c>
      <c r="AA42" s="84">
        <f t="shared" si="129"/>
        <v>0.18026727324424224</v>
      </c>
      <c r="AB42" s="83">
        <f t="shared" si="129"/>
        <v>0.17391304347826086</v>
      </c>
      <c r="AC42" s="82">
        <f t="shared" si="129"/>
        <v>0.17465130382049726</v>
      </c>
      <c r="AD42" s="82">
        <f t="shared" si="129"/>
        <v>0.17930522320323458</v>
      </c>
      <c r="AE42" s="82">
        <f t="shared" si="129"/>
        <v>0.17394152813037425</v>
      </c>
      <c r="AF42" s="84">
        <f t="shared" si="129"/>
        <v>0.17550915073442439</v>
      </c>
      <c r="AG42" s="83">
        <f t="shared" si="129"/>
        <v>0.16762596298592047</v>
      </c>
      <c r="AH42" s="82">
        <f t="shared" ref="AH42:BF42" si="130">IF(ISERROR(AH40/AH$55),"",AH40/AH$55)</f>
        <v>0.2003187652042614</v>
      </c>
      <c r="AI42" s="82">
        <f t="shared" si="130"/>
        <v>0.17406689695846322</v>
      </c>
      <c r="AJ42" s="82">
        <f t="shared" si="130"/>
        <v>0.16530291759649557</v>
      </c>
      <c r="AK42" s="80">
        <f t="shared" si="130"/>
        <v>0.1769106862786656</v>
      </c>
      <c r="AL42" s="82">
        <f t="shared" si="130"/>
        <v>0.17705510388437218</v>
      </c>
      <c r="AM42" s="82">
        <f t="shared" si="130"/>
        <v>0.18294179523141654</v>
      </c>
      <c r="AN42" s="82">
        <f t="shared" si="130"/>
        <v>0.17229223583325989</v>
      </c>
      <c r="AO42" s="82">
        <f t="shared" si="130"/>
        <v>0.1696002774646666</v>
      </c>
      <c r="AP42" s="80">
        <f t="shared" si="130"/>
        <v>0.1754486529388421</v>
      </c>
      <c r="AQ42" s="82">
        <f t="shared" si="130"/>
        <v>0.17455399061032864</v>
      </c>
      <c r="AR42" s="82">
        <f t="shared" si="130"/>
        <v>0.16345303378736953</v>
      </c>
      <c r="AS42" s="82">
        <f t="shared" si="130"/>
        <v>0.18301241677163937</v>
      </c>
      <c r="AT42" s="82">
        <f t="shared" si="130"/>
        <v>0.18547486033519553</v>
      </c>
      <c r="AU42" s="80">
        <f t="shared" si="130"/>
        <v>0.17686403508771931</v>
      </c>
      <c r="AV42" s="82">
        <f t="shared" ref="AV42:BA42" si="131">IF(ISERROR(AV40/AV$55),"",AV40/AV$55)</f>
        <v>0.19325487093264762</v>
      </c>
      <c r="AW42" s="82">
        <f t="shared" si="131"/>
        <v>0.17426780039508719</v>
      </c>
      <c r="AX42" s="82">
        <f t="shared" si="131"/>
        <v>0.16839717302155136</v>
      </c>
      <c r="AY42" s="82">
        <f t="shared" si="131"/>
        <v>0.16474413563520943</v>
      </c>
      <c r="AZ42" s="80">
        <f t="shared" si="131"/>
        <v>0.17430417064076997</v>
      </c>
      <c r="BA42" s="80">
        <f t="shared" si="131"/>
        <v>0.20477093346267472</v>
      </c>
      <c r="BB42" s="82">
        <f t="shared" si="130"/>
        <v>0.20253521126760562</v>
      </c>
      <c r="BC42" s="82">
        <f t="shared" si="130"/>
        <v>0.19016451441712365</v>
      </c>
      <c r="BD42" s="82">
        <f t="shared" si="130"/>
        <v>0.20739607701997481</v>
      </c>
      <c r="BE42" s="82">
        <f t="shared" si="130"/>
        <v>0.20670391061452514</v>
      </c>
      <c r="BF42" s="80">
        <f t="shared" si="130"/>
        <v>0.20179824561403509</v>
      </c>
      <c r="BG42" s="82">
        <f t="shared" ref="BG42:BJ42" si="132">IF(ISERROR(BG40/BG$55),"",BG40/BG$55)</f>
        <v>0.22005736326772821</v>
      </c>
      <c r="BH42" s="82">
        <f t="shared" si="132"/>
        <v>0.19668470325517479</v>
      </c>
      <c r="BI42" s="82">
        <f t="shared" si="132"/>
        <v>0.19265334613035512</v>
      </c>
      <c r="BJ42" s="82">
        <f t="shared" si="132"/>
        <v>0.1844081443059534</v>
      </c>
      <c r="BK42" s="80">
        <f t="shared" ref="BK42:BM42" si="133">IF(ISERROR(BK40/BK$55),"",BK40/BK$55)</f>
        <v>0.19736842105263158</v>
      </c>
      <c r="BL42" s="82">
        <f t="shared" si="133"/>
        <v>0.1821056229704324</v>
      </c>
      <c r="BM42" s="82">
        <f t="shared" si="133"/>
        <v>0.17182902276599041</v>
      </c>
      <c r="BN42" s="82"/>
      <c r="BO42" s="82"/>
      <c r="BP42" s="80"/>
      <c r="BQ42" s="80">
        <f>IF(ISERROR(BQ40/BQ$55),"",BQ40/BQ$55)</f>
        <v>0.23036098733289942</v>
      </c>
      <c r="BR42" s="82">
        <f t="shared" ref="BR42:BY42" si="134">IF(ISERROR(BR40/BR$55),"",BR40/BR$55)</f>
        <v>0.25513129228299508</v>
      </c>
      <c r="BS42" s="82">
        <f t="shared" si="134"/>
        <v>0.22374206155349291</v>
      </c>
      <c r="BT42" s="82">
        <f t="shared" si="134"/>
        <v>0.21948310139165009</v>
      </c>
      <c r="BU42" s="82">
        <f t="shared" si="134"/>
        <v>0.20677083333333332</v>
      </c>
      <c r="BV42" s="80">
        <f t="shared" si="134"/>
        <v>0.22461515689757253</v>
      </c>
      <c r="BW42" s="82">
        <f t="shared" si="134"/>
        <v>0.20553626543209877</v>
      </c>
      <c r="BX42" s="82">
        <f t="shared" si="134"/>
        <v>0.19167314502893668</v>
      </c>
      <c r="BY42" s="82">
        <f t="shared" si="134"/>
        <v>0.1973855077482469</v>
      </c>
      <c r="BZ42" s="82">
        <f>IF(ISERROR(BZ40/BZ$55),"",BZ40/BZ$55)</f>
        <v>0.20207969749854568</v>
      </c>
      <c r="CA42" s="80">
        <f>IF(ISERROR(CA40/CA$55),"",CA40/CA$55)</f>
        <v>0.19914070436843886</v>
      </c>
      <c r="CB42" s="82">
        <f t="shared" ref="CB42:CD42" si="135">IF(ISERROR(CB40/CB$55),"",CB40/CB$55)</f>
        <v>0.21352989056706159</v>
      </c>
      <c r="CC42" s="82">
        <f t="shared" si="135"/>
        <v>0.190224674812771</v>
      </c>
      <c r="CD42" s="82">
        <f t="shared" si="135"/>
        <v>0.18506039937546223</v>
      </c>
      <c r="CE42" s="82">
        <f>IF(ISERROR(CE40/CE$55),"",CE40/CE$55)</f>
        <v>0.16165686727885314</v>
      </c>
      <c r="CF42" s="80">
        <f>IF(ISERROR(CF40/CF$55),"",CF40/CF$55)</f>
        <v>0.18557044350415294</v>
      </c>
      <c r="CG42" s="82"/>
      <c r="CH42" s="82"/>
      <c r="CI42" s="82"/>
      <c r="CJ42" s="82"/>
      <c r="CK42" s="80"/>
      <c r="CL42" s="82"/>
      <c r="CM42" s="82"/>
      <c r="CN42" s="82"/>
      <c r="CO42" s="82"/>
      <c r="CP42" s="80">
        <f>IF(ISERROR(CP40/CP$55),"",CP40/CP$55)</f>
        <v>0.19227229069953578</v>
      </c>
      <c r="CQ42" s="82"/>
      <c r="CR42" s="82"/>
      <c r="CS42" s="82"/>
      <c r="CT42" s="81"/>
      <c r="CU42" s="80">
        <f>IF(ISERROR(CU40/CU$55),"",CU40/CU$55)</f>
        <v>0.17543859649122806</v>
      </c>
      <c r="CV42" s="82"/>
      <c r="CW42" s="82"/>
      <c r="CX42" s="82"/>
      <c r="CY42" s="81"/>
      <c r="CZ42" s="80">
        <f>IF(ISERROR(CZ40/CZ$55),"",CZ40/CZ$55)</f>
        <v>0.17326414990557562</v>
      </c>
      <c r="DA42" s="82"/>
      <c r="DB42" s="82"/>
      <c r="DC42" s="82"/>
      <c r="DD42" s="81"/>
      <c r="DE42" s="80">
        <f>IF(ISERROR(DE40/DE$55),"",DE40/DE$55)</f>
        <v>0.17377538920170502</v>
      </c>
      <c r="DF42" s="82"/>
      <c r="DG42" s="82"/>
      <c r="DH42" s="82"/>
      <c r="DI42" s="81"/>
      <c r="DJ42" s="80">
        <f>IF(ISERROR(DJ40/DJ$55),"",DJ40/DJ$55)</f>
        <v>0.17665865698787225</v>
      </c>
      <c r="DK42" s="397"/>
      <c r="DL42" s="74"/>
      <c r="DM42" s="810"/>
      <c r="DN42" s="810"/>
      <c r="DO42" s="809"/>
      <c r="DP42" s="1105"/>
      <c r="DQ42" s="1054"/>
      <c r="DR42" s="1054"/>
      <c r="DS42" s="810"/>
      <c r="DT42" s="810"/>
      <c r="DU42" s="810"/>
      <c r="DV42" s="810"/>
      <c r="DW42" s="809"/>
      <c r="DX42" s="809"/>
      <c r="DY42" s="360"/>
      <c r="DZ42" s="167"/>
      <c r="EA42" s="167"/>
      <c r="EB42"/>
      <c r="EC42"/>
      <c r="ED42"/>
      <c r="EE42"/>
      <c r="EF42"/>
      <c r="EG42"/>
    </row>
    <row r="43" spans="1:137" s="144" customFormat="1" ht="12.75" customHeight="1">
      <c r="A43" s="387" t="s">
        <v>4</v>
      </c>
      <c r="B43" s="374">
        <v>11001</v>
      </c>
      <c r="C43" s="374">
        <v>10701</v>
      </c>
      <c r="D43" s="374">
        <v>12813</v>
      </c>
      <c r="E43" s="374">
        <v>16112</v>
      </c>
      <c r="F43" s="374">
        <v>15925</v>
      </c>
      <c r="G43" s="374">
        <v>18800</v>
      </c>
      <c r="H43" s="387">
        <v>18500</v>
      </c>
      <c r="I43" s="387">
        <v>17400</v>
      </c>
      <c r="J43" s="387">
        <v>15800</v>
      </c>
      <c r="K43" s="387">
        <v>17400</v>
      </c>
      <c r="L43" s="374">
        <v>17400</v>
      </c>
      <c r="M43" s="387">
        <v>16900</v>
      </c>
      <c r="N43" s="387">
        <v>17100</v>
      </c>
      <c r="O43" s="387">
        <v>17100</v>
      </c>
      <c r="P43" s="387">
        <v>17900</v>
      </c>
      <c r="Q43" s="374">
        <v>17900</v>
      </c>
      <c r="R43" s="387">
        <v>17800</v>
      </c>
      <c r="S43" s="387">
        <v>18400</v>
      </c>
      <c r="T43" s="387">
        <v>18000</v>
      </c>
      <c r="U43" s="387">
        <f>(V43)</f>
        <v>16800</v>
      </c>
      <c r="V43" s="374">
        <v>16800</v>
      </c>
      <c r="W43" s="387">
        <v>15700</v>
      </c>
      <c r="X43" s="388">
        <v>16600</v>
      </c>
      <c r="Y43" s="388">
        <v>15700</v>
      </c>
      <c r="Z43" s="387">
        <f>AA43</f>
        <v>17800</v>
      </c>
      <c r="AA43" s="374">
        <v>17800</v>
      </c>
      <c r="AB43" s="387">
        <v>17000</v>
      </c>
      <c r="AC43" s="388">
        <v>16500</v>
      </c>
      <c r="AD43" s="387">
        <v>15200</v>
      </c>
      <c r="AE43" s="387">
        <v>16000</v>
      </c>
      <c r="AF43" s="374">
        <f>AE43</f>
        <v>16000</v>
      </c>
      <c r="AG43" s="387">
        <v>15400</v>
      </c>
      <c r="AH43" s="388">
        <v>15800</v>
      </c>
      <c r="AI43" s="387">
        <v>15500</v>
      </c>
      <c r="AJ43" s="387">
        <v>18100</v>
      </c>
      <c r="AK43" s="374">
        <f>AJ43</f>
        <v>18100</v>
      </c>
      <c r="AL43" s="387">
        <v>17900</v>
      </c>
      <c r="AM43" s="387">
        <v>18000</v>
      </c>
      <c r="AN43" s="387">
        <v>17200</v>
      </c>
      <c r="AO43" s="387">
        <v>20500</v>
      </c>
      <c r="AP43" s="374">
        <f>AO43</f>
        <v>20500</v>
      </c>
      <c r="AQ43" s="387">
        <v>19600</v>
      </c>
      <c r="AR43" s="387">
        <v>21100</v>
      </c>
      <c r="AS43" s="387">
        <v>20200</v>
      </c>
      <c r="AT43" s="387">
        <v>18900</v>
      </c>
      <c r="AU43" s="374">
        <f>AT43</f>
        <v>18900</v>
      </c>
      <c r="AV43" s="844">
        <v>18400</v>
      </c>
      <c r="AW43" s="844">
        <v>17600</v>
      </c>
      <c r="AX43" s="844">
        <v>16600</v>
      </c>
      <c r="AY43" s="387">
        <v>17400</v>
      </c>
      <c r="AZ43" s="374">
        <f>AY43</f>
        <v>17400</v>
      </c>
      <c r="BA43" s="374">
        <v>21400</v>
      </c>
      <c r="BB43" s="844">
        <v>20500</v>
      </c>
      <c r="BC43" s="844">
        <v>21800</v>
      </c>
      <c r="BD43" s="844">
        <v>20900</v>
      </c>
      <c r="BE43" s="387">
        <v>20300</v>
      </c>
      <c r="BF43" s="374">
        <v>20300</v>
      </c>
      <c r="BG43" s="844">
        <v>19800</v>
      </c>
      <c r="BH43" s="844">
        <v>18800</v>
      </c>
      <c r="BI43" s="844">
        <v>17800</v>
      </c>
      <c r="BJ43" s="387">
        <v>17400</v>
      </c>
      <c r="BK43" s="374">
        <v>17400</v>
      </c>
      <c r="BL43" s="844">
        <v>17800</v>
      </c>
      <c r="BM43" s="844">
        <v>18500</v>
      </c>
      <c r="BN43" s="844"/>
      <c r="BO43" s="387"/>
      <c r="BP43" s="374"/>
      <c r="BQ43" s="374"/>
      <c r="BR43" s="844">
        <v>19800</v>
      </c>
      <c r="BS43" s="844">
        <v>18800</v>
      </c>
      <c r="BT43" s="844">
        <v>17800</v>
      </c>
      <c r="BU43" s="387">
        <v>17400</v>
      </c>
      <c r="BV43" s="374">
        <v>17400</v>
      </c>
      <c r="BW43" s="844">
        <v>17800</v>
      </c>
      <c r="BX43" s="844">
        <v>18500</v>
      </c>
      <c r="BY43" s="844">
        <v>19800</v>
      </c>
      <c r="BZ43" s="387">
        <v>18842</v>
      </c>
      <c r="CA43" s="374">
        <f>BZ43</f>
        <v>18842</v>
      </c>
      <c r="CB43" s="844">
        <v>19500</v>
      </c>
      <c r="CC43" s="844">
        <v>18400</v>
      </c>
      <c r="CD43" s="844">
        <v>17500</v>
      </c>
      <c r="CE43" s="387">
        <v>17267</v>
      </c>
      <c r="CF43" s="374">
        <f>CE43</f>
        <v>17267</v>
      </c>
      <c r="CG43" s="844"/>
      <c r="CH43" s="844"/>
      <c r="CI43" s="844"/>
      <c r="CJ43" s="387"/>
      <c r="CK43" s="374"/>
      <c r="CL43" s="844"/>
      <c r="CM43" s="844"/>
      <c r="CN43" s="844"/>
      <c r="CO43" s="387"/>
      <c r="CP43" s="374">
        <v>22082</v>
      </c>
      <c r="CQ43" s="387"/>
      <c r="CR43" s="387"/>
      <c r="CS43" s="387"/>
      <c r="CT43" s="391"/>
      <c r="CU43" s="374"/>
      <c r="CV43" s="387"/>
      <c r="CW43" s="387"/>
      <c r="CX43" s="387"/>
      <c r="CY43" s="391"/>
      <c r="CZ43" s="374"/>
      <c r="DA43" s="387"/>
      <c r="DB43" s="387"/>
      <c r="DC43" s="387"/>
      <c r="DD43" s="391"/>
      <c r="DE43" s="374"/>
      <c r="DF43" s="387"/>
      <c r="DG43" s="387"/>
      <c r="DH43" s="387"/>
      <c r="DI43" s="391"/>
      <c r="DJ43" s="374"/>
      <c r="DK43" s="399"/>
      <c r="DL43" s="400"/>
      <c r="DM43" s="810"/>
      <c r="DN43" s="810"/>
      <c r="DO43" s="810"/>
      <c r="DP43" s="1105"/>
      <c r="DQ43" s="1053"/>
      <c r="DR43" s="1053"/>
      <c r="DS43" s="810"/>
      <c r="DT43" s="810"/>
      <c r="DU43" s="810"/>
      <c r="DV43" s="810"/>
      <c r="DW43" s="810"/>
      <c r="DX43" s="810"/>
      <c r="DY43" s="357"/>
      <c r="DZ43" s="143"/>
      <c r="EA43" s="143"/>
      <c r="EB43"/>
      <c r="EC43"/>
      <c r="ED43"/>
      <c r="EE43"/>
      <c r="EF43"/>
      <c r="EG43"/>
    </row>
    <row r="44" spans="1:137" s="398" customFormat="1">
      <c r="A44" s="97" t="s">
        <v>53</v>
      </c>
      <c r="B44" s="80"/>
      <c r="C44" s="80">
        <f>C43/B43-1</f>
        <v>-2.727024815925827E-2</v>
      </c>
      <c r="D44" s="80">
        <f>D43/C43-1</f>
        <v>0.19736473226801232</v>
      </c>
      <c r="E44" s="80">
        <f>E43/D43-1</f>
        <v>0.25747287910715677</v>
      </c>
      <c r="F44" s="80">
        <f>F43/E43-1</f>
        <v>-1.1606256206554089E-2</v>
      </c>
      <c r="G44" s="80">
        <f>G43/F43-1</f>
        <v>0.18053375196232335</v>
      </c>
      <c r="H44" s="82"/>
      <c r="I44" s="82"/>
      <c r="J44" s="82"/>
      <c r="K44" s="82"/>
      <c r="L44" s="80">
        <f t="shared" ref="L44:AL44" si="136">L43/G43-1</f>
        <v>-7.4468085106383031E-2</v>
      </c>
      <c r="M44" s="82">
        <f t="shared" si="136"/>
        <v>-8.6486486486486491E-2</v>
      </c>
      <c r="N44" s="82">
        <f t="shared" si="136"/>
        <v>-1.7241379310344862E-2</v>
      </c>
      <c r="O44" s="82">
        <f t="shared" si="136"/>
        <v>8.2278481012658222E-2</v>
      </c>
      <c r="P44" s="82">
        <f t="shared" si="136"/>
        <v>2.8735632183908066E-2</v>
      </c>
      <c r="Q44" s="80">
        <f t="shared" si="136"/>
        <v>2.8735632183908066E-2</v>
      </c>
      <c r="R44" s="82">
        <f t="shared" si="136"/>
        <v>5.3254437869822535E-2</v>
      </c>
      <c r="S44" s="82">
        <f t="shared" si="136"/>
        <v>7.6023391812865437E-2</v>
      </c>
      <c r="T44" s="82">
        <f t="shared" si="136"/>
        <v>5.2631578947368363E-2</v>
      </c>
      <c r="U44" s="82">
        <f t="shared" si="136"/>
        <v>-6.1452513966480438E-2</v>
      </c>
      <c r="V44" s="80">
        <f t="shared" si="136"/>
        <v>-6.1452513966480438E-2</v>
      </c>
      <c r="W44" s="83">
        <f t="shared" si="136"/>
        <v>-0.1179775280898876</v>
      </c>
      <c r="X44" s="82">
        <f t="shared" si="136"/>
        <v>-9.7826086956521729E-2</v>
      </c>
      <c r="Y44" s="83">
        <f t="shared" si="136"/>
        <v>-0.12777777777777777</v>
      </c>
      <c r="Z44" s="83">
        <f t="shared" si="136"/>
        <v>5.9523809523809534E-2</v>
      </c>
      <c r="AA44" s="84">
        <f t="shared" si="136"/>
        <v>5.9523809523809534E-2</v>
      </c>
      <c r="AB44" s="83">
        <f t="shared" si="136"/>
        <v>8.2802547770700619E-2</v>
      </c>
      <c r="AC44" s="82">
        <f t="shared" si="136"/>
        <v>-6.0240963855421326E-3</v>
      </c>
      <c r="AD44" s="82">
        <f t="shared" si="136"/>
        <v>-3.1847133757961776E-2</v>
      </c>
      <c r="AE44" s="82">
        <f t="shared" si="136"/>
        <v>-0.101123595505618</v>
      </c>
      <c r="AF44" s="84">
        <f t="shared" si="136"/>
        <v>-0.101123595505618</v>
      </c>
      <c r="AG44" s="83">
        <f t="shared" si="136"/>
        <v>-9.4117647058823528E-2</v>
      </c>
      <c r="AH44" s="82">
        <f t="shared" si="136"/>
        <v>-4.2424242424242475E-2</v>
      </c>
      <c r="AI44" s="82">
        <f t="shared" si="136"/>
        <v>1.9736842105263053E-2</v>
      </c>
      <c r="AJ44" s="82">
        <f t="shared" si="136"/>
        <v>0.13125000000000009</v>
      </c>
      <c r="AK44" s="80">
        <f t="shared" si="136"/>
        <v>0.13125000000000009</v>
      </c>
      <c r="AL44" s="82">
        <f t="shared" si="136"/>
        <v>0.16233766233766245</v>
      </c>
      <c r="AM44" s="82">
        <f t="shared" ref="AM44:AP44" si="137">AM43/AH43-1</f>
        <v>0.139240506329114</v>
      </c>
      <c r="AN44" s="83">
        <f t="shared" si="137"/>
        <v>0.10967741935483866</v>
      </c>
      <c r="AO44" s="83">
        <f t="shared" si="137"/>
        <v>0.13259668508287303</v>
      </c>
      <c r="AP44" s="80">
        <f t="shared" si="137"/>
        <v>0.13259668508287303</v>
      </c>
      <c r="AQ44" s="82">
        <f t="shared" ref="AQ44:AZ44" si="138">AQ43/AL43-1</f>
        <v>9.4972067039106101E-2</v>
      </c>
      <c r="AR44" s="82">
        <f t="shared" si="138"/>
        <v>0.17222222222222228</v>
      </c>
      <c r="AS44" s="83">
        <f t="shared" si="138"/>
        <v>0.17441860465116288</v>
      </c>
      <c r="AT44" s="83">
        <f t="shared" si="138"/>
        <v>-7.8048780487804836E-2</v>
      </c>
      <c r="AU44" s="80">
        <f t="shared" si="138"/>
        <v>-7.8048780487804836E-2</v>
      </c>
      <c r="AV44" s="82">
        <f t="shared" si="138"/>
        <v>-6.1224489795918324E-2</v>
      </c>
      <c r="AW44" s="82">
        <f t="shared" si="138"/>
        <v>-0.16587677725118488</v>
      </c>
      <c r="AX44" s="83">
        <f t="shared" si="138"/>
        <v>-0.17821782178217827</v>
      </c>
      <c r="AY44" s="83">
        <f t="shared" si="138"/>
        <v>-7.9365079365079416E-2</v>
      </c>
      <c r="AZ44" s="80">
        <f t="shared" si="138"/>
        <v>-7.9365079365079416E-2</v>
      </c>
      <c r="BA44" s="971"/>
      <c r="BB44" s="82"/>
      <c r="BC44" s="82"/>
      <c r="BD44" s="83"/>
      <c r="BE44" s="83"/>
      <c r="BF44" s="80">
        <f t="shared" ref="BF44:BM44" si="139">BF43/BA43-1</f>
        <v>-5.1401869158878455E-2</v>
      </c>
      <c r="BG44" s="82">
        <f t="shared" si="139"/>
        <v>-3.4146341463414664E-2</v>
      </c>
      <c r="BH44" s="82">
        <f t="shared" si="139"/>
        <v>-0.13761467889908252</v>
      </c>
      <c r="BI44" s="83">
        <f t="shared" si="139"/>
        <v>-0.14832535885167464</v>
      </c>
      <c r="BJ44" s="83">
        <f t="shared" si="139"/>
        <v>-0.1428571428571429</v>
      </c>
      <c r="BK44" s="80">
        <f t="shared" si="139"/>
        <v>-0.1428571428571429</v>
      </c>
      <c r="BL44" s="82">
        <f t="shared" si="139"/>
        <v>-0.10101010101010099</v>
      </c>
      <c r="BM44" s="82">
        <f t="shared" si="139"/>
        <v>-1.5957446808510634E-2</v>
      </c>
      <c r="BN44" s="83"/>
      <c r="BO44" s="83"/>
      <c r="BP44" s="80"/>
      <c r="BQ44" s="971"/>
      <c r="BR44" s="82">
        <f>+BR43/BB43-1</f>
        <v>-3.4146341463414664E-2</v>
      </c>
      <c r="BS44" s="82">
        <f t="shared" ref="BS44" si="140">+BS43/BC43-1</f>
        <v>-0.13761467889908252</v>
      </c>
      <c r="BT44" s="83">
        <f t="shared" ref="BT44" si="141">+BT43/BD43-1</f>
        <v>-0.14832535885167464</v>
      </c>
      <c r="BU44" s="83">
        <f t="shared" ref="BU44" si="142">+BU43/BE43-1</f>
        <v>-0.1428571428571429</v>
      </c>
      <c r="BV44" s="80">
        <f t="shared" ref="BV44" si="143">+BV43/BF43-1</f>
        <v>-0.1428571428571429</v>
      </c>
      <c r="BW44" s="82">
        <f>BW43/BR43-1</f>
        <v>-0.10101010101010099</v>
      </c>
      <c r="BX44" s="82">
        <f t="shared" ref="BX44" si="144">BX43/BS43-1</f>
        <v>-1.5957446808510634E-2</v>
      </c>
      <c r="BY44" s="83">
        <f t="shared" ref="BY44" si="145">BY43/BT43-1</f>
        <v>0.11235955056179781</v>
      </c>
      <c r="BZ44" s="83">
        <f>BZ43/BU43-1</f>
        <v>8.2873563218390789E-2</v>
      </c>
      <c r="CA44" s="80">
        <f>CA43/BV43-1</f>
        <v>8.2873563218390789E-2</v>
      </c>
      <c r="CB44" s="82">
        <f>CB43/BW43-1</f>
        <v>9.550561797752799E-2</v>
      </c>
      <c r="CC44" s="82">
        <f t="shared" ref="CC44:CD44" si="146">CC43/BX43-1</f>
        <v>-5.4054054054053502E-3</v>
      </c>
      <c r="CD44" s="83">
        <f t="shared" si="146"/>
        <v>-0.11616161616161613</v>
      </c>
      <c r="CE44" s="83">
        <f>CE43/BZ43-1</f>
        <v>-8.3589852457276348E-2</v>
      </c>
      <c r="CF44" s="80">
        <f>CF43/CA43-1</f>
        <v>-8.3589852457276348E-2</v>
      </c>
      <c r="CG44" s="82"/>
      <c r="CH44" s="82"/>
      <c r="CI44" s="83"/>
      <c r="CJ44" s="83"/>
      <c r="CK44" s="80"/>
      <c r="CL44" s="82"/>
      <c r="CM44" s="82"/>
      <c r="CN44" s="83"/>
      <c r="CO44" s="83"/>
      <c r="CP44" s="80"/>
      <c r="CQ44" s="103"/>
      <c r="CR44" s="103"/>
      <c r="CS44" s="103"/>
      <c r="CT44" s="105"/>
      <c r="CU44" s="104"/>
      <c r="CV44" s="103"/>
      <c r="CW44" s="103"/>
      <c r="CX44" s="103"/>
      <c r="CY44" s="105"/>
      <c r="CZ44" s="104"/>
      <c r="DA44" s="103"/>
      <c r="DB44" s="103"/>
      <c r="DC44" s="103"/>
      <c r="DD44" s="105"/>
      <c r="DE44" s="104"/>
      <c r="DF44" s="103"/>
      <c r="DG44" s="103"/>
      <c r="DH44" s="103"/>
      <c r="DI44" s="105"/>
      <c r="DJ44" s="104"/>
      <c r="DK44" s="401"/>
      <c r="DL44" s="74"/>
      <c r="DM44" s="809"/>
      <c r="DN44" s="809"/>
      <c r="DO44" s="809"/>
      <c r="DP44" s="1105"/>
      <c r="DQ44" s="1054"/>
      <c r="DR44" s="1054"/>
      <c r="DS44" s="810"/>
      <c r="DT44" s="810"/>
      <c r="DU44" s="810"/>
      <c r="DV44" s="810"/>
      <c r="DW44" s="809"/>
      <c r="DX44" s="809"/>
      <c r="DY44" s="360"/>
      <c r="DZ44" s="167"/>
      <c r="EA44" s="167"/>
      <c r="EB44"/>
      <c r="EC44"/>
      <c r="ED44"/>
      <c r="EE44"/>
      <c r="EF44"/>
      <c r="EG44"/>
    </row>
    <row r="45" spans="1:137" s="398" customFormat="1" ht="12.75" customHeight="1">
      <c r="A45" s="373" t="s">
        <v>121</v>
      </c>
      <c r="B45" s="10"/>
      <c r="C45" s="10">
        <f t="shared" ref="C45:K45" si="147">C43-(B43-C40)</f>
        <v>4987</v>
      </c>
      <c r="D45" s="10">
        <f t="shared" si="147"/>
        <v>8133</v>
      </c>
      <c r="E45" s="10">
        <f t="shared" si="147"/>
        <v>9658</v>
      </c>
      <c r="F45" s="10">
        <f t="shared" si="147"/>
        <v>6633</v>
      </c>
      <c r="G45" s="10">
        <f t="shared" si="147"/>
        <v>10798</v>
      </c>
      <c r="H45" s="35">
        <f t="shared" si="147"/>
        <v>1494</v>
      </c>
      <c r="I45" s="35">
        <f t="shared" si="147"/>
        <v>968</v>
      </c>
      <c r="J45" s="35">
        <f t="shared" si="147"/>
        <v>613</v>
      </c>
      <c r="K45" s="35">
        <f t="shared" si="147"/>
        <v>3728</v>
      </c>
      <c r="L45" s="10">
        <f>L43-(G43-L40)</f>
        <v>6803</v>
      </c>
      <c r="M45" s="35">
        <f>M43-(L43-M40)</f>
        <v>1383</v>
      </c>
      <c r="N45" s="35">
        <f>N43-(M43-N40)</f>
        <v>2402</v>
      </c>
      <c r="O45" s="35">
        <f>O43-(N43-O40)</f>
        <v>1908</v>
      </c>
      <c r="P45" s="35">
        <f>P43-(O43-P40)</f>
        <v>2834</v>
      </c>
      <c r="Q45" s="10">
        <f>Q43-(L43-Q40)</f>
        <v>8527</v>
      </c>
      <c r="R45" s="35">
        <f>R43-(Q43-R40)</f>
        <v>1818</v>
      </c>
      <c r="S45" s="35">
        <f>S43-(R43-S40)</f>
        <v>2656</v>
      </c>
      <c r="T45" s="35">
        <f>T43-(S43-T40)</f>
        <v>1673</v>
      </c>
      <c r="U45" s="35">
        <f>U43-(T43-U40)</f>
        <v>1407</v>
      </c>
      <c r="V45" s="10">
        <f>V43-(Q43-V40)</f>
        <v>7554</v>
      </c>
      <c r="W45" s="35">
        <f>W43-(V43-W40)</f>
        <v>813</v>
      </c>
      <c r="X45" s="35">
        <f>X43-(W43-X40)</f>
        <v>2981</v>
      </c>
      <c r="Y45" s="35">
        <f>Y43-(X43-Y40)</f>
        <v>1068</v>
      </c>
      <c r="Z45" s="35">
        <f>Z43-(Y43-Z40)</f>
        <v>4380</v>
      </c>
      <c r="AA45" s="10">
        <f>AA43-(V43-AA40)</f>
        <v>9242</v>
      </c>
      <c r="AB45" s="35">
        <f>AB43-(AA43-AB40)</f>
        <v>1048</v>
      </c>
      <c r="AC45" s="35">
        <f>AC43-(AB43-AC40)</f>
        <v>1516</v>
      </c>
      <c r="AD45" s="35">
        <f>AD43-(AC43-AD40)</f>
        <v>873</v>
      </c>
      <c r="AE45" s="35">
        <f>AE43-(AD43-AE40)</f>
        <v>2924</v>
      </c>
      <c r="AF45" s="10">
        <f>AF43-(AA43-AF40)</f>
        <v>6361</v>
      </c>
      <c r="AG45" s="35">
        <f>AG43-(AF43-AG40)</f>
        <v>1293</v>
      </c>
      <c r="AH45" s="35">
        <f>AH43-(AG43-AH40)</f>
        <v>2788</v>
      </c>
      <c r="AI45" s="35">
        <f>AI43-(AH43-AI40)</f>
        <v>1766</v>
      </c>
      <c r="AJ45" s="35">
        <f>AJ43-(AI43-AJ40)</f>
        <v>4600</v>
      </c>
      <c r="AK45" s="10">
        <f>AK43-(AF43-AK40)</f>
        <v>10447</v>
      </c>
      <c r="AL45" s="35">
        <f>AL43-(AK43-AL40)</f>
        <v>1760</v>
      </c>
      <c r="AM45" s="35">
        <f>AM43-(AL43-AM40)</f>
        <v>2187</v>
      </c>
      <c r="AN45" s="35">
        <f>AN43-(AM43-AN40)</f>
        <v>1155</v>
      </c>
      <c r="AO45" s="35">
        <f>AO43-(AN43-AO40)</f>
        <v>5256</v>
      </c>
      <c r="AP45" s="10">
        <f>AP43-(AK43-AP40)</f>
        <v>10358</v>
      </c>
      <c r="AQ45" s="35">
        <f>AQ43-(AP43-AQ40)</f>
        <v>959</v>
      </c>
      <c r="AR45" s="35">
        <f>AR43-(AQ43-AR40)</f>
        <v>3348</v>
      </c>
      <c r="AS45" s="35">
        <f>AS43-(AR43-AS40)</f>
        <v>1134</v>
      </c>
      <c r="AT45" s="35">
        <f>AT43-(AS43-AT40)</f>
        <v>1024</v>
      </c>
      <c r="AU45" s="10">
        <f>AU43-(AP43-AU40)</f>
        <v>6465</v>
      </c>
      <c r="AV45" s="35">
        <f>AV43-(AU43-AV40)</f>
        <v>1454</v>
      </c>
      <c r="AW45" s="35">
        <f>AW43-(AV43-AW40)</f>
        <v>1229</v>
      </c>
      <c r="AX45" s="35">
        <f>AX43-(AW43-AX40)</f>
        <v>930</v>
      </c>
      <c r="AY45" s="35">
        <f>AY43-(AX43-AY40)</f>
        <v>2928</v>
      </c>
      <c r="AZ45" s="10">
        <f>AZ43-(AU43-AZ40)</f>
        <v>6541</v>
      </c>
      <c r="BA45" s="976"/>
      <c r="BB45" s="35">
        <f>BB43-(BA43-BB40)</f>
        <v>1257</v>
      </c>
      <c r="BC45" s="35">
        <f>BC43-(BB43-BC40)</f>
        <v>3450</v>
      </c>
      <c r="BD45" s="35">
        <f>BD43-(BC43-BD40)</f>
        <v>1405</v>
      </c>
      <c r="BE45" s="35">
        <f>BE43-(BD43-BE40)</f>
        <v>1990</v>
      </c>
      <c r="BF45" s="10">
        <f>BF43-(BA43-BF40)</f>
        <v>8102</v>
      </c>
      <c r="BG45" s="35">
        <f>BG43-(BF43-BG40)</f>
        <v>1725</v>
      </c>
      <c r="BH45" s="35">
        <f>BH43-(BG43-BH40)</f>
        <v>1290</v>
      </c>
      <c r="BI45" s="35">
        <f>BI43-(BH43-BI40)</f>
        <v>1208</v>
      </c>
      <c r="BJ45" s="35">
        <f>BJ43-(BI43-BJ40)</f>
        <v>1982</v>
      </c>
      <c r="BK45" s="10">
        <f>BK43-(BF43-BK40)</f>
        <v>6205</v>
      </c>
      <c r="BL45" s="35">
        <f>BL43-(BK43-BL40)</f>
        <v>2531</v>
      </c>
      <c r="BM45" s="35">
        <f>BM43-(BL43-BM40)</f>
        <v>2919</v>
      </c>
      <c r="BN45" s="35"/>
      <c r="BO45" s="35"/>
      <c r="BP45" s="10"/>
      <c r="BQ45" s="976"/>
      <c r="BR45" s="35">
        <f>BR43-(BF43-BR40)</f>
        <v>1725</v>
      </c>
      <c r="BS45" s="35">
        <f>BS43-(BR43-BS40)</f>
        <v>1290</v>
      </c>
      <c r="BT45" s="35">
        <f>BT43-(BS43-BT40)</f>
        <v>1208</v>
      </c>
      <c r="BU45" s="35">
        <f>BU43-(BT43-BU40)</f>
        <v>1982</v>
      </c>
      <c r="BV45" s="10">
        <f>BV43-(CE43-BV40)</f>
        <v>9238</v>
      </c>
      <c r="BW45" s="35">
        <f>BW43-(BV43-BW40)</f>
        <v>2531</v>
      </c>
      <c r="BX45" s="35">
        <f>BX43-(BW43-BX40)</f>
        <v>2919</v>
      </c>
      <c r="BY45" s="35">
        <f>BY43-(BX43-BY40)</f>
        <v>3580</v>
      </c>
      <c r="BZ45" s="35">
        <f>BZ43-(BY43-BZ40)</f>
        <v>1821</v>
      </c>
      <c r="CA45" s="10">
        <f>CA43-(BN43-CA40)</f>
        <v>28251</v>
      </c>
      <c r="CB45" s="35">
        <f>CB43-(CA43-CB40)</f>
        <v>3019</v>
      </c>
      <c r="CC45" s="35">
        <f>CC43-(CB43-CC40)</f>
        <v>1313</v>
      </c>
      <c r="CD45" s="35">
        <f>CD43-(CC43-CD40)</f>
        <v>1352</v>
      </c>
      <c r="CE45" s="35">
        <f>CE43-(CD43-CE40)</f>
        <v>2214</v>
      </c>
      <c r="CF45" s="10">
        <f>CF43-(BS43-CF40)</f>
        <v>7940</v>
      </c>
      <c r="CG45" s="35"/>
      <c r="CH45" s="35"/>
      <c r="CI45" s="35"/>
      <c r="CJ45" s="35"/>
      <c r="CK45" s="10"/>
      <c r="CL45" s="35"/>
      <c r="CM45" s="35"/>
      <c r="CN45" s="35"/>
      <c r="CO45" s="35"/>
      <c r="CP45" s="10"/>
      <c r="CQ45" s="55"/>
      <c r="CR45" s="55"/>
      <c r="CS45" s="55"/>
      <c r="CT45" s="58"/>
      <c r="CU45" s="57"/>
      <c r="CV45" s="55"/>
      <c r="CW45" s="55"/>
      <c r="CX45" s="55"/>
      <c r="CY45" s="58"/>
      <c r="CZ45" s="57"/>
      <c r="DA45" s="55"/>
      <c r="DB45" s="55"/>
      <c r="DC45" s="55"/>
      <c r="DD45" s="58"/>
      <c r="DE45" s="57"/>
      <c r="DF45" s="55"/>
      <c r="DG45" s="55"/>
      <c r="DH45" s="55"/>
      <c r="DI45" s="58"/>
      <c r="DJ45" s="57"/>
      <c r="DK45" s="397"/>
      <c r="DL45" s="74"/>
      <c r="DM45" s="809"/>
      <c r="DN45" s="809"/>
      <c r="DO45" s="809"/>
      <c r="DP45" s="1054"/>
      <c r="DQ45" s="1054"/>
      <c r="DR45" s="1054"/>
      <c r="DS45" s="1059"/>
      <c r="DT45" s="1152"/>
      <c r="DU45" s="1152"/>
      <c r="DV45" s="1152"/>
      <c r="DW45" s="1152"/>
      <c r="DX45" s="809"/>
      <c r="DY45" s="360"/>
      <c r="DZ45" s="167"/>
      <c r="EA45" s="167"/>
      <c r="EB45"/>
      <c r="EC45"/>
      <c r="ED45"/>
      <c r="EE45"/>
      <c r="EF45"/>
      <c r="EG45"/>
    </row>
    <row r="46" spans="1:137" s="772" customFormat="1" ht="12.75" customHeight="1">
      <c r="A46" s="762" t="s">
        <v>122</v>
      </c>
      <c r="B46" s="763"/>
      <c r="C46" s="764">
        <f t="shared" ref="C46:AH46" si="148">C45/C40</f>
        <v>0.94325704558350676</v>
      </c>
      <c r="D46" s="764">
        <f t="shared" si="148"/>
        <v>1.3507722969606377</v>
      </c>
      <c r="E46" s="764">
        <f t="shared" si="148"/>
        <v>1.5187922629344237</v>
      </c>
      <c r="F46" s="764">
        <f t="shared" si="148"/>
        <v>0.97258064516129028</v>
      </c>
      <c r="G46" s="764">
        <f t="shared" si="148"/>
        <v>1.362867600656317</v>
      </c>
      <c r="H46" s="765">
        <f t="shared" si="148"/>
        <v>0.83277591973244147</v>
      </c>
      <c r="I46" s="765">
        <f t="shared" si="148"/>
        <v>0.46808510638297873</v>
      </c>
      <c r="J46" s="765">
        <f t="shared" si="148"/>
        <v>0.27699954812471755</v>
      </c>
      <c r="K46" s="765">
        <f t="shared" si="148"/>
        <v>1.7518796992481203</v>
      </c>
      <c r="L46" s="764">
        <f t="shared" si="148"/>
        <v>0.82933073265878332</v>
      </c>
      <c r="M46" s="765">
        <f t="shared" si="148"/>
        <v>0.73446627721720659</v>
      </c>
      <c r="N46" s="765">
        <f t="shared" si="148"/>
        <v>1.0908265213442325</v>
      </c>
      <c r="O46" s="765">
        <f t="shared" si="148"/>
        <v>1</v>
      </c>
      <c r="P46" s="765">
        <f t="shared" si="148"/>
        <v>1.3933136676499509</v>
      </c>
      <c r="Q46" s="764">
        <f t="shared" si="148"/>
        <v>1.0622897720194344</v>
      </c>
      <c r="R46" s="765">
        <f t="shared" si="148"/>
        <v>0.94786235662148066</v>
      </c>
      <c r="S46" s="765">
        <f t="shared" si="148"/>
        <v>1.2918287937743191</v>
      </c>
      <c r="T46" s="765">
        <f t="shared" si="148"/>
        <v>0.80704293294741924</v>
      </c>
      <c r="U46" s="765">
        <f t="shared" si="148"/>
        <v>0.53970080552359034</v>
      </c>
      <c r="V46" s="764">
        <f t="shared" si="148"/>
        <v>0.87289114860180261</v>
      </c>
      <c r="W46" s="765">
        <f t="shared" si="148"/>
        <v>0.42498693152117095</v>
      </c>
      <c r="X46" s="765">
        <f t="shared" si="148"/>
        <v>1.4324843825084095</v>
      </c>
      <c r="Y46" s="765">
        <f t="shared" si="148"/>
        <v>0.54268292682926833</v>
      </c>
      <c r="Z46" s="765">
        <f t="shared" si="148"/>
        <v>1.9210526315789473</v>
      </c>
      <c r="AA46" s="764">
        <f t="shared" si="148"/>
        <v>1.1213297743266197</v>
      </c>
      <c r="AB46" s="765">
        <f t="shared" si="148"/>
        <v>0.5670995670995671</v>
      </c>
      <c r="AC46" s="765">
        <f t="shared" si="148"/>
        <v>0.75198412698412698</v>
      </c>
      <c r="AD46" s="765">
        <f t="shared" si="148"/>
        <v>0.40174873446847675</v>
      </c>
      <c r="AE46" s="765">
        <f t="shared" si="148"/>
        <v>1.3766478342749529</v>
      </c>
      <c r="AF46" s="764">
        <f t="shared" si="148"/>
        <v>0.77943879426540863</v>
      </c>
      <c r="AG46" s="765">
        <f t="shared" si="148"/>
        <v>0.68304278922345485</v>
      </c>
      <c r="AH46" s="765">
        <f t="shared" si="148"/>
        <v>1.1675041876046901</v>
      </c>
      <c r="AI46" s="765">
        <f t="shared" ref="AI46:BM46" si="149">AI45/AI40</f>
        <v>0.85479186834462728</v>
      </c>
      <c r="AJ46" s="765">
        <f t="shared" si="149"/>
        <v>2.2999999999999998</v>
      </c>
      <c r="AK46" s="764">
        <f t="shared" si="149"/>
        <v>1.2515873966694622</v>
      </c>
      <c r="AL46" s="765">
        <f t="shared" si="149"/>
        <v>0.89795918367346939</v>
      </c>
      <c r="AM46" s="765">
        <f t="shared" si="149"/>
        <v>1.0479156684235744</v>
      </c>
      <c r="AN46" s="765">
        <f t="shared" si="149"/>
        <v>0.59079283887468026</v>
      </c>
      <c r="AO46" s="765">
        <f t="shared" si="149"/>
        <v>2.6871165644171779</v>
      </c>
      <c r="AP46" s="764">
        <f t="shared" si="149"/>
        <v>1.3015833123900478</v>
      </c>
      <c r="AQ46" s="765">
        <f t="shared" si="149"/>
        <v>0.51586874663797744</v>
      </c>
      <c r="AR46" s="765">
        <f t="shared" si="149"/>
        <v>1.8116883116883118</v>
      </c>
      <c r="AS46" s="765">
        <f t="shared" si="149"/>
        <v>0.55752212389380529</v>
      </c>
      <c r="AT46" s="765">
        <f t="shared" si="149"/>
        <v>0.44061962134251292</v>
      </c>
      <c r="AU46" s="764">
        <f t="shared" si="149"/>
        <v>0.8016119032858029</v>
      </c>
      <c r="AV46" s="765">
        <f>AV45/AV40</f>
        <v>0.74411463664278399</v>
      </c>
      <c r="AW46" s="765">
        <f>AW45/AW40</f>
        <v>0.60571710202069984</v>
      </c>
      <c r="AX46" s="765">
        <f>AX45/AX40</f>
        <v>0.48186528497409326</v>
      </c>
      <c r="AY46" s="765">
        <f>AY45/AY40</f>
        <v>1.3759398496240602</v>
      </c>
      <c r="AZ46" s="764">
        <f>AZ45/AZ40</f>
        <v>0.81345603780624298</v>
      </c>
      <c r="BA46" s="980"/>
      <c r="BB46" s="765">
        <f t="shared" si="149"/>
        <v>0.58275382475660642</v>
      </c>
      <c r="BC46" s="765">
        <f t="shared" si="149"/>
        <v>1.6046511627906976</v>
      </c>
      <c r="BD46" s="765">
        <f t="shared" si="149"/>
        <v>0.6095444685466378</v>
      </c>
      <c r="BE46" s="765">
        <f t="shared" si="149"/>
        <v>0.76833976833976836</v>
      </c>
      <c r="BF46" s="764">
        <f t="shared" ref="BF46" si="150">BF45/BF40</f>
        <v>0.88046076939795692</v>
      </c>
      <c r="BG46" s="765">
        <f t="shared" ref="BG46:BJ46" si="151">BG45/BG40</f>
        <v>0.7752808988764045</v>
      </c>
      <c r="BH46" s="765">
        <f t="shared" si="151"/>
        <v>0.5633187772925764</v>
      </c>
      <c r="BI46" s="765">
        <f t="shared" si="151"/>
        <v>0.54710144927536231</v>
      </c>
      <c r="BJ46" s="765">
        <f t="shared" si="151"/>
        <v>0.83207388748950462</v>
      </c>
      <c r="BK46" s="764">
        <f t="shared" si="149"/>
        <v>0.68149368478857775</v>
      </c>
      <c r="BL46" s="765">
        <f t="shared" si="149"/>
        <v>1.1877053026748006</v>
      </c>
      <c r="BM46" s="765">
        <f t="shared" si="149"/>
        <v>1.3154574132492114</v>
      </c>
      <c r="BN46" s="765"/>
      <c r="BO46" s="765"/>
      <c r="BP46" s="764"/>
      <c r="BQ46" s="980"/>
      <c r="BR46" s="765">
        <f t="shared" ref="BR46:BY46" si="152">BR45/BR40</f>
        <v>0.7752808988764045</v>
      </c>
      <c r="BS46" s="765">
        <f t="shared" si="152"/>
        <v>0.5633187772925764</v>
      </c>
      <c r="BT46" s="765">
        <f t="shared" si="152"/>
        <v>0.54710144927536231</v>
      </c>
      <c r="BU46" s="765">
        <f t="shared" si="152"/>
        <v>0.83207388748950462</v>
      </c>
      <c r="BV46" s="764">
        <f t="shared" si="152"/>
        <v>1.0146073585941791</v>
      </c>
      <c r="BW46" s="765">
        <f t="shared" si="152"/>
        <v>1.1877053026748006</v>
      </c>
      <c r="BX46" s="765">
        <f t="shared" si="152"/>
        <v>1.3154574132492114</v>
      </c>
      <c r="BY46" s="765">
        <f t="shared" si="152"/>
        <v>1.5701754385964912</v>
      </c>
      <c r="BZ46" s="765">
        <f>BZ45/BZ40</f>
        <v>0.65527168046059736</v>
      </c>
      <c r="CA46" s="764">
        <f>CA45/CA40</f>
        <v>3.0025507492826016</v>
      </c>
      <c r="CB46" s="765">
        <f t="shared" ref="CB46:CD46" si="153">CB45/CB40</f>
        <v>1.2786954680220246</v>
      </c>
      <c r="CC46" s="765">
        <f t="shared" si="153"/>
        <v>0.54413593037712393</v>
      </c>
      <c r="CD46" s="765">
        <f t="shared" si="153"/>
        <v>0.60035523978685612</v>
      </c>
      <c r="CE46" s="765">
        <f>CE45/CE40</f>
        <v>0.90478136493665717</v>
      </c>
      <c r="CF46" s="764">
        <f>CF45/CF40</f>
        <v>0.83817164572996938</v>
      </c>
      <c r="CG46" s="765"/>
      <c r="CH46" s="765"/>
      <c r="CI46" s="765"/>
      <c r="CJ46" s="765"/>
      <c r="CK46" s="764"/>
      <c r="CL46" s="765"/>
      <c r="CM46" s="765"/>
      <c r="CN46" s="765"/>
      <c r="CO46" s="765"/>
      <c r="CP46" s="764"/>
      <c r="CQ46" s="766"/>
      <c r="CR46" s="766"/>
      <c r="CS46" s="766"/>
      <c r="CT46" s="767"/>
      <c r="CU46" s="763"/>
      <c r="CV46" s="766"/>
      <c r="CW46" s="766"/>
      <c r="CX46" s="766"/>
      <c r="CY46" s="767"/>
      <c r="CZ46" s="763"/>
      <c r="DA46" s="766"/>
      <c r="DB46" s="766"/>
      <c r="DC46" s="766"/>
      <c r="DD46" s="767"/>
      <c r="DE46" s="763"/>
      <c r="DF46" s="766"/>
      <c r="DG46" s="766"/>
      <c r="DH46" s="766"/>
      <c r="DI46" s="767"/>
      <c r="DJ46" s="763"/>
      <c r="DK46" s="768"/>
      <c r="DL46" s="769"/>
      <c r="DM46" s="865"/>
      <c r="DN46" s="865"/>
      <c r="DO46" s="865"/>
      <c r="DP46" s="1081"/>
      <c r="DQ46" s="1081"/>
      <c r="DR46" s="1081"/>
      <c r="DS46" s="865"/>
      <c r="DT46" s="865"/>
      <c r="DU46" s="865"/>
      <c r="DV46" s="865"/>
      <c r="DW46" s="865"/>
      <c r="DX46" s="865"/>
      <c r="DY46" s="770"/>
      <c r="DZ46" s="771"/>
      <c r="EA46" s="771"/>
      <c r="EB46"/>
      <c r="EC46"/>
      <c r="ED46"/>
      <c r="EE46"/>
      <c r="EF46"/>
      <c r="EG46"/>
    </row>
    <row r="47" spans="1:137" s="772" customFormat="1" ht="12.75" customHeight="1">
      <c r="A47" s="762" t="s">
        <v>10</v>
      </c>
      <c r="B47" s="764">
        <f t="shared" ref="B47:G47" si="154">B43/B40</f>
        <v>2.2913976254946884</v>
      </c>
      <c r="C47" s="764">
        <f t="shared" si="154"/>
        <v>2.0240211840363154</v>
      </c>
      <c r="D47" s="764">
        <f t="shared" si="154"/>
        <v>2.1280518186347783</v>
      </c>
      <c r="E47" s="764">
        <f t="shared" si="154"/>
        <v>2.5337317188237143</v>
      </c>
      <c r="F47" s="764">
        <f t="shared" si="154"/>
        <v>2.3350439882697946</v>
      </c>
      <c r="G47" s="764">
        <f t="shared" si="154"/>
        <v>2.3728385712482645</v>
      </c>
      <c r="H47" s="765">
        <f>H43/H40/4</f>
        <v>2.5780379041248604</v>
      </c>
      <c r="I47" s="765">
        <f>I43/I40/4</f>
        <v>2.1034816247582206</v>
      </c>
      <c r="J47" s="765">
        <f>J43/J40/4</f>
        <v>1.7849073655671035</v>
      </c>
      <c r="K47" s="765">
        <f>K43/K40/4</f>
        <v>2.0441729323308269</v>
      </c>
      <c r="L47" s="764">
        <f>L43/L40</f>
        <v>2.1211751798122638</v>
      </c>
      <c r="M47" s="765">
        <f>M43/M40/4</f>
        <v>2.2437599575146043</v>
      </c>
      <c r="N47" s="765">
        <f>N43/N40/4</f>
        <v>1.9414168937329701</v>
      </c>
      <c r="O47" s="765">
        <f>O43/O40/4</f>
        <v>2.2405660377358489</v>
      </c>
      <c r="P47" s="765">
        <f>P43/P40/4</f>
        <v>2.2000983284169124</v>
      </c>
      <c r="Q47" s="764">
        <f>Q43/Q40</f>
        <v>2.2299738382957517</v>
      </c>
      <c r="R47" s="765">
        <f>R43/R40/4</f>
        <v>2.3201251303441084</v>
      </c>
      <c r="S47" s="765">
        <f>S43/S40/4</f>
        <v>2.2373540856031129</v>
      </c>
      <c r="T47" s="765">
        <f>T43/T40/4</f>
        <v>2.1707670043415339</v>
      </c>
      <c r="U47" s="765">
        <f>U43/U40/4</f>
        <v>1.6110471806674338</v>
      </c>
      <c r="V47" s="764">
        <f>V43/V40</f>
        <v>1.941298821354287</v>
      </c>
      <c r="W47" s="765">
        <f>W43/W40/4</f>
        <v>2.0517511761630947</v>
      </c>
      <c r="X47" s="765">
        <f>X43/X40/4</f>
        <v>1.9942335415665546</v>
      </c>
      <c r="Y47" s="765">
        <f>Y43/Y40/4</f>
        <v>1.994410569105691</v>
      </c>
      <c r="Z47" s="765">
        <f>Z43/Z40/4</f>
        <v>1.9517543859649122</v>
      </c>
      <c r="AA47" s="764">
        <f>AA43/AA40</f>
        <v>2.1596699830138317</v>
      </c>
      <c r="AB47" s="765">
        <f>AB43/AB40/4</f>
        <v>2.2997835497835499</v>
      </c>
      <c r="AC47" s="765">
        <f>AC43/AC40/4</f>
        <v>2.0461309523809526</v>
      </c>
      <c r="AD47" s="765">
        <f>AD43/AD40/4</f>
        <v>1.7487344684767603</v>
      </c>
      <c r="AE47" s="765">
        <f>AE43/AE40/4</f>
        <v>1.8832391713747645</v>
      </c>
      <c r="AF47" s="764">
        <f>AF43/AF40</f>
        <v>1.9605440509741454</v>
      </c>
      <c r="AG47" s="765">
        <f>AG43/AG40/4</f>
        <v>2.0338087691494979</v>
      </c>
      <c r="AH47" s="765">
        <f>AH43/AH40/4</f>
        <v>1.654103852596315</v>
      </c>
      <c r="AI47" s="765">
        <f>AI43/AI40/4</f>
        <v>1.8756050338818975</v>
      </c>
      <c r="AJ47" s="765">
        <f>AJ43/AJ40/4</f>
        <v>2.2625000000000002</v>
      </c>
      <c r="AK47" s="764">
        <f>AK43/AK40</f>
        <v>2.1684437522463162</v>
      </c>
      <c r="AL47" s="765">
        <f>AL43/AL40/4</f>
        <v>2.2831632653061225</v>
      </c>
      <c r="AM47" s="765">
        <f>AM43/AM40/4</f>
        <v>2.1562050790608529</v>
      </c>
      <c r="AN47" s="765">
        <f>AN43/AN40/4</f>
        <v>2.1994884910485935</v>
      </c>
      <c r="AO47" s="765">
        <f>AO43/AO40/4</f>
        <v>2.6201431492842535</v>
      </c>
      <c r="AP47" s="764">
        <f>AP43/AP40</f>
        <v>2.5760241266649913</v>
      </c>
      <c r="AQ47" s="765">
        <f>AQ43/AQ40/4</f>
        <v>2.6358257127487899</v>
      </c>
      <c r="AR47" s="765">
        <f>AR43/AR40/4</f>
        <v>2.8544372294372296</v>
      </c>
      <c r="AS47" s="765">
        <f>AS43/AS40/4</f>
        <v>2.4827925270403148</v>
      </c>
      <c r="AT47" s="765">
        <f>AT43/AT40/4</f>
        <v>2.0331325301204819</v>
      </c>
      <c r="AU47" s="764">
        <f>AU43/AU40</f>
        <v>2.3434593924364537</v>
      </c>
      <c r="AV47" s="765">
        <f>AV43/AV40/4</f>
        <v>2.3541453428863868</v>
      </c>
      <c r="AW47" s="765">
        <f>AW43/AW40/4</f>
        <v>2.1685559388861506</v>
      </c>
      <c r="AX47" s="765">
        <f>AX43/AX40/4</f>
        <v>2.150259067357513</v>
      </c>
      <c r="AY47" s="765">
        <f>AY43/AY40/4</f>
        <v>2.0441729323308269</v>
      </c>
      <c r="AZ47" s="764">
        <f>AZ43/AZ40</f>
        <v>2.163909961447581</v>
      </c>
      <c r="BA47" s="980">
        <f t="shared" ref="BA47" si="155">+BA43/BA40</f>
        <v>2.3040482342807924</v>
      </c>
      <c r="BB47" s="765">
        <f>BB43/BB40/4</f>
        <v>2.375985164580436</v>
      </c>
      <c r="BC47" s="765">
        <f>BC43/BC40/4</f>
        <v>2.5348837209302326</v>
      </c>
      <c r="BD47" s="765">
        <f>BD43/BD40/4</f>
        <v>2.2668112798264644</v>
      </c>
      <c r="BE47" s="765">
        <f>BE43/BE40/4</f>
        <v>1.9594594594594594</v>
      </c>
      <c r="BF47" s="764">
        <f>BF43/BF40</f>
        <v>2.206042164746794</v>
      </c>
      <c r="BG47" s="765">
        <f>BG43/BG40/4</f>
        <v>2.2247191011235956</v>
      </c>
      <c r="BH47" s="765">
        <f>BH43/BH40/4</f>
        <v>2.052401746724891</v>
      </c>
      <c r="BI47" s="765">
        <f>BI43/BI40/4</f>
        <v>2.0153985507246377</v>
      </c>
      <c r="BJ47" s="765">
        <f>BJ43/BJ40/4</f>
        <v>1.8261964735516374</v>
      </c>
      <c r="BK47" s="764">
        <f>BK43/BK40</f>
        <v>1.9110378912685337</v>
      </c>
      <c r="BL47" s="765">
        <f>BL43/BL40/4</f>
        <v>2.0882214922571563</v>
      </c>
      <c r="BM47" s="765">
        <f>BM43/BM40/4</f>
        <v>2.0842721946822893</v>
      </c>
      <c r="BN47" s="765"/>
      <c r="BO47" s="765"/>
      <c r="BP47" s="764"/>
      <c r="BQ47" s="980"/>
      <c r="BR47" s="765">
        <f>BR43/BR40/4</f>
        <v>2.2247191011235956</v>
      </c>
      <c r="BS47" s="765">
        <f>BS43/BS40/4</f>
        <v>2.052401746724891</v>
      </c>
      <c r="BT47" s="765">
        <f>BT43/BT40/4</f>
        <v>2.0153985507246377</v>
      </c>
      <c r="BU47" s="765">
        <f>BU43/BU40/4</f>
        <v>1.8261964735516374</v>
      </c>
      <c r="BV47" s="764">
        <f>BV43/BV40</f>
        <v>1.9110378912685337</v>
      </c>
      <c r="BW47" s="765">
        <f>BW43/BW40/4</f>
        <v>2.0882214922571563</v>
      </c>
      <c r="BX47" s="765">
        <f>BX43/BX40/4</f>
        <v>2.0842721946822893</v>
      </c>
      <c r="BY47" s="765">
        <f>BY43/BY40/4</f>
        <v>2.1710526315789473</v>
      </c>
      <c r="BZ47" s="765">
        <f>BZ43/BZ40/4</f>
        <v>1.6950341849586181</v>
      </c>
      <c r="CA47" s="764">
        <f>CA43/CA40</f>
        <v>2.0025507492826016</v>
      </c>
      <c r="CB47" s="765">
        <f>CB43/CB40/4</f>
        <v>2.0648030495552732</v>
      </c>
      <c r="CC47" s="765">
        <f>CC43/CC40/4</f>
        <v>1.9063406547865727</v>
      </c>
      <c r="CD47" s="765">
        <f>CD43/CD40/4</f>
        <v>1.9427175843694493</v>
      </c>
      <c r="CE47" s="765">
        <f>CE43/CE40/4</f>
        <v>1.7640988966080915</v>
      </c>
      <c r="CF47" s="764">
        <f>CF43/CF40</f>
        <v>1.8227594215137759</v>
      </c>
      <c r="CG47" s="765"/>
      <c r="CH47" s="765"/>
      <c r="CI47" s="765"/>
      <c r="CJ47" s="765"/>
      <c r="CK47" s="764"/>
      <c r="CL47" s="765"/>
      <c r="CM47" s="765"/>
      <c r="CN47" s="765"/>
      <c r="CO47" s="765"/>
      <c r="CP47" s="764">
        <f>CP43/CP40</f>
        <v>2.2980539077947757</v>
      </c>
      <c r="CQ47" s="766"/>
      <c r="CR47" s="766"/>
      <c r="CS47" s="766"/>
      <c r="CT47" s="767"/>
      <c r="CU47" s="763"/>
      <c r="CV47" s="766"/>
      <c r="CW47" s="766"/>
      <c r="CX47" s="766"/>
      <c r="CY47" s="767"/>
      <c r="CZ47" s="763"/>
      <c r="DA47" s="766"/>
      <c r="DB47" s="766"/>
      <c r="DC47" s="766"/>
      <c r="DD47" s="767"/>
      <c r="DE47" s="763"/>
      <c r="DF47" s="766"/>
      <c r="DG47" s="766"/>
      <c r="DH47" s="766"/>
      <c r="DI47" s="767"/>
      <c r="DJ47" s="763"/>
      <c r="DK47" s="768"/>
      <c r="DL47" s="769"/>
      <c r="DM47" s="865"/>
      <c r="DN47" s="865"/>
      <c r="DO47" s="865"/>
      <c r="DP47" s="1081"/>
      <c r="DQ47" s="1081"/>
      <c r="DR47" s="1081"/>
      <c r="DS47" s="865"/>
      <c r="DT47" s="865"/>
      <c r="DU47" s="865"/>
      <c r="DV47" s="865"/>
      <c r="DW47" s="865"/>
      <c r="DX47" s="865"/>
      <c r="DY47" s="770"/>
      <c r="DZ47" s="771"/>
      <c r="EA47" s="771"/>
      <c r="EB47"/>
      <c r="EC47"/>
      <c r="ED47"/>
      <c r="EE47"/>
      <c r="EF47"/>
      <c r="EG47"/>
    </row>
    <row r="48" spans="1:137" s="363" customFormat="1" hidden="1" outlineLevel="1" collapsed="1">
      <c r="A48" s="87" t="s">
        <v>25</v>
      </c>
      <c r="B48" s="91">
        <v>8079</v>
      </c>
      <c r="C48" s="91">
        <v>8685</v>
      </c>
      <c r="D48" s="91">
        <v>8991</v>
      </c>
      <c r="E48" s="91">
        <v>9729</v>
      </c>
      <c r="F48" s="91">
        <v>9811</v>
      </c>
      <c r="G48" s="91">
        <v>10519</v>
      </c>
      <c r="H48" s="90">
        <v>2515</v>
      </c>
      <c r="I48" s="94">
        <v>2927</v>
      </c>
      <c r="J48" s="94">
        <v>2827</v>
      </c>
      <c r="K48" s="90">
        <f>L48-SUM(H48:J48)</f>
        <v>2874</v>
      </c>
      <c r="L48" s="91">
        <v>11143</v>
      </c>
      <c r="M48" s="94">
        <v>2789</v>
      </c>
      <c r="N48" s="94">
        <v>3095</v>
      </c>
      <c r="O48" s="94">
        <v>2802</v>
      </c>
      <c r="P48" s="90">
        <v>2934</v>
      </c>
      <c r="Q48" s="91">
        <v>11620</v>
      </c>
      <c r="R48" s="94">
        <v>2913</v>
      </c>
      <c r="S48" s="94">
        <v>3395</v>
      </c>
      <c r="T48" s="94">
        <v>3254</v>
      </c>
      <c r="U48" s="88">
        <v>3714</v>
      </c>
      <c r="V48" s="91">
        <f>SUM(R48:U48)</f>
        <v>13276</v>
      </c>
      <c r="W48" s="94">
        <v>3250</v>
      </c>
      <c r="X48" s="94">
        <v>3534</v>
      </c>
      <c r="Y48" s="94">
        <v>3556</v>
      </c>
      <c r="Z48" s="90">
        <v>4011</v>
      </c>
      <c r="AA48" s="89">
        <f>SUM(W48:Z48)</f>
        <v>14351</v>
      </c>
      <c r="AB48" s="94"/>
      <c r="AC48" s="94"/>
      <c r="AD48" s="94"/>
      <c r="AE48" s="90"/>
      <c r="AF48" s="91"/>
      <c r="AG48" s="90"/>
      <c r="AH48" s="94"/>
      <c r="AI48" s="94"/>
      <c r="AJ48" s="90"/>
      <c r="AK48" s="91"/>
      <c r="AL48" s="94"/>
      <c r="AM48" s="94"/>
      <c r="AN48" s="94"/>
      <c r="AO48" s="90"/>
      <c r="AP48" s="91"/>
      <c r="AQ48" s="96"/>
      <c r="AR48" s="94"/>
      <c r="AS48" s="94"/>
      <c r="AT48" s="90"/>
      <c r="AU48" s="91"/>
      <c r="AV48" s="96"/>
      <c r="AW48" s="94"/>
      <c r="AX48" s="94"/>
      <c r="AY48" s="90"/>
      <c r="AZ48" s="91"/>
      <c r="BA48" s="91"/>
      <c r="BB48" s="96"/>
      <c r="BC48" s="94"/>
      <c r="BD48" s="94"/>
      <c r="BE48" s="90"/>
      <c r="BF48" s="91"/>
      <c r="BG48" s="96"/>
      <c r="BH48" s="94"/>
      <c r="BI48" s="94"/>
      <c r="BJ48" s="90"/>
      <c r="BK48" s="91"/>
      <c r="BL48" s="96"/>
      <c r="BM48" s="94"/>
      <c r="BN48" s="94"/>
      <c r="BO48" s="90"/>
      <c r="BP48" s="91"/>
      <c r="BQ48" s="91"/>
      <c r="BR48" s="96"/>
      <c r="BS48" s="94"/>
      <c r="BT48" s="94"/>
      <c r="BU48" s="90"/>
      <c r="BV48" s="91"/>
      <c r="BW48" s="96"/>
      <c r="BX48" s="94"/>
      <c r="BY48" s="94"/>
      <c r="BZ48" s="90"/>
      <c r="CA48" s="91"/>
      <c r="CB48" s="96"/>
      <c r="CC48" s="94"/>
      <c r="CD48" s="94"/>
      <c r="CE48" s="90"/>
      <c r="CF48" s="91"/>
      <c r="CG48" s="96"/>
      <c r="CH48" s="94"/>
      <c r="CI48" s="94"/>
      <c r="CJ48" s="90"/>
      <c r="CK48" s="91"/>
      <c r="CL48" s="96"/>
      <c r="CM48" s="94"/>
      <c r="CN48" s="94"/>
      <c r="CO48" s="90"/>
      <c r="CP48" s="91"/>
      <c r="CQ48" s="90"/>
      <c r="CR48" s="90"/>
      <c r="CS48" s="90"/>
      <c r="CT48" s="95"/>
      <c r="CU48" s="91"/>
      <c r="CV48" s="90"/>
      <c r="CW48" s="90"/>
      <c r="CX48" s="90"/>
      <c r="CY48" s="95"/>
      <c r="CZ48" s="91"/>
      <c r="DA48" s="90"/>
      <c r="DB48" s="90"/>
      <c r="DC48" s="90"/>
      <c r="DD48" s="95"/>
      <c r="DE48" s="91"/>
      <c r="DF48" s="90"/>
      <c r="DG48" s="90"/>
      <c r="DH48" s="90"/>
      <c r="DI48" s="95"/>
      <c r="DJ48" s="91"/>
      <c r="DK48" s="136"/>
      <c r="DL48" s="356"/>
      <c r="DM48" s="810"/>
      <c r="DN48" s="1092"/>
      <c r="DO48" s="810"/>
      <c r="DP48" s="1053"/>
      <c r="DQ48" s="1053"/>
      <c r="DR48" s="1053"/>
      <c r="DS48" s="810"/>
      <c r="DT48" s="810"/>
      <c r="DU48" s="810"/>
      <c r="DV48" s="810"/>
      <c r="DW48" s="810"/>
      <c r="DX48" s="810"/>
      <c r="DY48" s="356"/>
      <c r="DZ48" s="137"/>
      <c r="EA48" s="137"/>
      <c r="EB48"/>
      <c r="EC48"/>
      <c r="ED48"/>
      <c r="EE48"/>
      <c r="EF48"/>
      <c r="EG48"/>
    </row>
    <row r="49" spans="1:137" s="398" customFormat="1" hidden="1" outlineLevel="1">
      <c r="A49" s="97" t="s">
        <v>53</v>
      </c>
      <c r="B49" s="80"/>
      <c r="C49" s="80">
        <f>C48/B48-1</f>
        <v>7.5009283327144516E-2</v>
      </c>
      <c r="D49" s="80">
        <f>D48/C48-1</f>
        <v>3.5233160621761739E-2</v>
      </c>
      <c r="E49" s="80">
        <f>E48/D48-1</f>
        <v>8.2082082082082009E-2</v>
      </c>
      <c r="F49" s="80">
        <f>F48/E48-1</f>
        <v>8.4284099085210062E-3</v>
      </c>
      <c r="G49" s="80">
        <f>G48/F48-1</f>
        <v>7.2163897665885157E-2</v>
      </c>
      <c r="H49" s="82"/>
      <c r="I49" s="82"/>
      <c r="J49" s="82"/>
      <c r="K49" s="82"/>
      <c r="L49" s="80">
        <f t="shared" ref="L49:AA49" si="156">L48/G48-1</f>
        <v>5.9321228253636171E-2</v>
      </c>
      <c r="M49" s="82">
        <f t="shared" si="156"/>
        <v>0.10894632206759436</v>
      </c>
      <c r="N49" s="82">
        <f t="shared" si="156"/>
        <v>5.7396651861974624E-2</v>
      </c>
      <c r="O49" s="82">
        <f t="shared" si="156"/>
        <v>-8.8432967810400109E-3</v>
      </c>
      <c r="P49" s="82">
        <f t="shared" si="156"/>
        <v>2.087682672233826E-2</v>
      </c>
      <c r="Q49" s="80">
        <f t="shared" si="156"/>
        <v>4.2807143498160283E-2</v>
      </c>
      <c r="R49" s="82">
        <f t="shared" si="156"/>
        <v>4.446038006453934E-2</v>
      </c>
      <c r="S49" s="82">
        <f t="shared" si="156"/>
        <v>9.6930533117932205E-2</v>
      </c>
      <c r="T49" s="82">
        <f t="shared" si="156"/>
        <v>0.16131334760885085</v>
      </c>
      <c r="U49" s="83">
        <f t="shared" si="156"/>
        <v>0.26584867075664631</v>
      </c>
      <c r="V49" s="80">
        <f t="shared" si="156"/>
        <v>0.14251290877796907</v>
      </c>
      <c r="W49" s="83">
        <f t="shared" si="156"/>
        <v>0.11568829385513224</v>
      </c>
      <c r="X49" s="82">
        <f t="shared" si="156"/>
        <v>4.0942562592047205E-2</v>
      </c>
      <c r="Y49" s="83">
        <f t="shared" si="156"/>
        <v>9.2808850645359486E-2</v>
      </c>
      <c r="Z49" s="83">
        <f t="shared" si="156"/>
        <v>7.9967689822294075E-2</v>
      </c>
      <c r="AA49" s="84">
        <f t="shared" si="156"/>
        <v>8.0973184694185019E-2</v>
      </c>
      <c r="AB49" s="83"/>
      <c r="AC49" s="82"/>
      <c r="AD49" s="82"/>
      <c r="AE49" s="82"/>
      <c r="AF49" s="84"/>
      <c r="AG49" s="83"/>
      <c r="AH49" s="82"/>
      <c r="AI49" s="82"/>
      <c r="AJ49" s="82"/>
      <c r="AK49" s="80"/>
      <c r="AL49" s="82"/>
      <c r="AM49" s="82"/>
      <c r="AN49" s="82"/>
      <c r="AO49" s="82"/>
      <c r="AP49" s="80"/>
      <c r="AQ49" s="85"/>
      <c r="AR49" s="82"/>
      <c r="AS49" s="82"/>
      <c r="AT49" s="82"/>
      <c r="AU49" s="80"/>
      <c r="AV49" s="85"/>
      <c r="AW49" s="82"/>
      <c r="AX49" s="82"/>
      <c r="AY49" s="82"/>
      <c r="AZ49" s="80"/>
      <c r="BA49" s="80"/>
      <c r="BB49" s="85"/>
      <c r="BC49" s="82"/>
      <c r="BD49" s="82"/>
      <c r="BE49" s="82"/>
      <c r="BF49" s="80"/>
      <c r="BG49" s="85"/>
      <c r="BH49" s="82"/>
      <c r="BI49" s="82"/>
      <c r="BJ49" s="82"/>
      <c r="BK49" s="80"/>
      <c r="BL49" s="85"/>
      <c r="BM49" s="82"/>
      <c r="BN49" s="82"/>
      <c r="BO49" s="82"/>
      <c r="BP49" s="80"/>
      <c r="BQ49" s="80"/>
      <c r="BR49" s="85"/>
      <c r="BS49" s="82"/>
      <c r="BT49" s="82"/>
      <c r="BU49" s="82"/>
      <c r="BV49" s="80"/>
      <c r="BW49" s="85"/>
      <c r="BX49" s="82"/>
      <c r="BY49" s="82"/>
      <c r="BZ49" s="82"/>
      <c r="CA49" s="80"/>
      <c r="CB49" s="85"/>
      <c r="CC49" s="82"/>
      <c r="CD49" s="82"/>
      <c r="CE49" s="82"/>
      <c r="CF49" s="80"/>
      <c r="CG49" s="85"/>
      <c r="CH49" s="82"/>
      <c r="CI49" s="82"/>
      <c r="CJ49" s="82"/>
      <c r="CK49" s="80"/>
      <c r="CL49" s="85"/>
      <c r="CM49" s="82"/>
      <c r="CN49" s="82"/>
      <c r="CO49" s="82"/>
      <c r="CP49" s="80"/>
      <c r="CQ49" s="82"/>
      <c r="CR49" s="82"/>
      <c r="CS49" s="82"/>
      <c r="CT49" s="81"/>
      <c r="CU49" s="80"/>
      <c r="CV49" s="82"/>
      <c r="CW49" s="82"/>
      <c r="CX49" s="82"/>
      <c r="CY49" s="81"/>
      <c r="CZ49" s="80"/>
      <c r="DA49" s="82"/>
      <c r="DB49" s="82"/>
      <c r="DC49" s="82"/>
      <c r="DD49" s="81"/>
      <c r="DE49" s="80"/>
      <c r="DF49" s="82"/>
      <c r="DG49" s="82"/>
      <c r="DH49" s="82"/>
      <c r="DI49" s="81"/>
      <c r="DJ49" s="80"/>
      <c r="DK49" s="397"/>
      <c r="DL49" s="74"/>
      <c r="DM49" s="809"/>
      <c r="DN49" s="809"/>
      <c r="DO49" s="809"/>
      <c r="DP49" s="1054"/>
      <c r="DQ49" s="1054"/>
      <c r="DR49" s="1054"/>
      <c r="DS49" s="809"/>
      <c r="DT49" s="809"/>
      <c r="DU49" s="809"/>
      <c r="DV49" s="809"/>
      <c r="DW49" s="809"/>
      <c r="DX49" s="809"/>
      <c r="DY49" s="360"/>
      <c r="DZ49" s="167"/>
      <c r="EA49" s="167"/>
      <c r="EB49"/>
      <c r="EC49"/>
      <c r="ED49"/>
      <c r="EE49"/>
      <c r="EF49"/>
      <c r="EG49"/>
    </row>
    <row r="50" spans="1:137" s="398" customFormat="1" hidden="1" outlineLevel="1">
      <c r="A50" s="97" t="s">
        <v>55</v>
      </c>
      <c r="B50" s="80">
        <f t="shared" ref="B50:AA50" si="157">IF(ISERROR(B48/B$55),"",B48/B$55)</f>
        <v>0.337074432576769</v>
      </c>
      <c r="C50" s="80">
        <f t="shared" si="157"/>
        <v>0.32697086062796477</v>
      </c>
      <c r="D50" s="80">
        <f t="shared" si="157"/>
        <v>0.28266473843058348</v>
      </c>
      <c r="E50" s="80">
        <f t="shared" si="157"/>
        <v>0.27385576760682317</v>
      </c>
      <c r="F50" s="80">
        <f t="shared" si="157"/>
        <v>0.2636444253352323</v>
      </c>
      <c r="G50" s="80">
        <f t="shared" si="157"/>
        <v>0.26549722362443212</v>
      </c>
      <c r="H50" s="82">
        <f t="shared" si="157"/>
        <v>0.27115902964959571</v>
      </c>
      <c r="I50" s="82">
        <f t="shared" si="157"/>
        <v>0.27480987700685383</v>
      </c>
      <c r="J50" s="82">
        <f t="shared" si="157"/>
        <v>0.254799459215863</v>
      </c>
      <c r="K50" s="82">
        <f t="shared" si="157"/>
        <v>0.26510469513882484</v>
      </c>
      <c r="L50" s="80">
        <f t="shared" si="157"/>
        <v>0.26618412880416609</v>
      </c>
      <c r="M50" s="82">
        <f t="shared" si="157"/>
        <v>0.27937493739356906</v>
      </c>
      <c r="N50" s="82">
        <f t="shared" si="157"/>
        <v>0.28036959869553402</v>
      </c>
      <c r="O50" s="82">
        <f t="shared" si="157"/>
        <v>0.26491443698591283</v>
      </c>
      <c r="P50" s="82">
        <f t="shared" si="157"/>
        <v>0.26356449874236437</v>
      </c>
      <c r="Q50" s="80">
        <f t="shared" si="157"/>
        <v>0.27193372493037843</v>
      </c>
      <c r="R50" s="82">
        <f t="shared" si="157"/>
        <v>0.28082521931938687</v>
      </c>
      <c r="S50" s="82">
        <f t="shared" si="157"/>
        <v>0.3066293352601156</v>
      </c>
      <c r="T50" s="82">
        <f t="shared" si="157"/>
        <v>0.30221974551871461</v>
      </c>
      <c r="U50" s="83">
        <f t="shared" si="157"/>
        <v>0.30435138900270425</v>
      </c>
      <c r="V50" s="80">
        <f t="shared" si="157"/>
        <v>0.29890802656760102</v>
      </c>
      <c r="W50" s="83">
        <f t="shared" si="157"/>
        <v>0.31440456612169876</v>
      </c>
      <c r="X50" s="82">
        <f t="shared" si="157"/>
        <v>0.31329787234042555</v>
      </c>
      <c r="Y50" s="83">
        <f t="shared" si="157"/>
        <v>0.31349731111698848</v>
      </c>
      <c r="Z50" s="83">
        <f t="shared" si="157"/>
        <v>0.31431705979155239</v>
      </c>
      <c r="AA50" s="84">
        <f t="shared" si="157"/>
        <v>0.31388202357778699</v>
      </c>
      <c r="AB50" s="83"/>
      <c r="AC50" s="82"/>
      <c r="AD50" s="82"/>
      <c r="AE50" s="82"/>
      <c r="AF50" s="84"/>
      <c r="AG50" s="83"/>
      <c r="AH50" s="82"/>
      <c r="AI50" s="82"/>
      <c r="AJ50" s="82"/>
      <c r="AK50" s="80"/>
      <c r="AL50" s="82"/>
      <c r="AM50" s="82"/>
      <c r="AN50" s="82"/>
      <c r="AO50" s="82"/>
      <c r="AP50" s="80"/>
      <c r="AQ50" s="85"/>
      <c r="AR50" s="82"/>
      <c r="AS50" s="82"/>
      <c r="AT50" s="82"/>
      <c r="AU50" s="80"/>
      <c r="AV50" s="85"/>
      <c r="AW50" s="82"/>
      <c r="AX50" s="82"/>
      <c r="AY50" s="82"/>
      <c r="AZ50" s="80"/>
      <c r="BA50" s="80"/>
      <c r="BB50" s="85"/>
      <c r="BC50" s="82"/>
      <c r="BD50" s="82"/>
      <c r="BE50" s="82"/>
      <c r="BF50" s="80"/>
      <c r="BG50" s="85"/>
      <c r="BH50" s="82"/>
      <c r="BI50" s="82"/>
      <c r="BJ50" s="82"/>
      <c r="BK50" s="80"/>
      <c r="BL50" s="85"/>
      <c r="BM50" s="82"/>
      <c r="BN50" s="82"/>
      <c r="BO50" s="82"/>
      <c r="BP50" s="80"/>
      <c r="BQ50" s="80"/>
      <c r="BR50" s="85"/>
      <c r="BS50" s="82"/>
      <c r="BT50" s="82"/>
      <c r="BU50" s="82"/>
      <c r="BV50" s="80"/>
      <c r="BW50" s="85"/>
      <c r="BX50" s="82"/>
      <c r="BY50" s="82"/>
      <c r="BZ50" s="82"/>
      <c r="CA50" s="80"/>
      <c r="CB50" s="85"/>
      <c r="CC50" s="82"/>
      <c r="CD50" s="82"/>
      <c r="CE50" s="82"/>
      <c r="CF50" s="80"/>
      <c r="CG50" s="85"/>
      <c r="CH50" s="82"/>
      <c r="CI50" s="82"/>
      <c r="CJ50" s="82"/>
      <c r="CK50" s="80"/>
      <c r="CL50" s="85"/>
      <c r="CM50" s="82"/>
      <c r="CN50" s="82"/>
      <c r="CO50" s="82"/>
      <c r="CP50" s="80"/>
      <c r="CQ50" s="82"/>
      <c r="CR50" s="82"/>
      <c r="CS50" s="82"/>
      <c r="CT50" s="81"/>
      <c r="CU50" s="80"/>
      <c r="CV50" s="82"/>
      <c r="CW50" s="82"/>
      <c r="CX50" s="82"/>
      <c r="CY50" s="81"/>
      <c r="CZ50" s="80"/>
      <c r="DA50" s="82"/>
      <c r="DB50" s="82"/>
      <c r="DC50" s="82"/>
      <c r="DD50" s="81"/>
      <c r="DE50" s="80"/>
      <c r="DF50" s="82"/>
      <c r="DG50" s="82"/>
      <c r="DH50" s="82"/>
      <c r="DI50" s="81"/>
      <c r="DJ50" s="80"/>
      <c r="DK50" s="397"/>
      <c r="DL50" s="74"/>
      <c r="DM50" s="809"/>
      <c r="DN50" s="809"/>
      <c r="DO50" s="809"/>
      <c r="DP50" s="1054"/>
      <c r="DQ50" s="1054"/>
      <c r="DR50" s="1054"/>
      <c r="DS50" s="809"/>
      <c r="DT50" s="809"/>
      <c r="DU50" s="809"/>
      <c r="DV50" s="809"/>
      <c r="DW50" s="809"/>
      <c r="DX50" s="809"/>
      <c r="DY50" s="360"/>
      <c r="DZ50" s="167"/>
      <c r="EA50" s="167"/>
      <c r="EB50"/>
      <c r="EC50"/>
      <c r="ED50"/>
      <c r="EE50"/>
      <c r="EF50"/>
      <c r="EG50"/>
    </row>
    <row r="51" spans="1:137" s="144" customFormat="1" ht="12.75" hidden="1" customHeight="1" outlineLevel="1">
      <c r="A51" s="387" t="s">
        <v>25</v>
      </c>
      <c r="B51" s="374">
        <v>15333</v>
      </c>
      <c r="C51" s="374">
        <v>16034</v>
      </c>
      <c r="D51" s="374">
        <v>17339</v>
      </c>
      <c r="E51" s="374">
        <v>18239</v>
      </c>
      <c r="F51" s="374">
        <v>19932</v>
      </c>
      <c r="G51" s="374">
        <v>19700</v>
      </c>
      <c r="H51" s="387">
        <v>20400</v>
      </c>
      <c r="I51" s="387">
        <v>19700</v>
      </c>
      <c r="J51" s="387">
        <v>20100</v>
      </c>
      <c r="K51" s="387">
        <v>21200</v>
      </c>
      <c r="L51" s="374">
        <v>21200</v>
      </c>
      <c r="M51" s="387">
        <v>20300</v>
      </c>
      <c r="N51" s="387">
        <v>19700</v>
      </c>
      <c r="O51" s="387">
        <v>19900</v>
      </c>
      <c r="P51" s="387">
        <v>22500</v>
      </c>
      <c r="Q51" s="374">
        <v>22500</v>
      </c>
      <c r="R51" s="387">
        <v>23000</v>
      </c>
      <c r="S51" s="387">
        <v>21000</v>
      </c>
      <c r="T51" s="387">
        <v>20500</v>
      </c>
      <c r="U51" s="387">
        <f>(V51)</f>
        <v>23100</v>
      </c>
      <c r="V51" s="374">
        <v>23100</v>
      </c>
      <c r="W51" s="387">
        <v>21100</v>
      </c>
      <c r="X51" s="388">
        <v>21900</v>
      </c>
      <c r="Y51" s="388">
        <v>21200</v>
      </c>
      <c r="Z51" s="387">
        <f>AA51</f>
        <v>23400</v>
      </c>
      <c r="AA51" s="374">
        <v>23400</v>
      </c>
      <c r="AB51" s="387"/>
      <c r="AC51" s="388"/>
      <c r="AD51" s="387"/>
      <c r="AE51" s="387"/>
      <c r="AF51" s="374"/>
      <c r="AG51" s="387"/>
      <c r="AH51" s="388"/>
      <c r="AI51" s="387"/>
      <c r="AJ51" s="387"/>
      <c r="AK51" s="374"/>
      <c r="AL51" s="389"/>
      <c r="AM51" s="389"/>
      <c r="AN51" s="387"/>
      <c r="AO51" s="387"/>
      <c r="AP51" s="374"/>
      <c r="AQ51" s="390"/>
      <c r="AR51" s="389"/>
      <c r="AS51" s="387"/>
      <c r="AT51" s="387"/>
      <c r="AU51" s="374"/>
      <c r="AV51" s="390"/>
      <c r="AW51" s="389"/>
      <c r="AX51" s="387"/>
      <c r="AY51" s="387"/>
      <c r="AZ51" s="374"/>
      <c r="BA51" s="374"/>
      <c r="BB51" s="390"/>
      <c r="BC51" s="389"/>
      <c r="BD51" s="387"/>
      <c r="BE51" s="387"/>
      <c r="BF51" s="374"/>
      <c r="BG51" s="390"/>
      <c r="BH51" s="389"/>
      <c r="BI51" s="387"/>
      <c r="BJ51" s="387"/>
      <c r="BK51" s="374"/>
      <c r="BL51" s="390"/>
      <c r="BM51" s="389"/>
      <c r="BN51" s="387"/>
      <c r="BO51" s="387"/>
      <c r="BP51" s="374"/>
      <c r="BQ51" s="374"/>
      <c r="BR51" s="390"/>
      <c r="BS51" s="389"/>
      <c r="BT51" s="387"/>
      <c r="BU51" s="387"/>
      <c r="BV51" s="374"/>
      <c r="BW51" s="390"/>
      <c r="BX51" s="389"/>
      <c r="BY51" s="387"/>
      <c r="BZ51" s="387"/>
      <c r="CA51" s="374"/>
      <c r="CB51" s="390"/>
      <c r="CC51" s="389"/>
      <c r="CD51" s="387"/>
      <c r="CE51" s="387"/>
      <c r="CF51" s="374"/>
      <c r="CG51" s="390"/>
      <c r="CH51" s="389"/>
      <c r="CI51" s="387"/>
      <c r="CJ51" s="387"/>
      <c r="CK51" s="374"/>
      <c r="CL51" s="390"/>
      <c r="CM51" s="389"/>
      <c r="CN51" s="387"/>
      <c r="CO51" s="387"/>
      <c r="CP51" s="374"/>
      <c r="CQ51" s="387"/>
      <c r="CR51" s="387"/>
      <c r="CS51" s="387"/>
      <c r="CT51" s="391"/>
      <c r="CU51" s="374"/>
      <c r="CV51" s="387"/>
      <c r="CW51" s="387"/>
      <c r="CX51" s="387"/>
      <c r="CY51" s="391"/>
      <c r="CZ51" s="374"/>
      <c r="DA51" s="387"/>
      <c r="DB51" s="387"/>
      <c r="DC51" s="387"/>
      <c r="DD51" s="391"/>
      <c r="DE51" s="374"/>
      <c r="DF51" s="387"/>
      <c r="DG51" s="387"/>
      <c r="DH51" s="387"/>
      <c r="DI51" s="391"/>
      <c r="DJ51" s="374"/>
      <c r="DK51" s="399"/>
      <c r="DL51" s="400"/>
      <c r="DM51" s="810"/>
      <c r="DN51" s="810"/>
      <c r="DO51" s="810"/>
      <c r="DP51" s="1053"/>
      <c r="DQ51" s="1053"/>
      <c r="DR51" s="1053"/>
      <c r="DS51" s="810"/>
      <c r="DT51" s="810"/>
      <c r="DU51" s="810"/>
      <c r="DV51" s="810"/>
      <c r="DW51" s="810"/>
      <c r="DX51" s="810"/>
      <c r="DY51" s="357"/>
      <c r="DZ51" s="143"/>
      <c r="EA51" s="143"/>
      <c r="EB51"/>
      <c r="EC51"/>
      <c r="ED51"/>
      <c r="EE51"/>
      <c r="EF51"/>
      <c r="EG51"/>
    </row>
    <row r="52" spans="1:137" s="398" customFormat="1" ht="12.75" hidden="1" customHeight="1" outlineLevel="1">
      <c r="A52" s="97" t="s">
        <v>53</v>
      </c>
      <c r="B52" s="343"/>
      <c r="C52" s="80">
        <f>C51/B51-1</f>
        <v>4.5718385182286658E-2</v>
      </c>
      <c r="D52" s="80">
        <f>D51/C51-1</f>
        <v>8.1389547212174174E-2</v>
      </c>
      <c r="E52" s="80">
        <f>E51/D51-1</f>
        <v>5.19061076186631E-2</v>
      </c>
      <c r="F52" s="80">
        <f>F51/E51-1</f>
        <v>9.2823071440320204E-2</v>
      </c>
      <c r="G52" s="80">
        <f>G51/F51-1</f>
        <v>-1.1639574553481857E-2</v>
      </c>
      <c r="H52" s="82"/>
      <c r="I52" s="82"/>
      <c r="J52" s="82"/>
      <c r="K52" s="82"/>
      <c r="L52" s="80">
        <f t="shared" ref="L52:AA52" si="158">L51/G51-1</f>
        <v>7.6142131979695327E-2</v>
      </c>
      <c r="M52" s="82">
        <f t="shared" si="158"/>
        <v>-4.9019607843137081E-3</v>
      </c>
      <c r="N52" s="82">
        <f t="shared" si="158"/>
        <v>0</v>
      </c>
      <c r="O52" s="82">
        <f t="shared" si="158"/>
        <v>-9.9502487562188602E-3</v>
      </c>
      <c r="P52" s="82">
        <f t="shared" si="158"/>
        <v>6.1320754716981174E-2</v>
      </c>
      <c r="Q52" s="80">
        <f t="shared" si="158"/>
        <v>6.1320754716981174E-2</v>
      </c>
      <c r="R52" s="82">
        <f t="shared" si="158"/>
        <v>0.13300492610837433</v>
      </c>
      <c r="S52" s="82">
        <f t="shared" si="158"/>
        <v>6.5989847715736127E-2</v>
      </c>
      <c r="T52" s="82">
        <f t="shared" si="158"/>
        <v>3.015075376884413E-2</v>
      </c>
      <c r="U52" s="82">
        <f t="shared" si="158"/>
        <v>2.6666666666666616E-2</v>
      </c>
      <c r="V52" s="80">
        <f t="shared" si="158"/>
        <v>2.6666666666666616E-2</v>
      </c>
      <c r="W52" s="83">
        <f t="shared" si="158"/>
        <v>-8.260869565217388E-2</v>
      </c>
      <c r="X52" s="82">
        <f t="shared" si="158"/>
        <v>4.2857142857142927E-2</v>
      </c>
      <c r="Y52" s="83">
        <f t="shared" si="158"/>
        <v>3.4146341463414664E-2</v>
      </c>
      <c r="Z52" s="83">
        <f t="shared" si="158"/>
        <v>1.298701298701288E-2</v>
      </c>
      <c r="AA52" s="84">
        <f t="shared" si="158"/>
        <v>1.298701298701288E-2</v>
      </c>
      <c r="AB52" s="372"/>
      <c r="AC52" s="372"/>
      <c r="AD52" s="372"/>
      <c r="AE52" s="11"/>
      <c r="AF52" s="343"/>
      <c r="AG52" s="11"/>
      <c r="AH52" s="372"/>
      <c r="AI52" s="372"/>
      <c r="AJ52" s="11"/>
      <c r="AK52" s="180"/>
      <c r="AL52" s="56"/>
      <c r="AM52" s="56"/>
      <c r="AN52" s="475"/>
      <c r="AO52" s="366"/>
      <c r="AP52" s="365"/>
      <c r="AQ52" s="367"/>
      <c r="AR52" s="56"/>
      <c r="AS52" s="475"/>
      <c r="AT52" s="366"/>
      <c r="AU52" s="365"/>
      <c r="AV52" s="367"/>
      <c r="AW52" s="56"/>
      <c r="AX52" s="475"/>
      <c r="AY52" s="366"/>
      <c r="AZ52" s="365"/>
      <c r="BA52" s="365"/>
      <c r="BB52" s="367"/>
      <c r="BC52" s="56"/>
      <c r="BD52" s="475"/>
      <c r="BE52" s="366"/>
      <c r="BF52" s="365"/>
      <c r="BG52" s="367"/>
      <c r="BH52" s="56"/>
      <c r="BI52" s="475"/>
      <c r="BJ52" s="366"/>
      <c r="BK52" s="365"/>
      <c r="BL52" s="367"/>
      <c r="BM52" s="56"/>
      <c r="BN52" s="475"/>
      <c r="BO52" s="366"/>
      <c r="BP52" s="365"/>
      <c r="BQ52" s="365"/>
      <c r="BR52" s="367"/>
      <c r="BS52" s="56"/>
      <c r="BT52" s="475"/>
      <c r="BU52" s="366"/>
      <c r="BV52" s="365"/>
      <c r="BW52" s="367"/>
      <c r="BX52" s="56"/>
      <c r="BY52" s="475"/>
      <c r="BZ52" s="366"/>
      <c r="CA52" s="365"/>
      <c r="CB52" s="367"/>
      <c r="CC52" s="56"/>
      <c r="CD52" s="475"/>
      <c r="CE52" s="366"/>
      <c r="CF52" s="365"/>
      <c r="CG52" s="367"/>
      <c r="CH52" s="56"/>
      <c r="CI52" s="475"/>
      <c r="CJ52" s="366"/>
      <c r="CK52" s="365"/>
      <c r="CL52" s="367"/>
      <c r="CM52" s="56"/>
      <c r="CN52" s="475"/>
      <c r="CO52" s="366"/>
      <c r="CP52" s="365"/>
      <c r="CQ52" s="366"/>
      <c r="CR52" s="366"/>
      <c r="CS52" s="366"/>
      <c r="CT52" s="368"/>
      <c r="CU52" s="365"/>
      <c r="CV52" s="366"/>
      <c r="CW52" s="366"/>
      <c r="CX52" s="366"/>
      <c r="CY52" s="368"/>
      <c r="CZ52" s="365"/>
      <c r="DA52" s="366"/>
      <c r="DB52" s="366"/>
      <c r="DC52" s="366"/>
      <c r="DD52" s="368"/>
      <c r="DE52" s="365"/>
      <c r="DF52" s="366"/>
      <c r="DG52" s="366"/>
      <c r="DH52" s="366"/>
      <c r="DI52" s="368"/>
      <c r="DJ52" s="365"/>
      <c r="DK52" s="397"/>
      <c r="DL52" s="74"/>
      <c r="DM52" s="809"/>
      <c r="DN52" s="809"/>
      <c r="DO52" s="809"/>
      <c r="DP52" s="1054"/>
      <c r="DQ52" s="1054"/>
      <c r="DR52" s="1054"/>
      <c r="DS52" s="809"/>
      <c r="DT52" s="809"/>
      <c r="DU52" s="809"/>
      <c r="DV52" s="809"/>
      <c r="DW52" s="809"/>
      <c r="DX52" s="809"/>
      <c r="DY52" s="360"/>
      <c r="DZ52" s="167"/>
      <c r="EA52" s="167"/>
      <c r="EB52"/>
      <c r="EC52"/>
      <c r="ED52"/>
      <c r="EE52"/>
      <c r="EF52"/>
      <c r="EG52"/>
    </row>
    <row r="53" spans="1:137" s="398" customFormat="1" ht="12.75" hidden="1" customHeight="1" outlineLevel="1">
      <c r="A53" s="373" t="s">
        <v>121</v>
      </c>
      <c r="B53" s="343"/>
      <c r="C53" s="10">
        <f t="shared" ref="C53:K53" si="159">C51-(B51-C48)</f>
        <v>9386</v>
      </c>
      <c r="D53" s="10">
        <f t="shared" si="159"/>
        <v>10296</v>
      </c>
      <c r="E53" s="10">
        <f t="shared" si="159"/>
        <v>10629</v>
      </c>
      <c r="F53" s="10">
        <f t="shared" si="159"/>
        <v>11504</v>
      </c>
      <c r="G53" s="10">
        <f t="shared" si="159"/>
        <v>10287</v>
      </c>
      <c r="H53" s="62">
        <f t="shared" si="159"/>
        <v>3215</v>
      </c>
      <c r="I53" s="35">
        <f t="shared" si="159"/>
        <v>2227</v>
      </c>
      <c r="J53" s="35">
        <f t="shared" si="159"/>
        <v>3227</v>
      </c>
      <c r="K53" s="63">
        <f t="shared" si="159"/>
        <v>3974</v>
      </c>
      <c r="L53" s="10">
        <f>L51-(G51-L48)</f>
        <v>12643</v>
      </c>
      <c r="M53" s="62">
        <f>M51-(L51-M48)</f>
        <v>1889</v>
      </c>
      <c r="N53" s="35">
        <f>N51-(M51-N48)</f>
        <v>2495</v>
      </c>
      <c r="O53" s="35">
        <f>O51-(N51-O48)</f>
        <v>3002</v>
      </c>
      <c r="P53" s="63">
        <f>P51-(O51-P48)</f>
        <v>5534</v>
      </c>
      <c r="Q53" s="10">
        <f>Q51-(L51-Q48)</f>
        <v>12920</v>
      </c>
      <c r="R53" s="62">
        <f>R51-(Q51-R48)</f>
        <v>3413</v>
      </c>
      <c r="S53" s="35">
        <f>S51-(R51-S48)</f>
        <v>1395</v>
      </c>
      <c r="T53" s="35">
        <f>T51-(S51-T48)</f>
        <v>2754</v>
      </c>
      <c r="U53" s="63">
        <f>U51-(T51-U48)</f>
        <v>6314</v>
      </c>
      <c r="V53" s="10">
        <f>V51-(Q51-V48)</f>
        <v>13876</v>
      </c>
      <c r="W53" s="62">
        <f>W51-(V51-W48)</f>
        <v>1250</v>
      </c>
      <c r="X53" s="35">
        <f>X51-(W51-X48)</f>
        <v>4334</v>
      </c>
      <c r="Y53" s="35">
        <f>Y51-(X51-Y48)</f>
        <v>2856</v>
      </c>
      <c r="Z53" s="63">
        <f>Z51-(Y51-Z48)</f>
        <v>6211</v>
      </c>
      <c r="AA53" s="10">
        <f>AA51-(V51-AA48)</f>
        <v>14651</v>
      </c>
      <c r="AB53" s="372"/>
      <c r="AC53" s="372"/>
      <c r="AD53" s="372"/>
      <c r="AE53" s="11"/>
      <c r="AF53" s="343"/>
      <c r="AG53" s="11"/>
      <c r="AH53" s="372"/>
      <c r="AI53" s="372"/>
      <c r="AJ53" s="11"/>
      <c r="AK53" s="180"/>
      <c r="AL53" s="56"/>
      <c r="AM53" s="56"/>
      <c r="AN53" s="475"/>
      <c r="AO53" s="366"/>
      <c r="AP53" s="365"/>
      <c r="AQ53" s="367"/>
      <c r="AR53" s="56"/>
      <c r="AS53" s="475"/>
      <c r="AT53" s="366"/>
      <c r="AU53" s="365"/>
      <c r="AV53" s="367"/>
      <c r="AW53" s="56"/>
      <c r="AX53" s="475"/>
      <c r="AY53" s="366"/>
      <c r="AZ53" s="365"/>
      <c r="BA53" s="365"/>
      <c r="BB53" s="367"/>
      <c r="BC53" s="56"/>
      <c r="BD53" s="475"/>
      <c r="BE53" s="366"/>
      <c r="BF53" s="365"/>
      <c r="BG53" s="367"/>
      <c r="BH53" s="56"/>
      <c r="BI53" s="475"/>
      <c r="BJ53" s="366"/>
      <c r="BK53" s="365"/>
      <c r="BL53" s="367"/>
      <c r="BM53" s="56"/>
      <c r="BN53" s="475"/>
      <c r="BO53" s="366"/>
      <c r="BP53" s="365"/>
      <c r="BQ53" s="365"/>
      <c r="BR53" s="367"/>
      <c r="BS53" s="56"/>
      <c r="BT53" s="475"/>
      <c r="BU53" s="366"/>
      <c r="BV53" s="365"/>
      <c r="BW53" s="367"/>
      <c r="BX53" s="56"/>
      <c r="BY53" s="475"/>
      <c r="BZ53" s="366"/>
      <c r="CA53" s="365"/>
      <c r="CB53" s="367"/>
      <c r="CC53" s="56"/>
      <c r="CD53" s="475"/>
      <c r="CE53" s="366"/>
      <c r="CF53" s="365"/>
      <c r="CG53" s="367"/>
      <c r="CH53" s="56"/>
      <c r="CI53" s="475"/>
      <c r="CJ53" s="366"/>
      <c r="CK53" s="365"/>
      <c r="CL53" s="367"/>
      <c r="CM53" s="56"/>
      <c r="CN53" s="475"/>
      <c r="CO53" s="366"/>
      <c r="CP53" s="365"/>
      <c r="CQ53" s="366"/>
      <c r="CR53" s="366"/>
      <c r="CS53" s="366"/>
      <c r="CT53" s="368"/>
      <c r="CU53" s="365"/>
      <c r="CV53" s="366"/>
      <c r="CW53" s="366"/>
      <c r="CX53" s="366"/>
      <c r="CY53" s="368"/>
      <c r="CZ53" s="365"/>
      <c r="DA53" s="366"/>
      <c r="DB53" s="366"/>
      <c r="DC53" s="366"/>
      <c r="DD53" s="368"/>
      <c r="DE53" s="365"/>
      <c r="DF53" s="366"/>
      <c r="DG53" s="366"/>
      <c r="DH53" s="366"/>
      <c r="DI53" s="368"/>
      <c r="DJ53" s="365"/>
      <c r="DK53" s="397"/>
      <c r="DL53" s="74"/>
      <c r="DM53" s="809"/>
      <c r="DN53" s="809"/>
      <c r="DO53" s="809"/>
      <c r="DP53" s="1054"/>
      <c r="DQ53" s="1054"/>
      <c r="DR53" s="1054"/>
      <c r="DS53" s="809"/>
      <c r="DT53" s="809"/>
      <c r="DU53" s="809"/>
      <c r="DV53" s="809"/>
      <c r="DW53" s="809"/>
      <c r="DX53" s="809"/>
      <c r="DY53" s="360"/>
      <c r="DZ53" s="167"/>
      <c r="EA53" s="167"/>
      <c r="EB53"/>
      <c r="EC53"/>
      <c r="ED53"/>
      <c r="EE53"/>
      <c r="EF53"/>
      <c r="EG53"/>
    </row>
    <row r="54" spans="1:137" s="398" customFormat="1" ht="12.75" hidden="1" customHeight="1" outlineLevel="1">
      <c r="A54" s="373" t="s">
        <v>122</v>
      </c>
      <c r="B54" s="343"/>
      <c r="C54" s="61">
        <f t="shared" ref="C54:AA54" si="160">C53/C48</f>
        <v>1.0807138744962579</v>
      </c>
      <c r="D54" s="61">
        <f t="shared" si="160"/>
        <v>1.1451451451451451</v>
      </c>
      <c r="E54" s="61">
        <f t="shared" si="160"/>
        <v>1.0925069380203516</v>
      </c>
      <c r="F54" s="61">
        <f t="shared" si="160"/>
        <v>1.1725614106615023</v>
      </c>
      <c r="G54" s="61">
        <f t="shared" si="160"/>
        <v>0.97794467154672493</v>
      </c>
      <c r="H54" s="375">
        <f t="shared" si="160"/>
        <v>1.2783300198807157</v>
      </c>
      <c r="I54" s="60">
        <f t="shared" si="160"/>
        <v>0.7608472839084387</v>
      </c>
      <c r="J54" s="60">
        <f t="shared" si="160"/>
        <v>1.1414927484966395</v>
      </c>
      <c r="K54" s="376">
        <f t="shared" si="160"/>
        <v>1.382741823242867</v>
      </c>
      <c r="L54" s="61">
        <f t="shared" si="160"/>
        <v>1.1346136587992461</v>
      </c>
      <c r="M54" s="375">
        <f t="shared" si="160"/>
        <v>0.67730369307995697</v>
      </c>
      <c r="N54" s="60">
        <f t="shared" si="160"/>
        <v>0.8061389337641357</v>
      </c>
      <c r="O54" s="60">
        <f t="shared" si="160"/>
        <v>1.0713775874375446</v>
      </c>
      <c r="P54" s="376">
        <f t="shared" si="160"/>
        <v>1.8861622358554875</v>
      </c>
      <c r="Q54" s="61">
        <f t="shared" si="160"/>
        <v>1.1118760757314974</v>
      </c>
      <c r="R54" s="375">
        <f t="shared" si="160"/>
        <v>1.1716443529007896</v>
      </c>
      <c r="S54" s="60">
        <f t="shared" si="160"/>
        <v>0.4108983799705449</v>
      </c>
      <c r="T54" s="60">
        <f t="shared" si="160"/>
        <v>0.84634296250768282</v>
      </c>
      <c r="U54" s="376">
        <f t="shared" si="160"/>
        <v>1.7000538502961766</v>
      </c>
      <c r="V54" s="61">
        <f t="shared" si="160"/>
        <v>1.045194335643266</v>
      </c>
      <c r="W54" s="375">
        <f t="shared" si="160"/>
        <v>0.38461538461538464</v>
      </c>
      <c r="X54" s="60">
        <f t="shared" si="160"/>
        <v>1.2263723825693265</v>
      </c>
      <c r="Y54" s="60">
        <f t="shared" si="160"/>
        <v>0.80314960629921262</v>
      </c>
      <c r="Z54" s="376">
        <f t="shared" si="160"/>
        <v>1.5484916479680877</v>
      </c>
      <c r="AA54" s="61">
        <f t="shared" si="160"/>
        <v>1.0209044665876943</v>
      </c>
      <c r="AB54" s="372"/>
      <c r="AC54" s="372"/>
      <c r="AD54" s="372"/>
      <c r="AE54" s="11"/>
      <c r="AF54" s="343"/>
      <c r="AG54" s="11"/>
      <c r="AH54" s="372"/>
      <c r="AI54" s="372"/>
      <c r="AJ54" s="11"/>
      <c r="AK54" s="180"/>
      <c r="AL54" s="56"/>
      <c r="AM54" s="56"/>
      <c r="AN54" s="475"/>
      <c r="AO54" s="366"/>
      <c r="AP54" s="365"/>
      <c r="AQ54" s="367"/>
      <c r="AR54" s="56"/>
      <c r="AS54" s="475"/>
      <c r="AT54" s="366"/>
      <c r="AU54" s="365"/>
      <c r="AV54" s="367"/>
      <c r="AW54" s="56"/>
      <c r="AX54" s="475"/>
      <c r="AY54" s="366"/>
      <c r="AZ54" s="365"/>
      <c r="BA54" s="365"/>
      <c r="BB54" s="367"/>
      <c r="BC54" s="56"/>
      <c r="BD54" s="475"/>
      <c r="BE54" s="366"/>
      <c r="BF54" s="365"/>
      <c r="BG54" s="367"/>
      <c r="BH54" s="56"/>
      <c r="BI54" s="475"/>
      <c r="BJ54" s="366"/>
      <c r="BK54" s="365"/>
      <c r="BL54" s="367"/>
      <c r="BM54" s="56"/>
      <c r="BN54" s="475"/>
      <c r="BO54" s="366"/>
      <c r="BP54" s="365"/>
      <c r="BQ54" s="365"/>
      <c r="BR54" s="367"/>
      <c r="BS54" s="56"/>
      <c r="BT54" s="475"/>
      <c r="BU54" s="366"/>
      <c r="BV54" s="365"/>
      <c r="BW54" s="367"/>
      <c r="BX54" s="56"/>
      <c r="BY54" s="475"/>
      <c r="BZ54" s="366"/>
      <c r="CA54" s="365"/>
      <c r="CB54" s="367"/>
      <c r="CC54" s="56"/>
      <c r="CD54" s="475"/>
      <c r="CE54" s="366"/>
      <c r="CF54" s="365"/>
      <c r="CG54" s="367"/>
      <c r="CH54" s="56"/>
      <c r="CI54" s="475"/>
      <c r="CJ54" s="366"/>
      <c r="CK54" s="365"/>
      <c r="CL54" s="367"/>
      <c r="CM54" s="56"/>
      <c r="CN54" s="475"/>
      <c r="CO54" s="366"/>
      <c r="CP54" s="365"/>
      <c r="CQ54" s="366"/>
      <c r="CR54" s="366"/>
      <c r="CS54" s="366"/>
      <c r="CT54" s="368"/>
      <c r="CU54" s="365"/>
      <c r="CV54" s="366"/>
      <c r="CW54" s="366"/>
      <c r="CX54" s="366"/>
      <c r="CY54" s="368"/>
      <c r="CZ54" s="365"/>
      <c r="DA54" s="366"/>
      <c r="DB54" s="366"/>
      <c r="DC54" s="366"/>
      <c r="DD54" s="368"/>
      <c r="DE54" s="365"/>
      <c r="DF54" s="366"/>
      <c r="DG54" s="366"/>
      <c r="DH54" s="366"/>
      <c r="DI54" s="368"/>
      <c r="DJ54" s="365"/>
      <c r="DK54" s="397"/>
      <c r="DL54" s="74"/>
      <c r="DM54" s="809"/>
      <c r="DN54" s="809"/>
      <c r="DO54" s="809"/>
      <c r="DP54" s="1054"/>
      <c r="DQ54" s="1054"/>
      <c r="DR54" s="1054"/>
      <c r="DS54" s="809"/>
      <c r="DT54" s="809"/>
      <c r="DU54" s="809"/>
      <c r="DV54" s="809"/>
      <c r="DW54" s="809"/>
      <c r="DX54" s="809"/>
      <c r="DY54" s="360"/>
      <c r="DZ54" s="167"/>
      <c r="EA54" s="167"/>
      <c r="EB54"/>
      <c r="EC54"/>
      <c r="ED54"/>
      <c r="EE54"/>
      <c r="EF54"/>
      <c r="EG54"/>
    </row>
    <row r="55" spans="1:137" s="363" customFormat="1" collapsed="1">
      <c r="A55" s="88" t="s">
        <v>209</v>
      </c>
      <c r="B55" s="89">
        <f t="shared" ref="B55:Z55" si="161">B4+B24+B32+B48+B16+B40</f>
        <v>23968</v>
      </c>
      <c r="C55" s="89">
        <f t="shared" si="161"/>
        <v>26562</v>
      </c>
      <c r="D55" s="89">
        <f t="shared" si="161"/>
        <v>31808</v>
      </c>
      <c r="E55" s="89">
        <f t="shared" si="161"/>
        <v>35526</v>
      </c>
      <c r="F55" s="89">
        <f t="shared" si="161"/>
        <v>37213</v>
      </c>
      <c r="G55" s="89">
        <f t="shared" si="161"/>
        <v>39620</v>
      </c>
      <c r="H55" s="88">
        <f t="shared" si="161"/>
        <v>9275</v>
      </c>
      <c r="I55" s="88">
        <f t="shared" si="161"/>
        <v>10651</v>
      </c>
      <c r="J55" s="88">
        <f t="shared" si="161"/>
        <v>11095</v>
      </c>
      <c r="K55" s="88">
        <f t="shared" si="161"/>
        <v>10841</v>
      </c>
      <c r="L55" s="89">
        <f t="shared" si="161"/>
        <v>41862</v>
      </c>
      <c r="M55" s="88">
        <f t="shared" si="161"/>
        <v>9983</v>
      </c>
      <c r="N55" s="88">
        <f t="shared" si="161"/>
        <v>11039</v>
      </c>
      <c r="O55" s="88">
        <f t="shared" si="161"/>
        <v>10577</v>
      </c>
      <c r="P55" s="88">
        <f t="shared" si="161"/>
        <v>11132</v>
      </c>
      <c r="Q55" s="89">
        <f t="shared" si="161"/>
        <v>42731</v>
      </c>
      <c r="R55" s="88">
        <f t="shared" si="161"/>
        <v>10373</v>
      </c>
      <c r="S55" s="88">
        <f t="shared" si="161"/>
        <v>11072</v>
      </c>
      <c r="T55" s="88">
        <f t="shared" si="161"/>
        <v>10767</v>
      </c>
      <c r="U55" s="88">
        <f t="shared" si="161"/>
        <v>12203</v>
      </c>
      <c r="V55" s="89">
        <f t="shared" si="161"/>
        <v>44415</v>
      </c>
      <c r="W55" s="88">
        <f t="shared" si="161"/>
        <v>10337</v>
      </c>
      <c r="X55" s="88">
        <f t="shared" si="161"/>
        <v>11280</v>
      </c>
      <c r="Y55" s="88">
        <f t="shared" si="161"/>
        <v>11343</v>
      </c>
      <c r="Z55" s="88">
        <f t="shared" si="161"/>
        <v>12761</v>
      </c>
      <c r="AA55" s="89">
        <f>AA4+AA48+AA16+AA40</f>
        <v>45721</v>
      </c>
      <c r="AB55" s="88">
        <f t="shared" ref="AB55:BM55" si="162">AB4+AB24+AB32+AB48+AB16+AB40</f>
        <v>10626</v>
      </c>
      <c r="AC55" s="88">
        <f t="shared" si="162"/>
        <v>11543</v>
      </c>
      <c r="AD55" s="88">
        <f t="shared" si="162"/>
        <v>12119</v>
      </c>
      <c r="AE55" s="88">
        <f t="shared" si="162"/>
        <v>12211</v>
      </c>
      <c r="AF55" s="89">
        <f t="shared" si="162"/>
        <v>46499</v>
      </c>
      <c r="AG55" s="88">
        <f t="shared" si="162"/>
        <v>11293</v>
      </c>
      <c r="AH55" s="88">
        <f t="shared" si="162"/>
        <v>11921</v>
      </c>
      <c r="AI55" s="88">
        <f t="shared" si="162"/>
        <v>11869</v>
      </c>
      <c r="AJ55" s="88">
        <f t="shared" si="162"/>
        <v>12099</v>
      </c>
      <c r="AK55" s="89">
        <f t="shared" si="162"/>
        <v>47182</v>
      </c>
      <c r="AL55" s="88">
        <f t="shared" si="162"/>
        <v>11070</v>
      </c>
      <c r="AM55" s="88">
        <f t="shared" si="162"/>
        <v>11408</v>
      </c>
      <c r="AN55" s="88">
        <f t="shared" si="162"/>
        <v>11347</v>
      </c>
      <c r="AO55" s="88">
        <f t="shared" si="162"/>
        <v>11533</v>
      </c>
      <c r="AP55" s="89">
        <f t="shared" si="162"/>
        <v>45358</v>
      </c>
      <c r="AQ55" s="88">
        <f t="shared" si="162"/>
        <v>10650</v>
      </c>
      <c r="AR55" s="88">
        <f t="shared" si="162"/>
        <v>11306</v>
      </c>
      <c r="AS55" s="88">
        <f t="shared" si="162"/>
        <v>11114</v>
      </c>
      <c r="AT55" s="88">
        <f t="shared" si="162"/>
        <v>12530</v>
      </c>
      <c r="AU55" s="89">
        <f t="shared" si="162"/>
        <v>45600</v>
      </c>
      <c r="AV55" s="88">
        <f t="shared" si="162"/>
        <v>10111</v>
      </c>
      <c r="AW55" s="88">
        <f t="shared" si="162"/>
        <v>11643</v>
      </c>
      <c r="AX55" s="88">
        <f t="shared" si="162"/>
        <v>11461</v>
      </c>
      <c r="AY55" s="88">
        <f t="shared" si="162"/>
        <v>12917</v>
      </c>
      <c r="AZ55" s="89">
        <f t="shared" si="162"/>
        <v>46132</v>
      </c>
      <c r="BA55" s="89">
        <f t="shared" si="162"/>
        <v>45358</v>
      </c>
      <c r="BB55" s="88">
        <f t="shared" si="162"/>
        <v>10650</v>
      </c>
      <c r="BC55" s="88">
        <f t="shared" si="162"/>
        <v>11306</v>
      </c>
      <c r="BD55" s="88">
        <f t="shared" si="162"/>
        <v>11114</v>
      </c>
      <c r="BE55" s="88">
        <f t="shared" si="162"/>
        <v>12530</v>
      </c>
      <c r="BF55" s="89">
        <f t="shared" si="162"/>
        <v>45600</v>
      </c>
      <c r="BG55" s="88">
        <f t="shared" si="162"/>
        <v>10111</v>
      </c>
      <c r="BH55" s="88">
        <f t="shared" si="162"/>
        <v>11643</v>
      </c>
      <c r="BI55" s="88">
        <f t="shared" si="162"/>
        <v>11461</v>
      </c>
      <c r="BJ55" s="88">
        <f t="shared" si="162"/>
        <v>12917</v>
      </c>
      <c r="BK55" s="89">
        <f t="shared" si="162"/>
        <v>46132</v>
      </c>
      <c r="BL55" s="88">
        <f t="shared" si="162"/>
        <v>11702</v>
      </c>
      <c r="BM55" s="88">
        <f t="shared" si="162"/>
        <v>12914</v>
      </c>
      <c r="BN55" s="88"/>
      <c r="BO55" s="88"/>
      <c r="BP55" s="1246"/>
      <c r="BQ55" s="1246">
        <f t="shared" ref="BQ55:CT55" si="163">BQ4+BQ24+BQ32+BQ48+BQ16+BQ40</f>
        <v>39946</v>
      </c>
      <c r="BR55" s="1247">
        <f t="shared" si="163"/>
        <v>8721</v>
      </c>
      <c r="BS55" s="1247">
        <f t="shared" si="163"/>
        <v>10235</v>
      </c>
      <c r="BT55" s="1247">
        <f t="shared" si="163"/>
        <v>10060</v>
      </c>
      <c r="BU55" s="1247">
        <f t="shared" si="163"/>
        <v>11520</v>
      </c>
      <c r="BV55" s="1246">
        <f t="shared" si="163"/>
        <v>40536</v>
      </c>
      <c r="BW55" s="1247">
        <f t="shared" si="163"/>
        <v>10368</v>
      </c>
      <c r="BX55" s="1247">
        <f t="shared" si="163"/>
        <v>11577</v>
      </c>
      <c r="BY55" s="1247">
        <f t="shared" si="163"/>
        <v>11551</v>
      </c>
      <c r="BZ55" s="1247">
        <f>BZ4+BZ24+BZ32+BZ48+BZ16+BZ40</f>
        <v>13752</v>
      </c>
      <c r="CA55" s="1246">
        <f>CA4+CA24+CA32+CA48+CA16+CA40</f>
        <v>47248</v>
      </c>
      <c r="CB55" s="1247">
        <f t="shared" si="163"/>
        <v>11057</v>
      </c>
      <c r="CC55" s="1247">
        <f t="shared" si="163"/>
        <v>12685</v>
      </c>
      <c r="CD55" s="1247">
        <f t="shared" ref="CD55" si="164">CD4+CD24+CD32+CD48+CD16+CD40</f>
        <v>12169</v>
      </c>
      <c r="CE55" s="1247">
        <f>CE4+CE24+CE32+CE48+CE16+CE40</f>
        <v>15137</v>
      </c>
      <c r="CF55" s="1246">
        <f>CF4+CF24+CF32+CF48+CF16+CF40</f>
        <v>51048</v>
      </c>
      <c r="CG55" s="1247"/>
      <c r="CH55" s="1247"/>
      <c r="CI55" s="1247"/>
      <c r="CJ55" s="1247"/>
      <c r="CK55" s="1246">
        <f>CK4+CK24+CK32+CK48+CK16+CK40</f>
        <v>47320</v>
      </c>
      <c r="CL55" s="1247"/>
      <c r="CM55" s="1247"/>
      <c r="CN55" s="1247"/>
      <c r="CO55" s="1247"/>
      <c r="CP55" s="1246">
        <f>CP4+CP24+CP32+CP48+CP16+CP40</f>
        <v>49976</v>
      </c>
      <c r="CQ55" s="1247">
        <f t="shared" si="163"/>
        <v>11100</v>
      </c>
      <c r="CR55" s="88">
        <f t="shared" si="163"/>
        <v>12850</v>
      </c>
      <c r="CS55" s="88">
        <f t="shared" si="163"/>
        <v>12200</v>
      </c>
      <c r="CT55" s="93">
        <f t="shared" si="163"/>
        <v>15150</v>
      </c>
      <c r="CU55" s="89">
        <f>CU4+CU24+CU32+CU48+CU16+CU40</f>
        <v>51300</v>
      </c>
      <c r="CV55" s="88"/>
      <c r="CW55" s="88"/>
      <c r="CX55" s="88"/>
      <c r="CY55" s="93"/>
      <c r="CZ55" s="89">
        <f>CZ4+CZ24+CZ32+CZ48+CZ16+CZ40</f>
        <v>54541</v>
      </c>
      <c r="DA55" s="88"/>
      <c r="DB55" s="88"/>
      <c r="DC55" s="88"/>
      <c r="DD55" s="93"/>
      <c r="DE55" s="89">
        <f>DE4+DE24+DE32+DE48+DE16+DE40</f>
        <v>57099.57</v>
      </c>
      <c r="DF55" s="88"/>
      <c r="DG55" s="88"/>
      <c r="DH55" s="88"/>
      <c r="DI55" s="93"/>
      <c r="DJ55" s="89">
        <f>DJ4+DJ24+DJ32+DJ48+DJ16+DJ40</f>
        <v>58976.022900000004</v>
      </c>
      <c r="DK55" s="136"/>
      <c r="DL55" s="356"/>
      <c r="DM55" s="809" t="s">
        <v>385</v>
      </c>
      <c r="DN55" s="1092"/>
      <c r="DO55" s="810"/>
      <c r="DP55" s="1053"/>
      <c r="DQ55" s="1053"/>
      <c r="DR55" s="809"/>
      <c r="DS55" s="1242" t="s">
        <v>402</v>
      </c>
      <c r="DT55" s="1242" t="s">
        <v>403</v>
      </c>
      <c r="DU55" s="1242" t="s">
        <v>404</v>
      </c>
      <c r="DV55" s="1152"/>
      <c r="DW55" s="1152"/>
      <c r="DX55" s="810"/>
      <c r="DY55" s="356"/>
      <c r="DZ55" s="137"/>
      <c r="EA55" s="137"/>
      <c r="EB55"/>
      <c r="EC55"/>
      <c r="ED55"/>
      <c r="EE55"/>
      <c r="EF55"/>
      <c r="EG55"/>
    </row>
    <row r="56" spans="1:137" s="398" customFormat="1">
      <c r="A56" s="97" t="s">
        <v>53</v>
      </c>
      <c r="B56" s="80"/>
      <c r="C56" s="80">
        <f>C55/B55-1</f>
        <v>0.10822763684913217</v>
      </c>
      <c r="D56" s="80">
        <f>D55/C55-1</f>
        <v>0.19750018823883742</v>
      </c>
      <c r="E56" s="80">
        <f>E55/D55-1</f>
        <v>0.11688883299798802</v>
      </c>
      <c r="F56" s="80">
        <f>F55/E55-1</f>
        <v>4.7486348026797298E-2</v>
      </c>
      <c r="G56" s="80">
        <f>G55/F55-1</f>
        <v>6.4681697256335102E-2</v>
      </c>
      <c r="H56" s="82"/>
      <c r="I56" s="82"/>
      <c r="J56" s="82"/>
      <c r="K56" s="82"/>
      <c r="L56" s="80">
        <f t="shared" ref="L56:AP56" si="165">L55/G55-1</f>
        <v>5.658758202927805E-2</v>
      </c>
      <c r="M56" s="82">
        <f t="shared" si="165"/>
        <v>7.6334231805929909E-2</v>
      </c>
      <c r="N56" s="82">
        <f t="shared" si="165"/>
        <v>3.6428504365787262E-2</v>
      </c>
      <c r="O56" s="82">
        <f t="shared" si="165"/>
        <v>-4.6687697160883279E-2</v>
      </c>
      <c r="P56" s="82">
        <f t="shared" si="165"/>
        <v>2.6842542200903985E-2</v>
      </c>
      <c r="Q56" s="80">
        <f t="shared" si="165"/>
        <v>2.075868329272379E-2</v>
      </c>
      <c r="R56" s="82">
        <f t="shared" si="165"/>
        <v>3.9066412901933356E-2</v>
      </c>
      <c r="S56" s="82">
        <f t="shared" si="165"/>
        <v>2.989401213878029E-3</v>
      </c>
      <c r="T56" s="82">
        <f t="shared" si="165"/>
        <v>1.7963505719958306E-2</v>
      </c>
      <c r="U56" s="83">
        <f t="shared" si="165"/>
        <v>9.6209126841537929E-2</v>
      </c>
      <c r="V56" s="80">
        <f t="shared" si="165"/>
        <v>3.9409328122440357E-2</v>
      </c>
      <c r="W56" s="83">
        <f t="shared" si="165"/>
        <v>-3.4705485394774804E-3</v>
      </c>
      <c r="X56" s="82">
        <f t="shared" si="165"/>
        <v>1.8786127167629951E-2</v>
      </c>
      <c r="Y56" s="83">
        <f t="shared" si="165"/>
        <v>5.3496795764836902E-2</v>
      </c>
      <c r="Z56" s="83">
        <f t="shared" si="165"/>
        <v>4.5726460706383643E-2</v>
      </c>
      <c r="AA56" s="84">
        <f t="shared" si="165"/>
        <v>2.9404480468310235E-2</v>
      </c>
      <c r="AB56" s="83">
        <f t="shared" si="165"/>
        <v>2.7957821418206352E-2</v>
      </c>
      <c r="AC56" s="82">
        <f t="shared" si="165"/>
        <v>2.3315602836879501E-2</v>
      </c>
      <c r="AD56" s="82">
        <f t="shared" si="165"/>
        <v>6.8412236621705036E-2</v>
      </c>
      <c r="AE56" s="82">
        <f t="shared" si="165"/>
        <v>-4.3100070527388179E-2</v>
      </c>
      <c r="AF56" s="80">
        <f t="shared" si="165"/>
        <v>1.7016250738172811E-2</v>
      </c>
      <c r="AG56" s="83">
        <f t="shared" si="165"/>
        <v>6.277056277056281E-2</v>
      </c>
      <c r="AH56" s="82">
        <f t="shared" si="165"/>
        <v>3.2747119466343344E-2</v>
      </c>
      <c r="AI56" s="82">
        <f t="shared" si="165"/>
        <v>-2.0628764749566764E-2</v>
      </c>
      <c r="AJ56" s="82">
        <f t="shared" si="165"/>
        <v>-9.1720579805093516E-3</v>
      </c>
      <c r="AK56" s="80">
        <f t="shared" si="165"/>
        <v>1.4688487924471527E-2</v>
      </c>
      <c r="AL56" s="82">
        <f t="shared" si="165"/>
        <v>-1.9746745771716978E-2</v>
      </c>
      <c r="AM56" s="82">
        <f>AM55/AH55-1</f>
        <v>-4.3033302575287258E-2</v>
      </c>
      <c r="AN56" s="82">
        <f>AN55/AI55-1</f>
        <v>-4.3980116269272895E-2</v>
      </c>
      <c r="AO56" s="82">
        <f>AO55/AJ55-1</f>
        <v>-4.6780725679808288E-2</v>
      </c>
      <c r="AP56" s="80">
        <f t="shared" si="165"/>
        <v>-3.865881056335041E-2</v>
      </c>
      <c r="AQ56" s="82">
        <f t="shared" ref="AQ56:AZ56" si="166">AQ55/AL55-1</f>
        <v>-3.7940379403794022E-2</v>
      </c>
      <c r="AR56" s="82">
        <f t="shared" si="166"/>
        <v>-8.9410939691444424E-3</v>
      </c>
      <c r="AS56" s="82">
        <f t="shared" si="166"/>
        <v>-2.0534061866572695E-2</v>
      </c>
      <c r="AT56" s="82">
        <f t="shared" si="166"/>
        <v>8.6447585190323473E-2</v>
      </c>
      <c r="AU56" s="80">
        <f t="shared" si="166"/>
        <v>5.3353322456899388E-3</v>
      </c>
      <c r="AV56" s="82">
        <f t="shared" si="166"/>
        <v>-5.0610328638497681E-2</v>
      </c>
      <c r="AW56" s="82">
        <f t="shared" si="166"/>
        <v>2.9807182027242085E-2</v>
      </c>
      <c r="AX56" s="82">
        <f t="shared" si="166"/>
        <v>3.1221882310599192E-2</v>
      </c>
      <c r="AY56" s="82">
        <f t="shared" si="166"/>
        <v>3.0885873902633643E-2</v>
      </c>
      <c r="AZ56" s="80">
        <f t="shared" si="166"/>
        <v>1.1666666666666714E-2</v>
      </c>
      <c r="BA56" s="80"/>
      <c r="BB56" s="82"/>
      <c r="BC56" s="82"/>
      <c r="BD56" s="82"/>
      <c r="BE56" s="82"/>
      <c r="BF56" s="80">
        <f t="shared" ref="BF56:BM56" si="167">BF55/BA55-1</f>
        <v>5.3353322456899388E-3</v>
      </c>
      <c r="BG56" s="82">
        <f t="shared" si="167"/>
        <v>-5.0610328638497681E-2</v>
      </c>
      <c r="BH56" s="82">
        <f t="shared" si="167"/>
        <v>2.9807182027242085E-2</v>
      </c>
      <c r="BI56" s="82">
        <f t="shared" si="167"/>
        <v>3.1221882310599192E-2</v>
      </c>
      <c r="BJ56" s="82">
        <f t="shared" si="167"/>
        <v>3.0885873902633643E-2</v>
      </c>
      <c r="BK56" s="80">
        <f t="shared" si="167"/>
        <v>1.1666666666666714E-2</v>
      </c>
      <c r="BL56" s="82">
        <f t="shared" si="167"/>
        <v>0.15735337750964296</v>
      </c>
      <c r="BM56" s="82">
        <f t="shared" si="167"/>
        <v>0.10916430473245731</v>
      </c>
      <c r="BN56" s="82"/>
      <c r="BO56" s="82"/>
      <c r="BP56" s="80"/>
      <c r="BQ56" s="80"/>
      <c r="BR56" s="82"/>
      <c r="BS56" s="82"/>
      <c r="BT56" s="82"/>
      <c r="BU56" s="82"/>
      <c r="BV56" s="80"/>
      <c r="BW56" s="82">
        <f>BW55/BR55-1</f>
        <v>0.18885448916408665</v>
      </c>
      <c r="BX56" s="82">
        <f t="shared" ref="BX56" si="168">BX55/BS55-1</f>
        <v>0.13111871030776756</v>
      </c>
      <c r="BY56" s="82">
        <f t="shared" ref="BY56" si="169">BY55/BT55-1</f>
        <v>0.14821073558648101</v>
      </c>
      <c r="BZ56" s="82">
        <f>BZ55/BU55-1</f>
        <v>0.19375000000000009</v>
      </c>
      <c r="CA56" s="80">
        <f>CA55/BV55-1</f>
        <v>0.16558121176238405</v>
      </c>
      <c r="CB56" s="82">
        <f>CB55/BW55-1</f>
        <v>6.6454475308642014E-2</v>
      </c>
      <c r="CC56" s="82">
        <f t="shared" ref="CC56:CD56" si="170">CC55/BX55-1</f>
        <v>9.5707005269068057E-2</v>
      </c>
      <c r="CD56" s="82">
        <f t="shared" si="170"/>
        <v>5.3501861310708998E-2</v>
      </c>
      <c r="CE56" s="82">
        <f>CE55/BZ55-1</f>
        <v>0.10071262361838285</v>
      </c>
      <c r="CF56" s="80">
        <f>CF55/CA55-1</f>
        <v>8.0426684727395781E-2</v>
      </c>
      <c r="CG56" s="82"/>
      <c r="CH56" s="82"/>
      <c r="CI56" s="82"/>
      <c r="CJ56" s="82"/>
      <c r="CK56" s="80"/>
      <c r="CL56" s="82"/>
      <c r="CM56" s="82"/>
      <c r="CN56" s="82"/>
      <c r="CO56" s="82"/>
      <c r="CP56" s="80">
        <f>CP55/CK55-1</f>
        <v>5.6128486897717655E-2</v>
      </c>
      <c r="CQ56" s="82"/>
      <c r="CR56" s="82"/>
      <c r="CS56" s="82"/>
      <c r="CT56" s="81"/>
      <c r="CU56" s="80">
        <f>CU55/CP55-1</f>
        <v>2.6492716503921931E-2</v>
      </c>
      <c r="CV56" s="82"/>
      <c r="CW56" s="82"/>
      <c r="CX56" s="82"/>
      <c r="CY56" s="81"/>
      <c r="CZ56" s="80">
        <f>CZ55/CU55-1</f>
        <v>6.317738791423011E-2</v>
      </c>
      <c r="DA56" s="82"/>
      <c r="DB56" s="82"/>
      <c r="DC56" s="82"/>
      <c r="DD56" s="81"/>
      <c r="DE56" s="80">
        <f>DE55/CZ55-1</f>
        <v>4.6910947727397678E-2</v>
      </c>
      <c r="DF56" s="82"/>
      <c r="DG56" s="82"/>
      <c r="DH56" s="82"/>
      <c r="DI56" s="81"/>
      <c r="DJ56" s="80">
        <f>DJ55/DE55-1</f>
        <v>3.2862820157840034E-2</v>
      </c>
      <c r="DK56" s="397"/>
      <c r="DL56" s="74"/>
      <c r="DM56" s="810"/>
      <c r="DN56" s="809"/>
      <c r="DO56" s="809"/>
      <c r="DP56" s="1054"/>
      <c r="DQ56" s="1054"/>
      <c r="DR56" s="1054"/>
      <c r="DS56" s="1150">
        <v>50</v>
      </c>
      <c r="DT56" s="1150">
        <f>(DS56+DU56)/2</f>
        <v>50.75</v>
      </c>
      <c r="DU56" s="1150">
        <v>51.5</v>
      </c>
      <c r="DV56" s="809"/>
      <c r="DW56" s="809"/>
      <c r="DX56" s="809"/>
      <c r="DY56" s="360"/>
      <c r="DZ56" s="167"/>
      <c r="EA56" s="167"/>
      <c r="EB56"/>
      <c r="EC56"/>
      <c r="ED56"/>
      <c r="EE56"/>
      <c r="EF56"/>
      <c r="EG56"/>
    </row>
    <row r="57" spans="1:137" s="144" customFormat="1" hidden="1" outlineLevel="1">
      <c r="A57" s="446" t="s">
        <v>165</v>
      </c>
      <c r="B57" s="178"/>
      <c r="C57" s="178"/>
      <c r="D57" s="178"/>
      <c r="E57" s="178">
        <v>30202</v>
      </c>
      <c r="F57" s="178">
        <v>31518</v>
      </c>
      <c r="G57" s="178">
        <v>33863</v>
      </c>
      <c r="H57" s="173">
        <v>7803</v>
      </c>
      <c r="I57" s="135">
        <v>9038</v>
      </c>
      <c r="J57" s="173">
        <v>9237</v>
      </c>
      <c r="K57" s="173">
        <f>35267-H57-I57-J57</f>
        <v>9189</v>
      </c>
      <c r="L57" s="178">
        <f>SUM(H57:K57)</f>
        <v>35267</v>
      </c>
      <c r="M57" s="135">
        <v>8464</v>
      </c>
      <c r="N57" s="135">
        <v>9108</v>
      </c>
      <c r="O57" s="173">
        <v>8475</v>
      </c>
      <c r="P57" s="173">
        <f>34809-M57-N57-O57</f>
        <v>8762</v>
      </c>
      <c r="Q57" s="178">
        <f>SUM(M57:P57)</f>
        <v>34809</v>
      </c>
      <c r="R57" s="173">
        <v>8468</v>
      </c>
      <c r="S57" s="173">
        <v>9022</v>
      </c>
      <c r="T57" s="173">
        <v>8688</v>
      </c>
      <c r="U57" s="173">
        <f>35763-R57-S57-T57</f>
        <v>9585</v>
      </c>
      <c r="V57" s="178">
        <f>SUM(R57:U57)</f>
        <v>35763</v>
      </c>
      <c r="W57" s="173">
        <v>8319</v>
      </c>
      <c r="X57" s="173">
        <v>9043</v>
      </c>
      <c r="Y57" s="173">
        <v>8948</v>
      </c>
      <c r="Z57" s="173">
        <f>36380-W57-X57-Y57</f>
        <v>10070</v>
      </c>
      <c r="AA57" s="178">
        <f>SUM(W57:Z57)</f>
        <v>36380</v>
      </c>
      <c r="AB57" s="173">
        <v>8500</v>
      </c>
      <c r="AC57" s="173">
        <v>9113</v>
      </c>
      <c r="AD57" s="173">
        <v>9680</v>
      </c>
      <c r="AE57" s="173">
        <f>36925-AB57-AC57-AD57</f>
        <v>9632</v>
      </c>
      <c r="AF57" s="178">
        <f>SUM(AB57:AE57)</f>
        <v>36925</v>
      </c>
      <c r="AG57" s="173">
        <v>9148</v>
      </c>
      <c r="AH57" s="173">
        <v>9543</v>
      </c>
      <c r="AI57" s="173">
        <v>9495</v>
      </c>
      <c r="AJ57" s="173">
        <f>37817-AG57-AH57-AI57</f>
        <v>9631</v>
      </c>
      <c r="AK57" s="178">
        <f>SUM(AG57:AJ57)</f>
        <v>37817</v>
      </c>
      <c r="AL57" s="173">
        <v>8706</v>
      </c>
      <c r="AM57" s="181">
        <v>9005</v>
      </c>
      <c r="AN57" s="173">
        <v>8859</v>
      </c>
      <c r="AO57" s="173">
        <f>35691-AL57-AM57-AN57</f>
        <v>9121</v>
      </c>
      <c r="AP57" s="178">
        <f>SUM(AL57:AO57)</f>
        <v>35691</v>
      </c>
      <c r="AQ57" s="185">
        <v>8410</v>
      </c>
      <c r="AR57" s="605">
        <v>8980</v>
      </c>
      <c r="AS57" s="835">
        <v>8602</v>
      </c>
      <c r="AT57" s="1000">
        <f>+AU57-SUM(AQ57:AS57)</f>
        <v>10101</v>
      </c>
      <c r="AU57" s="178">
        <v>36093</v>
      </c>
      <c r="AV57" s="845">
        <v>7853</v>
      </c>
      <c r="AW57" s="835">
        <v>9157</v>
      </c>
      <c r="AX57" s="835">
        <v>8810</v>
      </c>
      <c r="AY57" s="1000">
        <f>+AZ57-SUM(AV57:AX57)</f>
        <v>10062</v>
      </c>
      <c r="AZ57" s="178">
        <v>35882</v>
      </c>
      <c r="BA57" s="178">
        <v>35691</v>
      </c>
      <c r="BB57" s="845">
        <v>7853</v>
      </c>
      <c r="BC57" s="835">
        <v>9157</v>
      </c>
      <c r="BD57" s="835">
        <v>8810</v>
      </c>
      <c r="BE57" s="1000">
        <f>+BF57-SUM(BB57:BD57)</f>
        <v>10273</v>
      </c>
      <c r="BF57" s="178">
        <v>36093</v>
      </c>
      <c r="BG57" s="845">
        <v>7853</v>
      </c>
      <c r="BH57" s="835">
        <v>9157</v>
      </c>
      <c r="BI57" s="835">
        <v>8810</v>
      </c>
      <c r="BJ57" s="1000">
        <f>+BK57-SUM(BG57:BI57)</f>
        <v>10062</v>
      </c>
      <c r="BK57" s="178">
        <v>35882</v>
      </c>
      <c r="BL57" s="845">
        <v>8944</v>
      </c>
      <c r="BM57" s="1011">
        <v>10045</v>
      </c>
      <c r="BN57" s="1011"/>
      <c r="BO57" s="1000"/>
      <c r="BP57" s="178"/>
      <c r="BQ57" s="178">
        <v>34984</v>
      </c>
      <c r="BR57" s="845"/>
      <c r="BS57" s="835"/>
      <c r="BT57" s="835"/>
      <c r="BU57" s="1000"/>
      <c r="BV57" s="1230">
        <v>34868</v>
      </c>
      <c r="BW57" s="845"/>
      <c r="BX57" s="1011"/>
      <c r="BY57" s="1011"/>
      <c r="BZ57" s="1000"/>
      <c r="CA57" s="1230">
        <v>40365</v>
      </c>
      <c r="CB57" s="845">
        <v>9513</v>
      </c>
      <c r="CC57" s="1011">
        <v>10828</v>
      </c>
      <c r="CD57" s="181">
        <v>10496</v>
      </c>
      <c r="CE57" s="606">
        <f>43875-CD57-CC57-CB57</f>
        <v>13038</v>
      </c>
      <c r="CF57" s="1230">
        <f>SUM(CB57:CE57)</f>
        <v>43875</v>
      </c>
      <c r="CG57" s="845"/>
      <c r="CH57" s="1011"/>
      <c r="CI57" s="1011"/>
      <c r="CJ57" s="1000"/>
      <c r="CK57" s="178"/>
      <c r="CL57" s="845"/>
      <c r="CM57" s="1011"/>
      <c r="CN57" s="181"/>
      <c r="CO57" s="606"/>
      <c r="CP57" s="180"/>
      <c r="CQ57" s="173"/>
      <c r="CR57" s="173"/>
      <c r="CS57" s="173"/>
      <c r="CT57" s="183"/>
      <c r="CU57" s="178"/>
      <c r="CV57" s="173"/>
      <c r="CW57" s="173"/>
      <c r="CX57" s="173"/>
      <c r="CY57" s="183"/>
      <c r="CZ57" s="178"/>
      <c r="DA57" s="173"/>
      <c r="DB57" s="173"/>
      <c r="DC57" s="173"/>
      <c r="DD57" s="183"/>
      <c r="DE57" s="178"/>
      <c r="DF57" s="173"/>
      <c r="DG57" s="173"/>
      <c r="DH57" s="173"/>
      <c r="DI57" s="183"/>
      <c r="DJ57" s="178"/>
      <c r="DK57" s="444"/>
      <c r="DL57" s="1282"/>
      <c r="DM57" s="809"/>
      <c r="DN57" s="810"/>
      <c r="DO57" s="810"/>
      <c r="DP57" s="1053"/>
      <c r="DQ57" s="1053"/>
      <c r="DR57" s="1053"/>
      <c r="DS57" s="810"/>
      <c r="DT57" s="810"/>
      <c r="DU57" s="810"/>
      <c r="DV57" s="810"/>
      <c r="DW57" s="810"/>
      <c r="DX57" s="810"/>
      <c r="DY57" s="357"/>
      <c r="DZ57" s="143"/>
      <c r="EA57" s="143"/>
      <c r="EB57"/>
      <c r="EC57"/>
      <c r="ED57"/>
      <c r="EE57"/>
      <c r="EF57"/>
      <c r="EG57"/>
    </row>
    <row r="58" spans="1:137" s="429" customFormat="1" hidden="1" outlineLevel="1">
      <c r="A58" s="447" t="s">
        <v>55</v>
      </c>
      <c r="B58" s="448"/>
      <c r="C58" s="448"/>
      <c r="D58" s="448"/>
      <c r="E58" s="448">
        <f t="shared" ref="E58:AR58" si="171">E57/E55</f>
        <v>0.85013792715194503</v>
      </c>
      <c r="F58" s="448">
        <f t="shared" si="171"/>
        <v>0.84696208314298771</v>
      </c>
      <c r="G58" s="448">
        <f t="shared" si="171"/>
        <v>0.8546945986875315</v>
      </c>
      <c r="H58" s="271">
        <f t="shared" si="171"/>
        <v>0.84129380053908354</v>
      </c>
      <c r="I58" s="271">
        <f t="shared" si="171"/>
        <v>0.84855882076800304</v>
      </c>
      <c r="J58" s="271">
        <f t="shared" si="171"/>
        <v>0.8325371789094187</v>
      </c>
      <c r="K58" s="271">
        <f t="shared" si="171"/>
        <v>0.84761553362235953</v>
      </c>
      <c r="L58" s="448">
        <f t="shared" si="171"/>
        <v>0.84245855429745353</v>
      </c>
      <c r="M58" s="271">
        <f t="shared" si="171"/>
        <v>0.84784133026144448</v>
      </c>
      <c r="N58" s="271">
        <f t="shared" si="171"/>
        <v>0.82507473503034701</v>
      </c>
      <c r="O58" s="271">
        <f t="shared" si="171"/>
        <v>0.80126689987709176</v>
      </c>
      <c r="P58" s="271">
        <f t="shared" si="171"/>
        <v>0.78710025152712904</v>
      </c>
      <c r="Q58" s="448">
        <f t="shared" si="171"/>
        <v>0.81460766188481426</v>
      </c>
      <c r="R58" s="271">
        <f t="shared" si="171"/>
        <v>0.81635013978598281</v>
      </c>
      <c r="S58" s="271">
        <f t="shared" si="171"/>
        <v>0.81484826589595372</v>
      </c>
      <c r="T58" s="271">
        <f t="shared" si="171"/>
        <v>0.80691000278629144</v>
      </c>
      <c r="U58" s="271">
        <f t="shared" si="171"/>
        <v>0.78546259116610673</v>
      </c>
      <c r="V58" s="448">
        <f t="shared" si="171"/>
        <v>0.80520094562647759</v>
      </c>
      <c r="W58" s="271">
        <f t="shared" si="171"/>
        <v>0.80477894940504979</v>
      </c>
      <c r="X58" s="271">
        <f t="shared" si="171"/>
        <v>0.80168439716312057</v>
      </c>
      <c r="Y58" s="271">
        <f t="shared" si="171"/>
        <v>0.78885656351935118</v>
      </c>
      <c r="Z58" s="271">
        <f t="shared" si="171"/>
        <v>0.78912310947417919</v>
      </c>
      <c r="AA58" s="448">
        <f t="shared" si="171"/>
        <v>0.79569563220402006</v>
      </c>
      <c r="AB58" s="271">
        <f t="shared" si="171"/>
        <v>0.79992471296819123</v>
      </c>
      <c r="AC58" s="271">
        <f t="shared" si="171"/>
        <v>0.78948280343065058</v>
      </c>
      <c r="AD58" s="271">
        <f t="shared" si="171"/>
        <v>0.79874577110322631</v>
      </c>
      <c r="AE58" s="271">
        <f t="shared" si="171"/>
        <v>0.78879698632380646</v>
      </c>
      <c r="AF58" s="448">
        <f t="shared" si="171"/>
        <v>0.79410309899137621</v>
      </c>
      <c r="AG58" s="271">
        <f t="shared" si="171"/>
        <v>0.81005932878774467</v>
      </c>
      <c r="AH58" s="271">
        <f t="shared" si="171"/>
        <v>0.80052009059642648</v>
      </c>
      <c r="AI58" s="271">
        <f t="shared" si="171"/>
        <v>0.79998314938073978</v>
      </c>
      <c r="AJ58" s="271">
        <f t="shared" si="171"/>
        <v>0.79601619968592441</v>
      </c>
      <c r="AK58" s="448">
        <f t="shared" si="171"/>
        <v>0.80151328896613117</v>
      </c>
      <c r="AL58" s="271">
        <f t="shared" si="171"/>
        <v>0.78644986449864496</v>
      </c>
      <c r="AM58" s="570">
        <f t="shared" si="171"/>
        <v>0.78935834502103785</v>
      </c>
      <c r="AN58" s="271">
        <f t="shared" si="171"/>
        <v>0.78073499603419405</v>
      </c>
      <c r="AO58" s="271">
        <f t="shared" si="171"/>
        <v>0.79086100754357058</v>
      </c>
      <c r="AP58" s="448">
        <f t="shared" si="171"/>
        <v>0.78687331892940604</v>
      </c>
      <c r="AQ58" s="570">
        <f t="shared" si="171"/>
        <v>0.7896713615023474</v>
      </c>
      <c r="AR58" s="570">
        <f t="shared" si="171"/>
        <v>0.79426852998407926</v>
      </c>
      <c r="AS58" s="271">
        <f t="shared" ref="AS58:BF58" si="172">AS57/AS55</f>
        <v>0.77397876552096456</v>
      </c>
      <c r="AT58" s="989">
        <f t="shared" ref="AT58:BE58" si="173">AT57/AT55</f>
        <v>0.80614525139664805</v>
      </c>
      <c r="AU58" s="448">
        <f t="shared" si="173"/>
        <v>0.79151315789473686</v>
      </c>
      <c r="AV58" s="570">
        <f>AV57/AV55</f>
        <v>0.77667886460290769</v>
      </c>
      <c r="AW58" s="570">
        <f>AW57/AW55</f>
        <v>0.78648114747058318</v>
      </c>
      <c r="AX58" s="989">
        <f>AX57/AX55</f>
        <v>0.76869383125381729</v>
      </c>
      <c r="AY58" s="989">
        <f>AY57/AY55</f>
        <v>0.77897344584655881</v>
      </c>
      <c r="AZ58" s="448">
        <f>AZ57/AZ55</f>
        <v>0.77781149744212263</v>
      </c>
      <c r="BA58" s="448">
        <f t="shared" ref="BA58" si="174">BA57/BA55</f>
        <v>0.78687331892940604</v>
      </c>
      <c r="BB58" s="570">
        <f t="shared" si="173"/>
        <v>0.73737089201877937</v>
      </c>
      <c r="BC58" s="570">
        <f t="shared" si="173"/>
        <v>0.80992393419423314</v>
      </c>
      <c r="BD58" s="989">
        <f t="shared" si="173"/>
        <v>0.79269389958610759</v>
      </c>
      <c r="BE58" s="989">
        <f t="shared" si="173"/>
        <v>0.81987230646448528</v>
      </c>
      <c r="BF58" s="448">
        <f t="shared" si="172"/>
        <v>0.79151315789473686</v>
      </c>
      <c r="BG58" s="570">
        <f t="shared" ref="BG58:BK58" si="175">BG57/BG55</f>
        <v>0.77667886460290769</v>
      </c>
      <c r="BH58" s="570">
        <f t="shared" si="175"/>
        <v>0.78648114747058318</v>
      </c>
      <c r="BI58" s="989">
        <f t="shared" si="175"/>
        <v>0.76869383125381729</v>
      </c>
      <c r="BJ58" s="989">
        <f t="shared" si="175"/>
        <v>0.77897344584655881</v>
      </c>
      <c r="BK58" s="448">
        <f t="shared" si="175"/>
        <v>0.77781149744212263</v>
      </c>
      <c r="BL58" s="570">
        <f t="shared" ref="BL58" si="176">BL57/BL55</f>
        <v>0.76431379251410014</v>
      </c>
      <c r="BM58" s="570">
        <f t="shared" ref="BM58" si="177">BM57/BM55</f>
        <v>0.77783800526560321</v>
      </c>
      <c r="BN58" s="570"/>
      <c r="BO58" s="989"/>
      <c r="BP58" s="448"/>
      <c r="BQ58" s="448">
        <f t="shared" ref="BQ58" si="178">BQ57/BQ55</f>
        <v>0.87578230611325292</v>
      </c>
      <c r="BR58" s="989"/>
      <c r="BS58" s="989"/>
      <c r="BT58" s="989"/>
      <c r="BU58" s="989"/>
      <c r="BV58" s="1019">
        <f t="shared" ref="BV58:CC58" si="179">BV57/BV55</f>
        <v>0.86017367278468526</v>
      </c>
      <c r="BW58" s="989"/>
      <c r="BX58" s="989"/>
      <c r="BY58" s="989"/>
      <c r="BZ58" s="989"/>
      <c r="CA58" s="448">
        <f>CA57/CA55</f>
        <v>0.85432187605824583</v>
      </c>
      <c r="CB58" s="989">
        <f t="shared" si="179"/>
        <v>0.86035995297096857</v>
      </c>
      <c r="CC58" s="989">
        <f t="shared" si="179"/>
        <v>0.85360662199448167</v>
      </c>
      <c r="CD58" s="570">
        <f t="shared" ref="CD58:CE58" si="180">CD57/CD55</f>
        <v>0.86251951680499628</v>
      </c>
      <c r="CE58" s="570">
        <f t="shared" si="180"/>
        <v>0.8613331571645636</v>
      </c>
      <c r="CF58" s="448">
        <f>CF57/CF55</f>
        <v>0.85948519040902682</v>
      </c>
      <c r="CG58" s="989"/>
      <c r="CH58" s="989"/>
      <c r="CI58" s="989"/>
      <c r="CJ58" s="989"/>
      <c r="CK58" s="448"/>
      <c r="CL58" s="989"/>
      <c r="CM58" s="989"/>
      <c r="CN58" s="570"/>
      <c r="CO58" s="570"/>
      <c r="CP58" s="448"/>
      <c r="CQ58" s="271"/>
      <c r="CR58" s="271"/>
      <c r="CS58" s="271"/>
      <c r="CT58" s="449"/>
      <c r="CU58" s="448"/>
      <c r="CV58" s="271"/>
      <c r="CW58" s="271"/>
      <c r="CX58" s="271"/>
      <c r="CY58" s="449"/>
      <c r="CZ58" s="448"/>
      <c r="DA58" s="271"/>
      <c r="DB58" s="271"/>
      <c r="DC58" s="271"/>
      <c r="DD58" s="449"/>
      <c r="DE58" s="448"/>
      <c r="DF58" s="271"/>
      <c r="DG58" s="271"/>
      <c r="DH58" s="271"/>
      <c r="DI58" s="449"/>
      <c r="DJ58" s="448"/>
      <c r="DK58" s="445"/>
      <c r="DL58" s="1283"/>
      <c r="DM58" s="830"/>
      <c r="DN58" s="830"/>
      <c r="DO58" s="830"/>
      <c r="DP58" s="1084"/>
      <c r="DQ58" s="1084"/>
      <c r="DR58" s="1084"/>
      <c r="DS58" s="830"/>
      <c r="DT58" s="830"/>
      <c r="DU58" s="830"/>
      <c r="DV58" s="830"/>
      <c r="DW58" s="830"/>
      <c r="DX58" s="830"/>
      <c r="DY58" s="427"/>
      <c r="DZ58" s="428"/>
      <c r="EA58" s="428"/>
      <c r="EB58"/>
      <c r="EC58"/>
      <c r="ED58"/>
      <c r="EE58"/>
      <c r="EF58"/>
      <c r="EG58"/>
    </row>
    <row r="59" spans="1:137" s="144" customFormat="1" hidden="1" outlineLevel="1">
      <c r="A59" s="446" t="s">
        <v>166</v>
      </c>
      <c r="B59" s="178"/>
      <c r="C59" s="178"/>
      <c r="D59" s="178"/>
      <c r="E59" s="178">
        <v>5324</v>
      </c>
      <c r="F59" s="178">
        <v>5695</v>
      </c>
      <c r="G59" s="178">
        <v>5757</v>
      </c>
      <c r="H59" s="173">
        <v>1472</v>
      </c>
      <c r="I59" s="135">
        <v>1613</v>
      </c>
      <c r="J59" s="173">
        <v>1858</v>
      </c>
      <c r="K59" s="173">
        <f>6595-H59-I59-J59</f>
        <v>1652</v>
      </c>
      <c r="L59" s="178">
        <f>SUM(H59:K59)</f>
        <v>6595</v>
      </c>
      <c r="M59" s="135">
        <v>1519</v>
      </c>
      <c r="N59" s="135">
        <v>1931</v>
      </c>
      <c r="O59" s="173">
        <v>2102</v>
      </c>
      <c r="P59" s="173">
        <f>7922-M59-N59-O59</f>
        <v>2370</v>
      </c>
      <c r="Q59" s="178">
        <f>SUM(M59:P59)</f>
        <v>7922</v>
      </c>
      <c r="R59" s="173">
        <v>1905</v>
      </c>
      <c r="S59" s="173">
        <v>2050</v>
      </c>
      <c r="T59" s="173">
        <v>2079</v>
      </c>
      <c r="U59" s="173">
        <f>8232-R59-S59-T59</f>
        <v>2198</v>
      </c>
      <c r="V59" s="178">
        <f>SUM(R59:U59)</f>
        <v>8232</v>
      </c>
      <c r="W59" s="173">
        <v>2018</v>
      </c>
      <c r="X59" s="173">
        <v>2237</v>
      </c>
      <c r="Y59" s="173">
        <v>2395</v>
      </c>
      <c r="Z59" s="173">
        <f>9291-W59-X59-Y59</f>
        <v>2641</v>
      </c>
      <c r="AA59" s="178">
        <f>SUM(W59:Z59)</f>
        <v>9291</v>
      </c>
      <c r="AB59" s="173">
        <v>2126</v>
      </c>
      <c r="AC59" s="173">
        <v>2430</v>
      </c>
      <c r="AD59" s="173">
        <v>2439</v>
      </c>
      <c r="AE59" s="173">
        <f>9574-AB59-AC59-AD59</f>
        <v>2579</v>
      </c>
      <c r="AF59" s="178">
        <f>SUM(AB59:AE59)</f>
        <v>9574</v>
      </c>
      <c r="AG59" s="173">
        <v>2145</v>
      </c>
      <c r="AH59" s="173">
        <v>2378</v>
      </c>
      <c r="AI59" s="173">
        <v>2374</v>
      </c>
      <c r="AJ59" s="173">
        <f>9365-AG59-AH59-AI59</f>
        <v>2468</v>
      </c>
      <c r="AK59" s="178">
        <f>SUM(AG59:AJ59)</f>
        <v>9365</v>
      </c>
      <c r="AL59" s="173">
        <v>2364</v>
      </c>
      <c r="AM59" s="181">
        <v>2403</v>
      </c>
      <c r="AN59" s="173">
        <v>2488</v>
      </c>
      <c r="AO59" s="173">
        <f>9667-AL59-AM59-AN59</f>
        <v>2412</v>
      </c>
      <c r="AP59" s="178">
        <f>SUM(AL59:AO59)</f>
        <v>9667</v>
      </c>
      <c r="AQ59" s="185">
        <v>2240</v>
      </c>
      <c r="AR59" s="605">
        <v>2326</v>
      </c>
      <c r="AS59" s="835">
        <v>2512</v>
      </c>
      <c r="AT59" s="1000">
        <f>+AT55-AT57</f>
        <v>2429</v>
      </c>
      <c r="AU59" s="178">
        <v>9507</v>
      </c>
      <c r="AV59" s="845">
        <v>2258</v>
      </c>
      <c r="AW59" s="835">
        <v>2486</v>
      </c>
      <c r="AX59" s="835">
        <v>2651</v>
      </c>
      <c r="AY59" s="1000">
        <f>+AY55-AY57</f>
        <v>2855</v>
      </c>
      <c r="AZ59" s="178">
        <v>10250</v>
      </c>
      <c r="BA59" s="178">
        <v>9667</v>
      </c>
      <c r="BB59" s="845">
        <v>2258</v>
      </c>
      <c r="BC59" s="835">
        <v>2486</v>
      </c>
      <c r="BD59" s="835">
        <v>2651</v>
      </c>
      <c r="BE59" s="1000">
        <f>+BE55-BE57</f>
        <v>2257</v>
      </c>
      <c r="BF59" s="178">
        <v>9507</v>
      </c>
      <c r="BG59" s="845">
        <v>2258</v>
      </c>
      <c r="BH59" s="835">
        <v>2486</v>
      </c>
      <c r="BI59" s="835">
        <v>2651</v>
      </c>
      <c r="BJ59" s="1000">
        <f>+BJ55-BJ57</f>
        <v>2855</v>
      </c>
      <c r="BK59" s="178">
        <v>10250</v>
      </c>
      <c r="BL59" s="845">
        <v>2758</v>
      </c>
      <c r="BM59" s="1011">
        <v>2869</v>
      </c>
      <c r="BN59" s="1011"/>
      <c r="BO59" s="1000"/>
      <c r="BP59" s="178"/>
      <c r="BQ59" s="178">
        <v>4962</v>
      </c>
      <c r="BR59" s="845"/>
      <c r="BS59" s="835"/>
      <c r="BT59" s="835"/>
      <c r="BU59" s="1000"/>
      <c r="BV59" s="1230">
        <v>5668</v>
      </c>
      <c r="BW59" s="845"/>
      <c r="BX59" s="1011"/>
      <c r="BY59" s="1011"/>
      <c r="BZ59" s="1000"/>
      <c r="CA59" s="1230">
        <v>6883</v>
      </c>
      <c r="CB59" s="845">
        <v>1544</v>
      </c>
      <c r="CC59" s="1011">
        <v>1857</v>
      </c>
      <c r="CD59" s="181">
        <v>1673</v>
      </c>
      <c r="CE59" s="606">
        <f>7173-CD59-CC59-CB59</f>
        <v>2099</v>
      </c>
      <c r="CF59" s="1230">
        <f>SUM(CB59:CE59)</f>
        <v>7173</v>
      </c>
      <c r="CG59" s="845"/>
      <c r="CH59" s="1011"/>
      <c r="CI59" s="1011"/>
      <c r="CJ59" s="1000"/>
      <c r="CK59" s="178"/>
      <c r="CL59" s="845"/>
      <c r="CM59" s="1011"/>
      <c r="CN59" s="181"/>
      <c r="CO59" s="606"/>
      <c r="CP59" s="180"/>
      <c r="CQ59" s="173"/>
      <c r="CR59" s="173"/>
      <c r="CS59" s="173"/>
      <c r="CT59" s="183"/>
      <c r="CU59" s="178"/>
      <c r="CV59" s="173"/>
      <c r="CW59" s="173"/>
      <c r="CX59" s="173"/>
      <c r="CY59" s="183"/>
      <c r="CZ59" s="178"/>
      <c r="DA59" s="173"/>
      <c r="DB59" s="173"/>
      <c r="DC59" s="173"/>
      <c r="DD59" s="183"/>
      <c r="DE59" s="178"/>
      <c r="DF59" s="173"/>
      <c r="DG59" s="173"/>
      <c r="DH59" s="173"/>
      <c r="DI59" s="183"/>
      <c r="DJ59" s="178"/>
      <c r="DK59" s="444"/>
      <c r="DL59" s="1282"/>
      <c r="DM59" s="810"/>
      <c r="DN59" s="810"/>
      <c r="DO59" s="810"/>
      <c r="DP59" s="1053"/>
      <c r="DQ59" s="1053"/>
      <c r="DR59" s="1053"/>
      <c r="DS59" s="810"/>
      <c r="DT59" s="810"/>
      <c r="DU59" s="810"/>
      <c r="DV59" s="810"/>
      <c r="DW59" s="810"/>
      <c r="DX59" s="810"/>
      <c r="DY59" s="357"/>
      <c r="DZ59" s="143"/>
      <c r="EA59" s="143"/>
      <c r="EB59"/>
      <c r="EC59"/>
      <c r="ED59"/>
      <c r="EE59"/>
      <c r="EF59"/>
      <c r="EG59"/>
    </row>
    <row r="60" spans="1:137" s="429" customFormat="1" hidden="1" outlineLevel="1">
      <c r="A60" s="991" t="s">
        <v>55</v>
      </c>
      <c r="B60" s="992"/>
      <c r="C60" s="992"/>
      <c r="D60" s="992"/>
      <c r="E60" s="992">
        <f t="shared" ref="E60:AR60" si="181">E59/E55</f>
        <v>0.14986207284805494</v>
      </c>
      <c r="F60" s="992">
        <f t="shared" si="181"/>
        <v>0.15303791685701235</v>
      </c>
      <c r="G60" s="992">
        <f t="shared" si="181"/>
        <v>0.14530540131246844</v>
      </c>
      <c r="H60" s="993">
        <f t="shared" si="181"/>
        <v>0.15870619946091644</v>
      </c>
      <c r="I60" s="993">
        <f t="shared" si="181"/>
        <v>0.15144117923199699</v>
      </c>
      <c r="J60" s="993">
        <f t="shared" si="181"/>
        <v>0.16746282109058133</v>
      </c>
      <c r="K60" s="993">
        <f t="shared" si="181"/>
        <v>0.15238446637764044</v>
      </c>
      <c r="L60" s="992">
        <f t="shared" si="181"/>
        <v>0.15754144570254647</v>
      </c>
      <c r="M60" s="993">
        <f t="shared" si="181"/>
        <v>0.15215866973855555</v>
      </c>
      <c r="N60" s="993">
        <f t="shared" si="181"/>
        <v>0.17492526496965305</v>
      </c>
      <c r="O60" s="993">
        <f t="shared" si="181"/>
        <v>0.19873310012290821</v>
      </c>
      <c r="P60" s="993">
        <f t="shared" si="181"/>
        <v>0.21289974847287099</v>
      </c>
      <c r="Q60" s="992">
        <f t="shared" si="181"/>
        <v>0.18539233811518568</v>
      </c>
      <c r="R60" s="993">
        <f t="shared" si="181"/>
        <v>0.18364986021401716</v>
      </c>
      <c r="S60" s="993">
        <f t="shared" si="181"/>
        <v>0.18515173410404626</v>
      </c>
      <c r="T60" s="993">
        <f t="shared" si="181"/>
        <v>0.19308999721370856</v>
      </c>
      <c r="U60" s="993">
        <f t="shared" si="181"/>
        <v>0.18011964271080882</v>
      </c>
      <c r="V60" s="992">
        <f t="shared" si="181"/>
        <v>0.18534278959810874</v>
      </c>
      <c r="W60" s="993">
        <f t="shared" si="181"/>
        <v>0.19522105059495018</v>
      </c>
      <c r="X60" s="993">
        <f t="shared" si="181"/>
        <v>0.19831560283687943</v>
      </c>
      <c r="Y60" s="993">
        <f t="shared" si="181"/>
        <v>0.21114343648064887</v>
      </c>
      <c r="Z60" s="993">
        <f t="shared" si="181"/>
        <v>0.20695870229605831</v>
      </c>
      <c r="AA60" s="992">
        <f t="shared" si="181"/>
        <v>0.20321077841692001</v>
      </c>
      <c r="AB60" s="993">
        <f t="shared" si="181"/>
        <v>0.20007528703180877</v>
      </c>
      <c r="AC60" s="993">
        <f t="shared" si="181"/>
        <v>0.21051719656934939</v>
      </c>
      <c r="AD60" s="993">
        <f t="shared" si="181"/>
        <v>0.20125422889677366</v>
      </c>
      <c r="AE60" s="993">
        <f t="shared" si="181"/>
        <v>0.2112030136761936</v>
      </c>
      <c r="AF60" s="992">
        <f t="shared" si="181"/>
        <v>0.20589690100862384</v>
      </c>
      <c r="AG60" s="993">
        <f t="shared" si="181"/>
        <v>0.18994067121225539</v>
      </c>
      <c r="AH60" s="993">
        <f t="shared" si="181"/>
        <v>0.19947990940357352</v>
      </c>
      <c r="AI60" s="993">
        <f t="shared" si="181"/>
        <v>0.20001685061926025</v>
      </c>
      <c r="AJ60" s="993">
        <f t="shared" si="181"/>
        <v>0.20398380031407554</v>
      </c>
      <c r="AK60" s="992">
        <f t="shared" si="181"/>
        <v>0.19848671103386883</v>
      </c>
      <c r="AL60" s="993">
        <f t="shared" si="181"/>
        <v>0.21355013550135502</v>
      </c>
      <c r="AM60" s="993">
        <f t="shared" si="181"/>
        <v>0.21064165497896215</v>
      </c>
      <c r="AN60" s="993">
        <f t="shared" si="181"/>
        <v>0.21926500396580595</v>
      </c>
      <c r="AO60" s="993">
        <f t="shared" si="181"/>
        <v>0.20913899245642939</v>
      </c>
      <c r="AP60" s="992">
        <f t="shared" si="181"/>
        <v>0.21312668107059393</v>
      </c>
      <c r="AQ60" s="993">
        <f t="shared" si="181"/>
        <v>0.21032863849765257</v>
      </c>
      <c r="AR60" s="993">
        <f t="shared" si="181"/>
        <v>0.20573147001592074</v>
      </c>
      <c r="AS60" s="993">
        <f t="shared" ref="AS60:BF60" si="182">AS59/AS55</f>
        <v>0.22602123447903544</v>
      </c>
      <c r="AT60" s="993">
        <f t="shared" ref="AT60:BE60" si="183">AT59/AT55</f>
        <v>0.19385474860335195</v>
      </c>
      <c r="AU60" s="992">
        <f t="shared" si="183"/>
        <v>0.20848684210526316</v>
      </c>
      <c r="AV60" s="993">
        <f>AV59/AV55</f>
        <v>0.22332113539709228</v>
      </c>
      <c r="AW60" s="993">
        <f>AW59/AW55</f>
        <v>0.21351885252941682</v>
      </c>
      <c r="AX60" s="993">
        <f>AX59/AX55</f>
        <v>0.23130616874618271</v>
      </c>
      <c r="AY60" s="993">
        <f>AY59/AY55</f>
        <v>0.22102655415344119</v>
      </c>
      <c r="AZ60" s="992">
        <f>AZ59/AZ55</f>
        <v>0.22218850255787739</v>
      </c>
      <c r="BA60" s="992">
        <f t="shared" ref="BA60" si="184">BA59/BA55</f>
        <v>0.21312668107059393</v>
      </c>
      <c r="BB60" s="993">
        <f t="shared" si="183"/>
        <v>0.21201877934272301</v>
      </c>
      <c r="BC60" s="993">
        <f t="shared" si="183"/>
        <v>0.21988324783300903</v>
      </c>
      <c r="BD60" s="993">
        <f t="shared" si="183"/>
        <v>0.23852798272449163</v>
      </c>
      <c r="BE60" s="993">
        <f t="shared" si="183"/>
        <v>0.18012769353551478</v>
      </c>
      <c r="BF60" s="992">
        <f t="shared" si="182"/>
        <v>0.20848684210526316</v>
      </c>
      <c r="BG60" s="993">
        <f t="shared" ref="BG60:BK60" si="185">BG59/BG55</f>
        <v>0.22332113539709228</v>
      </c>
      <c r="BH60" s="993">
        <f t="shared" si="185"/>
        <v>0.21351885252941682</v>
      </c>
      <c r="BI60" s="993">
        <f t="shared" si="185"/>
        <v>0.23130616874618271</v>
      </c>
      <c r="BJ60" s="993">
        <f t="shared" si="185"/>
        <v>0.22102655415344119</v>
      </c>
      <c r="BK60" s="992">
        <f t="shared" si="185"/>
        <v>0.22218850255787739</v>
      </c>
      <c r="BL60" s="993">
        <f t="shared" ref="BL60" si="186">BL59/BL55</f>
        <v>0.23568620748589986</v>
      </c>
      <c r="BM60" s="993">
        <f t="shared" ref="BM60" si="187">BM59/BM55</f>
        <v>0.22216199473439677</v>
      </c>
      <c r="BN60" s="993"/>
      <c r="BO60" s="993"/>
      <c r="BP60" s="992"/>
      <c r="BQ60" s="992">
        <f t="shared" ref="BQ60" si="188">BQ59/BQ55</f>
        <v>0.12421769388674711</v>
      </c>
      <c r="BR60" s="1020"/>
      <c r="BS60" s="1020"/>
      <c r="BT60" s="1020"/>
      <c r="BU60" s="1020"/>
      <c r="BV60" s="1021">
        <f t="shared" ref="BV60:CC60" si="189">BV59/BV55</f>
        <v>0.13982632721531479</v>
      </c>
      <c r="BW60" s="1020"/>
      <c r="BX60" s="1020"/>
      <c r="BY60" s="1020"/>
      <c r="BZ60" s="993"/>
      <c r="CA60" s="992">
        <f>CA59/CA55</f>
        <v>0.14567812394175414</v>
      </c>
      <c r="CB60" s="1020">
        <f t="shared" si="189"/>
        <v>0.13964004702903138</v>
      </c>
      <c r="CC60" s="1020">
        <f t="shared" si="189"/>
        <v>0.14639337800551833</v>
      </c>
      <c r="CD60" s="1144">
        <f t="shared" ref="CD60:CE60" si="190">CD59/CD55</f>
        <v>0.13748048319500369</v>
      </c>
      <c r="CE60" s="1144">
        <f t="shared" si="190"/>
        <v>0.13866684283543634</v>
      </c>
      <c r="CF60" s="992">
        <f>CF59/CF55</f>
        <v>0.14051480959097321</v>
      </c>
      <c r="CG60" s="1020"/>
      <c r="CH60" s="1020"/>
      <c r="CI60" s="1020"/>
      <c r="CJ60" s="993"/>
      <c r="CK60" s="992"/>
      <c r="CL60" s="1020"/>
      <c r="CM60" s="1020"/>
      <c r="CN60" s="1144"/>
      <c r="CO60" s="1144"/>
      <c r="CP60" s="992"/>
      <c r="CQ60" s="993"/>
      <c r="CR60" s="993"/>
      <c r="CS60" s="993"/>
      <c r="CT60" s="994"/>
      <c r="CU60" s="992"/>
      <c r="CV60" s="993"/>
      <c r="CW60" s="993"/>
      <c r="CX60" s="993"/>
      <c r="CY60" s="994"/>
      <c r="CZ60" s="992"/>
      <c r="DA60" s="993"/>
      <c r="DB60" s="993"/>
      <c r="DC60" s="993"/>
      <c r="DD60" s="994"/>
      <c r="DE60" s="992"/>
      <c r="DF60" s="993"/>
      <c r="DG60" s="993"/>
      <c r="DH60" s="993"/>
      <c r="DI60" s="994"/>
      <c r="DJ60" s="992"/>
      <c r="DK60" s="445"/>
      <c r="DL60" s="1283"/>
      <c r="DM60" s="830"/>
      <c r="DN60" s="830"/>
      <c r="DO60" s="830"/>
      <c r="DP60" s="1084"/>
      <c r="DQ60" s="1084"/>
      <c r="DR60" s="1084"/>
      <c r="DS60" s="830"/>
      <c r="DT60" s="830"/>
      <c r="DU60" s="830"/>
      <c r="DV60" s="830"/>
      <c r="DW60" s="830"/>
      <c r="DX60" s="830"/>
      <c r="DY60" s="427"/>
      <c r="DZ60" s="428"/>
      <c r="EA60" s="428"/>
      <c r="EB60"/>
      <c r="EC60"/>
      <c r="ED60"/>
      <c r="EE60"/>
      <c r="EF60"/>
      <c r="EG60"/>
    </row>
    <row r="61" spans="1:137" s="429" customFormat="1" hidden="1" outlineLevel="1">
      <c r="A61" s="995" t="s">
        <v>346</v>
      </c>
      <c r="B61" s="448"/>
      <c r="C61" s="448"/>
      <c r="D61" s="448"/>
      <c r="E61" s="448"/>
      <c r="F61" s="448"/>
      <c r="G61" s="448"/>
      <c r="H61" s="271"/>
      <c r="I61" s="271"/>
      <c r="J61" s="271"/>
      <c r="K61" s="271"/>
      <c r="L61" s="448"/>
      <c r="M61" s="271"/>
      <c r="N61" s="271"/>
      <c r="O61" s="271"/>
      <c r="P61" s="271"/>
      <c r="Q61" s="448"/>
      <c r="R61" s="271"/>
      <c r="S61" s="271"/>
      <c r="T61" s="271"/>
      <c r="U61" s="271"/>
      <c r="V61" s="448"/>
      <c r="W61" s="271"/>
      <c r="X61" s="271"/>
      <c r="Y61" s="271"/>
      <c r="Z61" s="271"/>
      <c r="AA61" s="448"/>
      <c r="AB61" s="271"/>
      <c r="AC61" s="271"/>
      <c r="AD61" s="271"/>
      <c r="AE61" s="271"/>
      <c r="AF61" s="448"/>
      <c r="AG61" s="271"/>
      <c r="AH61" s="271"/>
      <c r="AI61" s="271"/>
      <c r="AJ61" s="271"/>
      <c r="AK61" s="448"/>
      <c r="AL61" s="271"/>
      <c r="AM61" s="271"/>
      <c r="AN61" s="271"/>
      <c r="AO61" s="271"/>
      <c r="AP61" s="178">
        <f>+AP55-AP63</f>
        <v>8185</v>
      </c>
      <c r="AQ61" s="271"/>
      <c r="AR61" s="271"/>
      <c r="AS61" s="271"/>
      <c r="AT61" s="271"/>
      <c r="AU61" s="178">
        <f>+AU55-AU63</f>
        <v>9510</v>
      </c>
      <c r="AV61" s="271"/>
      <c r="AW61" s="271"/>
      <c r="AX61" s="271"/>
      <c r="AY61" s="271"/>
      <c r="AZ61" s="178">
        <f>+AZ55-AZ63</f>
        <v>9991</v>
      </c>
      <c r="BA61" s="178">
        <f>+BA55-BA63</f>
        <v>8185</v>
      </c>
      <c r="BB61" s="271"/>
      <c r="BC61" s="271"/>
      <c r="BD61" s="271"/>
      <c r="BE61" s="271"/>
      <c r="BF61" s="178">
        <f>+BF55-BF63</f>
        <v>9510</v>
      </c>
      <c r="BG61" s="271"/>
      <c r="BH61" s="271"/>
      <c r="BI61" s="271"/>
      <c r="BJ61" s="271"/>
      <c r="BK61" s="178">
        <f>+BK55-BK63</f>
        <v>9991</v>
      </c>
      <c r="BL61" s="271"/>
      <c r="BM61" s="271"/>
      <c r="BN61" s="271"/>
      <c r="BO61" s="271"/>
      <c r="BP61" s="448"/>
      <c r="BQ61" s="178">
        <f>+BQ55-BQ63</f>
        <v>9060</v>
      </c>
      <c r="BR61" s="271"/>
      <c r="BS61" s="271"/>
      <c r="BT61" s="271"/>
      <c r="BU61" s="271"/>
      <c r="BV61" s="178">
        <f>+BV55-BV63</f>
        <v>9385</v>
      </c>
      <c r="BW61" s="271"/>
      <c r="BX61" s="271"/>
      <c r="BY61" s="271"/>
      <c r="BZ61" s="271"/>
      <c r="CA61" s="178">
        <f>+CA55-CA63</f>
        <v>13778</v>
      </c>
      <c r="CB61" s="271"/>
      <c r="CC61" s="271"/>
      <c r="CD61" s="271"/>
      <c r="CE61" s="271"/>
      <c r="CF61" s="178">
        <f>+CF55-CF63</f>
        <v>15824.880000000005</v>
      </c>
      <c r="CG61" s="271"/>
      <c r="CH61" s="271"/>
      <c r="CI61" s="271"/>
      <c r="CJ61" s="271"/>
      <c r="CK61" s="178"/>
      <c r="CL61" s="271"/>
      <c r="CM61" s="271"/>
      <c r="CN61" s="271"/>
      <c r="CO61" s="570"/>
      <c r="CP61" s="178"/>
      <c r="CQ61" s="271"/>
      <c r="CR61" s="271"/>
      <c r="CS61" s="271"/>
      <c r="CT61" s="449"/>
      <c r="CU61" s="448"/>
      <c r="CV61" s="271"/>
      <c r="CW61" s="271"/>
      <c r="CX61" s="271"/>
      <c r="CY61" s="449"/>
      <c r="CZ61" s="448"/>
      <c r="DA61" s="271"/>
      <c r="DB61" s="271"/>
      <c r="DC61" s="271"/>
      <c r="DD61" s="449"/>
      <c r="DE61" s="448"/>
      <c r="DF61" s="271"/>
      <c r="DG61" s="271"/>
      <c r="DH61" s="271"/>
      <c r="DI61" s="449"/>
      <c r="DJ61" s="448"/>
      <c r="DK61" s="445"/>
      <c r="DL61" s="1283"/>
      <c r="DM61" s="830"/>
      <c r="DN61" s="830"/>
      <c r="DO61" s="830"/>
      <c r="DP61" s="1084"/>
      <c r="DQ61" s="1084"/>
      <c r="DR61" s="1084"/>
      <c r="DS61" s="830"/>
      <c r="DT61" s="830"/>
      <c r="DU61" s="830"/>
      <c r="DV61" s="830"/>
      <c r="DW61" s="830"/>
      <c r="DX61" s="830"/>
      <c r="DY61" s="427"/>
      <c r="DZ61" s="428"/>
      <c r="EA61" s="428"/>
      <c r="EB61"/>
      <c r="EC61"/>
      <c r="ED61"/>
      <c r="EE61"/>
      <c r="EF61"/>
      <c r="EG61"/>
    </row>
    <row r="62" spans="1:137" s="429" customFormat="1" hidden="1" outlineLevel="1">
      <c r="A62" s="447" t="s">
        <v>55</v>
      </c>
      <c r="B62" s="448"/>
      <c r="C62" s="448"/>
      <c r="D62" s="448"/>
      <c r="E62" s="448"/>
      <c r="F62" s="448"/>
      <c r="G62" s="448"/>
      <c r="H62" s="271"/>
      <c r="I62" s="271"/>
      <c r="J62" s="271"/>
      <c r="K62" s="271"/>
      <c r="L62" s="448"/>
      <c r="M62" s="271"/>
      <c r="N62" s="271"/>
      <c r="O62" s="271"/>
      <c r="P62" s="271"/>
      <c r="Q62" s="448"/>
      <c r="R62" s="271"/>
      <c r="S62" s="271"/>
      <c r="T62" s="271"/>
      <c r="U62" s="271"/>
      <c r="V62" s="448"/>
      <c r="W62" s="271"/>
      <c r="X62" s="271"/>
      <c r="Y62" s="271"/>
      <c r="Z62" s="271"/>
      <c r="AA62" s="448"/>
      <c r="AB62" s="271"/>
      <c r="AC62" s="271"/>
      <c r="AD62" s="271"/>
      <c r="AE62" s="271"/>
      <c r="AF62" s="448"/>
      <c r="AG62" s="271"/>
      <c r="AH62" s="271"/>
      <c r="AI62" s="271"/>
      <c r="AJ62" s="271"/>
      <c r="AK62" s="448"/>
      <c r="AL62" s="271"/>
      <c r="AM62" s="271"/>
      <c r="AN62" s="271"/>
      <c r="AO62" s="271"/>
      <c r="AP62" s="448">
        <f>+AP61/AP$55</f>
        <v>0.18045328277260902</v>
      </c>
      <c r="AQ62" s="271"/>
      <c r="AR62" s="271"/>
      <c r="AS62" s="271"/>
      <c r="AT62" s="271"/>
      <c r="AU62" s="448">
        <f>+AU61/AU$55</f>
        <v>0.20855263157894738</v>
      </c>
      <c r="AV62" s="271"/>
      <c r="AW62" s="271"/>
      <c r="AX62" s="271"/>
      <c r="AY62" s="271"/>
      <c r="AZ62" s="448">
        <f>+AZ61/AZ$55</f>
        <v>0.21657417844446372</v>
      </c>
      <c r="BA62" s="448">
        <f>+BA61/BA$55</f>
        <v>0.18045328277260902</v>
      </c>
      <c r="BB62" s="271"/>
      <c r="BC62" s="271"/>
      <c r="BD62" s="271"/>
      <c r="BE62" s="271"/>
      <c r="BF62" s="448">
        <f>+BF61/BF$55</f>
        <v>0.20855263157894738</v>
      </c>
      <c r="BG62" s="271"/>
      <c r="BH62" s="271"/>
      <c r="BI62" s="271"/>
      <c r="BJ62" s="271"/>
      <c r="BK62" s="448">
        <f>+BK61/BK$55</f>
        <v>0.21657417844446372</v>
      </c>
      <c r="BL62" s="271"/>
      <c r="BM62" s="271"/>
      <c r="BN62" s="271"/>
      <c r="BO62" s="271"/>
      <c r="BP62" s="448"/>
      <c r="BQ62" s="448">
        <f>+BQ61/BQ$55</f>
        <v>0.22680618835427827</v>
      </c>
      <c r="BR62" s="271"/>
      <c r="BS62" s="271"/>
      <c r="BT62" s="271"/>
      <c r="BU62" s="271"/>
      <c r="BV62" s="448">
        <f>+BV61/BV$55</f>
        <v>0.2315225971975528</v>
      </c>
      <c r="BW62" s="271"/>
      <c r="BX62" s="271"/>
      <c r="BY62" s="271"/>
      <c r="BZ62" s="271"/>
      <c r="CA62" s="448">
        <f>+CA61/CA$55</f>
        <v>0.29161022688791061</v>
      </c>
      <c r="CB62" s="271"/>
      <c r="CC62" s="271"/>
      <c r="CD62" s="271"/>
      <c r="CE62" s="271"/>
      <c r="CF62" s="448">
        <f>+CF61/CF$55</f>
        <v>0.31000000000000011</v>
      </c>
      <c r="CG62" s="271"/>
      <c r="CH62" s="271"/>
      <c r="CI62" s="271"/>
      <c r="CJ62" s="271"/>
      <c r="CK62" s="448"/>
      <c r="CL62" s="271"/>
      <c r="CM62" s="271"/>
      <c r="CN62" s="271"/>
      <c r="CO62" s="271"/>
      <c r="CP62" s="273"/>
      <c r="CQ62" s="271"/>
      <c r="CR62" s="271"/>
      <c r="CS62" s="271"/>
      <c r="CT62" s="449"/>
      <c r="CU62" s="448"/>
      <c r="CV62" s="271"/>
      <c r="CW62" s="271"/>
      <c r="CX62" s="271"/>
      <c r="CY62" s="449"/>
      <c r="CZ62" s="448"/>
      <c r="DA62" s="271"/>
      <c r="DB62" s="271"/>
      <c r="DC62" s="271"/>
      <c r="DD62" s="449"/>
      <c r="DE62" s="448"/>
      <c r="DF62" s="271"/>
      <c r="DG62" s="271"/>
      <c r="DH62" s="271"/>
      <c r="DI62" s="449"/>
      <c r="DJ62" s="448"/>
      <c r="DK62" s="445"/>
      <c r="DL62" s="1283"/>
      <c r="DM62" s="830"/>
      <c r="DN62" s="830"/>
      <c r="DO62" s="830"/>
      <c r="DP62" s="1084"/>
      <c r="DQ62" s="1084"/>
      <c r="DR62" s="1084"/>
      <c r="DS62" s="830"/>
      <c r="DT62" s="830"/>
      <c r="DU62" s="830"/>
      <c r="DV62" s="830"/>
      <c r="DW62" s="830"/>
      <c r="DX62" s="830"/>
      <c r="DY62" s="427"/>
      <c r="DZ62" s="428"/>
      <c r="EA62" s="428"/>
      <c r="EB62"/>
      <c r="EC62"/>
      <c r="ED62"/>
      <c r="EE62"/>
      <c r="EF62"/>
      <c r="EG62"/>
    </row>
    <row r="63" spans="1:137" s="429" customFormat="1" hidden="1" outlineLevel="1">
      <c r="A63" s="995" t="s">
        <v>347</v>
      </c>
      <c r="B63" s="448"/>
      <c r="C63" s="448"/>
      <c r="D63" s="448"/>
      <c r="E63" s="448"/>
      <c r="F63" s="448"/>
      <c r="G63" s="448"/>
      <c r="H63" s="271"/>
      <c r="I63" s="271"/>
      <c r="J63" s="271"/>
      <c r="K63" s="271"/>
      <c r="L63" s="448"/>
      <c r="M63" s="271"/>
      <c r="N63" s="271"/>
      <c r="O63" s="271"/>
      <c r="P63" s="271"/>
      <c r="Q63" s="448"/>
      <c r="R63" s="271"/>
      <c r="S63" s="271"/>
      <c r="T63" s="271"/>
      <c r="U63" s="271"/>
      <c r="V63" s="448"/>
      <c r="W63" s="271"/>
      <c r="X63" s="271"/>
      <c r="Y63" s="271"/>
      <c r="Z63" s="271"/>
      <c r="AA63" s="448"/>
      <c r="AB63" s="271"/>
      <c r="AC63" s="271"/>
      <c r="AD63" s="271"/>
      <c r="AE63" s="271"/>
      <c r="AF63" s="448"/>
      <c r="AG63" s="271"/>
      <c r="AH63" s="271"/>
      <c r="AI63" s="271"/>
      <c r="AJ63" s="271"/>
      <c r="AK63" s="448"/>
      <c r="AL63" s="271"/>
      <c r="AM63" s="271"/>
      <c r="AN63" s="271"/>
      <c r="AO63" s="271"/>
      <c r="AP63" s="178">
        <v>37173</v>
      </c>
      <c r="AQ63" s="271"/>
      <c r="AR63" s="271"/>
      <c r="AS63" s="271"/>
      <c r="AT63" s="271"/>
      <c r="AU63" s="178">
        <v>36090</v>
      </c>
      <c r="AV63" s="271"/>
      <c r="AW63" s="271"/>
      <c r="AX63" s="271"/>
      <c r="AY63" s="271"/>
      <c r="AZ63" s="178">
        <v>36141</v>
      </c>
      <c r="BA63" s="178">
        <v>37173</v>
      </c>
      <c r="BB63" s="271"/>
      <c r="BC63" s="271"/>
      <c r="BD63" s="271"/>
      <c r="BE63" s="271"/>
      <c r="BF63" s="178">
        <v>36090</v>
      </c>
      <c r="BG63" s="271"/>
      <c r="BH63" s="271"/>
      <c r="BI63" s="271"/>
      <c r="BJ63" s="271"/>
      <c r="BK63" s="178">
        <v>36141</v>
      </c>
      <c r="BL63" s="271"/>
      <c r="BM63" s="271"/>
      <c r="BN63" s="271"/>
      <c r="BO63" s="271"/>
      <c r="BP63" s="448"/>
      <c r="BQ63" s="178">
        <v>30886</v>
      </c>
      <c r="BR63" s="271"/>
      <c r="BS63" s="271"/>
      <c r="BT63" s="271"/>
      <c r="BU63" s="271"/>
      <c r="BV63" s="178">
        <v>31151</v>
      </c>
      <c r="BW63" s="271"/>
      <c r="BX63" s="271"/>
      <c r="BY63" s="271"/>
      <c r="BZ63" s="271"/>
      <c r="CA63" s="178">
        <v>33470</v>
      </c>
      <c r="CB63" s="271"/>
      <c r="CC63" s="271"/>
      <c r="CD63" s="271"/>
      <c r="CE63" s="271"/>
      <c r="CF63" s="1230">
        <f>0.69*CF55</f>
        <v>35223.119999999995</v>
      </c>
      <c r="CG63" s="271"/>
      <c r="CH63" s="271"/>
      <c r="CI63" s="271"/>
      <c r="CJ63" s="271"/>
      <c r="CK63" s="178"/>
      <c r="CL63" s="271"/>
      <c r="CM63" s="271"/>
      <c r="CN63" s="271"/>
      <c r="CO63" s="271"/>
      <c r="CP63" s="180"/>
      <c r="CQ63" s="271"/>
      <c r="CR63" s="271"/>
      <c r="CS63" s="271"/>
      <c r="CT63" s="449"/>
      <c r="CU63" s="448"/>
      <c r="CV63" s="271"/>
      <c r="CW63" s="271"/>
      <c r="CX63" s="271"/>
      <c r="CY63" s="449"/>
      <c r="CZ63" s="448"/>
      <c r="DA63" s="271"/>
      <c r="DB63" s="271"/>
      <c r="DC63" s="271"/>
      <c r="DD63" s="449"/>
      <c r="DE63" s="448"/>
      <c r="DF63" s="271"/>
      <c r="DG63" s="271"/>
      <c r="DH63" s="271"/>
      <c r="DI63" s="449"/>
      <c r="DJ63" s="448"/>
      <c r="DK63" s="445"/>
      <c r="DL63" s="1283"/>
      <c r="DM63" s="830"/>
      <c r="DN63" s="830"/>
      <c r="DO63" s="830"/>
      <c r="DP63" s="1084"/>
      <c r="DQ63" s="1084"/>
      <c r="DR63" s="1084"/>
      <c r="DS63" s="830"/>
      <c r="DT63" s="830"/>
      <c r="DU63" s="830"/>
      <c r="DV63" s="830"/>
      <c r="DW63" s="830"/>
      <c r="DX63" s="830"/>
      <c r="DY63" s="427"/>
      <c r="DZ63" s="428"/>
      <c r="EA63" s="428"/>
      <c r="EB63"/>
      <c r="EC63"/>
      <c r="ED63"/>
      <c r="EE63"/>
      <c r="EF63"/>
      <c r="EG63"/>
    </row>
    <row r="64" spans="1:137" s="429" customFormat="1" hidden="1" outlineLevel="1">
      <c r="A64" s="991" t="s">
        <v>55</v>
      </c>
      <c r="B64" s="992"/>
      <c r="C64" s="992"/>
      <c r="D64" s="992"/>
      <c r="E64" s="992"/>
      <c r="F64" s="992"/>
      <c r="G64" s="992"/>
      <c r="H64" s="993"/>
      <c r="I64" s="993"/>
      <c r="J64" s="993"/>
      <c r="K64" s="993"/>
      <c r="L64" s="992"/>
      <c r="M64" s="993"/>
      <c r="N64" s="993"/>
      <c r="O64" s="993"/>
      <c r="P64" s="993"/>
      <c r="Q64" s="992"/>
      <c r="R64" s="993"/>
      <c r="S64" s="993"/>
      <c r="T64" s="993"/>
      <c r="U64" s="993"/>
      <c r="V64" s="992"/>
      <c r="W64" s="993"/>
      <c r="X64" s="993"/>
      <c r="Y64" s="993"/>
      <c r="Z64" s="993"/>
      <c r="AA64" s="992"/>
      <c r="AB64" s="993"/>
      <c r="AC64" s="993"/>
      <c r="AD64" s="993"/>
      <c r="AE64" s="993"/>
      <c r="AF64" s="992"/>
      <c r="AG64" s="993"/>
      <c r="AH64" s="993"/>
      <c r="AI64" s="993"/>
      <c r="AJ64" s="993"/>
      <c r="AK64" s="992"/>
      <c r="AL64" s="993"/>
      <c r="AM64" s="993"/>
      <c r="AN64" s="993"/>
      <c r="AO64" s="993"/>
      <c r="AP64" s="992">
        <f>+AP63/AP$55</f>
        <v>0.81954671722739103</v>
      </c>
      <c r="AQ64" s="993"/>
      <c r="AR64" s="993"/>
      <c r="AS64" s="993"/>
      <c r="AT64" s="993"/>
      <c r="AU64" s="992">
        <f>+AU63/AU$55</f>
        <v>0.79144736842105268</v>
      </c>
      <c r="AV64" s="993"/>
      <c r="AW64" s="993"/>
      <c r="AX64" s="993"/>
      <c r="AY64" s="993"/>
      <c r="AZ64" s="992">
        <f>+AZ63/AZ$55</f>
        <v>0.78342582155553631</v>
      </c>
      <c r="BA64" s="992">
        <f>+BA63/BA$55</f>
        <v>0.81954671722739103</v>
      </c>
      <c r="BB64" s="993"/>
      <c r="BC64" s="993"/>
      <c r="BD64" s="993"/>
      <c r="BE64" s="993"/>
      <c r="BF64" s="992">
        <f>+BF63/BF$55</f>
        <v>0.79144736842105268</v>
      </c>
      <c r="BG64" s="993"/>
      <c r="BH64" s="993"/>
      <c r="BI64" s="993"/>
      <c r="BJ64" s="993"/>
      <c r="BK64" s="992">
        <f>+BK63/BK$55</f>
        <v>0.78342582155553631</v>
      </c>
      <c r="BL64" s="993"/>
      <c r="BM64" s="993"/>
      <c r="BN64" s="993"/>
      <c r="BO64" s="993"/>
      <c r="BP64" s="992"/>
      <c r="BQ64" s="992">
        <f>+BQ63/BQ$55</f>
        <v>0.77319381164572176</v>
      </c>
      <c r="BR64" s="993"/>
      <c r="BS64" s="993"/>
      <c r="BT64" s="993"/>
      <c r="BU64" s="993"/>
      <c r="BV64" s="992">
        <f>+BV63/BV$55</f>
        <v>0.76847740280244725</v>
      </c>
      <c r="BW64" s="993"/>
      <c r="BX64" s="993"/>
      <c r="BY64" s="993"/>
      <c r="BZ64" s="993"/>
      <c r="CA64" s="992">
        <f>+CA63/CA$55</f>
        <v>0.70838977311208939</v>
      </c>
      <c r="CB64" s="993"/>
      <c r="CC64" s="993"/>
      <c r="CD64" s="993"/>
      <c r="CE64" s="993"/>
      <c r="CF64" s="992">
        <f>+CF63/CF$55</f>
        <v>0.69</v>
      </c>
      <c r="CG64" s="993"/>
      <c r="CH64" s="993"/>
      <c r="CI64" s="993"/>
      <c r="CJ64" s="993"/>
      <c r="CK64" s="992"/>
      <c r="CL64" s="993"/>
      <c r="CM64" s="993"/>
      <c r="CN64" s="993"/>
      <c r="CO64" s="993"/>
      <c r="CP64" s="1016"/>
      <c r="CQ64" s="993"/>
      <c r="CR64" s="993"/>
      <c r="CS64" s="993"/>
      <c r="CT64" s="994"/>
      <c r="CU64" s="992"/>
      <c r="CV64" s="993"/>
      <c r="CW64" s="993"/>
      <c r="CX64" s="993"/>
      <c r="CY64" s="994"/>
      <c r="CZ64" s="992"/>
      <c r="DA64" s="993"/>
      <c r="DB64" s="993"/>
      <c r="DC64" s="993"/>
      <c r="DD64" s="994"/>
      <c r="DE64" s="992"/>
      <c r="DF64" s="993"/>
      <c r="DG64" s="993"/>
      <c r="DH64" s="993"/>
      <c r="DI64" s="994"/>
      <c r="DJ64" s="992"/>
      <c r="DK64" s="445"/>
      <c r="DL64" s="1283"/>
      <c r="DM64" s="830"/>
      <c r="DN64" s="830"/>
      <c r="DO64" s="830"/>
      <c r="DP64" s="1084"/>
      <c r="DQ64" s="1084"/>
      <c r="DR64" s="1084"/>
      <c r="DS64" s="830"/>
      <c r="DT64" s="830"/>
      <c r="DU64" s="830"/>
      <c r="DV64" s="830"/>
      <c r="DW64" s="830"/>
      <c r="DX64" s="830"/>
      <c r="DY64" s="427"/>
      <c r="DZ64" s="428"/>
      <c r="EA64" s="428"/>
      <c r="EB64"/>
      <c r="EC64"/>
      <c r="ED64"/>
      <c r="EE64"/>
      <c r="EF64"/>
      <c r="EG64"/>
    </row>
    <row r="65" spans="1:137" s="473" customFormat="1" ht="12" hidden="1" customHeight="1" outlineLevel="1">
      <c r="A65" s="515" t="s">
        <v>17</v>
      </c>
      <c r="B65" s="462"/>
      <c r="C65" s="462"/>
      <c r="D65" s="462"/>
      <c r="E65" s="462"/>
      <c r="F65" s="462"/>
      <c r="G65" s="462"/>
      <c r="H65" s="463"/>
      <c r="I65" s="463"/>
      <c r="J65" s="463"/>
      <c r="K65" s="463"/>
      <c r="L65" s="462"/>
      <c r="M65" s="463"/>
      <c r="N65" s="463"/>
      <c r="O65" s="463"/>
      <c r="P65" s="463"/>
      <c r="Q65" s="10">
        <f>Q$55*Q66</f>
        <v>14955.849999999999</v>
      </c>
      <c r="R65" s="463"/>
      <c r="S65" s="463"/>
      <c r="T65" s="463"/>
      <c r="U65" s="463"/>
      <c r="V65" s="10">
        <f>V$55*V66</f>
        <v>15545.249999999998</v>
      </c>
      <c r="W65" s="463"/>
      <c r="X65" s="463"/>
      <c r="Y65" s="463"/>
      <c r="Z65" s="463"/>
      <c r="AA65" s="10">
        <f>AA$55*AA66</f>
        <v>16002.349999999999</v>
      </c>
      <c r="AB65" s="463"/>
      <c r="AC65" s="463"/>
      <c r="AD65" s="463"/>
      <c r="AE65" s="463"/>
      <c r="AF65" s="10">
        <f>AF$55*AF66</f>
        <v>20924.55</v>
      </c>
      <c r="AG65" s="463"/>
      <c r="AH65" s="463"/>
      <c r="AI65" s="463"/>
      <c r="AJ65" s="463"/>
      <c r="AK65" s="10">
        <f>AK$55*AK66</f>
        <v>23591</v>
      </c>
      <c r="AL65" s="463"/>
      <c r="AM65" s="463"/>
      <c r="AN65" s="463"/>
      <c r="AO65" s="463"/>
      <c r="AP65" s="10">
        <f>AP$55*AP66</f>
        <v>22679</v>
      </c>
      <c r="AQ65" s="466"/>
      <c r="AR65" s="463"/>
      <c r="AS65" s="463"/>
      <c r="AT65" s="463"/>
      <c r="AU65" s="10">
        <f>AU$55*AU66</f>
        <v>25080.000000000004</v>
      </c>
      <c r="AV65" s="466"/>
      <c r="AW65" s="463"/>
      <c r="AX65" s="463"/>
      <c r="AY65" s="463"/>
      <c r="AZ65" s="10">
        <f>AZ$55*AZ66</f>
        <v>25372.600000000002</v>
      </c>
      <c r="BA65" s="10">
        <f>BA$55*BA66</f>
        <v>22679</v>
      </c>
      <c r="BB65" s="466"/>
      <c r="BC65" s="463"/>
      <c r="BD65" s="463"/>
      <c r="BE65" s="463"/>
      <c r="BF65" s="10">
        <f>BF$55*BF66</f>
        <v>22800</v>
      </c>
      <c r="BG65" s="466"/>
      <c r="BH65" s="463"/>
      <c r="BI65" s="463"/>
      <c r="BJ65" s="463"/>
      <c r="BK65" s="10">
        <f>BK$55*BK66</f>
        <v>24911.280000000002</v>
      </c>
      <c r="BL65" s="466"/>
      <c r="BM65" s="463"/>
      <c r="BN65" s="463"/>
      <c r="BO65" s="463"/>
      <c r="BP65" s="462"/>
      <c r="BQ65" s="10">
        <f>BQ$55*BQ66</f>
        <v>23168.679999999997</v>
      </c>
      <c r="BR65" s="466"/>
      <c r="BS65" s="463"/>
      <c r="BT65" s="463"/>
      <c r="BU65" s="463"/>
      <c r="BV65" s="10">
        <f>BV$55*BV66</f>
        <v>23105.519999999997</v>
      </c>
      <c r="BW65" s="466"/>
      <c r="BX65" s="463"/>
      <c r="BY65" s="463"/>
      <c r="BZ65" s="463"/>
      <c r="CA65" s="10">
        <f>CA$55*CA66</f>
        <v>28821.279999999999</v>
      </c>
      <c r="CB65" s="466"/>
      <c r="CC65" s="463"/>
      <c r="CD65" s="463"/>
      <c r="CE65" s="463"/>
      <c r="CF65" s="10">
        <f>CF$55*CF66</f>
        <v>32160.240000000002</v>
      </c>
      <c r="CG65" s="466"/>
      <c r="CH65" s="463"/>
      <c r="CI65" s="463"/>
      <c r="CJ65" s="463"/>
      <c r="CK65" s="10"/>
      <c r="CL65" s="466"/>
      <c r="CM65" s="463"/>
      <c r="CN65" s="463"/>
      <c r="CO65" s="463"/>
      <c r="CP65" s="343"/>
      <c r="CQ65" s="468"/>
      <c r="CR65" s="468"/>
      <c r="CS65" s="468"/>
      <c r="CT65" s="469"/>
      <c r="CU65" s="462"/>
      <c r="CV65" s="468"/>
      <c r="CW65" s="468"/>
      <c r="CX65" s="468"/>
      <c r="CY65" s="469"/>
      <c r="CZ65" s="462"/>
      <c r="DA65" s="468"/>
      <c r="DB65" s="468"/>
      <c r="DC65" s="468"/>
      <c r="DD65" s="469"/>
      <c r="DE65" s="462"/>
      <c r="DF65" s="468"/>
      <c r="DG65" s="468"/>
      <c r="DH65" s="468"/>
      <c r="DI65" s="469"/>
      <c r="DJ65" s="462"/>
      <c r="DK65" s="412"/>
      <c r="DL65" s="595"/>
      <c r="DM65" s="864"/>
      <c r="DN65" s="812"/>
      <c r="DO65" s="864"/>
      <c r="DP65" s="1059"/>
      <c r="DQ65" s="1059"/>
      <c r="DR65" s="1059"/>
      <c r="DS65" s="864"/>
      <c r="DT65" s="864"/>
      <c r="DU65" s="864"/>
      <c r="DV65" s="864"/>
      <c r="DW65" s="864"/>
      <c r="DX65" s="864"/>
      <c r="DY65" s="472"/>
      <c r="DZ65" s="464"/>
      <c r="EA65" s="464"/>
      <c r="EB65"/>
      <c r="EC65"/>
      <c r="ED65"/>
      <c r="EE65"/>
      <c r="EF65"/>
      <c r="EG65"/>
    </row>
    <row r="66" spans="1:137" s="459" customFormat="1" ht="12" hidden="1" customHeight="1" outlineLevel="1">
      <c r="A66" s="447" t="s">
        <v>55</v>
      </c>
      <c r="B66" s="452"/>
      <c r="C66" s="452"/>
      <c r="D66" s="452"/>
      <c r="E66" s="452"/>
      <c r="F66" s="452"/>
      <c r="G66" s="452"/>
      <c r="H66" s="430"/>
      <c r="I66" s="430"/>
      <c r="J66" s="430"/>
      <c r="K66" s="430"/>
      <c r="L66" s="452"/>
      <c r="M66" s="430"/>
      <c r="N66" s="430"/>
      <c r="O66" s="430"/>
      <c r="P66" s="430"/>
      <c r="Q66" s="452">
        <v>0.35</v>
      </c>
      <c r="R66" s="430"/>
      <c r="S66" s="430"/>
      <c r="T66" s="430"/>
      <c r="U66" s="430"/>
      <c r="V66" s="452">
        <v>0.35</v>
      </c>
      <c r="W66" s="430"/>
      <c r="X66" s="430"/>
      <c r="Y66" s="430"/>
      <c r="Z66" s="430"/>
      <c r="AA66" s="452">
        <v>0.35</v>
      </c>
      <c r="AB66" s="430"/>
      <c r="AC66" s="430"/>
      <c r="AD66" s="430"/>
      <c r="AE66" s="430"/>
      <c r="AF66" s="452">
        <v>0.45</v>
      </c>
      <c r="AG66" s="430"/>
      <c r="AH66" s="430"/>
      <c r="AI66" s="430"/>
      <c r="AJ66" s="430"/>
      <c r="AK66" s="452">
        <v>0.5</v>
      </c>
      <c r="AL66" s="430"/>
      <c r="AM66" s="430"/>
      <c r="AN66" s="430"/>
      <c r="AO66" s="430"/>
      <c r="AP66" s="452">
        <v>0.5</v>
      </c>
      <c r="AQ66" s="453"/>
      <c r="AR66" s="430"/>
      <c r="AS66" s="430"/>
      <c r="AT66" s="430"/>
      <c r="AU66" s="837">
        <v>0.55000000000000004</v>
      </c>
      <c r="AV66" s="453"/>
      <c r="AW66" s="430"/>
      <c r="AX66" s="430"/>
      <c r="AY66" s="430"/>
      <c r="AZ66" s="837">
        <v>0.55000000000000004</v>
      </c>
      <c r="BA66" s="452">
        <v>0.5</v>
      </c>
      <c r="BB66" s="453"/>
      <c r="BC66" s="430"/>
      <c r="BD66" s="430"/>
      <c r="BE66" s="430"/>
      <c r="BF66" s="452">
        <v>0.5</v>
      </c>
      <c r="BG66" s="453"/>
      <c r="BH66" s="430"/>
      <c r="BI66" s="430"/>
      <c r="BJ66" s="430"/>
      <c r="BK66" s="452">
        <v>0.54</v>
      </c>
      <c r="BL66" s="453"/>
      <c r="BM66" s="430"/>
      <c r="BN66" s="430"/>
      <c r="BO66" s="430"/>
      <c r="BP66" s="452"/>
      <c r="BQ66" s="452">
        <v>0.57999999999999996</v>
      </c>
      <c r="BR66" s="453"/>
      <c r="BS66" s="430"/>
      <c r="BT66" s="430"/>
      <c r="BU66" s="430"/>
      <c r="BV66" s="1231">
        <v>0.56999999999999995</v>
      </c>
      <c r="BW66" s="453"/>
      <c r="BX66" s="430"/>
      <c r="BY66" s="430"/>
      <c r="BZ66" s="430"/>
      <c r="CA66" s="1231">
        <v>0.61</v>
      </c>
      <c r="CB66" s="453"/>
      <c r="CC66" s="430"/>
      <c r="CD66" s="430"/>
      <c r="CE66" s="430"/>
      <c r="CF66" s="1231">
        <v>0.63</v>
      </c>
      <c r="CG66" s="453"/>
      <c r="CH66" s="430"/>
      <c r="CI66" s="430"/>
      <c r="CJ66" s="430"/>
      <c r="CK66" s="452"/>
      <c r="CL66" s="453"/>
      <c r="CM66" s="430"/>
      <c r="CN66" s="430"/>
      <c r="CO66" s="430"/>
      <c r="CP66" s="292"/>
      <c r="CQ66" s="454"/>
      <c r="CR66" s="454"/>
      <c r="CS66" s="454"/>
      <c r="CT66" s="455"/>
      <c r="CU66" s="452"/>
      <c r="CV66" s="454"/>
      <c r="CW66" s="454"/>
      <c r="CX66" s="454"/>
      <c r="CY66" s="455"/>
      <c r="CZ66" s="452"/>
      <c r="DA66" s="454"/>
      <c r="DB66" s="454"/>
      <c r="DC66" s="454"/>
      <c r="DD66" s="455"/>
      <c r="DE66" s="452"/>
      <c r="DF66" s="454"/>
      <c r="DG66" s="454"/>
      <c r="DH66" s="454"/>
      <c r="DI66" s="455"/>
      <c r="DJ66" s="452"/>
      <c r="DK66" s="456"/>
      <c r="DL66" s="1284"/>
      <c r="DM66" s="812"/>
      <c r="DN66" s="812"/>
      <c r="DO66" s="812"/>
      <c r="DP66" s="1085"/>
      <c r="DQ66" s="1085"/>
      <c r="DR66" s="1085"/>
      <c r="DS66" s="812"/>
      <c r="DT66" s="812"/>
      <c r="DU66" s="812"/>
      <c r="DV66" s="812"/>
      <c r="DW66" s="812"/>
      <c r="DX66" s="812"/>
      <c r="DY66" s="457"/>
      <c r="DZ66" s="458"/>
      <c r="EA66" s="458"/>
      <c r="EB66"/>
      <c r="EC66"/>
      <c r="ED66"/>
      <c r="EE66"/>
      <c r="EF66"/>
      <c r="EG66"/>
    </row>
    <row r="67" spans="1:137" s="473" customFormat="1" hidden="1" outlineLevel="1">
      <c r="A67" s="516" t="s">
        <v>140</v>
      </c>
      <c r="B67" s="10"/>
      <c r="C67" s="10"/>
      <c r="D67" s="10"/>
      <c r="E67" s="10"/>
      <c r="F67" s="10"/>
      <c r="G67" s="10"/>
      <c r="H67" s="35"/>
      <c r="I67" s="35"/>
      <c r="J67" s="35"/>
      <c r="K67" s="35"/>
      <c r="L67" s="10"/>
      <c r="M67" s="35"/>
      <c r="N67" s="35"/>
      <c r="O67" s="35"/>
      <c r="P67" s="35"/>
      <c r="Q67" s="10">
        <f>Q$55*Q68</f>
        <v>25638.6</v>
      </c>
      <c r="R67" s="35"/>
      <c r="S67" s="35"/>
      <c r="T67" s="35"/>
      <c r="U67" s="35"/>
      <c r="V67" s="10">
        <f>V$55*V68</f>
        <v>26649</v>
      </c>
      <c r="W67" s="35"/>
      <c r="X67" s="35"/>
      <c r="Y67" s="35"/>
      <c r="Z67" s="35"/>
      <c r="AA67" s="10">
        <f>AA$55*AA68</f>
        <v>27432.6</v>
      </c>
      <c r="AB67" s="35"/>
      <c r="AC67" s="35"/>
      <c r="AD67" s="35"/>
      <c r="AE67" s="35"/>
      <c r="AF67" s="10">
        <f>AF$55*AF68</f>
        <v>23249.5</v>
      </c>
      <c r="AG67" s="35"/>
      <c r="AH67" s="35"/>
      <c r="AI67" s="35"/>
      <c r="AJ67" s="35"/>
      <c r="AK67" s="10">
        <f>AK$55*AK68</f>
        <v>21231.9</v>
      </c>
      <c r="AL67" s="35"/>
      <c r="AM67" s="35"/>
      <c r="AN67" s="35"/>
      <c r="AO67" s="35"/>
      <c r="AP67" s="10">
        <f>AP$55*AP68</f>
        <v>20411.100000000002</v>
      </c>
      <c r="AQ67" s="62"/>
      <c r="AR67" s="35"/>
      <c r="AS67" s="35"/>
      <c r="AT67" s="35"/>
      <c r="AU67" s="10">
        <f>AU$55*AU68</f>
        <v>18240</v>
      </c>
      <c r="AV67" s="62"/>
      <c r="AW67" s="35"/>
      <c r="AX67" s="35"/>
      <c r="AY67" s="35"/>
      <c r="AZ67" s="10">
        <f>AZ$55*AZ68</f>
        <v>18452.8</v>
      </c>
      <c r="BA67" s="10">
        <f>BA$55*BA68</f>
        <v>20411.100000000002</v>
      </c>
      <c r="BB67" s="62"/>
      <c r="BC67" s="35"/>
      <c r="BD67" s="35"/>
      <c r="BE67" s="35"/>
      <c r="BF67" s="10">
        <f>BF$55*BF68</f>
        <v>20520</v>
      </c>
      <c r="BG67" s="62"/>
      <c r="BH67" s="35"/>
      <c r="BI67" s="35"/>
      <c r="BJ67" s="35"/>
      <c r="BK67" s="10">
        <f>BK$55*BK68</f>
        <v>19836.759999999998</v>
      </c>
      <c r="BL67" s="62"/>
      <c r="BM67" s="35"/>
      <c r="BN67" s="35"/>
      <c r="BO67" s="35"/>
      <c r="BP67" s="10"/>
      <c r="BQ67" s="10">
        <f>BQ$55*BQ68</f>
        <v>16377.859999999999</v>
      </c>
      <c r="BR67" s="62"/>
      <c r="BS67" s="35"/>
      <c r="BT67" s="35"/>
      <c r="BU67" s="35"/>
      <c r="BV67" s="10">
        <f>BV$55*BV68</f>
        <v>17025.12</v>
      </c>
      <c r="BW67" s="62"/>
      <c r="BX67" s="35"/>
      <c r="BY67" s="35"/>
      <c r="BZ67" s="35"/>
      <c r="CA67" s="10">
        <f>CA$55*CA68</f>
        <v>17954.240000000002</v>
      </c>
      <c r="CB67" s="62"/>
      <c r="CC67" s="35"/>
      <c r="CD67" s="35"/>
      <c r="CE67" s="35"/>
      <c r="CF67" s="10">
        <f>CF$55*CF68</f>
        <v>18887.759999999998</v>
      </c>
      <c r="CG67" s="62"/>
      <c r="CH67" s="35"/>
      <c r="CI67" s="35"/>
      <c r="CJ67" s="35"/>
      <c r="CK67" s="10"/>
      <c r="CL67" s="62"/>
      <c r="CM67" s="35"/>
      <c r="CN67" s="35"/>
      <c r="CO67" s="35"/>
      <c r="CP67" s="343"/>
      <c r="CQ67" s="35"/>
      <c r="CR67" s="35"/>
      <c r="CS67" s="35"/>
      <c r="CT67" s="63"/>
      <c r="CU67" s="10"/>
      <c r="CV67" s="35"/>
      <c r="CW67" s="35"/>
      <c r="CX67" s="35"/>
      <c r="CY67" s="63"/>
      <c r="CZ67" s="10"/>
      <c r="DA67" s="35"/>
      <c r="DB67" s="35"/>
      <c r="DC67" s="35"/>
      <c r="DD67" s="63"/>
      <c r="DE67" s="10"/>
      <c r="DF67" s="35"/>
      <c r="DG67" s="35"/>
      <c r="DH67" s="35"/>
      <c r="DI67" s="63"/>
      <c r="DJ67" s="10"/>
      <c r="DK67" s="517"/>
      <c r="DL67" s="595"/>
      <c r="DM67" s="864"/>
      <c r="DN67" s="812"/>
      <c r="DO67" s="864"/>
      <c r="DP67" s="1059"/>
      <c r="DQ67" s="1059"/>
      <c r="DR67" s="1059"/>
      <c r="DS67" s="864"/>
      <c r="DT67" s="864"/>
      <c r="DU67" s="864"/>
      <c r="DV67" s="864"/>
      <c r="DW67" s="864"/>
      <c r="DX67" s="864"/>
      <c r="DY67" s="472"/>
      <c r="DZ67" s="464"/>
      <c r="EA67" s="464"/>
      <c r="EB67"/>
      <c r="EC67"/>
      <c r="ED67"/>
      <c r="EE67"/>
      <c r="EF67"/>
      <c r="EG67"/>
    </row>
    <row r="68" spans="1:137" s="459" customFormat="1" ht="12" hidden="1" customHeight="1" outlineLevel="1">
      <c r="A68" s="447" t="s">
        <v>55</v>
      </c>
      <c r="B68" s="452"/>
      <c r="C68" s="452"/>
      <c r="D68" s="452"/>
      <c r="E68" s="452"/>
      <c r="F68" s="452"/>
      <c r="G68" s="452"/>
      <c r="H68" s="430"/>
      <c r="I68" s="430"/>
      <c r="J68" s="430"/>
      <c r="K68" s="430"/>
      <c r="L68" s="452"/>
      <c r="M68" s="430"/>
      <c r="N68" s="430"/>
      <c r="O68" s="430"/>
      <c r="P68" s="430"/>
      <c r="Q68" s="452">
        <v>0.6</v>
      </c>
      <c r="R68" s="430"/>
      <c r="S68" s="430"/>
      <c r="T68" s="430"/>
      <c r="U68" s="430"/>
      <c r="V68" s="452">
        <v>0.6</v>
      </c>
      <c r="W68" s="430"/>
      <c r="X68" s="430"/>
      <c r="Y68" s="430"/>
      <c r="Z68" s="430"/>
      <c r="AA68" s="452">
        <v>0.6</v>
      </c>
      <c r="AB68" s="430"/>
      <c r="AC68" s="430"/>
      <c r="AD68" s="430"/>
      <c r="AE68" s="430"/>
      <c r="AF68" s="452">
        <v>0.5</v>
      </c>
      <c r="AG68" s="430"/>
      <c r="AH68" s="430"/>
      <c r="AI68" s="430"/>
      <c r="AJ68" s="430"/>
      <c r="AK68" s="452">
        <v>0.45</v>
      </c>
      <c r="AL68" s="430"/>
      <c r="AM68" s="430"/>
      <c r="AN68" s="430"/>
      <c r="AO68" s="430"/>
      <c r="AP68" s="452">
        <v>0.45</v>
      </c>
      <c r="AQ68" s="453"/>
      <c r="AR68" s="430"/>
      <c r="AS68" s="430"/>
      <c r="AT68" s="430"/>
      <c r="AU68" s="837">
        <v>0.4</v>
      </c>
      <c r="AV68" s="453"/>
      <c r="AW68" s="430"/>
      <c r="AX68" s="430"/>
      <c r="AY68" s="430"/>
      <c r="AZ68" s="837">
        <v>0.4</v>
      </c>
      <c r="BA68" s="452">
        <v>0.45</v>
      </c>
      <c r="BB68" s="453"/>
      <c r="BC68" s="430"/>
      <c r="BD68" s="430"/>
      <c r="BE68" s="430"/>
      <c r="BF68" s="452">
        <v>0.45</v>
      </c>
      <c r="BG68" s="453"/>
      <c r="BH68" s="430"/>
      <c r="BI68" s="430"/>
      <c r="BJ68" s="430"/>
      <c r="BK68" s="452">
        <v>0.43</v>
      </c>
      <c r="BL68" s="453"/>
      <c r="BM68" s="430"/>
      <c r="BN68" s="430"/>
      <c r="BO68" s="430"/>
      <c r="BP68" s="452"/>
      <c r="BQ68" s="452">
        <v>0.41</v>
      </c>
      <c r="BR68" s="453"/>
      <c r="BS68" s="430"/>
      <c r="BT68" s="430"/>
      <c r="BU68" s="430"/>
      <c r="BV68" s="1231">
        <v>0.42</v>
      </c>
      <c r="BW68" s="453"/>
      <c r="BX68" s="430"/>
      <c r="BY68" s="430"/>
      <c r="BZ68" s="430"/>
      <c r="CA68" s="1231">
        <v>0.38</v>
      </c>
      <c r="CB68" s="453"/>
      <c r="CC68" s="430"/>
      <c r="CD68" s="430"/>
      <c r="CE68" s="430"/>
      <c r="CF68" s="1231">
        <v>0.37</v>
      </c>
      <c r="CG68" s="453"/>
      <c r="CH68" s="430"/>
      <c r="CI68" s="430"/>
      <c r="CJ68" s="430"/>
      <c r="CK68" s="452"/>
      <c r="CL68" s="453"/>
      <c r="CM68" s="430"/>
      <c r="CN68" s="430"/>
      <c r="CO68" s="430"/>
      <c r="CP68" s="292"/>
      <c r="CQ68" s="454"/>
      <c r="CR68" s="454"/>
      <c r="CS68" s="454"/>
      <c r="CT68" s="455"/>
      <c r="CU68" s="452"/>
      <c r="CV68" s="454"/>
      <c r="CW68" s="454"/>
      <c r="CX68" s="454"/>
      <c r="CY68" s="455"/>
      <c r="CZ68" s="452"/>
      <c r="DA68" s="454"/>
      <c r="DB68" s="454"/>
      <c r="DC68" s="454"/>
      <c r="DD68" s="455"/>
      <c r="DE68" s="452"/>
      <c r="DF68" s="454"/>
      <c r="DG68" s="454"/>
      <c r="DH68" s="454"/>
      <c r="DI68" s="455"/>
      <c r="DJ68" s="452"/>
      <c r="DK68" s="456"/>
      <c r="DL68" s="1284"/>
      <c r="DM68" s="812"/>
      <c r="DN68" s="812"/>
      <c r="DO68" s="812"/>
      <c r="DP68" s="1085"/>
      <c r="DQ68" s="1085"/>
      <c r="DR68" s="1085"/>
      <c r="DS68" s="812"/>
      <c r="DT68" s="812"/>
      <c r="DU68" s="812"/>
      <c r="DV68" s="812"/>
      <c r="DW68" s="812"/>
      <c r="DX68" s="812"/>
      <c r="DY68" s="457"/>
      <c r="DZ68" s="458"/>
      <c r="EA68" s="458"/>
      <c r="EB68"/>
      <c r="EC68"/>
      <c r="ED68"/>
      <c r="EE68"/>
      <c r="EF68"/>
      <c r="EG68"/>
    </row>
    <row r="69" spans="1:137" s="473" customFormat="1" ht="12" hidden="1" customHeight="1" outlineLevel="1">
      <c r="A69" s="515" t="s">
        <v>141</v>
      </c>
      <c r="B69" s="462"/>
      <c r="C69" s="462"/>
      <c r="D69" s="462"/>
      <c r="E69" s="462"/>
      <c r="F69" s="462"/>
      <c r="G69" s="462"/>
      <c r="H69" s="463"/>
      <c r="I69" s="463"/>
      <c r="J69" s="463"/>
      <c r="K69" s="463"/>
      <c r="L69" s="462"/>
      <c r="M69" s="463"/>
      <c r="N69" s="463"/>
      <c r="O69" s="463"/>
      <c r="P69" s="463"/>
      <c r="Q69" s="10">
        <f>Q$55*Q70</f>
        <v>2136.5500000000002</v>
      </c>
      <c r="R69" s="463"/>
      <c r="S69" s="463"/>
      <c r="T69" s="463"/>
      <c r="U69" s="463"/>
      <c r="V69" s="10">
        <f>V$55*V70</f>
        <v>2220.75</v>
      </c>
      <c r="W69" s="463"/>
      <c r="X69" s="463"/>
      <c r="Y69" s="463"/>
      <c r="Z69" s="463"/>
      <c r="AA69" s="10">
        <f>AA$55*AA70</f>
        <v>2286.0500000000002</v>
      </c>
      <c r="AB69" s="463"/>
      <c r="AC69" s="463"/>
      <c r="AD69" s="463"/>
      <c r="AE69" s="463"/>
      <c r="AF69" s="10">
        <f>AF$55*AF70</f>
        <v>2324.9500000000003</v>
      </c>
      <c r="AG69" s="463"/>
      <c r="AH69" s="463"/>
      <c r="AI69" s="463"/>
      <c r="AJ69" s="463"/>
      <c r="AK69" s="10">
        <f>AK$55*AK70</f>
        <v>2359.1</v>
      </c>
      <c r="AL69" s="463"/>
      <c r="AM69" s="463"/>
      <c r="AN69" s="463"/>
      <c r="AO69" s="463"/>
      <c r="AP69" s="10">
        <f>AP$55*AP70</f>
        <v>2267.9</v>
      </c>
      <c r="AQ69" s="466"/>
      <c r="AR69" s="463"/>
      <c r="AS69" s="463"/>
      <c r="AT69" s="463"/>
      <c r="AU69" s="10">
        <f>AU$55*AU70</f>
        <v>2279.9999999999968</v>
      </c>
      <c r="AV69" s="466"/>
      <c r="AW69" s="463"/>
      <c r="AX69" s="463"/>
      <c r="AY69" s="463"/>
      <c r="AZ69" s="10">
        <f>AZ$55*AZ70</f>
        <v>2306.5999999999967</v>
      </c>
      <c r="BA69" s="10">
        <f>BA$55*BA70</f>
        <v>2267.9</v>
      </c>
      <c r="BB69" s="466"/>
      <c r="BC69" s="463"/>
      <c r="BD69" s="463"/>
      <c r="BE69" s="463"/>
      <c r="BF69" s="10">
        <f>BF$55*BF70</f>
        <v>2280.0000000000018</v>
      </c>
      <c r="BG69" s="466"/>
      <c r="BH69" s="463"/>
      <c r="BI69" s="463"/>
      <c r="BJ69" s="463"/>
      <c r="BK69" s="10">
        <f>BK$55*BK70</f>
        <v>1383.9600000000012</v>
      </c>
      <c r="BL69" s="466"/>
      <c r="BM69" s="463"/>
      <c r="BN69" s="463"/>
      <c r="BO69" s="463"/>
      <c r="BP69" s="462"/>
      <c r="BQ69" s="10">
        <f>BQ$55*BQ70</f>
        <v>399.46000000000481</v>
      </c>
      <c r="BR69" s="466"/>
      <c r="BS69" s="463"/>
      <c r="BT69" s="463"/>
      <c r="BU69" s="463"/>
      <c r="BV69" s="10">
        <f>BV$55*BV70</f>
        <v>405.36000000000485</v>
      </c>
      <c r="BW69" s="466"/>
      <c r="BX69" s="463"/>
      <c r="BY69" s="463"/>
      <c r="BZ69" s="463"/>
      <c r="CA69" s="10">
        <f>CA$55*CA70</f>
        <v>472.48000000000042</v>
      </c>
      <c r="CB69" s="466"/>
      <c r="CC69" s="463"/>
      <c r="CD69" s="463"/>
      <c r="CE69" s="463"/>
      <c r="CF69" s="10">
        <f>CF$55*CF70</f>
        <v>0</v>
      </c>
      <c r="CG69" s="466"/>
      <c r="CH69" s="463"/>
      <c r="CI69" s="463"/>
      <c r="CJ69" s="463"/>
      <c r="CK69" s="10"/>
      <c r="CL69" s="466"/>
      <c r="CM69" s="463"/>
      <c r="CN69" s="463"/>
      <c r="CO69" s="463"/>
      <c r="CP69" s="343"/>
      <c r="CQ69" s="468"/>
      <c r="CR69" s="468"/>
      <c r="CS69" s="468"/>
      <c r="CT69" s="469"/>
      <c r="CU69" s="462"/>
      <c r="CV69" s="468"/>
      <c r="CW69" s="468"/>
      <c r="CX69" s="468"/>
      <c r="CY69" s="469"/>
      <c r="CZ69" s="462"/>
      <c r="DA69" s="468"/>
      <c r="DB69" s="468"/>
      <c r="DC69" s="468"/>
      <c r="DD69" s="469"/>
      <c r="DE69" s="462"/>
      <c r="DF69" s="468"/>
      <c r="DG69" s="468"/>
      <c r="DH69" s="468"/>
      <c r="DI69" s="469"/>
      <c r="DJ69" s="462"/>
      <c r="DK69" s="412"/>
      <c r="DL69" s="595"/>
      <c r="DM69" s="864"/>
      <c r="DN69" s="864"/>
      <c r="DO69" s="864"/>
      <c r="DP69" s="1059"/>
      <c r="DQ69" s="1059"/>
      <c r="DR69" s="1059"/>
      <c r="DS69" s="864"/>
      <c r="DT69" s="864"/>
      <c r="DU69" s="864"/>
      <c r="DV69" s="864"/>
      <c r="DW69" s="864"/>
      <c r="DX69" s="864"/>
      <c r="DY69" s="472"/>
      <c r="DZ69" s="464"/>
      <c r="EA69" s="464"/>
      <c r="EB69"/>
      <c r="EC69"/>
      <c r="ED69"/>
      <c r="EE69"/>
      <c r="EF69"/>
      <c r="EG69"/>
    </row>
    <row r="70" spans="1:137" s="459" customFormat="1" ht="12" hidden="1" customHeight="1" outlineLevel="1">
      <c r="A70" s="447" t="s">
        <v>55</v>
      </c>
      <c r="B70" s="452"/>
      <c r="C70" s="452"/>
      <c r="D70" s="452"/>
      <c r="E70" s="452"/>
      <c r="F70" s="452"/>
      <c r="G70" s="214"/>
      <c r="H70" s="430"/>
      <c r="I70" s="430"/>
      <c r="J70" s="430"/>
      <c r="K70" s="430"/>
      <c r="L70" s="452"/>
      <c r="M70" s="430"/>
      <c r="N70" s="430"/>
      <c r="O70" s="430"/>
      <c r="P70" s="430"/>
      <c r="Q70" s="452">
        <v>0.05</v>
      </c>
      <c r="R70" s="430"/>
      <c r="S70" s="430"/>
      <c r="T70" s="430"/>
      <c r="U70" s="430"/>
      <c r="V70" s="452">
        <v>0.05</v>
      </c>
      <c r="W70" s="430"/>
      <c r="X70" s="430"/>
      <c r="Y70" s="430"/>
      <c r="Z70" s="430"/>
      <c r="AA70" s="452">
        <v>0.05</v>
      </c>
      <c r="AB70" s="430"/>
      <c r="AC70" s="430"/>
      <c r="AD70" s="430"/>
      <c r="AE70" s="430"/>
      <c r="AF70" s="452">
        <v>0.05</v>
      </c>
      <c r="AG70" s="430"/>
      <c r="AH70" s="430"/>
      <c r="AI70" s="430"/>
      <c r="AJ70" s="430"/>
      <c r="AK70" s="452">
        <v>0.05</v>
      </c>
      <c r="AL70" s="430"/>
      <c r="AM70" s="216"/>
      <c r="AN70" s="216"/>
      <c r="AO70" s="430"/>
      <c r="AP70" s="452">
        <v>0.05</v>
      </c>
      <c r="AQ70" s="453"/>
      <c r="AR70" s="216"/>
      <c r="AS70" s="216"/>
      <c r="AT70" s="430"/>
      <c r="AU70" s="452">
        <f>1-AU68-AU66</f>
        <v>4.9999999999999933E-2</v>
      </c>
      <c r="AV70" s="453"/>
      <c r="AW70" s="216"/>
      <c r="AX70" s="216"/>
      <c r="AY70" s="430"/>
      <c r="AZ70" s="452">
        <f>1-AZ68-AZ66</f>
        <v>4.9999999999999933E-2</v>
      </c>
      <c r="BA70" s="452">
        <v>0.05</v>
      </c>
      <c r="BB70" s="453"/>
      <c r="BC70" s="216"/>
      <c r="BD70" s="216"/>
      <c r="BE70" s="430"/>
      <c r="BF70" s="452">
        <f>1-BF68-BF66</f>
        <v>5.0000000000000044E-2</v>
      </c>
      <c r="BG70" s="453"/>
      <c r="BH70" s="216"/>
      <c r="BI70" s="216"/>
      <c r="BJ70" s="430"/>
      <c r="BK70" s="452">
        <f>1-BK68-BK66</f>
        <v>3.0000000000000027E-2</v>
      </c>
      <c r="BL70" s="453"/>
      <c r="BM70" s="216"/>
      <c r="BN70" s="216"/>
      <c r="BO70" s="430"/>
      <c r="BP70" s="452"/>
      <c r="BQ70" s="452">
        <f>1-BQ68-BQ66</f>
        <v>1.000000000000012E-2</v>
      </c>
      <c r="BR70" s="453"/>
      <c r="BS70" s="216"/>
      <c r="BT70" s="216"/>
      <c r="BU70" s="430"/>
      <c r="BV70" s="452">
        <f>1-BV68-BV66</f>
        <v>1.000000000000012E-2</v>
      </c>
      <c r="BW70" s="453"/>
      <c r="BX70" s="216"/>
      <c r="BY70" s="216"/>
      <c r="BZ70" s="430"/>
      <c r="CA70" s="452">
        <f>1-CA68-CA66</f>
        <v>1.0000000000000009E-2</v>
      </c>
      <c r="CB70" s="453"/>
      <c r="CC70" s="216"/>
      <c r="CD70" s="216"/>
      <c r="CE70" s="430"/>
      <c r="CF70" s="452">
        <f>1-CF68-CF66</f>
        <v>0</v>
      </c>
      <c r="CG70" s="453"/>
      <c r="CH70" s="216"/>
      <c r="CI70" s="216"/>
      <c r="CJ70" s="430"/>
      <c r="CK70" s="452"/>
      <c r="CL70" s="453"/>
      <c r="CM70" s="216"/>
      <c r="CN70" s="216"/>
      <c r="CO70" s="430"/>
      <c r="CP70" s="452"/>
      <c r="CQ70" s="454"/>
      <c r="CR70" s="454"/>
      <c r="CS70" s="454"/>
      <c r="CT70" s="455"/>
      <c r="CU70" s="452"/>
      <c r="CV70" s="454"/>
      <c r="CW70" s="454"/>
      <c r="CX70" s="454"/>
      <c r="CY70" s="455"/>
      <c r="CZ70" s="452"/>
      <c r="DA70" s="454"/>
      <c r="DB70" s="454"/>
      <c r="DC70" s="454"/>
      <c r="DD70" s="455"/>
      <c r="DE70" s="452"/>
      <c r="DF70" s="454"/>
      <c r="DG70" s="454"/>
      <c r="DH70" s="454"/>
      <c r="DI70" s="455"/>
      <c r="DJ70" s="452"/>
      <c r="DK70" s="456"/>
      <c r="DL70" s="1284"/>
      <c r="DM70" s="812"/>
      <c r="DN70" s="812"/>
      <c r="DO70" s="812"/>
      <c r="DP70" s="1085"/>
      <c r="DQ70" s="1085"/>
      <c r="DR70" s="1085"/>
      <c r="DS70" s="812"/>
      <c r="DT70" s="812"/>
      <c r="DU70" s="812"/>
      <c r="DV70" s="812"/>
      <c r="DW70" s="812"/>
      <c r="DX70" s="812"/>
      <c r="DY70" s="457"/>
      <c r="DZ70" s="458"/>
      <c r="EA70" s="458"/>
      <c r="EB70"/>
      <c r="EC70"/>
      <c r="ED70"/>
      <c r="EE70"/>
      <c r="EF70"/>
      <c r="EG70"/>
    </row>
    <row r="71" spans="1:137" s="398" customFormat="1" ht="12.75" customHeight="1" collapsed="1">
      <c r="A71" s="777" t="s">
        <v>255</v>
      </c>
      <c r="B71" s="778">
        <f t="shared" ref="B71:AG71" si="191">SUM(B11,B27,B35,B19,B43)+B51</f>
        <v>71269</v>
      </c>
      <c r="C71" s="778">
        <f t="shared" si="191"/>
        <v>70385</v>
      </c>
      <c r="D71" s="778">
        <f t="shared" si="191"/>
        <v>76856</v>
      </c>
      <c r="E71" s="778">
        <f t="shared" si="191"/>
        <v>73986</v>
      </c>
      <c r="F71" s="778">
        <f t="shared" si="191"/>
        <v>74825</v>
      </c>
      <c r="G71" s="778">
        <f t="shared" si="191"/>
        <v>75900</v>
      </c>
      <c r="H71" s="779">
        <f t="shared" si="191"/>
        <v>74700</v>
      </c>
      <c r="I71" s="779">
        <f t="shared" si="191"/>
        <v>70700</v>
      </c>
      <c r="J71" s="779">
        <f t="shared" si="191"/>
        <v>72700</v>
      </c>
      <c r="K71" s="779">
        <f t="shared" si="191"/>
        <v>76700</v>
      </c>
      <c r="L71" s="778">
        <f t="shared" si="191"/>
        <v>76700</v>
      </c>
      <c r="M71" s="779">
        <f t="shared" si="191"/>
        <v>74700</v>
      </c>
      <c r="N71" s="779">
        <f t="shared" si="191"/>
        <v>74500</v>
      </c>
      <c r="O71" s="779">
        <f t="shared" si="191"/>
        <v>76000</v>
      </c>
      <c r="P71" s="779">
        <f t="shared" si="191"/>
        <v>80900</v>
      </c>
      <c r="Q71" s="778">
        <f t="shared" si="191"/>
        <v>80900</v>
      </c>
      <c r="R71" s="779">
        <f t="shared" si="191"/>
        <v>80800</v>
      </c>
      <c r="S71" s="779">
        <f t="shared" si="191"/>
        <v>79200</v>
      </c>
      <c r="T71" s="779">
        <f t="shared" si="191"/>
        <v>76400</v>
      </c>
      <c r="U71" s="779">
        <f t="shared" si="191"/>
        <v>77500</v>
      </c>
      <c r="V71" s="778">
        <f t="shared" si="191"/>
        <v>77500</v>
      </c>
      <c r="W71" s="779">
        <f t="shared" si="191"/>
        <v>75000</v>
      </c>
      <c r="X71" s="779">
        <f t="shared" si="191"/>
        <v>72800</v>
      </c>
      <c r="Y71" s="779">
        <f t="shared" si="191"/>
        <v>70500</v>
      </c>
      <c r="Z71" s="779">
        <f t="shared" si="191"/>
        <v>78400</v>
      </c>
      <c r="AA71" s="778">
        <f t="shared" si="191"/>
        <v>78400</v>
      </c>
      <c r="AB71" s="779">
        <f t="shared" si="191"/>
        <v>80000</v>
      </c>
      <c r="AC71" s="779">
        <f t="shared" si="191"/>
        <v>77200</v>
      </c>
      <c r="AD71" s="779">
        <f t="shared" si="191"/>
        <v>73000</v>
      </c>
      <c r="AE71" s="779">
        <f t="shared" si="191"/>
        <v>80700</v>
      </c>
      <c r="AF71" s="778">
        <f t="shared" si="191"/>
        <v>80700</v>
      </c>
      <c r="AG71" s="779">
        <f t="shared" si="191"/>
        <v>76600</v>
      </c>
      <c r="AH71" s="779">
        <f t="shared" ref="AH71:BM71" si="192">SUM(AH11,AH27,AH35,AH19,AH43)+AH51</f>
        <v>75500</v>
      </c>
      <c r="AI71" s="779">
        <f t="shared" si="192"/>
        <v>75600</v>
      </c>
      <c r="AJ71" s="780">
        <f t="shared" si="192"/>
        <v>82300</v>
      </c>
      <c r="AK71" s="778">
        <f t="shared" si="192"/>
        <v>82300</v>
      </c>
      <c r="AL71" s="779">
        <f t="shared" si="192"/>
        <v>77900</v>
      </c>
      <c r="AM71" s="779">
        <f t="shared" si="192"/>
        <v>75100</v>
      </c>
      <c r="AN71" s="779">
        <f t="shared" si="192"/>
        <v>78700</v>
      </c>
      <c r="AO71" s="779">
        <f t="shared" si="192"/>
        <v>82600</v>
      </c>
      <c r="AP71" s="778">
        <f t="shared" si="192"/>
        <v>82600</v>
      </c>
      <c r="AQ71" s="779">
        <f t="shared" si="192"/>
        <v>79600</v>
      </c>
      <c r="AR71" s="779">
        <f t="shared" si="192"/>
        <v>77800</v>
      </c>
      <c r="AS71" s="779">
        <f t="shared" si="192"/>
        <v>76500</v>
      </c>
      <c r="AT71" s="779">
        <f t="shared" si="192"/>
        <v>80500</v>
      </c>
      <c r="AU71" s="778">
        <f t="shared" si="192"/>
        <v>80500</v>
      </c>
      <c r="AV71" s="779">
        <f t="shared" si="192"/>
        <v>76900</v>
      </c>
      <c r="AW71" s="779">
        <f t="shared" si="192"/>
        <v>72800</v>
      </c>
      <c r="AX71" s="779">
        <f t="shared" si="192"/>
        <v>71800</v>
      </c>
      <c r="AY71" s="779">
        <f t="shared" si="192"/>
        <v>101600</v>
      </c>
      <c r="AZ71" s="778">
        <f t="shared" si="192"/>
        <v>101600</v>
      </c>
      <c r="BA71" s="778">
        <f t="shared" si="192"/>
        <v>82600</v>
      </c>
      <c r="BB71" s="779">
        <f t="shared" si="192"/>
        <v>79600</v>
      </c>
      <c r="BC71" s="779">
        <f t="shared" si="192"/>
        <v>77800</v>
      </c>
      <c r="BD71" s="779">
        <f t="shared" si="192"/>
        <v>76500</v>
      </c>
      <c r="BE71" s="779">
        <f t="shared" si="192"/>
        <v>80500</v>
      </c>
      <c r="BF71" s="778">
        <f t="shared" si="192"/>
        <v>80500</v>
      </c>
      <c r="BG71" s="779">
        <f t="shared" si="192"/>
        <v>76900</v>
      </c>
      <c r="BH71" s="779">
        <f t="shared" si="192"/>
        <v>72800</v>
      </c>
      <c r="BI71" s="779">
        <f t="shared" si="192"/>
        <v>71600</v>
      </c>
      <c r="BJ71" s="779">
        <f t="shared" si="192"/>
        <v>99600</v>
      </c>
      <c r="BK71" s="778">
        <f t="shared" si="192"/>
        <v>99600</v>
      </c>
      <c r="BL71" s="779">
        <f t="shared" si="192"/>
        <v>97900</v>
      </c>
      <c r="BM71" s="779">
        <f t="shared" si="192"/>
        <v>96400</v>
      </c>
      <c r="BN71" s="779"/>
      <c r="BO71" s="779"/>
      <c r="BP71" s="783"/>
      <c r="BQ71" s="778"/>
      <c r="BR71" s="779">
        <f t="shared" ref="BR71:CC71" si="193">SUM(BR11,BR27,BR35,BR19,BR43)+BR51</f>
        <v>77000</v>
      </c>
      <c r="BS71" s="779">
        <f t="shared" si="193"/>
        <v>73400</v>
      </c>
      <c r="BT71" s="779">
        <f t="shared" si="193"/>
        <v>66900</v>
      </c>
      <c r="BU71" s="779">
        <f t="shared" si="193"/>
        <v>94800</v>
      </c>
      <c r="BV71" s="778">
        <f t="shared" si="193"/>
        <v>94800</v>
      </c>
      <c r="BW71" s="779">
        <f t="shared" si="193"/>
        <v>93400</v>
      </c>
      <c r="BX71" s="779">
        <f t="shared" si="193"/>
        <v>92100</v>
      </c>
      <c r="BY71" s="779">
        <f t="shared" si="193"/>
        <v>91400</v>
      </c>
      <c r="BZ71" s="779">
        <f>SUM(BZ11,BZ27,BZ35,BZ19,BZ43)+BZ51</f>
        <v>96158</v>
      </c>
      <c r="CA71" s="778">
        <f>SUM(CA11,CA27,CA35,CA19,CA43)+CA51</f>
        <v>96158</v>
      </c>
      <c r="CB71" s="779">
        <f t="shared" si="193"/>
        <v>93500</v>
      </c>
      <c r="CC71" s="779">
        <f t="shared" si="193"/>
        <v>92100</v>
      </c>
      <c r="CD71" s="779">
        <f t="shared" ref="CD71" si="194">SUM(CD11,CD27,CD35,CD19,CD43)+CD51</f>
        <v>103600</v>
      </c>
      <c r="CE71" s="779">
        <f>SUM(CE11,CE27,CE35,CE19,CE43)+CE51</f>
        <v>99936</v>
      </c>
      <c r="CF71" s="778">
        <f>SUM(CF11,CF27,CF35,CF19,CF43)+CF51</f>
        <v>99936</v>
      </c>
      <c r="CG71" s="779"/>
      <c r="CH71" s="779"/>
      <c r="CI71" s="779"/>
      <c r="CJ71" s="779"/>
      <c r="CK71" s="778"/>
      <c r="CL71" s="779"/>
      <c r="CM71" s="779"/>
      <c r="CN71" s="779"/>
      <c r="CO71" s="779"/>
      <c r="CP71" s="1245">
        <f>SUM(CP11,CP27,CP35,CP19,CP43)+CP51</f>
        <v>105482</v>
      </c>
      <c r="CQ71" s="781"/>
      <c r="CR71" s="781"/>
      <c r="CS71" s="781"/>
      <c r="CT71" s="782"/>
      <c r="CU71" s="783"/>
      <c r="CV71" s="781"/>
      <c r="CW71" s="781"/>
      <c r="CX71" s="781"/>
      <c r="CY71" s="782"/>
      <c r="CZ71" s="783"/>
      <c r="DA71" s="781"/>
      <c r="DB71" s="781"/>
      <c r="DC71" s="781"/>
      <c r="DD71" s="782"/>
      <c r="DE71" s="783"/>
      <c r="DF71" s="781"/>
      <c r="DG71" s="781"/>
      <c r="DH71" s="781"/>
      <c r="DI71" s="782"/>
      <c r="DJ71" s="783"/>
      <c r="DK71" s="397"/>
      <c r="DL71" s="74"/>
      <c r="DM71" s="809"/>
      <c r="DN71" s="809"/>
      <c r="DO71" s="809"/>
      <c r="DP71" s="1086"/>
      <c r="DQ71" s="809"/>
      <c r="DR71" s="1179"/>
      <c r="DS71" s="809"/>
      <c r="DT71" s="809"/>
      <c r="DU71" s="809"/>
      <c r="DV71" s="809"/>
      <c r="DW71" s="809"/>
      <c r="DX71" s="809"/>
      <c r="DY71" s="360"/>
      <c r="DZ71" s="167"/>
      <c r="EA71" s="167"/>
      <c r="EB71"/>
      <c r="EC71"/>
      <c r="ED71"/>
      <c r="EE71"/>
      <c r="EF71"/>
      <c r="EG71"/>
    </row>
    <row r="72" spans="1:137" s="398" customFormat="1">
      <c r="A72" s="97" t="s">
        <v>53</v>
      </c>
      <c r="B72" s="80"/>
      <c r="C72" s="80">
        <f>C71/B71-1</f>
        <v>-1.2403709887889525E-2</v>
      </c>
      <c r="D72" s="80">
        <f>D71/C71-1</f>
        <v>9.1937202528947992E-2</v>
      </c>
      <c r="E72" s="80">
        <f>E71/D71-1</f>
        <v>-3.7342562714687166E-2</v>
      </c>
      <c r="F72" s="80">
        <f>F71/E71-1</f>
        <v>1.133998324007246E-2</v>
      </c>
      <c r="G72" s="80">
        <f>G71/F71-1</f>
        <v>1.4366855997327121E-2</v>
      </c>
      <c r="H72" s="82"/>
      <c r="I72" s="82"/>
      <c r="J72" s="82"/>
      <c r="K72" s="82"/>
      <c r="L72" s="80">
        <f t="shared" ref="L72:AL72" si="195">L71/G71-1</f>
        <v>1.0540184453228019E-2</v>
      </c>
      <c r="M72" s="82">
        <f t="shared" si="195"/>
        <v>0</v>
      </c>
      <c r="N72" s="82">
        <f t="shared" si="195"/>
        <v>5.3748231966053828E-2</v>
      </c>
      <c r="O72" s="82">
        <f t="shared" si="195"/>
        <v>4.5392022008253097E-2</v>
      </c>
      <c r="P72" s="82">
        <f t="shared" si="195"/>
        <v>5.4758800521512496E-2</v>
      </c>
      <c r="Q72" s="80">
        <f t="shared" si="195"/>
        <v>5.4758800521512496E-2</v>
      </c>
      <c r="R72" s="82">
        <f t="shared" si="195"/>
        <v>8.1659973226238192E-2</v>
      </c>
      <c r="S72" s="82">
        <f t="shared" si="195"/>
        <v>6.3087248322147627E-2</v>
      </c>
      <c r="T72" s="82">
        <f t="shared" si="195"/>
        <v>5.2631578947368585E-3</v>
      </c>
      <c r="U72" s="82">
        <f t="shared" si="195"/>
        <v>-4.2027194066749041E-2</v>
      </c>
      <c r="V72" s="80">
        <f t="shared" si="195"/>
        <v>-4.2027194066749041E-2</v>
      </c>
      <c r="W72" s="83">
        <f t="shared" si="195"/>
        <v>-7.1782178217821735E-2</v>
      </c>
      <c r="X72" s="82">
        <f t="shared" si="195"/>
        <v>-8.0808080808080773E-2</v>
      </c>
      <c r="Y72" s="83">
        <f t="shared" si="195"/>
        <v>-7.722513089005234E-2</v>
      </c>
      <c r="Z72" s="83">
        <f t="shared" si="195"/>
        <v>1.1612903225806548E-2</v>
      </c>
      <c r="AA72" s="84">
        <f t="shared" si="195"/>
        <v>1.1612903225806548E-2</v>
      </c>
      <c r="AB72" s="83">
        <f t="shared" si="195"/>
        <v>6.6666666666666652E-2</v>
      </c>
      <c r="AC72" s="82">
        <f t="shared" si="195"/>
        <v>6.0439560439560447E-2</v>
      </c>
      <c r="AD72" s="82">
        <f t="shared" si="195"/>
        <v>3.5460992907801359E-2</v>
      </c>
      <c r="AE72" s="82">
        <f t="shared" si="195"/>
        <v>2.9336734693877542E-2</v>
      </c>
      <c r="AF72" s="84">
        <f t="shared" si="195"/>
        <v>2.9336734693877542E-2</v>
      </c>
      <c r="AG72" s="83">
        <f t="shared" si="195"/>
        <v>-4.2499999999999982E-2</v>
      </c>
      <c r="AH72" s="82">
        <f t="shared" si="195"/>
        <v>-2.2020725388601003E-2</v>
      </c>
      <c r="AI72" s="82">
        <f t="shared" si="195"/>
        <v>3.5616438356164348E-2</v>
      </c>
      <c r="AJ72" s="82">
        <f t="shared" si="195"/>
        <v>1.9826517967781898E-2</v>
      </c>
      <c r="AK72" s="80">
        <f t="shared" si="195"/>
        <v>1.9826517967781898E-2</v>
      </c>
      <c r="AL72" s="82">
        <f t="shared" si="195"/>
        <v>1.6971279373368064E-2</v>
      </c>
      <c r="AM72" s="82">
        <f t="shared" ref="AM72:AP72" si="196">AM71/AH71-1</f>
        <v>-5.2980132450330952E-3</v>
      </c>
      <c r="AN72" s="83">
        <f t="shared" si="196"/>
        <v>4.1005291005290934E-2</v>
      </c>
      <c r="AO72" s="83">
        <f t="shared" si="196"/>
        <v>3.6452004860267895E-3</v>
      </c>
      <c r="AP72" s="80">
        <f t="shared" si="196"/>
        <v>3.6452004860267895E-3</v>
      </c>
      <c r="AQ72" s="82">
        <f t="shared" ref="AQ72:AX72" si="197">AQ71/AL71-1</f>
        <v>2.1822849807445532E-2</v>
      </c>
      <c r="AR72" s="82">
        <f t="shared" si="197"/>
        <v>3.5952063914780341E-2</v>
      </c>
      <c r="AS72" s="83">
        <f t="shared" si="197"/>
        <v>-2.7954256670902122E-2</v>
      </c>
      <c r="AT72" s="83">
        <f t="shared" si="197"/>
        <v>-2.5423728813559365E-2</v>
      </c>
      <c r="AU72" s="80">
        <f t="shared" si="197"/>
        <v>-2.5423728813559365E-2</v>
      </c>
      <c r="AV72" s="82">
        <f t="shared" si="197"/>
        <v>-3.3919597989949701E-2</v>
      </c>
      <c r="AW72" s="82">
        <f t="shared" si="197"/>
        <v>-6.4267352185089943E-2</v>
      </c>
      <c r="AX72" s="82">
        <f t="shared" si="197"/>
        <v>-6.143790849673203E-2</v>
      </c>
      <c r="AY72" s="82">
        <f>AY71/BD71-1</f>
        <v>0.32810457516339864</v>
      </c>
      <c r="AZ72" s="80">
        <f>AZ71/AU71-1</f>
        <v>0.2621118012422361</v>
      </c>
      <c r="BA72" s="80"/>
      <c r="BB72" s="82"/>
      <c r="BC72" s="82"/>
      <c r="BD72" s="82"/>
      <c r="BE72" s="82"/>
      <c r="BF72" s="80">
        <f t="shared" ref="BF72:BM72" si="198">BF71/BA71-1</f>
        <v>-2.5423728813559365E-2</v>
      </c>
      <c r="BG72" s="82">
        <f t="shared" si="198"/>
        <v>-3.3919597989949701E-2</v>
      </c>
      <c r="BH72" s="82">
        <f t="shared" si="198"/>
        <v>-6.4267352185089943E-2</v>
      </c>
      <c r="BI72" s="82">
        <f t="shared" si="198"/>
        <v>-6.4052287581699341E-2</v>
      </c>
      <c r="BJ72" s="82">
        <f t="shared" si="198"/>
        <v>0.23726708074534164</v>
      </c>
      <c r="BK72" s="80">
        <f t="shared" si="198"/>
        <v>0.23726708074534164</v>
      </c>
      <c r="BL72" s="82">
        <f t="shared" si="198"/>
        <v>0.27308192457737324</v>
      </c>
      <c r="BM72" s="82">
        <f t="shared" si="198"/>
        <v>0.32417582417582413</v>
      </c>
      <c r="BN72" s="82"/>
      <c r="BO72" s="82"/>
      <c r="BP72" s="104"/>
      <c r="BQ72" s="80"/>
      <c r="BR72" s="82"/>
      <c r="BS72" s="82"/>
      <c r="BT72" s="82"/>
      <c r="BU72" s="82"/>
      <c r="BV72" s="80"/>
      <c r="BW72" s="82">
        <f>BW71/BR71-1</f>
        <v>0.21298701298701306</v>
      </c>
      <c r="BX72" s="82">
        <f t="shared" ref="BX72:BY72" si="199">BX71/BS71-1</f>
        <v>0.25476839237057214</v>
      </c>
      <c r="BY72" s="82">
        <f t="shared" si="199"/>
        <v>0.36621823617339322</v>
      </c>
      <c r="BZ72" s="82">
        <f>BZ71/BU71-1</f>
        <v>1.4324894514768038E-2</v>
      </c>
      <c r="CA72" s="80">
        <f>CA71/BV71-1</f>
        <v>1.4324894514768038E-2</v>
      </c>
      <c r="CB72" s="82">
        <f>CB71/BW71-1</f>
        <v>1.0706638115631772E-3</v>
      </c>
      <c r="CC72" s="82">
        <f>CC71/BX71-1</f>
        <v>0</v>
      </c>
      <c r="CD72" s="82">
        <f t="shared" ref="CD72" si="200">CD71/BY71-1</f>
        <v>0.1334792122538293</v>
      </c>
      <c r="CE72" s="82">
        <f>CE71/BZ71-1</f>
        <v>3.9289502693483636E-2</v>
      </c>
      <c r="CF72" s="80">
        <f>CF71/CA71-1</f>
        <v>3.9289502693483636E-2</v>
      </c>
      <c r="CG72" s="82"/>
      <c r="CH72" s="82"/>
      <c r="CI72" s="82"/>
      <c r="CJ72" s="82"/>
      <c r="CK72" s="80"/>
      <c r="CL72" s="82"/>
      <c r="CM72" s="82"/>
      <c r="CN72" s="82"/>
      <c r="CO72" s="82"/>
      <c r="CP72" s="80"/>
      <c r="CQ72" s="103"/>
      <c r="CR72" s="103"/>
      <c r="CS72" s="103"/>
      <c r="CT72" s="105"/>
      <c r="CU72" s="104"/>
      <c r="CV72" s="103"/>
      <c r="CW72" s="103"/>
      <c r="CX72" s="103"/>
      <c r="CY72" s="105"/>
      <c r="CZ72" s="104"/>
      <c r="DA72" s="103"/>
      <c r="DB72" s="103"/>
      <c r="DC72" s="103"/>
      <c r="DD72" s="105"/>
      <c r="DE72" s="104"/>
      <c r="DF72" s="103"/>
      <c r="DG72" s="103"/>
      <c r="DH72" s="103"/>
      <c r="DI72" s="105"/>
      <c r="DJ72" s="104"/>
      <c r="DK72" s="401"/>
      <c r="DL72" s="74"/>
      <c r="DM72" s="809"/>
      <c r="DN72" s="809"/>
      <c r="DO72" s="809"/>
      <c r="DP72" s="1054"/>
      <c r="DQ72" s="1054"/>
      <c r="DR72" s="1054"/>
      <c r="DS72" s="809"/>
      <c r="DT72" s="809"/>
      <c r="DU72" s="809"/>
      <c r="DV72" s="809"/>
      <c r="DW72" s="809"/>
      <c r="DX72" s="809"/>
      <c r="DY72" s="360"/>
      <c r="DZ72" s="167"/>
      <c r="EA72" s="167"/>
      <c r="EB72"/>
      <c r="EC72"/>
      <c r="ED72"/>
      <c r="EE72"/>
      <c r="EF72"/>
      <c r="EG72"/>
    </row>
    <row r="73" spans="1:137" s="144" customFormat="1" hidden="1" outlineLevel="1">
      <c r="A73" s="378" t="s">
        <v>258</v>
      </c>
      <c r="B73" s="214">
        <v>38200</v>
      </c>
      <c r="C73" s="214">
        <v>36100</v>
      </c>
      <c r="D73" s="214">
        <v>39100</v>
      </c>
      <c r="E73" s="214">
        <v>40200</v>
      </c>
      <c r="F73" s="214">
        <v>35200</v>
      </c>
      <c r="G73" s="214">
        <v>40800</v>
      </c>
      <c r="H73" s="216"/>
      <c r="I73" s="216"/>
      <c r="J73" s="216"/>
      <c r="K73" s="216"/>
      <c r="L73" s="214">
        <v>42300</v>
      </c>
      <c r="M73" s="216"/>
      <c r="N73" s="216"/>
      <c r="O73" s="216"/>
      <c r="P73" s="216"/>
      <c r="Q73" s="214">
        <v>51100</v>
      </c>
      <c r="R73" s="216"/>
      <c r="S73" s="216"/>
      <c r="T73" s="216"/>
      <c r="U73" s="216"/>
      <c r="V73" s="214">
        <v>49000</v>
      </c>
      <c r="W73" s="143"/>
      <c r="X73" s="216"/>
      <c r="Y73" s="143"/>
      <c r="Z73" s="143"/>
      <c r="AA73" s="379">
        <v>56600</v>
      </c>
      <c r="AB73" s="143"/>
      <c r="AC73" s="216"/>
      <c r="AD73" s="216"/>
      <c r="AE73" s="216"/>
      <c r="AF73" s="379">
        <v>55100</v>
      </c>
      <c r="AG73" s="143"/>
      <c r="AH73" s="216"/>
      <c r="AI73" s="216"/>
      <c r="AJ73" s="216"/>
      <c r="AK73" s="214">
        <v>54800</v>
      </c>
      <c r="AL73" s="216"/>
      <c r="AM73" s="216"/>
      <c r="AN73" s="143"/>
      <c r="AO73" s="143"/>
      <c r="AP73" s="214">
        <v>55000</v>
      </c>
      <c r="AQ73" s="216"/>
      <c r="AR73" s="216"/>
      <c r="AS73" s="143"/>
      <c r="AT73" s="143"/>
      <c r="AU73" s="836">
        <v>56500</v>
      </c>
      <c r="AV73" s="216"/>
      <c r="AW73" s="216"/>
      <c r="AX73" s="216"/>
      <c r="AY73" s="216"/>
      <c r="AZ73" s="836"/>
      <c r="BA73" s="214"/>
      <c r="BB73" s="216"/>
      <c r="BC73" s="216"/>
      <c r="BD73" s="216"/>
      <c r="BE73" s="216"/>
      <c r="BF73" s="836"/>
      <c r="BG73" s="216"/>
      <c r="BH73" s="216"/>
      <c r="BI73" s="216"/>
      <c r="BJ73" s="216"/>
      <c r="BK73" s="836"/>
      <c r="BL73" s="216"/>
      <c r="BM73" s="216"/>
      <c r="BN73" s="216"/>
      <c r="BO73" s="216"/>
      <c r="BP73" s="381"/>
      <c r="BQ73" s="214"/>
      <c r="BR73" s="216"/>
      <c r="BS73" s="216"/>
      <c r="BT73" s="216"/>
      <c r="BU73" s="216"/>
      <c r="BV73" s="836">
        <v>67600</v>
      </c>
      <c r="BW73" s="216"/>
      <c r="BX73" s="216"/>
      <c r="BY73" s="216"/>
      <c r="BZ73" s="216"/>
      <c r="CA73" s="1229">
        <v>66000</v>
      </c>
      <c r="CB73" s="216"/>
      <c r="CC73" s="216"/>
      <c r="CD73" s="216"/>
      <c r="CE73" s="216"/>
      <c r="CF73" s="1229">
        <v>73600</v>
      </c>
      <c r="CG73" s="216"/>
      <c r="CH73" s="216"/>
      <c r="CI73" s="216"/>
      <c r="CJ73" s="216"/>
      <c r="CK73" s="836"/>
      <c r="CL73" s="216"/>
      <c r="CM73" s="216"/>
      <c r="CN73" s="216"/>
      <c r="CO73" s="216"/>
      <c r="CP73" s="204"/>
      <c r="CQ73" s="380"/>
      <c r="CR73" s="380"/>
      <c r="CS73" s="380"/>
      <c r="CT73" s="382"/>
      <c r="CU73" s="381"/>
      <c r="CV73" s="380"/>
      <c r="CW73" s="380"/>
      <c r="CX73" s="380"/>
      <c r="CY73" s="382"/>
      <c r="CZ73" s="381"/>
      <c r="DA73" s="380"/>
      <c r="DB73" s="380"/>
      <c r="DC73" s="380"/>
      <c r="DD73" s="382"/>
      <c r="DE73" s="381"/>
      <c r="DF73" s="380"/>
      <c r="DG73" s="380"/>
      <c r="DH73" s="380"/>
      <c r="DI73" s="382"/>
      <c r="DJ73" s="381"/>
      <c r="DK73" s="402"/>
      <c r="DL73" s="400"/>
      <c r="DM73" s="810"/>
      <c r="DN73" s="810"/>
      <c r="DO73" s="810"/>
      <c r="DP73" s="1053"/>
      <c r="DQ73" s="1053"/>
      <c r="DR73" s="1053"/>
      <c r="DS73" s="810"/>
      <c r="DT73" s="810"/>
      <c r="DU73" s="810"/>
      <c r="DV73" s="810"/>
      <c r="DW73" s="810"/>
      <c r="DX73" s="810"/>
      <c r="DY73" s="357"/>
      <c r="DZ73" s="143"/>
      <c r="EA73" s="143"/>
      <c r="EB73"/>
      <c r="EC73"/>
      <c r="ED73"/>
      <c r="EE73"/>
      <c r="EF73"/>
      <c r="EG73"/>
    </row>
    <row r="74" spans="1:137" s="398" customFormat="1" hidden="1" outlineLevel="1">
      <c r="A74" s="377" t="s">
        <v>123</v>
      </c>
      <c r="B74" s="80">
        <f t="shared" ref="B74:G74" si="201">B73/B71</f>
        <v>0.53599741823233105</v>
      </c>
      <c r="C74" s="80">
        <f t="shared" si="201"/>
        <v>0.51289337216736519</v>
      </c>
      <c r="D74" s="80">
        <f t="shared" si="201"/>
        <v>0.50874362444051213</v>
      </c>
      <c r="E74" s="80">
        <f t="shared" si="201"/>
        <v>0.54334603843970486</v>
      </c>
      <c r="F74" s="80">
        <f t="shared" si="201"/>
        <v>0.4704310056799198</v>
      </c>
      <c r="G74" s="80">
        <f t="shared" si="201"/>
        <v>0.53754940711462451</v>
      </c>
      <c r="H74" s="82"/>
      <c r="I74" s="82"/>
      <c r="J74" s="82"/>
      <c r="K74" s="82"/>
      <c r="L74" s="80">
        <f>L73/L71</f>
        <v>0.55149934810951762</v>
      </c>
      <c r="M74" s="82"/>
      <c r="N74" s="82"/>
      <c r="O74" s="82"/>
      <c r="P74" s="82"/>
      <c r="Q74" s="80">
        <f>Q73/Q71</f>
        <v>0.63164400494437578</v>
      </c>
      <c r="R74" s="82"/>
      <c r="S74" s="82"/>
      <c r="T74" s="82"/>
      <c r="U74" s="82"/>
      <c r="V74" s="80">
        <f>V73/V71</f>
        <v>0.63225806451612898</v>
      </c>
      <c r="W74" s="83"/>
      <c r="X74" s="82"/>
      <c r="Y74" s="83"/>
      <c r="Z74" s="83"/>
      <c r="AA74" s="80">
        <f>AA73/AA71</f>
        <v>0.72193877551020413</v>
      </c>
      <c r="AB74" s="83"/>
      <c r="AC74" s="82"/>
      <c r="AD74" s="82"/>
      <c r="AE74" s="82"/>
      <c r="AF74" s="80">
        <f>AF73/AF71</f>
        <v>0.68277571251548952</v>
      </c>
      <c r="AG74" s="83"/>
      <c r="AH74" s="82"/>
      <c r="AI74" s="82"/>
      <c r="AJ74" s="82"/>
      <c r="AK74" s="80">
        <f>AK73/AK71</f>
        <v>0.66585662211421626</v>
      </c>
      <c r="AL74" s="82"/>
      <c r="AM74" s="82"/>
      <c r="AN74" s="83"/>
      <c r="AO74" s="83"/>
      <c r="AP74" s="80">
        <f>AP73/AP71</f>
        <v>0.66585956416464886</v>
      </c>
      <c r="AQ74" s="82"/>
      <c r="AR74" s="82"/>
      <c r="AS74" s="83"/>
      <c r="AT74" s="83"/>
      <c r="AU74" s="80">
        <f>AU73/AU71</f>
        <v>0.70186335403726707</v>
      </c>
      <c r="AV74" s="82"/>
      <c r="AW74" s="82"/>
      <c r="AX74" s="82"/>
      <c r="AY74" s="82"/>
      <c r="AZ74" s="80"/>
      <c r="BA74" s="80"/>
      <c r="BB74" s="82"/>
      <c r="BC74" s="82"/>
      <c r="BD74" s="82"/>
      <c r="BE74" s="82"/>
      <c r="BF74" s="80"/>
      <c r="BG74" s="82"/>
      <c r="BH74" s="82"/>
      <c r="BI74" s="82"/>
      <c r="BJ74" s="82"/>
      <c r="BK74" s="80"/>
      <c r="BL74" s="82"/>
      <c r="BM74" s="82"/>
      <c r="BN74" s="82"/>
      <c r="BO74" s="82"/>
      <c r="BP74" s="104"/>
      <c r="BQ74" s="80"/>
      <c r="BR74" s="82"/>
      <c r="BS74" s="82"/>
      <c r="BT74" s="82"/>
      <c r="BU74" s="82"/>
      <c r="BV74" s="80">
        <f>BV73/BV71</f>
        <v>0.71308016877637126</v>
      </c>
      <c r="BW74" s="82"/>
      <c r="BX74" s="82"/>
      <c r="BY74" s="82"/>
      <c r="BZ74" s="82"/>
      <c r="CA74" s="80">
        <f>CA73/CA71</f>
        <v>0.68637034880093184</v>
      </c>
      <c r="CB74" s="82"/>
      <c r="CC74" s="82"/>
      <c r="CD74" s="82"/>
      <c r="CE74" s="82"/>
      <c r="CF74" s="80">
        <f>CF73/CF71</f>
        <v>0.73647134165866157</v>
      </c>
      <c r="CG74" s="82"/>
      <c r="CH74" s="82"/>
      <c r="CI74" s="82"/>
      <c r="CJ74" s="82"/>
      <c r="CK74" s="80"/>
      <c r="CL74" s="82"/>
      <c r="CM74" s="82"/>
      <c r="CN74" s="82"/>
      <c r="CO74" s="82"/>
      <c r="CP74" s="80"/>
      <c r="CQ74" s="103"/>
      <c r="CR74" s="103"/>
      <c r="CS74" s="103"/>
      <c r="CT74" s="105"/>
      <c r="CU74" s="104"/>
      <c r="CV74" s="103"/>
      <c r="CW74" s="103"/>
      <c r="CX74" s="103"/>
      <c r="CY74" s="105"/>
      <c r="CZ74" s="104"/>
      <c r="DA74" s="103"/>
      <c r="DB74" s="103"/>
      <c r="DC74" s="103"/>
      <c r="DD74" s="105"/>
      <c r="DE74" s="104"/>
      <c r="DF74" s="103"/>
      <c r="DG74" s="103"/>
      <c r="DH74" s="103"/>
      <c r="DI74" s="105"/>
      <c r="DJ74" s="104"/>
      <c r="DK74" s="401"/>
      <c r="DL74" s="74"/>
      <c r="DM74" s="809"/>
      <c r="DN74" s="809"/>
      <c r="DO74" s="809"/>
      <c r="DP74" s="1054"/>
      <c r="DQ74" s="1054"/>
      <c r="DR74" s="1054"/>
      <c r="DS74" s="809"/>
      <c r="DT74" s="809"/>
      <c r="DU74" s="809"/>
      <c r="DV74" s="809"/>
      <c r="DW74" s="809"/>
      <c r="DX74" s="809"/>
      <c r="DY74" s="360"/>
      <c r="DZ74" s="167"/>
      <c r="EA74" s="167"/>
      <c r="EB74"/>
      <c r="EC74"/>
      <c r="ED74"/>
      <c r="EE74"/>
      <c r="EF74"/>
      <c r="EG74"/>
    </row>
    <row r="75" spans="1:137" s="144" customFormat="1" hidden="1" outlineLevel="1">
      <c r="A75" s="378" t="s">
        <v>259</v>
      </c>
      <c r="B75" s="214">
        <f t="shared" ref="B75:G75" si="202">B71-B73</f>
        <v>33069</v>
      </c>
      <c r="C75" s="214">
        <f t="shared" si="202"/>
        <v>34285</v>
      </c>
      <c r="D75" s="214">
        <f t="shared" si="202"/>
        <v>37756</v>
      </c>
      <c r="E75" s="214">
        <f t="shared" si="202"/>
        <v>33786</v>
      </c>
      <c r="F75" s="214">
        <f t="shared" si="202"/>
        <v>39625</v>
      </c>
      <c r="G75" s="214">
        <f t="shared" si="202"/>
        <v>35100</v>
      </c>
      <c r="H75" s="216"/>
      <c r="I75" s="216"/>
      <c r="J75" s="216"/>
      <c r="K75" s="216"/>
      <c r="L75" s="214">
        <f>L71-L73</f>
        <v>34400</v>
      </c>
      <c r="M75" s="216"/>
      <c r="N75" s="216"/>
      <c r="O75" s="216"/>
      <c r="P75" s="216"/>
      <c r="Q75" s="214">
        <f>Q71-Q73</f>
        <v>29800</v>
      </c>
      <c r="R75" s="216"/>
      <c r="S75" s="216"/>
      <c r="T75" s="216"/>
      <c r="U75" s="216"/>
      <c r="V75" s="214">
        <f>V71-V73</f>
        <v>28500</v>
      </c>
      <c r="W75" s="143"/>
      <c r="X75" s="216"/>
      <c r="Y75" s="143"/>
      <c r="Z75" s="143"/>
      <c r="AA75" s="379">
        <f>AA71-AA73</f>
        <v>21800</v>
      </c>
      <c r="AB75" s="143"/>
      <c r="AC75" s="216"/>
      <c r="AD75" s="216"/>
      <c r="AE75" s="216"/>
      <c r="AF75" s="379">
        <f>AF71-AF73</f>
        <v>25600</v>
      </c>
      <c r="AG75" s="143"/>
      <c r="AH75" s="216"/>
      <c r="AI75" s="216"/>
      <c r="AJ75" s="216"/>
      <c r="AK75" s="214">
        <f>AK71-AK73</f>
        <v>27500</v>
      </c>
      <c r="AL75" s="216"/>
      <c r="AM75" s="216"/>
      <c r="AN75" s="143"/>
      <c r="AO75" s="143"/>
      <c r="AP75" s="214">
        <f>AP71-AP73</f>
        <v>27600</v>
      </c>
      <c r="AQ75" s="216"/>
      <c r="AR75" s="216"/>
      <c r="AS75" s="143"/>
      <c r="AT75" s="143"/>
      <c r="AU75" s="214">
        <f>AU71-AU73</f>
        <v>24000</v>
      </c>
      <c r="AV75" s="216"/>
      <c r="AW75" s="216"/>
      <c r="AX75" s="216"/>
      <c r="AY75" s="216"/>
      <c r="AZ75" s="214"/>
      <c r="BA75" s="214"/>
      <c r="BB75" s="216"/>
      <c r="BC75" s="216"/>
      <c r="BD75" s="216"/>
      <c r="BE75" s="216"/>
      <c r="BF75" s="214"/>
      <c r="BG75" s="216"/>
      <c r="BH75" s="216"/>
      <c r="BI75" s="216"/>
      <c r="BJ75" s="216"/>
      <c r="BK75" s="214"/>
      <c r="BL75" s="216"/>
      <c r="BM75" s="216"/>
      <c r="BN75" s="216"/>
      <c r="BO75" s="216"/>
      <c r="BP75" s="381"/>
      <c r="BQ75" s="214"/>
      <c r="BR75" s="216"/>
      <c r="BS75" s="216"/>
      <c r="BT75" s="216"/>
      <c r="BU75" s="216"/>
      <c r="BV75" s="214">
        <f>BV71-BV73</f>
        <v>27200</v>
      </c>
      <c r="BW75" s="216"/>
      <c r="BX75" s="216"/>
      <c r="BY75" s="216"/>
      <c r="BZ75" s="216"/>
      <c r="CA75" s="214">
        <f>CA71-CA73</f>
        <v>30158</v>
      </c>
      <c r="CB75" s="216"/>
      <c r="CC75" s="216"/>
      <c r="CD75" s="216"/>
      <c r="CE75" s="216"/>
      <c r="CF75" s="214">
        <f>CF71-CF73</f>
        <v>26336</v>
      </c>
      <c r="CG75" s="216"/>
      <c r="CH75" s="216"/>
      <c r="CI75" s="216"/>
      <c r="CJ75" s="216"/>
      <c r="CK75" s="214"/>
      <c r="CL75" s="216"/>
      <c r="CM75" s="216"/>
      <c r="CN75" s="216"/>
      <c r="CO75" s="216"/>
      <c r="CP75" s="214"/>
      <c r="CQ75" s="380"/>
      <c r="CR75" s="380"/>
      <c r="CS75" s="380"/>
      <c r="CT75" s="382"/>
      <c r="CU75" s="381"/>
      <c r="CV75" s="380"/>
      <c r="CW75" s="380"/>
      <c r="CX75" s="380"/>
      <c r="CY75" s="382"/>
      <c r="CZ75" s="381"/>
      <c r="DA75" s="380"/>
      <c r="DB75" s="380"/>
      <c r="DC75" s="380"/>
      <c r="DD75" s="382"/>
      <c r="DE75" s="381"/>
      <c r="DF75" s="380"/>
      <c r="DG75" s="380"/>
      <c r="DH75" s="380"/>
      <c r="DI75" s="382"/>
      <c r="DJ75" s="381"/>
      <c r="DK75" s="402"/>
      <c r="DL75" s="400"/>
      <c r="DM75" s="810"/>
      <c r="DN75" s="810"/>
      <c r="DO75" s="810"/>
      <c r="DP75" s="1053"/>
      <c r="DQ75" s="1053"/>
      <c r="DR75" s="1053"/>
      <c r="DS75" s="810"/>
      <c r="DT75" s="810"/>
      <c r="DU75" s="810"/>
      <c r="DV75" s="810"/>
      <c r="DW75" s="810"/>
      <c r="DX75" s="810"/>
      <c r="DY75" s="357"/>
      <c r="DZ75" s="143"/>
      <c r="EA75" s="143"/>
      <c r="EB75"/>
      <c r="EC75"/>
      <c r="ED75"/>
      <c r="EE75"/>
      <c r="EF75"/>
      <c r="EG75"/>
    </row>
    <row r="76" spans="1:137" s="398" customFormat="1" hidden="1" outlineLevel="1">
      <c r="A76" s="377" t="s">
        <v>123</v>
      </c>
      <c r="B76" s="80">
        <f t="shared" ref="B76:G76" si="203">B75/B71</f>
        <v>0.46400258176766895</v>
      </c>
      <c r="C76" s="80">
        <f t="shared" si="203"/>
        <v>0.48710662783263481</v>
      </c>
      <c r="D76" s="80">
        <f t="shared" si="203"/>
        <v>0.49125637555948787</v>
      </c>
      <c r="E76" s="80">
        <f t="shared" si="203"/>
        <v>0.4566539615602952</v>
      </c>
      <c r="F76" s="80">
        <f t="shared" si="203"/>
        <v>0.5295689943200802</v>
      </c>
      <c r="G76" s="80">
        <f t="shared" si="203"/>
        <v>0.46245059288537549</v>
      </c>
      <c r="H76" s="82"/>
      <c r="I76" s="82"/>
      <c r="J76" s="82"/>
      <c r="K76" s="82"/>
      <c r="L76" s="80">
        <f>L75/L71</f>
        <v>0.44850065189048238</v>
      </c>
      <c r="M76" s="82"/>
      <c r="N76" s="82"/>
      <c r="O76" s="82"/>
      <c r="P76" s="82"/>
      <c r="Q76" s="80">
        <f>Q75/Q71</f>
        <v>0.36835599505562422</v>
      </c>
      <c r="R76" s="82"/>
      <c r="S76" s="82"/>
      <c r="T76" s="82"/>
      <c r="U76" s="82"/>
      <c r="V76" s="80">
        <f>V75/V71</f>
        <v>0.36774193548387096</v>
      </c>
      <c r="W76" s="83"/>
      <c r="X76" s="82"/>
      <c r="Y76" s="83"/>
      <c r="Z76" s="83"/>
      <c r="AA76" s="80">
        <f>AA75/AA71</f>
        <v>0.27806122448979592</v>
      </c>
      <c r="AB76" s="83"/>
      <c r="AC76" s="82"/>
      <c r="AD76" s="82"/>
      <c r="AE76" s="82"/>
      <c r="AF76" s="80">
        <f>AF75/AF71</f>
        <v>0.31722428748451054</v>
      </c>
      <c r="AG76" s="83"/>
      <c r="AH76" s="82"/>
      <c r="AI76" s="82"/>
      <c r="AJ76" s="82"/>
      <c r="AK76" s="80">
        <f>AK75/AK71</f>
        <v>0.33414337788578374</v>
      </c>
      <c r="AL76" s="82"/>
      <c r="AM76" s="82"/>
      <c r="AN76" s="83"/>
      <c r="AO76" s="83"/>
      <c r="AP76" s="80">
        <f>AP75/AP71</f>
        <v>0.33414043583535108</v>
      </c>
      <c r="AQ76" s="82"/>
      <c r="AR76" s="82"/>
      <c r="AS76" s="83"/>
      <c r="AT76" s="83"/>
      <c r="AU76" s="80">
        <f>AU75/AU71</f>
        <v>0.29813664596273293</v>
      </c>
      <c r="AV76" s="82"/>
      <c r="AW76" s="82"/>
      <c r="AX76" s="82"/>
      <c r="AY76" s="82"/>
      <c r="AZ76" s="80"/>
      <c r="BA76" s="80"/>
      <c r="BB76" s="82"/>
      <c r="BC76" s="82"/>
      <c r="BD76" s="82"/>
      <c r="BE76" s="82"/>
      <c r="BF76" s="80"/>
      <c r="BG76" s="82"/>
      <c r="BH76" s="82"/>
      <c r="BI76" s="82"/>
      <c r="BJ76" s="82"/>
      <c r="BK76" s="80"/>
      <c r="BL76" s="82"/>
      <c r="BM76" s="82"/>
      <c r="BN76" s="82"/>
      <c r="BO76" s="82"/>
      <c r="BP76" s="733"/>
      <c r="BQ76" s="80"/>
      <c r="BR76" s="82"/>
      <c r="BS76" s="82"/>
      <c r="BT76" s="82"/>
      <c r="BU76" s="82"/>
      <c r="BV76" s="80">
        <f>BV75/BV71</f>
        <v>0.28691983122362869</v>
      </c>
      <c r="BW76" s="82"/>
      <c r="BX76" s="82"/>
      <c r="BY76" s="82"/>
      <c r="BZ76" s="82"/>
      <c r="CA76" s="80">
        <f>CA75/CA71</f>
        <v>0.31362965119906822</v>
      </c>
      <c r="CB76" s="82"/>
      <c r="CC76" s="82"/>
      <c r="CD76" s="82"/>
      <c r="CE76" s="82"/>
      <c r="CF76" s="80">
        <f>CF75/CF71</f>
        <v>0.26352865834133848</v>
      </c>
      <c r="CG76" s="82"/>
      <c r="CH76" s="82"/>
      <c r="CI76" s="82"/>
      <c r="CJ76" s="82"/>
      <c r="CK76" s="80"/>
      <c r="CL76" s="82"/>
      <c r="CM76" s="82"/>
      <c r="CN76" s="82"/>
      <c r="CO76" s="82"/>
      <c r="CP76" s="80"/>
      <c r="CQ76" s="492"/>
      <c r="CR76" s="492"/>
      <c r="CS76" s="492"/>
      <c r="CT76" s="493"/>
      <c r="CU76" s="733"/>
      <c r="CV76" s="492"/>
      <c r="CW76" s="492"/>
      <c r="CX76" s="492"/>
      <c r="CY76" s="493"/>
      <c r="CZ76" s="733"/>
      <c r="DA76" s="492"/>
      <c r="DB76" s="492"/>
      <c r="DC76" s="492"/>
      <c r="DD76" s="493"/>
      <c r="DE76" s="733"/>
      <c r="DF76" s="492"/>
      <c r="DG76" s="492"/>
      <c r="DH76" s="492"/>
      <c r="DI76" s="493"/>
      <c r="DJ76" s="733"/>
      <c r="DK76" s="401"/>
      <c r="DL76" s="74"/>
      <c r="DM76" s="809"/>
      <c r="DN76" s="809"/>
      <c r="DO76" s="809"/>
      <c r="DP76" s="1054"/>
      <c r="DQ76" s="1054"/>
      <c r="DR76" s="1054"/>
      <c r="DS76" s="809"/>
      <c r="DT76" s="809"/>
      <c r="DU76" s="809"/>
      <c r="DV76" s="809"/>
      <c r="DW76" s="809"/>
      <c r="DX76" s="809"/>
      <c r="DY76" s="360"/>
      <c r="DZ76" s="167"/>
      <c r="EA76" s="167"/>
      <c r="EB76"/>
      <c r="EC76"/>
      <c r="ED76"/>
      <c r="EE76"/>
      <c r="EF76"/>
      <c r="EG76"/>
    </row>
    <row r="77" spans="1:137" s="398" customFormat="1" ht="12.75" customHeight="1" collapsed="1">
      <c r="A77" s="373" t="s">
        <v>121</v>
      </c>
      <c r="B77" s="42"/>
      <c r="C77" s="10">
        <f t="shared" ref="C77:K77" si="204">C71-(B71-C55)</f>
        <v>25678</v>
      </c>
      <c r="D77" s="10">
        <f t="shared" si="204"/>
        <v>38279</v>
      </c>
      <c r="E77" s="10">
        <f t="shared" si="204"/>
        <v>32656</v>
      </c>
      <c r="F77" s="10">
        <f t="shared" si="204"/>
        <v>38052</v>
      </c>
      <c r="G77" s="10">
        <f t="shared" si="204"/>
        <v>40695</v>
      </c>
      <c r="H77" s="35">
        <f t="shared" si="204"/>
        <v>8075</v>
      </c>
      <c r="I77" s="35">
        <f t="shared" si="204"/>
        <v>6651</v>
      </c>
      <c r="J77" s="35">
        <f t="shared" si="204"/>
        <v>13095</v>
      </c>
      <c r="K77" s="35">
        <f t="shared" si="204"/>
        <v>14841</v>
      </c>
      <c r="L77" s="10">
        <f>L71-(G71-L55)</f>
        <v>42662</v>
      </c>
      <c r="M77" s="35">
        <f>M71-(L71-M55)</f>
        <v>7983</v>
      </c>
      <c r="N77" s="35">
        <f>N71-(M71-N55)</f>
        <v>10839</v>
      </c>
      <c r="O77" s="35">
        <f>O71-(N71-O55)</f>
        <v>12077</v>
      </c>
      <c r="P77" s="35">
        <f>P71-(O71-P55)</f>
        <v>16032</v>
      </c>
      <c r="Q77" s="10">
        <f>Q71-(L71-Q55)</f>
        <v>46931</v>
      </c>
      <c r="R77" s="35">
        <f>R71-(Q71-R55)</f>
        <v>10273</v>
      </c>
      <c r="S77" s="35">
        <f>S71-(R71-S55)</f>
        <v>9472</v>
      </c>
      <c r="T77" s="35">
        <f>T71-(S71-T55)</f>
        <v>7967</v>
      </c>
      <c r="U77" s="35">
        <f>U71-(T71-U55)</f>
        <v>13303</v>
      </c>
      <c r="V77" s="10">
        <f>V71-(Q71-V55)</f>
        <v>41015</v>
      </c>
      <c r="W77" s="35">
        <f>W71-(V71-W55)</f>
        <v>7837</v>
      </c>
      <c r="X77" s="35">
        <f>X71-(W71-X55)</f>
        <v>9080</v>
      </c>
      <c r="Y77" s="35">
        <f>Y71-(X71-Y55)</f>
        <v>9043</v>
      </c>
      <c r="Z77" s="35">
        <f>Z71-(Y71-Z55)</f>
        <v>20661</v>
      </c>
      <c r="AA77" s="10">
        <f>AA71-(V71-AA55)</f>
        <v>46621</v>
      </c>
      <c r="AB77" s="35">
        <f>AB71-(AA71-AB55)</f>
        <v>12226</v>
      </c>
      <c r="AC77" s="35">
        <f>AC71-(AB71-AC55)</f>
        <v>8743</v>
      </c>
      <c r="AD77" s="35">
        <f>AD71-(AC71-AD55)</f>
        <v>7919</v>
      </c>
      <c r="AE77" s="35">
        <f>AE71-(AD71-AE55)</f>
        <v>19911</v>
      </c>
      <c r="AF77" s="10">
        <f>AF71-(AA71-AF55)</f>
        <v>48799</v>
      </c>
      <c r="AG77" s="35">
        <f>AG71-(AF71-AG55)</f>
        <v>7193</v>
      </c>
      <c r="AH77" s="35">
        <f>AH71-(AG71-AH55)</f>
        <v>10821</v>
      </c>
      <c r="AI77" s="35">
        <f>AI71-(AH71-AI55)</f>
        <v>11969</v>
      </c>
      <c r="AJ77" s="35">
        <f>AJ71-(AI71-AJ55)</f>
        <v>18799</v>
      </c>
      <c r="AK77" s="10">
        <f>AK71-(AF71-AK55)</f>
        <v>48782</v>
      </c>
      <c r="AL77" s="35">
        <f>AL71-(AK71-AL55)</f>
        <v>6670</v>
      </c>
      <c r="AM77" s="35">
        <f>AM71-(AL71-AM55)</f>
        <v>8608</v>
      </c>
      <c r="AN77" s="35">
        <f>AN71-(AM71-AN55)</f>
        <v>14947</v>
      </c>
      <c r="AO77" s="35">
        <f>AO71-(AN71-AO55)</f>
        <v>15433</v>
      </c>
      <c r="AP77" s="10">
        <f>AP71-(AK71-AP55)</f>
        <v>45658</v>
      </c>
      <c r="AQ77" s="35">
        <f>AQ71-(AP71-AQ55)</f>
        <v>7650</v>
      </c>
      <c r="AR77" s="35">
        <f>AR71-(AQ71-AR55)</f>
        <v>9506</v>
      </c>
      <c r="AS77" s="35">
        <f>AS71-(AR71-AS55)</f>
        <v>9814</v>
      </c>
      <c r="AT77" s="35">
        <f>AT71-(AS71-AT55)</f>
        <v>16530</v>
      </c>
      <c r="AU77" s="10">
        <f>AU71-(AP71-AU55)</f>
        <v>43500</v>
      </c>
      <c r="AV77" s="35">
        <f>AV71-(AU71-AV55)</f>
        <v>6511</v>
      </c>
      <c r="AW77" s="35">
        <f t="shared" ref="AW77:AX77" si="205">AW71-(AV71-AW55)</f>
        <v>7543</v>
      </c>
      <c r="AX77" s="35">
        <f t="shared" si="205"/>
        <v>10461</v>
      </c>
      <c r="AY77" s="35">
        <f>AY71-(AX71-AY55)</f>
        <v>42717</v>
      </c>
      <c r="AZ77" s="10">
        <f>AZ71-(AU71-AZ55)</f>
        <v>67232</v>
      </c>
      <c r="BA77" s="10"/>
      <c r="BB77" s="35">
        <f>BB71-(BA71-BB55)</f>
        <v>7650</v>
      </c>
      <c r="BC77" s="35">
        <f t="shared" ref="BC77:BD77" si="206">BC71-(BB71-BC55)</f>
        <v>9506</v>
      </c>
      <c r="BD77" s="35">
        <f t="shared" si="206"/>
        <v>9814</v>
      </c>
      <c r="BE77" s="35">
        <f>BE71-(BD71-BE55)</f>
        <v>16530</v>
      </c>
      <c r="BF77" s="10">
        <f>BF71-(BA71-BF55)</f>
        <v>43500</v>
      </c>
      <c r="BG77" s="35">
        <f>BG71-(BF71-BG55)</f>
        <v>6511</v>
      </c>
      <c r="BH77" s="35">
        <f t="shared" ref="BH77:BI77" si="207">BH71-(BG71-BH55)</f>
        <v>7543</v>
      </c>
      <c r="BI77" s="35">
        <f t="shared" si="207"/>
        <v>10261</v>
      </c>
      <c r="BJ77" s="35">
        <f>BJ71-(BI71-BJ55)</f>
        <v>40917</v>
      </c>
      <c r="BK77" s="10">
        <f>BK71-(BF71-BK55)</f>
        <v>65232</v>
      </c>
      <c r="BL77" s="35">
        <f>BL71-(BK71-BL55)</f>
        <v>10002</v>
      </c>
      <c r="BM77" s="35">
        <f t="shared" ref="BM77" si="208">BM71-(BL71-BM55)</f>
        <v>11414</v>
      </c>
      <c r="BN77" s="35"/>
      <c r="BO77" s="35"/>
      <c r="BP77" s="369"/>
      <c r="BQ77" s="10"/>
      <c r="BR77" s="35">
        <f>BR71-(BF71-BR55)-BF19</f>
        <v>-779</v>
      </c>
      <c r="BS77" s="35">
        <f t="shared" ref="BS77:BT77" si="209">BS71-(BR71-BS55)</f>
        <v>6635</v>
      </c>
      <c r="BT77" s="35">
        <f t="shared" si="209"/>
        <v>3560</v>
      </c>
      <c r="BU77" s="35">
        <f>BU71-(BT71-BU55)</f>
        <v>39420</v>
      </c>
      <c r="BV77" s="10">
        <f>BV71-(BF71-BV55)-BF19</f>
        <v>48836</v>
      </c>
      <c r="BW77" s="35">
        <f>BW71-(BV71-BW55)</f>
        <v>8968</v>
      </c>
      <c r="BX77" s="35">
        <f t="shared" ref="BX77" si="210">BX71-(BW71-BX55)</f>
        <v>10277</v>
      </c>
      <c r="BY77" s="35">
        <f t="shared" ref="BY77" si="211">BY71-(BX71-BY55)</f>
        <v>10851</v>
      </c>
      <c r="BZ77" s="35">
        <f>BZ71-(BY71-BZ55)</f>
        <v>18510</v>
      </c>
      <c r="CA77" s="10">
        <f>CA71-(BV71-CA55)</f>
        <v>48606</v>
      </c>
      <c r="CB77" s="35">
        <f>CB71-(CA71-CB55)</f>
        <v>8399</v>
      </c>
      <c r="CC77" s="35">
        <f t="shared" ref="CC77:CD77" si="212">CC71-(CB71-CC55)</f>
        <v>11285</v>
      </c>
      <c r="CD77" s="35">
        <f t="shared" si="212"/>
        <v>23669</v>
      </c>
      <c r="CE77" s="35">
        <f>CE71-(CD71-CE55)</f>
        <v>11473</v>
      </c>
      <c r="CF77" s="10">
        <f>CF71-(CA71-CF55)</f>
        <v>54826</v>
      </c>
      <c r="CG77" s="35"/>
      <c r="CH77" s="35"/>
      <c r="CI77" s="35"/>
      <c r="CJ77" s="35"/>
      <c r="CK77" s="10"/>
      <c r="CL77" s="35"/>
      <c r="CM77" s="35"/>
      <c r="CN77" s="35"/>
      <c r="CO77" s="35"/>
      <c r="CP77" s="10"/>
      <c r="CQ77" s="370"/>
      <c r="CR77" s="370"/>
      <c r="CS77" s="370"/>
      <c r="CT77" s="371"/>
      <c r="CU77" s="369"/>
      <c r="CV77" s="370"/>
      <c r="CW77" s="370"/>
      <c r="CX77" s="370"/>
      <c r="CY77" s="371"/>
      <c r="CZ77" s="369"/>
      <c r="DA77" s="370"/>
      <c r="DB77" s="370"/>
      <c r="DC77" s="370"/>
      <c r="DD77" s="371"/>
      <c r="DE77" s="369"/>
      <c r="DF77" s="370"/>
      <c r="DG77" s="370"/>
      <c r="DH77" s="370"/>
      <c r="DI77" s="371"/>
      <c r="DJ77" s="369"/>
      <c r="DK77" s="397"/>
      <c r="DL77" s="74"/>
      <c r="DM77" s="809"/>
      <c r="DN77" s="809"/>
      <c r="DO77" s="812"/>
      <c r="DP77" s="1105"/>
      <c r="DQ77" s="1085"/>
      <c r="DR77" s="1085"/>
      <c r="DS77" s="1105"/>
      <c r="DT77" s="809"/>
      <c r="DU77" s="809"/>
      <c r="DV77" s="809"/>
      <c r="DW77" s="809"/>
      <c r="DX77" s="809"/>
      <c r="DY77" s="360"/>
      <c r="DZ77" s="167"/>
      <c r="EA77" s="167"/>
      <c r="EB77"/>
      <c r="EC77"/>
      <c r="ED77"/>
      <c r="EE77"/>
      <c r="EF77"/>
      <c r="EG77"/>
    </row>
    <row r="78" spans="1:137" s="772" customFormat="1" ht="12.75" customHeight="1">
      <c r="A78" s="762" t="s">
        <v>122</v>
      </c>
      <c r="B78" s="763"/>
      <c r="C78" s="764">
        <f t="shared" ref="C78:AH78" si="213">C77/C55</f>
        <v>0.96671937354114901</v>
      </c>
      <c r="D78" s="764">
        <f t="shared" si="213"/>
        <v>1.2034393863179074</v>
      </c>
      <c r="E78" s="764">
        <f t="shared" si="213"/>
        <v>0.91921409671789678</v>
      </c>
      <c r="F78" s="764">
        <f t="shared" si="213"/>
        <v>1.0225458845027275</v>
      </c>
      <c r="G78" s="764">
        <f t="shared" si="213"/>
        <v>1.0271327612317012</v>
      </c>
      <c r="H78" s="765">
        <f t="shared" si="213"/>
        <v>0.87061994609164417</v>
      </c>
      <c r="I78" s="765">
        <f t="shared" si="213"/>
        <v>0.6244484086001314</v>
      </c>
      <c r="J78" s="765">
        <f t="shared" si="213"/>
        <v>1.1802613789995493</v>
      </c>
      <c r="K78" s="765">
        <f t="shared" si="213"/>
        <v>1.3689696522461028</v>
      </c>
      <c r="L78" s="764">
        <f t="shared" si="213"/>
        <v>1.0191104103960633</v>
      </c>
      <c r="M78" s="765">
        <f t="shared" si="213"/>
        <v>0.79965942101572673</v>
      </c>
      <c r="N78" s="765">
        <f t="shared" si="213"/>
        <v>0.98188241688558742</v>
      </c>
      <c r="O78" s="765">
        <f t="shared" si="213"/>
        <v>1.1418171504207242</v>
      </c>
      <c r="P78" s="765">
        <f t="shared" si="213"/>
        <v>1.4401724757455983</v>
      </c>
      <c r="Q78" s="764">
        <f t="shared" si="213"/>
        <v>1.0982892981676067</v>
      </c>
      <c r="R78" s="765">
        <f t="shared" si="213"/>
        <v>0.99035958739034036</v>
      </c>
      <c r="S78" s="765">
        <f t="shared" si="213"/>
        <v>0.8554913294797688</v>
      </c>
      <c r="T78" s="765">
        <f t="shared" si="213"/>
        <v>0.73994613169870904</v>
      </c>
      <c r="U78" s="765">
        <f t="shared" si="213"/>
        <v>1.0901417684176022</v>
      </c>
      <c r="V78" s="764">
        <f t="shared" si="213"/>
        <v>0.92344928515141278</v>
      </c>
      <c r="W78" s="765">
        <f t="shared" si="213"/>
        <v>0.75815033375253937</v>
      </c>
      <c r="X78" s="765">
        <f t="shared" si="213"/>
        <v>0.80496453900709219</v>
      </c>
      <c r="Y78" s="765">
        <f t="shared" si="213"/>
        <v>0.79723177289958569</v>
      </c>
      <c r="Z78" s="765">
        <f t="shared" si="213"/>
        <v>1.6190737403024842</v>
      </c>
      <c r="AA78" s="764">
        <f t="shared" si="213"/>
        <v>1.0196846088230791</v>
      </c>
      <c r="AB78" s="765">
        <f t="shared" si="213"/>
        <v>1.1505740636175419</v>
      </c>
      <c r="AC78" s="765">
        <f t="shared" si="213"/>
        <v>0.75742874469375376</v>
      </c>
      <c r="AD78" s="765">
        <f t="shared" si="213"/>
        <v>0.65343675220727782</v>
      </c>
      <c r="AE78" s="765">
        <f t="shared" si="213"/>
        <v>1.6305789861600197</v>
      </c>
      <c r="AF78" s="764">
        <f t="shared" si="213"/>
        <v>1.0494634293210607</v>
      </c>
      <c r="AG78" s="765">
        <f t="shared" si="213"/>
        <v>0.63694323917470996</v>
      </c>
      <c r="AH78" s="765">
        <f t="shared" si="213"/>
        <v>0.90772586192433524</v>
      </c>
      <c r="AI78" s="765">
        <f t="shared" ref="AI78:AZ78" si="214">AI77/AI55</f>
        <v>1.008425309630129</v>
      </c>
      <c r="AJ78" s="765">
        <f t="shared" si="214"/>
        <v>1.5537647739482603</v>
      </c>
      <c r="AK78" s="764">
        <f t="shared" si="214"/>
        <v>1.0339112373362722</v>
      </c>
      <c r="AL78" s="765">
        <f t="shared" si="214"/>
        <v>0.60252935862691959</v>
      </c>
      <c r="AM78" s="765">
        <f t="shared" si="214"/>
        <v>0.75455820476858348</v>
      </c>
      <c r="AN78" s="765">
        <f t="shared" si="214"/>
        <v>1.3172644751916807</v>
      </c>
      <c r="AO78" s="765">
        <f t="shared" si="214"/>
        <v>1.33816006242955</v>
      </c>
      <c r="AP78" s="764">
        <f t="shared" si="214"/>
        <v>1.0066140482384585</v>
      </c>
      <c r="AQ78" s="765">
        <f t="shared" si="214"/>
        <v>0.71830985915492962</v>
      </c>
      <c r="AR78" s="765">
        <f t="shared" si="214"/>
        <v>0.84079249955775692</v>
      </c>
      <c r="AS78" s="765">
        <f t="shared" si="214"/>
        <v>0.88303041209285582</v>
      </c>
      <c r="AT78" s="765">
        <f t="shared" si="214"/>
        <v>1.3192338387869114</v>
      </c>
      <c r="AU78" s="764">
        <f t="shared" si="214"/>
        <v>0.95394736842105265</v>
      </c>
      <c r="AV78" s="765">
        <f t="shared" si="214"/>
        <v>0.64395213134210261</v>
      </c>
      <c r="AW78" s="765">
        <f t="shared" si="214"/>
        <v>0.64785708150820231</v>
      </c>
      <c r="AX78" s="765">
        <f t="shared" si="214"/>
        <v>0.91274757874531021</v>
      </c>
      <c r="AY78" s="765">
        <f t="shared" si="214"/>
        <v>3.3070372377487032</v>
      </c>
      <c r="AZ78" s="764">
        <f t="shared" si="214"/>
        <v>1.4573831613630452</v>
      </c>
      <c r="BA78" s="764"/>
      <c r="BB78" s="765">
        <f t="shared" ref="BB78:BM78" si="215">BB77/BB55</f>
        <v>0.71830985915492962</v>
      </c>
      <c r="BC78" s="765">
        <f t="shared" si="215"/>
        <v>0.84079249955775692</v>
      </c>
      <c r="BD78" s="765">
        <f t="shared" si="215"/>
        <v>0.88303041209285582</v>
      </c>
      <c r="BE78" s="765">
        <f t="shared" si="215"/>
        <v>1.3192338387869114</v>
      </c>
      <c r="BF78" s="764">
        <f t="shared" si="215"/>
        <v>0.95394736842105265</v>
      </c>
      <c r="BG78" s="765">
        <f t="shared" si="215"/>
        <v>0.64395213134210261</v>
      </c>
      <c r="BH78" s="765">
        <f t="shared" si="215"/>
        <v>0.64785708150820231</v>
      </c>
      <c r="BI78" s="765">
        <f t="shared" si="215"/>
        <v>0.89529709449437223</v>
      </c>
      <c r="BJ78" s="765">
        <f t="shared" si="215"/>
        <v>3.1676859952001237</v>
      </c>
      <c r="BK78" s="764">
        <f t="shared" si="215"/>
        <v>1.4140293072054106</v>
      </c>
      <c r="BL78" s="765">
        <f t="shared" si="215"/>
        <v>0.85472568791659542</v>
      </c>
      <c r="BM78" s="765">
        <f t="shared" si="215"/>
        <v>0.88384698776521609</v>
      </c>
      <c r="BN78" s="765"/>
      <c r="BO78" s="765"/>
      <c r="BP78" s="763"/>
      <c r="BQ78" s="764"/>
      <c r="BR78" s="765">
        <f t="shared" ref="BR78:CB78" si="216">BR77/BR55</f>
        <v>-8.9324618736383449E-2</v>
      </c>
      <c r="BS78" s="765">
        <f t="shared" si="216"/>
        <v>0.64826575476306791</v>
      </c>
      <c r="BT78" s="765">
        <f t="shared" si="216"/>
        <v>0.35387673956262428</v>
      </c>
      <c r="BU78" s="765">
        <f t="shared" si="216"/>
        <v>3.421875</v>
      </c>
      <c r="BV78" s="764">
        <f t="shared" si="216"/>
        <v>1.2047562660351292</v>
      </c>
      <c r="BW78" s="765">
        <f t="shared" si="216"/>
        <v>0.86496913580246915</v>
      </c>
      <c r="BX78" s="765">
        <f t="shared" si="216"/>
        <v>0.8877083873196856</v>
      </c>
      <c r="BY78" s="765">
        <f t="shared" si="216"/>
        <v>0.93939918621764351</v>
      </c>
      <c r="BZ78" s="765">
        <f>BZ77/BZ55</f>
        <v>1.3459860383944153</v>
      </c>
      <c r="CA78" s="764">
        <f>CA77/CA55</f>
        <v>1.0287419573315273</v>
      </c>
      <c r="CB78" s="765">
        <f t="shared" si="216"/>
        <v>0.75960929727774262</v>
      </c>
      <c r="CC78" s="765">
        <f t="shared" ref="CC78:CD78" si="217">CC77/CC55</f>
        <v>0.88963342530547895</v>
      </c>
      <c r="CD78" s="765">
        <f t="shared" si="217"/>
        <v>1.945024241926206</v>
      </c>
      <c r="CE78" s="765">
        <f>CE77/CE55</f>
        <v>0.75794411045781862</v>
      </c>
      <c r="CF78" s="764">
        <f>CF77/CF55</f>
        <v>1.0740087760539101</v>
      </c>
      <c r="CG78" s="765"/>
      <c r="CH78" s="765"/>
      <c r="CI78" s="765"/>
      <c r="CJ78" s="765"/>
      <c r="CK78" s="764"/>
      <c r="CL78" s="765"/>
      <c r="CM78" s="765"/>
      <c r="CN78" s="765"/>
      <c r="CO78" s="765"/>
      <c r="CP78" s="764"/>
      <c r="CQ78" s="766"/>
      <c r="CR78" s="766"/>
      <c r="CS78" s="766"/>
      <c r="CT78" s="767"/>
      <c r="CU78" s="763"/>
      <c r="CV78" s="766"/>
      <c r="CW78" s="766"/>
      <c r="CX78" s="766"/>
      <c r="CY78" s="767"/>
      <c r="CZ78" s="763"/>
      <c r="DA78" s="766"/>
      <c r="DB78" s="766"/>
      <c r="DC78" s="766"/>
      <c r="DD78" s="767"/>
      <c r="DE78" s="763"/>
      <c r="DF78" s="766"/>
      <c r="DG78" s="766"/>
      <c r="DH78" s="766"/>
      <c r="DI78" s="767"/>
      <c r="DJ78" s="763"/>
      <c r="DK78" s="768"/>
      <c r="DL78" s="769"/>
      <c r="DM78" s="865"/>
      <c r="DN78" s="865"/>
      <c r="DO78" s="865"/>
      <c r="DP78" s="1105"/>
      <c r="DQ78" s="1085"/>
      <c r="DR78" s="1085"/>
      <c r="DS78" s="1105"/>
      <c r="DT78" s="865"/>
      <c r="DU78" s="865"/>
      <c r="DV78" s="865"/>
      <c r="DW78" s="865"/>
      <c r="DX78" s="865"/>
      <c r="DY78" s="770"/>
      <c r="DZ78" s="771"/>
      <c r="EA78" s="771"/>
      <c r="EB78"/>
      <c r="EC78"/>
      <c r="ED78"/>
      <c r="EE78"/>
      <c r="EF78"/>
      <c r="EG78"/>
    </row>
    <row r="79" spans="1:137" s="772" customFormat="1" ht="12.75" customHeight="1">
      <c r="A79" s="762" t="s">
        <v>10</v>
      </c>
      <c r="B79" s="764">
        <f t="shared" ref="B79:G79" si="218">B71/B55</f>
        <v>2.9735063417890522</v>
      </c>
      <c r="C79" s="764">
        <f t="shared" si="218"/>
        <v>2.6498381145998042</v>
      </c>
      <c r="D79" s="764">
        <f t="shared" si="218"/>
        <v>2.4162474849094568</v>
      </c>
      <c r="E79" s="764">
        <f t="shared" si="218"/>
        <v>2.0825874007768959</v>
      </c>
      <c r="F79" s="764">
        <f t="shared" si="218"/>
        <v>2.0107220594953374</v>
      </c>
      <c r="G79" s="764">
        <f t="shared" si="218"/>
        <v>1.9156991418475517</v>
      </c>
      <c r="H79" s="765">
        <f>H71/H55/4</f>
        <v>2.013477088948787</v>
      </c>
      <c r="I79" s="765">
        <f>I71/I55/4</f>
        <v>1.6594685944981691</v>
      </c>
      <c r="J79" s="765">
        <f>J71/J55/4</f>
        <v>1.6381252816584047</v>
      </c>
      <c r="K79" s="765">
        <f>K71/K55/4</f>
        <v>1.768748270454755</v>
      </c>
      <c r="L79" s="764">
        <f>L71/L55</f>
        <v>1.8322105967225646</v>
      </c>
      <c r="M79" s="765">
        <f>M71/M55/4</f>
        <v>1.8706801562656517</v>
      </c>
      <c r="N79" s="765">
        <f>N71/N55/4</f>
        <v>1.6871999275296676</v>
      </c>
      <c r="O79" s="765">
        <f>O71/O55/4</f>
        <v>1.7963505719958401</v>
      </c>
      <c r="P79" s="765">
        <f>P71/P55/4</f>
        <v>1.8168343514193317</v>
      </c>
      <c r="Q79" s="764">
        <f>Q71/Q55</f>
        <v>1.8932391004188995</v>
      </c>
      <c r="R79" s="765">
        <f>R71/R55/4</f>
        <v>1.9473633471512581</v>
      </c>
      <c r="S79" s="765">
        <f>S71/S55/4</f>
        <v>1.7882947976878614</v>
      </c>
      <c r="T79" s="765">
        <f>T71/T55/4</f>
        <v>1.7739388873409492</v>
      </c>
      <c r="U79" s="765">
        <f>U71/U55/4</f>
        <v>1.5877243300827666</v>
      </c>
      <c r="V79" s="764">
        <f>V71/V55</f>
        <v>1.7449060002251491</v>
      </c>
      <c r="W79" s="765">
        <f>W71/W55/4</f>
        <v>1.8138724968559543</v>
      </c>
      <c r="X79" s="765">
        <f>X71/X55/4</f>
        <v>1.6134751773049645</v>
      </c>
      <c r="Y79" s="765">
        <f>Y71/Y55/4</f>
        <v>1.5538217402803491</v>
      </c>
      <c r="Z79" s="765">
        <f>Z71/Z55/4</f>
        <v>1.5359297860669228</v>
      </c>
      <c r="AA79" s="764">
        <f>AA71/AA55</f>
        <v>1.7147481463660026</v>
      </c>
      <c r="AB79" s="765">
        <f>AB71/AB55/4</f>
        <v>1.8821757952192735</v>
      </c>
      <c r="AC79" s="765">
        <f>AC71/AC55/4</f>
        <v>1.6720090097894829</v>
      </c>
      <c r="AD79" s="765">
        <f>AD71/AD55/4</f>
        <v>1.5058998267183761</v>
      </c>
      <c r="AE79" s="765">
        <f>AE71/AE55/4</f>
        <v>1.6521988371140774</v>
      </c>
      <c r="AF79" s="764">
        <f>AF71/AF55</f>
        <v>1.7355211940041722</v>
      </c>
      <c r="AG79" s="765">
        <f>AG71/AG55/4</f>
        <v>1.6957407243425131</v>
      </c>
      <c r="AH79" s="765">
        <f>AH71/AH55/4</f>
        <v>1.583340323798339</v>
      </c>
      <c r="AI79" s="765">
        <f>AI71/AI55/4</f>
        <v>1.5923835200943635</v>
      </c>
      <c r="AJ79" s="765">
        <f>AJ71/AJ55/4</f>
        <v>1.7005537647739482</v>
      </c>
      <c r="AK79" s="764">
        <f>AK71/AK55</f>
        <v>1.7443092704845069</v>
      </c>
      <c r="AL79" s="765">
        <f>AL71/AL55/4</f>
        <v>1.7592592592592593</v>
      </c>
      <c r="AM79" s="765">
        <f>AM71/AM55/4</f>
        <v>1.6457748948106592</v>
      </c>
      <c r="AN79" s="765">
        <f>AN71/AN55/4</f>
        <v>1.7339384859434213</v>
      </c>
      <c r="AO79" s="765">
        <f>AO71/AO55/4</f>
        <v>1.7905141767103097</v>
      </c>
      <c r="AP79" s="764">
        <f>AP71/AP55</f>
        <v>1.8210679483222365</v>
      </c>
      <c r="AQ79" s="765">
        <f>AQ71/AQ55/4</f>
        <v>1.8685446009389672</v>
      </c>
      <c r="AR79" s="765">
        <f>AR71/AR55/4</f>
        <v>1.7203254908897931</v>
      </c>
      <c r="AS79" s="765">
        <f>AS71/AS55/4</f>
        <v>1.7208025913262552</v>
      </c>
      <c r="AT79" s="765">
        <f>AT71/AT55/4</f>
        <v>1.6061452513966481</v>
      </c>
      <c r="AU79" s="764">
        <f>AU71/AU55</f>
        <v>1.7653508771929824</v>
      </c>
      <c r="AV79" s="765">
        <f>AV71/AV55/4</f>
        <v>1.90139452081891</v>
      </c>
      <c r="AW79" s="765">
        <f>AW71/AW55/4</f>
        <v>1.5631710040367603</v>
      </c>
      <c r="AX79" s="765">
        <f>AX71/AX55/4</f>
        <v>1.5661809615216822</v>
      </c>
      <c r="AY79" s="765">
        <f>AY71/AY55/4</f>
        <v>1.966400867074398</v>
      </c>
      <c r="AZ79" s="764">
        <f>AZ71/AZ55</f>
        <v>2.2023757912078383</v>
      </c>
      <c r="BA79" s="764">
        <f>BA71/BA55</f>
        <v>1.8210679483222365</v>
      </c>
      <c r="BB79" s="765">
        <f>BB71/BB55/4</f>
        <v>1.8685446009389672</v>
      </c>
      <c r="BC79" s="765">
        <f>BC71/BC55/4</f>
        <v>1.7203254908897931</v>
      </c>
      <c r="BD79" s="765">
        <f>BD71/BD55/4</f>
        <v>1.7208025913262552</v>
      </c>
      <c r="BE79" s="765">
        <f>BE71/BE55/4</f>
        <v>1.6061452513966481</v>
      </c>
      <c r="BF79" s="764">
        <f>BF71/BF55</f>
        <v>1.7653508771929824</v>
      </c>
      <c r="BG79" s="765">
        <f>BG71/BG55/4</f>
        <v>1.90139452081891</v>
      </c>
      <c r="BH79" s="765">
        <f>BH71/BH55/4</f>
        <v>1.5631710040367603</v>
      </c>
      <c r="BI79" s="765">
        <f>BI71/BI55/4</f>
        <v>1.5618183404589476</v>
      </c>
      <c r="BJ79" s="765">
        <f>BJ71/BJ55/4</f>
        <v>1.9276921885886815</v>
      </c>
      <c r="BK79" s="764">
        <f>BK71/BK55</f>
        <v>2.1590219370502037</v>
      </c>
      <c r="BL79" s="765">
        <f>BL71/BL55/4</f>
        <v>2.091522816612545</v>
      </c>
      <c r="BM79" s="765">
        <f>BM71/BM55/4</f>
        <v>1.8661917299055288</v>
      </c>
      <c r="BN79" s="765"/>
      <c r="BO79" s="765"/>
      <c r="BP79" s="763"/>
      <c r="BQ79" s="764"/>
      <c r="BR79" s="765">
        <f>BR71/BR55/4</f>
        <v>2.2073156748079348</v>
      </c>
      <c r="BS79" s="765">
        <f>BS71/BS55/4</f>
        <v>1.7928676111382511</v>
      </c>
      <c r="BT79" s="765">
        <f>BT71/BT55/4</f>
        <v>1.6625248508946322</v>
      </c>
      <c r="BU79" s="765">
        <f>BU71/BU55/4</f>
        <v>2.0572916666666665</v>
      </c>
      <c r="BV79" s="764">
        <f>BV71/BV55</f>
        <v>2.3386619301361753</v>
      </c>
      <c r="BW79" s="765">
        <f>BW71/BW55/4</f>
        <v>2.2521219135802468</v>
      </c>
      <c r="BX79" s="765">
        <f>BX71/BX55/4</f>
        <v>1.9888572168955687</v>
      </c>
      <c r="BY79" s="765">
        <f>BY71/BY55/4</f>
        <v>1.9781837070383517</v>
      </c>
      <c r="BZ79" s="765">
        <f>BZ71/BZ55/4</f>
        <v>1.7480730075625364</v>
      </c>
      <c r="CA79" s="764">
        <f>CA71/CA55</f>
        <v>2.0351760921097188</v>
      </c>
      <c r="CB79" s="765">
        <f>CB71/CB55/4</f>
        <v>2.1140454011033736</v>
      </c>
      <c r="CC79" s="765">
        <f>CC71/CC55/4</f>
        <v>1.8151359873866773</v>
      </c>
      <c r="CD79" s="765">
        <f>CD71/CD55/4</f>
        <v>2.1283589448598899</v>
      </c>
      <c r="CE79" s="765">
        <f>CE71/CE55/4</f>
        <v>1.6505252031446125</v>
      </c>
      <c r="CF79" s="764">
        <f>CF71/CF55</f>
        <v>1.9576868829337095</v>
      </c>
      <c r="CG79" s="765"/>
      <c r="CH79" s="765"/>
      <c r="CI79" s="765"/>
      <c r="CJ79" s="765"/>
      <c r="CK79" s="764"/>
      <c r="CL79" s="765"/>
      <c r="CM79" s="765"/>
      <c r="CN79" s="765"/>
      <c r="CO79" s="765"/>
      <c r="CP79" s="764">
        <f>CP71/CP55</f>
        <v>2.1106531134944775</v>
      </c>
      <c r="CQ79" s="766"/>
      <c r="CR79" s="766"/>
      <c r="CS79" s="766"/>
      <c r="CT79" s="767"/>
      <c r="CU79" s="763"/>
      <c r="CV79" s="766"/>
      <c r="CW79" s="766"/>
      <c r="CX79" s="766"/>
      <c r="CY79" s="767"/>
      <c r="CZ79" s="763"/>
      <c r="DA79" s="766"/>
      <c r="DB79" s="766"/>
      <c r="DC79" s="766"/>
      <c r="DD79" s="767"/>
      <c r="DE79" s="763"/>
      <c r="DF79" s="766"/>
      <c r="DG79" s="766"/>
      <c r="DH79" s="766"/>
      <c r="DI79" s="767"/>
      <c r="DJ79" s="763"/>
      <c r="DK79" s="768"/>
      <c r="DL79" s="769"/>
      <c r="DM79" s="865"/>
      <c r="DN79" s="865"/>
      <c r="DO79" s="865"/>
      <c r="DP79" s="1105"/>
      <c r="DQ79" s="1081"/>
      <c r="DR79" s="1081"/>
      <c r="DS79" s="1105"/>
      <c r="DT79" s="865"/>
      <c r="DU79" s="865"/>
      <c r="DV79" s="865"/>
      <c r="DW79" s="865"/>
      <c r="DX79" s="865"/>
      <c r="DY79" s="770"/>
      <c r="DZ79" s="771"/>
      <c r="EA79" s="771"/>
      <c r="EB79"/>
      <c r="EC79"/>
      <c r="ED79"/>
      <c r="EE79"/>
      <c r="EF79"/>
      <c r="EG79"/>
    </row>
    <row r="80" spans="1:137" s="362" customFormat="1" ht="12" customHeight="1">
      <c r="A80" s="102" t="s">
        <v>54</v>
      </c>
      <c r="B80" s="98"/>
      <c r="C80" s="98"/>
      <c r="D80" s="98"/>
      <c r="E80" s="98"/>
      <c r="F80" s="98"/>
      <c r="G80" s="98"/>
      <c r="H80" s="100"/>
      <c r="I80" s="100"/>
      <c r="J80" s="100"/>
      <c r="K80" s="100"/>
      <c r="L80" s="98"/>
      <c r="M80" s="100"/>
      <c r="N80" s="100"/>
      <c r="O80" s="100"/>
      <c r="P80" s="100"/>
      <c r="Q80" s="98"/>
      <c r="R80" s="100"/>
      <c r="S80" s="100"/>
      <c r="T80" s="100"/>
      <c r="U80" s="100"/>
      <c r="V80" s="98"/>
      <c r="W80" s="100"/>
      <c r="X80" s="100"/>
      <c r="Y80" s="100"/>
      <c r="Z80" s="100"/>
      <c r="AA80" s="98"/>
      <c r="AB80" s="100"/>
      <c r="AC80" s="100"/>
      <c r="AD80" s="100"/>
      <c r="AE80" s="100"/>
      <c r="AF80" s="98"/>
      <c r="AG80" s="100"/>
      <c r="AH80" s="100"/>
      <c r="AI80" s="100"/>
      <c r="AJ80" s="100"/>
      <c r="AK80" s="98"/>
      <c r="AL80" s="100"/>
      <c r="AM80" s="100"/>
      <c r="AN80" s="100"/>
      <c r="AO80" s="100"/>
      <c r="AP80" s="98"/>
      <c r="AQ80" s="101"/>
      <c r="AR80" s="100"/>
      <c r="AS80" s="100"/>
      <c r="AT80" s="100"/>
      <c r="AU80" s="98"/>
      <c r="AV80" s="101"/>
      <c r="AW80" s="100"/>
      <c r="AX80" s="100"/>
      <c r="AY80" s="100"/>
      <c r="AZ80" s="98"/>
      <c r="BA80" s="98"/>
      <c r="BB80" s="101"/>
      <c r="BC80" s="100"/>
      <c r="BD80" s="100"/>
      <c r="BE80" s="100"/>
      <c r="BF80" s="98"/>
      <c r="BG80" s="101"/>
      <c r="BH80" s="100"/>
      <c r="BI80" s="100"/>
      <c r="BJ80" s="100"/>
      <c r="BK80" s="98"/>
      <c r="BL80" s="101"/>
      <c r="BM80" s="100"/>
      <c r="BN80" s="100"/>
      <c r="BO80" s="100"/>
      <c r="BP80" s="98"/>
      <c r="BQ80" s="98"/>
      <c r="BR80" s="101"/>
      <c r="BS80" s="100"/>
      <c r="BT80" s="100"/>
      <c r="BU80" s="100"/>
      <c r="BV80" s="98"/>
      <c r="BW80" s="101"/>
      <c r="BX80" s="100"/>
      <c r="BY80" s="100"/>
      <c r="BZ80" s="100"/>
      <c r="CA80" s="98"/>
      <c r="CB80" s="101"/>
      <c r="CC80" s="100"/>
      <c r="CD80" s="100"/>
      <c r="CE80" s="100"/>
      <c r="CF80" s="98"/>
      <c r="CG80" s="101"/>
      <c r="CH80" s="100"/>
      <c r="CI80" s="100"/>
      <c r="CJ80" s="100"/>
      <c r="CK80" s="98"/>
      <c r="CL80" s="101"/>
      <c r="CM80" s="100"/>
      <c r="CN80" s="100"/>
      <c r="CO80" s="100"/>
      <c r="CP80" s="98"/>
      <c r="CQ80" s="100"/>
      <c r="CR80" s="100"/>
      <c r="CS80" s="100"/>
      <c r="CT80" s="99"/>
      <c r="CU80" s="98"/>
      <c r="CV80" s="100"/>
      <c r="CW80" s="100"/>
      <c r="CX80" s="100"/>
      <c r="CY80" s="99"/>
      <c r="CZ80" s="98"/>
      <c r="DA80" s="100"/>
      <c r="DB80" s="100"/>
      <c r="DC80" s="100"/>
      <c r="DD80" s="99"/>
      <c r="DE80" s="98"/>
      <c r="DF80" s="100"/>
      <c r="DG80" s="100"/>
      <c r="DH80" s="100"/>
      <c r="DI80" s="99"/>
      <c r="DJ80" s="98"/>
      <c r="DK80" s="396"/>
      <c r="DL80" s="74"/>
      <c r="DM80" s="809"/>
      <c r="DN80" s="809"/>
      <c r="DO80" s="809"/>
      <c r="DP80" s="1054"/>
      <c r="DQ80" s="1054"/>
      <c r="DR80" s="1054"/>
      <c r="DS80" s="809"/>
      <c r="DT80" s="809"/>
      <c r="DU80" s="809"/>
      <c r="DV80" s="809"/>
      <c r="DW80" s="809"/>
      <c r="DX80" s="809"/>
      <c r="DY80" s="74"/>
      <c r="DZ80" s="361"/>
      <c r="EA80" s="361"/>
      <c r="EB80"/>
      <c r="EC80"/>
      <c r="ED80"/>
      <c r="EE80"/>
      <c r="EF80"/>
      <c r="EG80"/>
    </row>
    <row r="81" spans="1:137" s="166" customFormat="1">
      <c r="A81" s="59" t="s">
        <v>58</v>
      </c>
      <c r="B81" s="108">
        <f t="shared" ref="B81:AG81" si="219">B83/B4</f>
        <v>6.1437908496732023E-2</v>
      </c>
      <c r="C81" s="108">
        <f t="shared" si="219"/>
        <v>6.9231957966311236E-2</v>
      </c>
      <c r="D81" s="108">
        <f t="shared" si="219"/>
        <v>6.7633797294648107E-2</v>
      </c>
      <c r="E81" s="108">
        <f t="shared" si="219"/>
        <v>7.6283411115825206E-2</v>
      </c>
      <c r="F81" s="108">
        <f t="shared" si="219"/>
        <v>8.243582476313871E-2</v>
      </c>
      <c r="G81" s="108">
        <f t="shared" si="219"/>
        <v>0.10018050541516245</v>
      </c>
      <c r="H81" s="107">
        <f t="shared" si="219"/>
        <v>0.10599078341013825</v>
      </c>
      <c r="I81" s="107">
        <f t="shared" si="219"/>
        <v>0.12053571428571429</v>
      </c>
      <c r="J81" s="107">
        <f t="shared" si="219"/>
        <v>0.12387791741472172</v>
      </c>
      <c r="K81" s="107">
        <f t="shared" si="219"/>
        <v>0.12816245006657789</v>
      </c>
      <c r="L81" s="108">
        <f t="shared" si="219"/>
        <v>0.11997073884418434</v>
      </c>
      <c r="M81" s="107">
        <f t="shared" si="219"/>
        <v>0.1150694691841824</v>
      </c>
      <c r="N81" s="107">
        <f t="shared" si="219"/>
        <v>0.12690707350901526</v>
      </c>
      <c r="O81" s="107">
        <f t="shared" si="219"/>
        <v>0.12855673637298595</v>
      </c>
      <c r="P81" s="107">
        <f t="shared" si="219"/>
        <v>0.12879581151832462</v>
      </c>
      <c r="Q81" s="108">
        <f t="shared" si="219"/>
        <v>0.12490194369389</v>
      </c>
      <c r="R81" s="107">
        <f t="shared" si="219"/>
        <v>0.12765192376842863</v>
      </c>
      <c r="S81" s="107">
        <f t="shared" si="219"/>
        <v>0.12929358392741414</v>
      </c>
      <c r="T81" s="107">
        <f t="shared" si="219"/>
        <v>0.12872892347600517</v>
      </c>
      <c r="U81" s="107">
        <f t="shared" si="219"/>
        <v>0.13107692307692306</v>
      </c>
      <c r="V81" s="108">
        <f t="shared" si="219"/>
        <v>0.12925170068027211</v>
      </c>
      <c r="W81" s="107">
        <f t="shared" si="219"/>
        <v>0.11258503401360544</v>
      </c>
      <c r="X81" s="107">
        <f t="shared" si="219"/>
        <v>0.11772192173083042</v>
      </c>
      <c r="Y81" s="107">
        <f t="shared" si="219"/>
        <v>0.11809350333940498</v>
      </c>
      <c r="Z81" s="107">
        <f t="shared" si="219"/>
        <v>0.10809399477806789</v>
      </c>
      <c r="AA81" s="108">
        <f t="shared" si="219"/>
        <v>0.11387900355871886</v>
      </c>
      <c r="AB81" s="107">
        <f t="shared" si="219"/>
        <v>0.10406091370558376</v>
      </c>
      <c r="AC81" s="107">
        <f t="shared" si="219"/>
        <v>0.11710914454277287</v>
      </c>
      <c r="AD81" s="107">
        <f t="shared" si="219"/>
        <v>0.11197982345523329</v>
      </c>
      <c r="AE81" s="107">
        <f t="shared" si="219"/>
        <v>0.11958495460440986</v>
      </c>
      <c r="AF81" s="108">
        <f t="shared" si="219"/>
        <v>0.11349394234786242</v>
      </c>
      <c r="AG81" s="107">
        <f t="shared" si="219"/>
        <v>0.10388559093362115</v>
      </c>
      <c r="AH81" s="107">
        <f t="shared" ref="AH81:BM81" si="220">AH83/AH4</f>
        <v>0.13321596244131456</v>
      </c>
      <c r="AI81" s="107">
        <f t="shared" si="220"/>
        <v>0.11222282314764738</v>
      </c>
      <c r="AJ81" s="107">
        <f t="shared" si="220"/>
        <v>0.107461965708766</v>
      </c>
      <c r="AK81" s="108">
        <f t="shared" si="220"/>
        <v>0.11362268441115496</v>
      </c>
      <c r="AL81" s="107">
        <f t="shared" si="220"/>
        <v>0.1189579409918393</v>
      </c>
      <c r="AM81" s="107">
        <f t="shared" si="220"/>
        <v>0.11945993542706193</v>
      </c>
      <c r="AN81" s="107">
        <f t="shared" si="220"/>
        <v>0.11343612334801761</v>
      </c>
      <c r="AO81" s="107">
        <f t="shared" si="220"/>
        <v>0.10620831195484864</v>
      </c>
      <c r="AP81" s="108">
        <f t="shared" si="220"/>
        <v>0.11414005522905898</v>
      </c>
      <c r="AQ81" s="107">
        <f t="shared" si="220"/>
        <v>0.116066154754873</v>
      </c>
      <c r="AR81" s="107">
        <f t="shared" si="220"/>
        <v>0.11750972762645914</v>
      </c>
      <c r="AS81" s="107">
        <f t="shared" si="220"/>
        <v>0.10214446952595936</v>
      </c>
      <c r="AT81" s="107">
        <f t="shared" si="220"/>
        <v>0.10665054413542926</v>
      </c>
      <c r="AU81" s="108">
        <f t="shared" si="220"/>
        <v>0.11052278820375334</v>
      </c>
      <c r="AV81" s="107">
        <f t="shared" si="220"/>
        <v>0.11837906828334396</v>
      </c>
      <c r="AW81" s="107">
        <f t="shared" si="220"/>
        <v>0.1074800290486565</v>
      </c>
      <c r="AX81" s="107">
        <f t="shared" si="220"/>
        <v>0.10660545779137975</v>
      </c>
      <c r="AY81" s="107">
        <f t="shared" si="220"/>
        <v>0.10218978102189781</v>
      </c>
      <c r="AZ81" s="108">
        <f t="shared" si="220"/>
        <v>0.1079640333975594</v>
      </c>
      <c r="BA81" s="108">
        <f t="shared" si="220"/>
        <v>0.11414005522905898</v>
      </c>
      <c r="BB81" s="107">
        <f t="shared" si="220"/>
        <v>0.116066154754873</v>
      </c>
      <c r="BC81" s="107">
        <f t="shared" si="220"/>
        <v>0.11750972762645914</v>
      </c>
      <c r="BD81" s="107">
        <f t="shared" si="220"/>
        <v>0.10214446952595936</v>
      </c>
      <c r="BE81" s="107">
        <f t="shared" si="220"/>
        <v>0.10665054413542926</v>
      </c>
      <c r="BF81" s="108">
        <f t="shared" si="220"/>
        <v>0.11052278820375334</v>
      </c>
      <c r="BG81" s="107">
        <f t="shared" si="220"/>
        <v>0.11837906828334396</v>
      </c>
      <c r="BH81" s="107">
        <f t="shared" si="220"/>
        <v>0.1074800290486565</v>
      </c>
      <c r="BI81" s="107">
        <f t="shared" si="220"/>
        <v>0.10660545779137975</v>
      </c>
      <c r="BJ81" s="107">
        <f t="shared" si="220"/>
        <v>0.10218978102189781</v>
      </c>
      <c r="BK81" s="108">
        <f t="shared" si="220"/>
        <v>0.1079640333975594</v>
      </c>
      <c r="BL81" s="107">
        <f t="shared" si="220"/>
        <v>0.11055540931824165</v>
      </c>
      <c r="BM81" s="107">
        <f t="shared" si="220"/>
        <v>0.10925714285714286</v>
      </c>
      <c r="BN81" s="107"/>
      <c r="BO81" s="107"/>
      <c r="BP81" s="110"/>
      <c r="BQ81" s="108">
        <f t="shared" ref="BQ81:CC81" si="221">BQ83/BQ4</f>
        <v>0.11052278820375334</v>
      </c>
      <c r="BR81" s="107">
        <f t="shared" si="221"/>
        <v>0.11837906828334396</v>
      </c>
      <c r="BS81" s="107">
        <f t="shared" si="221"/>
        <v>0.1074800290486565</v>
      </c>
      <c r="BT81" s="107">
        <f t="shared" si="221"/>
        <v>0.10660545779137975</v>
      </c>
      <c r="BU81" s="107">
        <f t="shared" si="221"/>
        <v>0.10218978102189781</v>
      </c>
      <c r="BV81" s="108">
        <f t="shared" si="221"/>
        <v>0.1079640333975594</v>
      </c>
      <c r="BW81" s="107">
        <f t="shared" si="221"/>
        <v>0.11055540931824165</v>
      </c>
      <c r="BX81" s="107">
        <f t="shared" si="221"/>
        <v>0.10925714285714286</v>
      </c>
      <c r="BY81" s="107">
        <f t="shared" si="221"/>
        <v>0.10434574976122254</v>
      </c>
      <c r="BZ81" s="107">
        <f>BZ83/BZ4</f>
        <v>0.1020898834843721</v>
      </c>
      <c r="CA81" s="108">
        <f>CA83/CA4</f>
        <v>0.10619618436603073</v>
      </c>
      <c r="CB81" s="107">
        <f t="shared" si="221"/>
        <v>0.10618606916707257</v>
      </c>
      <c r="CC81" s="107">
        <f t="shared" si="221"/>
        <v>0.10526315789473684</v>
      </c>
      <c r="CD81" s="107">
        <f t="shared" ref="CD81" si="222">CD83/CD4</f>
        <v>0.10836302661915741</v>
      </c>
      <c r="CE81" s="107">
        <f>CE83/CE4</f>
        <v>0.10932848164075422</v>
      </c>
      <c r="CF81" s="108">
        <f>CF83/CF4</f>
        <v>0.10740520150883462</v>
      </c>
      <c r="CG81" s="107"/>
      <c r="CH81" s="107"/>
      <c r="CI81" s="107"/>
      <c r="CJ81" s="107"/>
      <c r="CK81" s="108">
        <f>CK83/CK4</f>
        <v>0.10669056843809634</v>
      </c>
      <c r="CL81" s="107"/>
      <c r="CM81" s="107"/>
      <c r="CN81" s="107"/>
      <c r="CO81" s="107"/>
      <c r="CP81" s="108">
        <f>CP83/CP4</f>
        <v>0.11210716125708398</v>
      </c>
      <c r="CQ81" s="109">
        <v>0.107</v>
      </c>
      <c r="CR81" s="109">
        <v>0.107</v>
      </c>
      <c r="CS81" s="109">
        <v>0.107</v>
      </c>
      <c r="CT81" s="111">
        <v>0.107</v>
      </c>
      <c r="CU81" s="108">
        <f>CU83/CU4</f>
        <v>0.107</v>
      </c>
      <c r="CV81" s="109"/>
      <c r="CW81" s="109"/>
      <c r="CX81" s="109"/>
      <c r="CY81" s="111"/>
      <c r="CZ81" s="110">
        <v>0.11</v>
      </c>
      <c r="DA81" s="109"/>
      <c r="DB81" s="109"/>
      <c r="DC81" s="109"/>
      <c r="DD81" s="111"/>
      <c r="DE81" s="110">
        <v>0.11</v>
      </c>
      <c r="DF81" s="109"/>
      <c r="DG81" s="109"/>
      <c r="DH81" s="109"/>
      <c r="DI81" s="111"/>
      <c r="DJ81" s="110">
        <v>0.11</v>
      </c>
      <c r="DK81" s="403"/>
      <c r="DL81" s="404"/>
      <c r="DM81" s="809"/>
      <c r="DN81" s="809"/>
      <c r="DO81" s="809"/>
      <c r="DP81" s="1054"/>
      <c r="DQ81" s="1054"/>
      <c r="DR81" s="1054"/>
      <c r="DS81" s="809"/>
      <c r="DT81" s="809"/>
      <c r="DU81" s="809"/>
      <c r="DV81" s="809"/>
      <c r="DW81" s="809"/>
      <c r="DX81" s="809"/>
      <c r="DY81" s="404"/>
      <c r="DZ81" s="405"/>
      <c r="EA81" s="405"/>
      <c r="EB81"/>
      <c r="EC81"/>
      <c r="ED81"/>
      <c r="EE81"/>
      <c r="EF81"/>
      <c r="EG81"/>
    </row>
    <row r="82" spans="1:137" s="398" customFormat="1">
      <c r="A82" s="106" t="s">
        <v>57</v>
      </c>
      <c r="B82" s="19"/>
      <c r="C82" s="253">
        <f>(C81-B81)*100</f>
        <v>0.77940494695792129</v>
      </c>
      <c r="D82" s="253">
        <f>(D81-C81)*100</f>
        <v>-0.15981606716631291</v>
      </c>
      <c r="E82" s="253">
        <f>(E81-D81)*100</f>
        <v>0.8649613821177099</v>
      </c>
      <c r="F82" s="253">
        <f>(F81-E81)*100</f>
        <v>0.61524136473135038</v>
      </c>
      <c r="G82" s="253">
        <f>(G81-F81)*100</f>
        <v>1.7744680652023739</v>
      </c>
      <c r="H82" s="268"/>
      <c r="I82" s="268"/>
      <c r="J82" s="268"/>
      <c r="K82" s="268"/>
      <c r="L82" s="253">
        <f>(L81-G81)*100</f>
        <v>1.9790233429021891</v>
      </c>
      <c r="M82" s="268">
        <f t="shared" ref="M82:AP82" si="223">(M81-H81)*100</f>
        <v>0.90786857740441507</v>
      </c>
      <c r="N82" s="268">
        <f t="shared" si="223"/>
        <v>0.63713592233009675</v>
      </c>
      <c r="O82" s="268">
        <f t="shared" si="223"/>
        <v>0.46788189582642331</v>
      </c>
      <c r="P82" s="268">
        <f t="shared" si="223"/>
        <v>6.3336145174672231E-2</v>
      </c>
      <c r="Q82" s="253">
        <f>(Q81-L81)*100</f>
        <v>0.49312048497056615</v>
      </c>
      <c r="R82" s="268">
        <f t="shared" si="223"/>
        <v>1.2582454584246228</v>
      </c>
      <c r="S82" s="268">
        <f t="shared" si="223"/>
        <v>0.23865104183988795</v>
      </c>
      <c r="T82" s="268">
        <f t="shared" si="223"/>
        <v>1.7218710301922235E-2</v>
      </c>
      <c r="U82" s="268">
        <f t="shared" si="223"/>
        <v>0.22811115585984476</v>
      </c>
      <c r="V82" s="253">
        <f>(V81-Q81)*100</f>
        <v>0.43497569863821112</v>
      </c>
      <c r="W82" s="268">
        <f t="shared" si="223"/>
        <v>-1.5066889754823189</v>
      </c>
      <c r="X82" s="268">
        <f t="shared" si="223"/>
        <v>-1.1571662196583719</v>
      </c>
      <c r="Y82" s="268">
        <f t="shared" si="223"/>
        <v>-1.0635420136600195</v>
      </c>
      <c r="Z82" s="268">
        <f t="shared" si="223"/>
        <v>-2.2982928298855176</v>
      </c>
      <c r="AA82" s="253">
        <f>(AA81-V81)*100</f>
        <v>-1.5372697121553258</v>
      </c>
      <c r="AB82" s="268">
        <f t="shared" si="223"/>
        <v>-0.85241203080216743</v>
      </c>
      <c r="AC82" s="268">
        <f t="shared" si="223"/>
        <v>-6.1277718805755055E-2</v>
      </c>
      <c r="AD82" s="268">
        <f t="shared" si="223"/>
        <v>-0.61136798841716911</v>
      </c>
      <c r="AE82" s="268">
        <f t="shared" si="223"/>
        <v>1.1490959826341975</v>
      </c>
      <c r="AF82" s="253">
        <f>(AF81-AA81)*100</f>
        <v>-3.8506121085643552E-2</v>
      </c>
      <c r="AG82" s="254">
        <f t="shared" si="223"/>
        <v>-1.7532277196261048E-2</v>
      </c>
      <c r="AH82" s="255">
        <f t="shared" si="223"/>
        <v>1.6106817898541694</v>
      </c>
      <c r="AI82" s="255">
        <f t="shared" si="223"/>
        <v>2.4299969241409203E-2</v>
      </c>
      <c r="AJ82" s="254">
        <f t="shared" si="223"/>
        <v>-1.2122988895643867</v>
      </c>
      <c r="AK82" s="257">
        <f>(AK81-AF81)*100</f>
        <v>1.2874206329253901E-2</v>
      </c>
      <c r="AL82" s="254">
        <f t="shared" si="223"/>
        <v>1.5072350058218151</v>
      </c>
      <c r="AM82" s="254">
        <f>(AM81-AH81)*100</f>
        <v>-1.375602701425263</v>
      </c>
      <c r="AN82" s="254">
        <f>(AN81-AI81)*100</f>
        <v>0.12133002003702348</v>
      </c>
      <c r="AO82" s="254">
        <f>(AO81-AJ81)*100</f>
        <v>-0.12536537539173526</v>
      </c>
      <c r="AP82" s="257">
        <f t="shared" si="223"/>
        <v>5.1737081790402539E-2</v>
      </c>
      <c r="AQ82" s="254">
        <f t="shared" ref="AQ82:AZ82" si="224">(AQ81-AL81)*100</f>
        <v>-0.28917862369663011</v>
      </c>
      <c r="AR82" s="254">
        <f t="shared" si="224"/>
        <v>-0.19502078006027879</v>
      </c>
      <c r="AS82" s="826">
        <f t="shared" si="224"/>
        <v>-1.1291653822058254</v>
      </c>
      <c r="AT82" s="254">
        <f t="shared" si="224"/>
        <v>4.4223218058062064E-2</v>
      </c>
      <c r="AU82" s="257">
        <f t="shared" si="224"/>
        <v>-0.36172670253056399</v>
      </c>
      <c r="AV82" s="254">
        <f t="shared" si="224"/>
        <v>0.23129135284709612</v>
      </c>
      <c r="AW82" s="254">
        <f t="shared" si="224"/>
        <v>-1.0029698577802644</v>
      </c>
      <c r="AX82" s="826">
        <f t="shared" si="224"/>
        <v>0.44609882654203931</v>
      </c>
      <c r="AY82" s="254">
        <f t="shared" si="224"/>
        <v>-0.44607631135314546</v>
      </c>
      <c r="AZ82" s="257">
        <f t="shared" si="224"/>
        <v>-0.25587548061939414</v>
      </c>
      <c r="BA82" s="257"/>
      <c r="BB82" s="254"/>
      <c r="BC82" s="254"/>
      <c r="BD82" s="826"/>
      <c r="BE82" s="254"/>
      <c r="BF82" s="257">
        <f t="shared" ref="BF82:BM82" si="225">(BF81-BA81)*100</f>
        <v>-0.36172670253056399</v>
      </c>
      <c r="BG82" s="254">
        <f t="shared" si="225"/>
        <v>0.23129135284709612</v>
      </c>
      <c r="BH82" s="254">
        <f t="shared" si="225"/>
        <v>-1.0029698577802644</v>
      </c>
      <c r="BI82" s="826">
        <f t="shared" si="225"/>
        <v>0.44609882654203931</v>
      </c>
      <c r="BJ82" s="254">
        <f t="shared" si="225"/>
        <v>-0.44607631135314546</v>
      </c>
      <c r="BK82" s="257">
        <f t="shared" si="225"/>
        <v>-0.25587548061939414</v>
      </c>
      <c r="BL82" s="254">
        <f t="shared" si="225"/>
        <v>-0.78236589651023147</v>
      </c>
      <c r="BM82" s="254">
        <f t="shared" si="225"/>
        <v>0.1777113808486358</v>
      </c>
      <c r="BN82" s="826"/>
      <c r="BO82" s="254"/>
      <c r="BP82" s="257"/>
      <c r="BQ82" s="257"/>
      <c r="BR82" s="254">
        <f>(BR81-BB81)*100</f>
        <v>0.23129135284709612</v>
      </c>
      <c r="BS82" s="254">
        <f>(BS81-BC81)*100</f>
        <v>-1.0029698577802644</v>
      </c>
      <c r="BT82" s="826">
        <f>(BT81-BD81)*100</f>
        <v>0.44609882654203931</v>
      </c>
      <c r="BU82" s="254">
        <f>(BU81-BE81)*100</f>
        <v>-0.44607631135314546</v>
      </c>
      <c r="BV82" s="257">
        <f>(BV81-BF81)*100</f>
        <v>-0.25587548061939414</v>
      </c>
      <c r="BW82" s="254">
        <f>(BW81-BR81)*100</f>
        <v>-0.78236589651023147</v>
      </c>
      <c r="BX82" s="254">
        <f>(BX81-BS81)*100</f>
        <v>0.1777113808486358</v>
      </c>
      <c r="BY82" s="826">
        <f>(BY81-BT81)*100</f>
        <v>-0.22597080301572092</v>
      </c>
      <c r="BZ82" s="254">
        <f>(BZ81-BU81)*100</f>
        <v>-9.989753752570607E-3</v>
      </c>
      <c r="CA82" s="257">
        <f>(CA81-BK81)*100</f>
        <v>-0.17678490315286705</v>
      </c>
      <c r="CB82" s="254">
        <f>(CB81-BW81)*100</f>
        <v>-0.43693401511690766</v>
      </c>
      <c r="CC82" s="254">
        <f>(CC81-BX81)*100</f>
        <v>-0.3993984962406022</v>
      </c>
      <c r="CD82" s="826">
        <f>(CD81-BY81)*100</f>
        <v>0.40172768579348622</v>
      </c>
      <c r="CE82" s="254">
        <f>(CE81-BZ81)*100</f>
        <v>0.72385981563821145</v>
      </c>
      <c r="CF82" s="257">
        <f>(CF81-CA81)*100</f>
        <v>0.12090171428038865</v>
      </c>
      <c r="CG82" s="254"/>
      <c r="CH82" s="254"/>
      <c r="CI82" s="826"/>
      <c r="CJ82" s="254"/>
      <c r="CK82" s="257"/>
      <c r="CL82" s="254"/>
      <c r="CM82" s="254"/>
      <c r="CN82" s="826"/>
      <c r="CO82" s="254"/>
      <c r="CP82" s="257">
        <f>(CP81-CK81)*100</f>
        <v>0.541659281898764</v>
      </c>
      <c r="CQ82" s="254"/>
      <c r="CR82" s="254"/>
      <c r="CS82" s="254"/>
      <c r="CT82" s="254"/>
      <c r="CU82" s="257">
        <f>(CU81-CP81)*100</f>
        <v>-0.51071612570839786</v>
      </c>
      <c r="CV82" s="30"/>
      <c r="CW82" s="30"/>
      <c r="CX82" s="30"/>
      <c r="CY82" s="31"/>
      <c r="CZ82" s="257">
        <f>(CZ81-CU81)*100</f>
        <v>0.30000000000000027</v>
      </c>
      <c r="DA82" s="30"/>
      <c r="DB82" s="30"/>
      <c r="DC82" s="30"/>
      <c r="DD82" s="31"/>
      <c r="DE82" s="257">
        <f>(DE81-CZ81)*100</f>
        <v>0</v>
      </c>
      <c r="DF82" s="30"/>
      <c r="DG82" s="30"/>
      <c r="DH82" s="30"/>
      <c r="DI82" s="31"/>
      <c r="DJ82" s="257">
        <f>(DJ81-DE81)*100</f>
        <v>0</v>
      </c>
      <c r="DK82" s="397"/>
      <c r="DL82" s="74"/>
      <c r="DM82" s="809"/>
      <c r="DN82" s="809"/>
      <c r="DO82" s="809"/>
      <c r="DP82" s="1054"/>
      <c r="DQ82" s="1054"/>
      <c r="DR82" s="1054"/>
      <c r="DS82" s="1242" t="s">
        <v>402</v>
      </c>
      <c r="DT82" s="1242" t="s">
        <v>403</v>
      </c>
      <c r="DU82" s="1242" t="s">
        <v>404</v>
      </c>
      <c r="DV82" s="809"/>
      <c r="DW82" s="809"/>
      <c r="DX82" s="809"/>
      <c r="DY82" s="360"/>
      <c r="DZ82" s="167"/>
      <c r="EA82" s="167"/>
      <c r="EB82"/>
      <c r="EC82"/>
      <c r="ED82"/>
      <c r="EE82"/>
      <c r="EF82"/>
      <c r="EG82"/>
    </row>
    <row r="83" spans="1:137" s="166" customFormat="1">
      <c r="A83" s="22" t="s">
        <v>59</v>
      </c>
      <c r="B83" s="42">
        <v>329</v>
      </c>
      <c r="C83" s="42">
        <v>448</v>
      </c>
      <c r="D83" s="42">
        <v>690</v>
      </c>
      <c r="E83" s="42">
        <v>899</v>
      </c>
      <c r="F83" s="42">
        <v>1018</v>
      </c>
      <c r="G83" s="42">
        <v>1221</v>
      </c>
      <c r="H83" s="40">
        <v>299</v>
      </c>
      <c r="I83" s="41">
        <v>378</v>
      </c>
      <c r="J83" s="41">
        <v>414</v>
      </c>
      <c r="K83" s="40">
        <v>385</v>
      </c>
      <c r="L83" s="42">
        <f>SUM(H83:K83)</f>
        <v>1476</v>
      </c>
      <c r="M83" s="41">
        <v>323</v>
      </c>
      <c r="N83" s="41">
        <v>366</v>
      </c>
      <c r="O83" s="41">
        <v>375</v>
      </c>
      <c r="P83" s="40">
        <v>369</v>
      </c>
      <c r="Q83" s="42">
        <f>SUM(M83:P83)</f>
        <v>1433</v>
      </c>
      <c r="R83" s="41">
        <v>355</v>
      </c>
      <c r="S83" s="41">
        <v>399</v>
      </c>
      <c r="T83" s="41">
        <v>397</v>
      </c>
      <c r="U83" s="40">
        <v>426</v>
      </c>
      <c r="V83" s="42">
        <f>SUM(R83:U83)</f>
        <v>1577</v>
      </c>
      <c r="W83" s="41">
        <v>331</v>
      </c>
      <c r="X83" s="41">
        <v>370</v>
      </c>
      <c r="Y83" s="41">
        <v>389</v>
      </c>
      <c r="Z83" s="40">
        <v>414</v>
      </c>
      <c r="AA83" s="42">
        <f>SUM(W83:Z83)</f>
        <v>1504</v>
      </c>
      <c r="AB83" s="41">
        <v>328</v>
      </c>
      <c r="AC83" s="41">
        <v>397</v>
      </c>
      <c r="AD83" s="41">
        <v>444</v>
      </c>
      <c r="AE83" s="40">
        <v>461</v>
      </c>
      <c r="AF83" s="42">
        <f>+SUM(AB83:AE83)</f>
        <v>1630</v>
      </c>
      <c r="AG83" s="40">
        <v>385</v>
      </c>
      <c r="AH83" s="41">
        <v>454</v>
      </c>
      <c r="AI83" s="41">
        <v>415</v>
      </c>
      <c r="AJ83" s="40">
        <v>445</v>
      </c>
      <c r="AK83" s="47">
        <f>+SUM(AG83:AJ83)</f>
        <v>1699</v>
      </c>
      <c r="AL83" s="41">
        <v>379</v>
      </c>
      <c r="AM83" s="41">
        <v>407</v>
      </c>
      <c r="AN83" s="41">
        <v>412</v>
      </c>
      <c r="AO83" s="41">
        <f>414</f>
        <v>414</v>
      </c>
      <c r="AP83" s="47">
        <f>SUM(AL83:AO83)</f>
        <v>1612</v>
      </c>
      <c r="AQ83" s="41">
        <v>393</v>
      </c>
      <c r="AR83" s="41">
        <v>453</v>
      </c>
      <c r="AS83" s="41">
        <v>362</v>
      </c>
      <c r="AT83" s="41">
        <v>441</v>
      </c>
      <c r="AU83" s="47">
        <f>SUM(AQ83:AT83)</f>
        <v>1649</v>
      </c>
      <c r="AV83" s="41">
        <v>371</v>
      </c>
      <c r="AW83" s="41">
        <v>444</v>
      </c>
      <c r="AX83" s="41">
        <v>418</v>
      </c>
      <c r="AY83" s="41">
        <v>448</v>
      </c>
      <c r="AZ83" s="47">
        <f>SUM(AV83:AY83)</f>
        <v>1681</v>
      </c>
      <c r="BA83" s="47">
        <v>1612</v>
      </c>
      <c r="BB83" s="41">
        <v>393</v>
      </c>
      <c r="BC83" s="41">
        <v>453</v>
      </c>
      <c r="BD83" s="41">
        <v>362</v>
      </c>
      <c r="BE83" s="41">
        <v>441</v>
      </c>
      <c r="BF83" s="47">
        <v>1649</v>
      </c>
      <c r="BG83" s="41">
        <v>371</v>
      </c>
      <c r="BH83" s="41">
        <v>444</v>
      </c>
      <c r="BI83" s="41">
        <v>418</v>
      </c>
      <c r="BJ83" s="41">
        <v>448</v>
      </c>
      <c r="BK83" s="47">
        <v>1681</v>
      </c>
      <c r="BL83" s="41">
        <v>420</v>
      </c>
      <c r="BM83" s="41">
        <v>478</v>
      </c>
      <c r="BN83" s="41"/>
      <c r="BO83" s="41"/>
      <c r="BP83" s="47"/>
      <c r="BQ83" s="47">
        <v>1649</v>
      </c>
      <c r="BR83" s="41">
        <v>371</v>
      </c>
      <c r="BS83" s="41">
        <v>444</v>
      </c>
      <c r="BT83" s="41">
        <v>418</v>
      </c>
      <c r="BU83" s="41">
        <v>448</v>
      </c>
      <c r="BV83" s="47">
        <v>1681</v>
      </c>
      <c r="BW83" s="41">
        <v>420</v>
      </c>
      <c r="BX83" s="41">
        <v>478</v>
      </c>
      <c r="BY83" s="41">
        <v>437</v>
      </c>
      <c r="BZ83" s="41">
        <v>552</v>
      </c>
      <c r="CA83" s="47">
        <f>+SUM(BW83:BZ83)</f>
        <v>1887</v>
      </c>
      <c r="CB83" s="41">
        <v>436</v>
      </c>
      <c r="CC83" s="41">
        <v>550</v>
      </c>
      <c r="CD83" s="41">
        <v>517</v>
      </c>
      <c r="CE83" s="41">
        <v>661</v>
      </c>
      <c r="CF83" s="42">
        <f>+SUM(CB83:CE83)</f>
        <v>2164</v>
      </c>
      <c r="CG83" s="41"/>
      <c r="CH83" s="41"/>
      <c r="CI83" s="41"/>
      <c r="CJ83" s="41"/>
      <c r="CK83" s="42">
        <v>1845</v>
      </c>
      <c r="CL83" s="41"/>
      <c r="CM83" s="41"/>
      <c r="CN83" s="41"/>
      <c r="CO83" s="41"/>
      <c r="CP83" s="42">
        <v>2176</v>
      </c>
      <c r="CQ83" s="41">
        <f t="shared" ref="CQ83:CT83" si="226">+CQ4*CQ81</f>
        <v>449.4</v>
      </c>
      <c r="CR83" s="41">
        <f t="shared" si="226"/>
        <v>583.15</v>
      </c>
      <c r="CS83" s="41">
        <f t="shared" si="226"/>
        <v>529.65</v>
      </c>
      <c r="CT83" s="41">
        <f t="shared" si="226"/>
        <v>663.4</v>
      </c>
      <c r="CU83" s="47">
        <f>+SUM(CQ83:CT83)</f>
        <v>2225.6</v>
      </c>
      <c r="CV83" s="49"/>
      <c r="CW83" s="49"/>
      <c r="CX83" s="49"/>
      <c r="CY83" s="50"/>
      <c r="CZ83" s="47">
        <f>+CZ4*CZ81</f>
        <v>2459.6</v>
      </c>
      <c r="DA83" s="49"/>
      <c r="DB83" s="49"/>
      <c r="DC83" s="49"/>
      <c r="DD83" s="50"/>
      <c r="DE83" s="47">
        <f>+DE4*DE81</f>
        <v>2545.6859999999997</v>
      </c>
      <c r="DF83" s="49"/>
      <c r="DG83" s="49"/>
      <c r="DH83" s="49"/>
      <c r="DI83" s="50"/>
      <c r="DJ83" s="47">
        <f>+DJ4*DJ81</f>
        <v>2545.6859999999997</v>
      </c>
      <c r="DK83" s="403"/>
      <c r="DL83" s="404"/>
      <c r="DM83" s="809" t="s">
        <v>386</v>
      </c>
      <c r="DN83" s="809"/>
      <c r="DO83" s="1123"/>
      <c r="DP83" s="1054"/>
      <c r="DQ83" s="1054"/>
      <c r="DR83" s="1054"/>
      <c r="DS83" s="1150">
        <v>2.1749999999999998</v>
      </c>
      <c r="DT83" s="1150">
        <f>(DS83+DU83)/2</f>
        <v>2.2000000000000002</v>
      </c>
      <c r="DU83" s="1150">
        <v>2.2250000000000001</v>
      </c>
      <c r="DV83" s="809"/>
      <c r="DW83" s="809"/>
      <c r="DX83" s="809"/>
      <c r="DY83" s="404"/>
      <c r="DZ83" s="405"/>
      <c r="EA83" s="405"/>
      <c r="EB83"/>
      <c r="EC83"/>
      <c r="ED83"/>
      <c r="EE83"/>
      <c r="EF83"/>
      <c r="EG83"/>
    </row>
    <row r="84" spans="1:137" s="398" customFormat="1">
      <c r="A84" s="97" t="s">
        <v>53</v>
      </c>
      <c r="B84" s="80"/>
      <c r="C84" s="80">
        <f>C83/B83-1</f>
        <v>0.36170212765957444</v>
      </c>
      <c r="D84" s="80">
        <f>D83/C83-1</f>
        <v>0.5401785714285714</v>
      </c>
      <c r="E84" s="80">
        <f>E83/D83-1</f>
        <v>0.30289855072463778</v>
      </c>
      <c r="F84" s="80">
        <f>F83/E83-1</f>
        <v>0.13236929922135698</v>
      </c>
      <c r="G84" s="80">
        <f>G83/F83-1</f>
        <v>0.19941060903732799</v>
      </c>
      <c r="H84" s="82"/>
      <c r="I84" s="82"/>
      <c r="J84" s="82"/>
      <c r="K84" s="82"/>
      <c r="L84" s="80">
        <f t="shared" ref="L84:AP84" si="227">L83/G83-1</f>
        <v>0.20884520884520885</v>
      </c>
      <c r="M84" s="82">
        <f t="shared" si="227"/>
        <v>8.026755852842804E-2</v>
      </c>
      <c r="N84" s="82">
        <f t="shared" si="227"/>
        <v>-3.1746031746031744E-2</v>
      </c>
      <c r="O84" s="82">
        <f t="shared" si="227"/>
        <v>-9.4202898550724612E-2</v>
      </c>
      <c r="P84" s="82">
        <f t="shared" si="227"/>
        <v>-4.1558441558441572E-2</v>
      </c>
      <c r="Q84" s="80">
        <f t="shared" si="227"/>
        <v>-2.9132791327913243E-2</v>
      </c>
      <c r="R84" s="82">
        <f t="shared" si="227"/>
        <v>9.9071207430340591E-2</v>
      </c>
      <c r="S84" s="82">
        <f t="shared" si="227"/>
        <v>9.0163934426229497E-2</v>
      </c>
      <c r="T84" s="82">
        <f t="shared" si="227"/>
        <v>5.8666666666666645E-2</v>
      </c>
      <c r="U84" s="82">
        <f t="shared" si="227"/>
        <v>0.15447154471544722</v>
      </c>
      <c r="V84" s="80">
        <f t="shared" si="227"/>
        <v>0.10048848569434754</v>
      </c>
      <c r="W84" s="83">
        <f t="shared" si="227"/>
        <v>-6.7605633802816922E-2</v>
      </c>
      <c r="X84" s="82">
        <f t="shared" si="227"/>
        <v>-7.2681704260651681E-2</v>
      </c>
      <c r="Y84" s="83">
        <f t="shared" si="227"/>
        <v>-2.0151133501259411E-2</v>
      </c>
      <c r="Z84" s="83">
        <f t="shared" si="227"/>
        <v>-2.8169014084507005E-2</v>
      </c>
      <c r="AA84" s="84">
        <f t="shared" si="227"/>
        <v>-4.6290424857324042E-2</v>
      </c>
      <c r="AB84" s="83">
        <f t="shared" si="227"/>
        <v>-9.0634441087613649E-3</v>
      </c>
      <c r="AC84" s="82">
        <f t="shared" si="227"/>
        <v>7.2972972972972894E-2</v>
      </c>
      <c r="AD84" s="82">
        <f t="shared" si="227"/>
        <v>0.1413881748071979</v>
      </c>
      <c r="AE84" s="82">
        <f t="shared" si="227"/>
        <v>0.11352657004830924</v>
      </c>
      <c r="AF84" s="84">
        <f t="shared" si="227"/>
        <v>8.3776595744680771E-2</v>
      </c>
      <c r="AG84" s="83">
        <f t="shared" si="227"/>
        <v>0.17378048780487809</v>
      </c>
      <c r="AH84" s="82">
        <f t="shared" si="227"/>
        <v>0.14357682619647361</v>
      </c>
      <c r="AI84" s="82">
        <f t="shared" si="227"/>
        <v>-6.5315315315315314E-2</v>
      </c>
      <c r="AJ84" s="82">
        <f t="shared" si="227"/>
        <v>-3.4707158351410028E-2</v>
      </c>
      <c r="AK84" s="80">
        <f t="shared" si="227"/>
        <v>4.233128834355826E-2</v>
      </c>
      <c r="AL84" s="82">
        <f t="shared" si="227"/>
        <v>-1.558441558441559E-2</v>
      </c>
      <c r="AM84" s="82">
        <f>AM83/AH83-1</f>
        <v>-0.1035242290748899</v>
      </c>
      <c r="AN84" s="82">
        <f>AN83/AI83-1</f>
        <v>-7.2289156626506035E-3</v>
      </c>
      <c r="AO84" s="82">
        <f t="shared" si="227"/>
        <v>-6.9662921348314644E-2</v>
      </c>
      <c r="AP84" s="80">
        <f t="shared" si="227"/>
        <v>-5.1206592113007598E-2</v>
      </c>
      <c r="AQ84" s="82">
        <f t="shared" ref="AQ84:AZ84" si="228">AQ83/AL83-1</f>
        <v>3.6939313984168942E-2</v>
      </c>
      <c r="AR84" s="82">
        <f t="shared" si="228"/>
        <v>0.11302211302211296</v>
      </c>
      <c r="AS84" s="82">
        <f t="shared" si="228"/>
        <v>-0.12135922330097082</v>
      </c>
      <c r="AT84" s="82">
        <f t="shared" si="228"/>
        <v>6.5217391304347894E-2</v>
      </c>
      <c r="AU84" s="80">
        <f t="shared" si="228"/>
        <v>2.29528535980148E-2</v>
      </c>
      <c r="AV84" s="82">
        <f t="shared" si="228"/>
        <v>-5.5979643765903253E-2</v>
      </c>
      <c r="AW84" s="82">
        <f t="shared" si="228"/>
        <v>-1.9867549668874163E-2</v>
      </c>
      <c r="AX84" s="82">
        <f t="shared" si="228"/>
        <v>0.15469613259668513</v>
      </c>
      <c r="AY84" s="82">
        <f t="shared" si="228"/>
        <v>1.5873015873015817E-2</v>
      </c>
      <c r="AZ84" s="80">
        <f t="shared" si="228"/>
        <v>1.9405700424499628E-2</v>
      </c>
      <c r="BA84" s="80"/>
      <c r="BB84" s="82"/>
      <c r="BC84" s="82"/>
      <c r="BD84" s="82"/>
      <c r="BE84" s="82"/>
      <c r="BF84" s="80">
        <f t="shared" ref="BF84:BM84" si="229">BF83/BA83-1</f>
        <v>2.29528535980148E-2</v>
      </c>
      <c r="BG84" s="82">
        <f t="shared" si="229"/>
        <v>-5.5979643765903253E-2</v>
      </c>
      <c r="BH84" s="82">
        <f t="shared" si="229"/>
        <v>-1.9867549668874163E-2</v>
      </c>
      <c r="BI84" s="82">
        <f t="shared" si="229"/>
        <v>0.15469613259668513</v>
      </c>
      <c r="BJ84" s="82">
        <f t="shared" si="229"/>
        <v>1.5873015873015817E-2</v>
      </c>
      <c r="BK84" s="80">
        <f t="shared" si="229"/>
        <v>1.9405700424499628E-2</v>
      </c>
      <c r="BL84" s="82">
        <f t="shared" si="229"/>
        <v>0.13207547169811318</v>
      </c>
      <c r="BM84" s="82">
        <f t="shared" si="229"/>
        <v>7.6576576576576683E-2</v>
      </c>
      <c r="BN84" s="82"/>
      <c r="BO84" s="82"/>
      <c r="BP84" s="80"/>
      <c r="BQ84" s="80"/>
      <c r="BR84" s="82">
        <f>+BR83/BB83-1</f>
        <v>-5.5979643765903253E-2</v>
      </c>
      <c r="BS84" s="82">
        <f t="shared" ref="BS84" si="230">+BS83/BC83-1</f>
        <v>-1.9867549668874163E-2</v>
      </c>
      <c r="BT84" s="82">
        <f t="shared" ref="BT84" si="231">+BT83/BD83-1</f>
        <v>0.15469613259668513</v>
      </c>
      <c r="BU84" s="82">
        <f t="shared" ref="BU84" si="232">+BU83/BE83-1</f>
        <v>1.5873015873015817E-2</v>
      </c>
      <c r="BV84" s="80">
        <f t="shared" ref="BV84" si="233">+BV83/BF83-1</f>
        <v>1.9405700424499628E-2</v>
      </c>
      <c r="BW84" s="82">
        <f>BW83/BR83-1</f>
        <v>0.13207547169811318</v>
      </c>
      <c r="BX84" s="82">
        <f t="shared" ref="BX84:BY84" si="234">BX83/BS83-1</f>
        <v>7.6576576576576683E-2</v>
      </c>
      <c r="BY84" s="82">
        <f t="shared" si="234"/>
        <v>4.5454545454545414E-2</v>
      </c>
      <c r="BZ84" s="82">
        <f>BZ83/BU83-1</f>
        <v>0.23214285714285721</v>
      </c>
      <c r="CA84" s="80">
        <f>CA83/BV83-1</f>
        <v>0.12254610350981565</v>
      </c>
      <c r="CB84" s="82">
        <f>CB83/BW83-1</f>
        <v>3.8095238095238182E-2</v>
      </c>
      <c r="CC84" s="82">
        <f t="shared" ref="CC84:CD84" si="235">CC83/BX83-1</f>
        <v>0.15062761506276146</v>
      </c>
      <c r="CD84" s="82">
        <f t="shared" si="235"/>
        <v>0.18306636155606415</v>
      </c>
      <c r="CE84" s="82">
        <f>CE83/BZ83-1</f>
        <v>0.19746376811594213</v>
      </c>
      <c r="CF84" s="80">
        <f>CF83/CA83-1</f>
        <v>0.14679385267620559</v>
      </c>
      <c r="CG84" s="82"/>
      <c r="CH84" s="82"/>
      <c r="CI84" s="82"/>
      <c r="CJ84" s="82"/>
      <c r="CK84" s="80"/>
      <c r="CL84" s="82"/>
      <c r="CM84" s="82"/>
      <c r="CN84" s="82"/>
      <c r="CO84" s="82"/>
      <c r="CP84" s="80">
        <f>CP83/CK83-1</f>
        <v>0.17940379403794049</v>
      </c>
      <c r="CQ84" s="82"/>
      <c r="CR84" s="82"/>
      <c r="CS84" s="82"/>
      <c r="CT84" s="82"/>
      <c r="CU84" s="80">
        <f>CU83/CP83-1</f>
        <v>2.2794117647058743E-2</v>
      </c>
      <c r="CV84" s="103"/>
      <c r="CW84" s="103"/>
      <c r="CX84" s="103"/>
      <c r="CY84" s="105"/>
      <c r="CZ84" s="80">
        <f>CZ83/CU83-1</f>
        <v>0.10514018691588789</v>
      </c>
      <c r="DA84" s="103"/>
      <c r="DB84" s="103"/>
      <c r="DC84" s="103"/>
      <c r="DD84" s="105"/>
      <c r="DE84" s="80">
        <f>DE83/CZ83-1</f>
        <v>3.499999999999992E-2</v>
      </c>
      <c r="DF84" s="103"/>
      <c r="DG84" s="103"/>
      <c r="DH84" s="103"/>
      <c r="DI84" s="105"/>
      <c r="DJ84" s="80">
        <f>DJ83/DE83-1</f>
        <v>0</v>
      </c>
      <c r="DK84" s="401"/>
      <c r="DL84" s="74"/>
      <c r="DM84" s="809"/>
      <c r="DN84" s="809"/>
      <c r="DO84" s="809"/>
      <c r="DP84" s="1054"/>
      <c r="DQ84" s="1054"/>
      <c r="DR84" s="1054"/>
      <c r="DS84" s="1054"/>
      <c r="DT84" s="1054"/>
      <c r="DU84" s="1054"/>
      <c r="DV84" s="1054"/>
      <c r="DW84" s="1054"/>
      <c r="DX84" s="1054"/>
      <c r="DY84" s="360"/>
      <c r="DZ84" s="167"/>
      <c r="EA84" s="167"/>
      <c r="EB84"/>
      <c r="EC84"/>
      <c r="ED84"/>
      <c r="EE84"/>
      <c r="EF84"/>
      <c r="EG84"/>
    </row>
    <row r="85" spans="1:137" s="166" customFormat="1">
      <c r="A85" s="22" t="s">
        <v>60</v>
      </c>
      <c r="B85" s="42">
        <f t="shared" ref="B85:AG85" si="236">B4-B83</f>
        <v>5026</v>
      </c>
      <c r="C85" s="42">
        <f t="shared" si="236"/>
        <v>6023</v>
      </c>
      <c r="D85" s="42">
        <f t="shared" si="236"/>
        <v>9512</v>
      </c>
      <c r="E85" s="42">
        <f t="shared" si="236"/>
        <v>10886</v>
      </c>
      <c r="F85" s="42">
        <f t="shared" si="236"/>
        <v>11331</v>
      </c>
      <c r="G85" s="42">
        <f t="shared" si="236"/>
        <v>10967</v>
      </c>
      <c r="H85" s="40">
        <f t="shared" si="236"/>
        <v>2522</v>
      </c>
      <c r="I85" s="41">
        <f t="shared" si="236"/>
        <v>2758</v>
      </c>
      <c r="J85" s="41">
        <f t="shared" si="236"/>
        <v>2928</v>
      </c>
      <c r="K85" s="40">
        <f t="shared" si="236"/>
        <v>2619</v>
      </c>
      <c r="L85" s="42">
        <f t="shared" si="236"/>
        <v>10827</v>
      </c>
      <c r="M85" s="41">
        <f t="shared" si="236"/>
        <v>2484</v>
      </c>
      <c r="N85" s="41">
        <f t="shared" si="236"/>
        <v>2518</v>
      </c>
      <c r="O85" s="41">
        <f t="shared" si="236"/>
        <v>2542</v>
      </c>
      <c r="P85" s="40">
        <f t="shared" si="236"/>
        <v>2496</v>
      </c>
      <c r="Q85" s="42">
        <f t="shared" si="236"/>
        <v>10040</v>
      </c>
      <c r="R85" s="41">
        <f t="shared" si="236"/>
        <v>2426</v>
      </c>
      <c r="S85" s="41">
        <f t="shared" si="236"/>
        <v>2687</v>
      </c>
      <c r="T85" s="41">
        <f t="shared" si="236"/>
        <v>2687</v>
      </c>
      <c r="U85" s="40">
        <f t="shared" si="236"/>
        <v>2824</v>
      </c>
      <c r="V85" s="42">
        <f t="shared" si="236"/>
        <v>10624</v>
      </c>
      <c r="W85" s="41">
        <f t="shared" si="236"/>
        <v>2609</v>
      </c>
      <c r="X85" s="41">
        <f t="shared" si="236"/>
        <v>2773</v>
      </c>
      <c r="Y85" s="41">
        <f t="shared" si="236"/>
        <v>2905</v>
      </c>
      <c r="Z85" s="40">
        <f t="shared" si="236"/>
        <v>3416</v>
      </c>
      <c r="AA85" s="42">
        <f t="shared" si="236"/>
        <v>11703</v>
      </c>
      <c r="AB85" s="41">
        <f t="shared" si="236"/>
        <v>2824</v>
      </c>
      <c r="AC85" s="41">
        <f t="shared" si="236"/>
        <v>2993</v>
      </c>
      <c r="AD85" s="41">
        <f t="shared" si="236"/>
        <v>3521</v>
      </c>
      <c r="AE85" s="40">
        <f t="shared" si="236"/>
        <v>3394</v>
      </c>
      <c r="AF85" s="42">
        <f t="shared" si="236"/>
        <v>12732</v>
      </c>
      <c r="AG85" s="40">
        <f t="shared" si="236"/>
        <v>3321</v>
      </c>
      <c r="AH85" s="41">
        <f t="shared" ref="AH85:BM85" si="237">AH4-AH83</f>
        <v>2954</v>
      </c>
      <c r="AI85" s="41">
        <f t="shared" si="237"/>
        <v>3283</v>
      </c>
      <c r="AJ85" s="40">
        <f t="shared" si="237"/>
        <v>3696</v>
      </c>
      <c r="AK85" s="47">
        <f t="shared" si="237"/>
        <v>13254</v>
      </c>
      <c r="AL85" s="41">
        <f t="shared" si="237"/>
        <v>2807</v>
      </c>
      <c r="AM85" s="41">
        <f t="shared" si="237"/>
        <v>3000</v>
      </c>
      <c r="AN85" s="41">
        <f t="shared" si="237"/>
        <v>3220</v>
      </c>
      <c r="AO85" s="40">
        <f t="shared" si="237"/>
        <v>3484</v>
      </c>
      <c r="AP85" s="47">
        <f t="shared" si="237"/>
        <v>12511</v>
      </c>
      <c r="AQ85" s="49">
        <f t="shared" si="237"/>
        <v>2993</v>
      </c>
      <c r="AR85" s="41">
        <f t="shared" si="237"/>
        <v>3402</v>
      </c>
      <c r="AS85" s="41">
        <f t="shared" si="237"/>
        <v>3182</v>
      </c>
      <c r="AT85" s="40">
        <f t="shared" si="237"/>
        <v>3694</v>
      </c>
      <c r="AU85" s="47">
        <f t="shared" si="237"/>
        <v>13271</v>
      </c>
      <c r="AV85" s="49">
        <f t="shared" si="237"/>
        <v>2763</v>
      </c>
      <c r="AW85" s="41">
        <f t="shared" si="237"/>
        <v>3687</v>
      </c>
      <c r="AX85" s="41">
        <f t="shared" si="237"/>
        <v>3503</v>
      </c>
      <c r="AY85" s="40">
        <f t="shared" si="237"/>
        <v>3936</v>
      </c>
      <c r="AZ85" s="47">
        <f t="shared" si="237"/>
        <v>13889</v>
      </c>
      <c r="BA85" s="47">
        <f t="shared" si="237"/>
        <v>12511</v>
      </c>
      <c r="BB85" s="49">
        <f t="shared" si="237"/>
        <v>2993</v>
      </c>
      <c r="BC85" s="41">
        <f t="shared" si="237"/>
        <v>3402</v>
      </c>
      <c r="BD85" s="41">
        <f t="shared" si="237"/>
        <v>3182</v>
      </c>
      <c r="BE85" s="40">
        <f t="shared" si="237"/>
        <v>3694</v>
      </c>
      <c r="BF85" s="47">
        <f t="shared" si="237"/>
        <v>13271</v>
      </c>
      <c r="BG85" s="49">
        <f t="shared" si="237"/>
        <v>2763</v>
      </c>
      <c r="BH85" s="41">
        <f t="shared" si="237"/>
        <v>3687</v>
      </c>
      <c r="BI85" s="41">
        <f t="shared" si="237"/>
        <v>3503</v>
      </c>
      <c r="BJ85" s="40">
        <f t="shared" si="237"/>
        <v>3936</v>
      </c>
      <c r="BK85" s="47">
        <f t="shared" si="237"/>
        <v>13889</v>
      </c>
      <c r="BL85" s="49">
        <f t="shared" si="237"/>
        <v>3379</v>
      </c>
      <c r="BM85" s="41">
        <f t="shared" si="237"/>
        <v>3897</v>
      </c>
      <c r="BN85" s="41"/>
      <c r="BO85" s="40"/>
      <c r="BP85" s="47"/>
      <c r="BQ85" s="47">
        <f t="shared" ref="BQ85:CC85" si="238">BQ4-BQ83</f>
        <v>13271</v>
      </c>
      <c r="BR85" s="49">
        <f t="shared" si="238"/>
        <v>2763</v>
      </c>
      <c r="BS85" s="41">
        <f t="shared" si="238"/>
        <v>3687</v>
      </c>
      <c r="BT85" s="41">
        <f t="shared" si="238"/>
        <v>3503</v>
      </c>
      <c r="BU85" s="40">
        <f t="shared" si="238"/>
        <v>3936</v>
      </c>
      <c r="BV85" s="47">
        <f t="shared" si="238"/>
        <v>13889</v>
      </c>
      <c r="BW85" s="49">
        <f t="shared" si="238"/>
        <v>3379</v>
      </c>
      <c r="BX85" s="41">
        <f t="shared" si="238"/>
        <v>3897</v>
      </c>
      <c r="BY85" s="41">
        <f t="shared" si="238"/>
        <v>3751</v>
      </c>
      <c r="BZ85" s="40">
        <f>BZ4-BZ83</f>
        <v>4855</v>
      </c>
      <c r="CA85" s="47">
        <f>CA4-CA83</f>
        <v>15882</v>
      </c>
      <c r="CB85" s="49">
        <f t="shared" si="238"/>
        <v>3670</v>
      </c>
      <c r="CC85" s="41">
        <f t="shared" si="238"/>
        <v>4675</v>
      </c>
      <c r="CD85" s="41">
        <f t="shared" ref="CD85" si="239">CD4-CD83</f>
        <v>4254</v>
      </c>
      <c r="CE85" s="40">
        <f>CE4-CE83</f>
        <v>5385</v>
      </c>
      <c r="CF85" s="47">
        <f>CF4-CF83</f>
        <v>17984</v>
      </c>
      <c r="CG85" s="49"/>
      <c r="CH85" s="41"/>
      <c r="CI85" s="41"/>
      <c r="CJ85" s="40"/>
      <c r="CK85" s="47">
        <f>CK4-CK83</f>
        <v>15448</v>
      </c>
      <c r="CL85" s="49"/>
      <c r="CM85" s="41"/>
      <c r="CN85" s="41"/>
      <c r="CO85" s="40"/>
      <c r="CP85" s="47">
        <f>CP4-CP83</f>
        <v>17234</v>
      </c>
      <c r="CQ85" s="40">
        <f t="shared" ref="CQ85:CU85" si="240">CQ4-CQ83</f>
        <v>3750.6</v>
      </c>
      <c r="CR85" s="40">
        <f t="shared" si="240"/>
        <v>4866.8500000000004</v>
      </c>
      <c r="CS85" s="40">
        <f t="shared" si="240"/>
        <v>4420.3500000000004</v>
      </c>
      <c r="CT85" s="40">
        <f t="shared" si="240"/>
        <v>5536.6</v>
      </c>
      <c r="CU85" s="47">
        <f t="shared" si="240"/>
        <v>18574.400000000001</v>
      </c>
      <c r="CV85" s="49"/>
      <c r="CW85" s="49"/>
      <c r="CX85" s="49"/>
      <c r="CY85" s="50"/>
      <c r="CZ85" s="47">
        <f>CZ4-CZ83</f>
        <v>19900.400000000001</v>
      </c>
      <c r="DA85" s="49"/>
      <c r="DB85" s="49"/>
      <c r="DC85" s="49"/>
      <c r="DD85" s="50"/>
      <c r="DE85" s="47">
        <f>DE4-DE83</f>
        <v>20596.913999999997</v>
      </c>
      <c r="DF85" s="49"/>
      <c r="DG85" s="49"/>
      <c r="DH85" s="49"/>
      <c r="DI85" s="50"/>
      <c r="DJ85" s="47">
        <f>DJ4-DJ83</f>
        <v>20596.913999999997</v>
      </c>
      <c r="DK85" s="403"/>
      <c r="DL85" s="404"/>
      <c r="DM85" s="867"/>
      <c r="DN85" s="809"/>
      <c r="DO85" s="1123"/>
      <c r="DP85" s="1105"/>
      <c r="DQ85" s="1054"/>
      <c r="DR85" s="1054"/>
      <c r="DS85" s="830"/>
      <c r="DT85" s="830"/>
      <c r="DU85" s="830"/>
      <c r="DV85" s="830"/>
      <c r="DW85" s="830"/>
      <c r="DX85" s="830"/>
      <c r="DY85" s="404"/>
      <c r="DZ85" s="405"/>
      <c r="EA85" s="405"/>
      <c r="EB85"/>
      <c r="EC85"/>
      <c r="ED85"/>
      <c r="EE85"/>
      <c r="EF85"/>
      <c r="EG85"/>
    </row>
    <row r="86" spans="1:137" s="398" customFormat="1">
      <c r="A86" s="97" t="s">
        <v>53</v>
      </c>
      <c r="B86" s="80"/>
      <c r="C86" s="80">
        <f>C85/B85-1</f>
        <v>0.19836848388380424</v>
      </c>
      <c r="D86" s="80">
        <f>D85/C85-1</f>
        <v>0.57927942885605188</v>
      </c>
      <c r="E86" s="80">
        <f>E85/D85-1</f>
        <v>0.1444491169049622</v>
      </c>
      <c r="F86" s="80">
        <f>F85/E85-1</f>
        <v>4.0878192173433803E-2</v>
      </c>
      <c r="G86" s="80">
        <f>G85/F85-1</f>
        <v>-3.2124260877239408E-2</v>
      </c>
      <c r="H86" s="82"/>
      <c r="I86" s="82"/>
      <c r="J86" s="82"/>
      <c r="K86" s="82"/>
      <c r="L86" s="80">
        <f t="shared" ref="L86:AP86" si="241">L85/G85-1</f>
        <v>-1.2765569435579494E-2</v>
      </c>
      <c r="M86" s="82">
        <f t="shared" si="241"/>
        <v>-1.5067406819984086E-2</v>
      </c>
      <c r="N86" s="82">
        <f t="shared" si="241"/>
        <v>-8.7019579405366199E-2</v>
      </c>
      <c r="O86" s="82">
        <f t="shared" si="241"/>
        <v>-0.13183060109289613</v>
      </c>
      <c r="P86" s="82">
        <f t="shared" si="241"/>
        <v>-4.6964490263459391E-2</v>
      </c>
      <c r="Q86" s="80">
        <f t="shared" si="241"/>
        <v>-7.2688648748499118E-2</v>
      </c>
      <c r="R86" s="82">
        <f t="shared" si="241"/>
        <v>-2.3349436392914646E-2</v>
      </c>
      <c r="S86" s="82">
        <f t="shared" si="241"/>
        <v>6.7116759332803921E-2</v>
      </c>
      <c r="T86" s="82">
        <f t="shared" si="241"/>
        <v>5.7041699449252636E-2</v>
      </c>
      <c r="U86" s="82">
        <f t="shared" si="241"/>
        <v>0.13141025641025639</v>
      </c>
      <c r="V86" s="80">
        <f t="shared" si="241"/>
        <v>5.8167330677290741E-2</v>
      </c>
      <c r="W86" s="83">
        <f t="shared" si="241"/>
        <v>7.5432811211871398E-2</v>
      </c>
      <c r="X86" s="82">
        <f t="shared" si="241"/>
        <v>3.2005954596203923E-2</v>
      </c>
      <c r="Y86" s="83">
        <f t="shared" si="241"/>
        <v>8.113137327874953E-2</v>
      </c>
      <c r="Z86" s="83">
        <f t="shared" si="241"/>
        <v>0.2096317280453257</v>
      </c>
      <c r="AA86" s="84">
        <f t="shared" si="241"/>
        <v>0.1015625</v>
      </c>
      <c r="AB86" s="83">
        <f t="shared" si="241"/>
        <v>8.2407052510540479E-2</v>
      </c>
      <c r="AC86" s="82">
        <f t="shared" si="241"/>
        <v>7.933645870897954E-2</v>
      </c>
      <c r="AD86" s="82">
        <f t="shared" si="241"/>
        <v>0.21204819277108444</v>
      </c>
      <c r="AE86" s="82">
        <f t="shared" si="241"/>
        <v>-6.4402810304449165E-3</v>
      </c>
      <c r="AF86" s="84">
        <f t="shared" si="241"/>
        <v>8.7926172776211287E-2</v>
      </c>
      <c r="AG86" s="83">
        <f t="shared" si="241"/>
        <v>0.17599150141643061</v>
      </c>
      <c r="AH86" s="82">
        <f t="shared" si="241"/>
        <v>-1.303040427664548E-2</v>
      </c>
      <c r="AI86" s="82">
        <f t="shared" si="241"/>
        <v>-6.7594433399602361E-2</v>
      </c>
      <c r="AJ86" s="82">
        <f t="shared" si="241"/>
        <v>8.8980553918680094E-2</v>
      </c>
      <c r="AK86" s="80">
        <f t="shared" si="241"/>
        <v>4.099905749293109E-2</v>
      </c>
      <c r="AL86" s="82">
        <f t="shared" si="241"/>
        <v>-0.15477265883769953</v>
      </c>
      <c r="AM86" s="82">
        <f>AM85/AH85-1</f>
        <v>1.5572105619499066E-2</v>
      </c>
      <c r="AN86" s="82">
        <f>AN85/AI85-1</f>
        <v>-1.9189765458422214E-2</v>
      </c>
      <c r="AO86" s="82">
        <f t="shared" si="241"/>
        <v>-5.7359307359307388E-2</v>
      </c>
      <c r="AP86" s="80">
        <f t="shared" si="241"/>
        <v>-5.6058548362758365E-2</v>
      </c>
      <c r="AQ86" s="85">
        <f t="shared" ref="AQ86:AZ86" si="242">AQ85/AL85-1</f>
        <v>6.6262914143213392E-2</v>
      </c>
      <c r="AR86" s="82">
        <f t="shared" si="242"/>
        <v>0.1339999999999999</v>
      </c>
      <c r="AS86" s="82">
        <f t="shared" si="242"/>
        <v>-1.1801242236024856E-2</v>
      </c>
      <c r="AT86" s="82">
        <f t="shared" si="242"/>
        <v>6.027554535017221E-2</v>
      </c>
      <c r="AU86" s="80">
        <f t="shared" si="242"/>
        <v>6.0746543042123013E-2</v>
      </c>
      <c r="AV86" s="85">
        <f t="shared" si="242"/>
        <v>-7.6845973939191459E-2</v>
      </c>
      <c r="AW86" s="82">
        <f t="shared" si="242"/>
        <v>8.3774250440917131E-2</v>
      </c>
      <c r="AX86" s="82">
        <f t="shared" si="242"/>
        <v>0.10087994971715908</v>
      </c>
      <c r="AY86" s="82">
        <f t="shared" si="242"/>
        <v>6.5511640498105095E-2</v>
      </c>
      <c r="AZ86" s="80">
        <f t="shared" si="242"/>
        <v>4.656770401627619E-2</v>
      </c>
      <c r="BA86" s="80"/>
      <c r="BB86" s="85"/>
      <c r="BC86" s="82"/>
      <c r="BD86" s="82"/>
      <c r="BE86" s="82"/>
      <c r="BF86" s="80">
        <f t="shared" ref="BF86:BM86" si="243">BF85/BA85-1</f>
        <v>6.0746543042123013E-2</v>
      </c>
      <c r="BG86" s="85">
        <f t="shared" si="243"/>
        <v>-7.6845973939191459E-2</v>
      </c>
      <c r="BH86" s="82">
        <f t="shared" si="243"/>
        <v>8.3774250440917131E-2</v>
      </c>
      <c r="BI86" s="82">
        <f t="shared" si="243"/>
        <v>0.10087994971715908</v>
      </c>
      <c r="BJ86" s="82">
        <f t="shared" si="243"/>
        <v>6.5511640498105095E-2</v>
      </c>
      <c r="BK86" s="80">
        <f t="shared" si="243"/>
        <v>4.656770401627619E-2</v>
      </c>
      <c r="BL86" s="85">
        <f t="shared" si="243"/>
        <v>0.22294607310893966</v>
      </c>
      <c r="BM86" s="82">
        <f t="shared" si="243"/>
        <v>5.6956875508543447E-2</v>
      </c>
      <c r="BN86" s="82"/>
      <c r="BO86" s="82"/>
      <c r="BP86" s="80"/>
      <c r="BQ86" s="80"/>
      <c r="BR86" s="82">
        <f>+BR85/BB85-1</f>
        <v>-7.6845973939191459E-2</v>
      </c>
      <c r="BS86" s="82">
        <f t="shared" ref="BS86" si="244">+BS85/BC85-1</f>
        <v>8.3774250440917131E-2</v>
      </c>
      <c r="BT86" s="82">
        <f t="shared" ref="BT86" si="245">+BT85/BD85-1</f>
        <v>0.10087994971715908</v>
      </c>
      <c r="BU86" s="82">
        <f t="shared" ref="BU86" si="246">+BU85/BE85-1</f>
        <v>6.5511640498105095E-2</v>
      </c>
      <c r="BV86" s="80">
        <f t="shared" ref="BV86" si="247">+BV85/BF85-1</f>
        <v>4.656770401627619E-2</v>
      </c>
      <c r="BW86" s="82">
        <f>BW85/BR85-1</f>
        <v>0.22294607310893966</v>
      </c>
      <c r="BX86" s="82">
        <f t="shared" ref="BX86" si="248">BX85/BS85-1</f>
        <v>5.6956875508543447E-2</v>
      </c>
      <c r="BY86" s="82">
        <f t="shared" ref="BY86" si="249">BY85/BT85-1</f>
        <v>7.079646017699126E-2</v>
      </c>
      <c r="BZ86" s="82">
        <f>BZ85/BU85-1</f>
        <v>0.2334857723577235</v>
      </c>
      <c r="CA86" s="80">
        <f>CA85/BV85-1</f>
        <v>0.14349485204118362</v>
      </c>
      <c r="CB86" s="82">
        <f>CB85/BW85-1</f>
        <v>8.6120153891684037E-2</v>
      </c>
      <c r="CC86" s="82">
        <f t="shared" ref="CC86:CD86" si="250">CC85/BX85-1</f>
        <v>0.19964074929432907</v>
      </c>
      <c r="CD86" s="82">
        <f t="shared" si="250"/>
        <v>0.13409757398027189</v>
      </c>
      <c r="CE86" s="82">
        <f>CE85/BZ85-1</f>
        <v>0.10916580844490209</v>
      </c>
      <c r="CF86" s="80">
        <f>CF85/CA85-1</f>
        <v>0.13235108928346562</v>
      </c>
      <c r="CG86" s="82"/>
      <c r="CH86" s="82"/>
      <c r="CI86" s="82"/>
      <c r="CJ86" s="82"/>
      <c r="CK86" s="80"/>
      <c r="CL86" s="82"/>
      <c r="CM86" s="82"/>
      <c r="CN86" s="82"/>
      <c r="CO86" s="82"/>
      <c r="CP86" s="80">
        <f>CP85/CK85-1</f>
        <v>0.11561367167270853</v>
      </c>
      <c r="CQ86" s="82"/>
      <c r="CR86" s="82"/>
      <c r="CS86" s="82"/>
      <c r="CT86" s="82"/>
      <c r="CU86" s="80">
        <f>CU85/CP85-1</f>
        <v>7.7776488337008232E-2</v>
      </c>
      <c r="CV86" s="103"/>
      <c r="CW86" s="103"/>
      <c r="CX86" s="103"/>
      <c r="CY86" s="105"/>
      <c r="CZ86" s="80">
        <f>CZ85/CU85-1</f>
        <v>7.1388577827547595E-2</v>
      </c>
      <c r="DA86" s="103"/>
      <c r="DB86" s="103"/>
      <c r="DC86" s="103"/>
      <c r="DD86" s="105"/>
      <c r="DE86" s="80">
        <f>DE85/CZ85-1</f>
        <v>3.4999999999999698E-2</v>
      </c>
      <c r="DF86" s="103"/>
      <c r="DG86" s="103"/>
      <c r="DH86" s="103"/>
      <c r="DI86" s="105"/>
      <c r="DJ86" s="80">
        <f>DJ85/DE85-1</f>
        <v>0</v>
      </c>
      <c r="DK86" s="401"/>
      <c r="DL86" s="74"/>
      <c r="DM86" s="809"/>
      <c r="DN86" s="809"/>
      <c r="DO86" s="809"/>
      <c r="DP86" s="1105"/>
      <c r="DQ86" s="1055"/>
      <c r="DR86" s="1055"/>
      <c r="DS86" s="830"/>
      <c r="DT86" s="830"/>
      <c r="DU86" s="830"/>
      <c r="DV86" s="830"/>
      <c r="DW86" s="830"/>
      <c r="DX86" s="830"/>
      <c r="DY86" s="360"/>
      <c r="DZ86" s="167"/>
      <c r="EA86" s="167"/>
      <c r="EB86"/>
      <c r="EC86"/>
      <c r="ED86"/>
      <c r="EE86"/>
      <c r="EF86"/>
      <c r="EG86"/>
    </row>
    <row r="87" spans="1:137" s="429" customFormat="1">
      <c r="A87" s="785" t="s">
        <v>191</v>
      </c>
      <c r="B87" s="786"/>
      <c r="C87" s="786"/>
      <c r="D87" s="786"/>
      <c r="E87" s="786"/>
      <c r="F87" s="786"/>
      <c r="G87" s="786"/>
      <c r="H87" s="787"/>
      <c r="I87" s="787"/>
      <c r="J87" s="787"/>
      <c r="K87" s="787"/>
      <c r="L87" s="786"/>
      <c r="M87" s="787"/>
      <c r="N87" s="787"/>
      <c r="O87" s="787"/>
      <c r="P87" s="787"/>
      <c r="Q87" s="786"/>
      <c r="R87" s="787"/>
      <c r="S87" s="787"/>
      <c r="T87" s="787"/>
      <c r="U87" s="787"/>
      <c r="V87" s="786"/>
      <c r="W87" s="788"/>
      <c r="X87" s="787"/>
      <c r="Y87" s="788"/>
      <c r="Z87" s="788"/>
      <c r="AA87" s="789"/>
      <c r="AB87" s="788"/>
      <c r="AC87" s="787"/>
      <c r="AD87" s="787"/>
      <c r="AE87" s="787"/>
      <c r="AF87" s="789">
        <f t="shared" ref="AF87:AZ87" si="251">AF89/AF4</f>
        <v>0.10722740565380866</v>
      </c>
      <c r="AG87" s="788">
        <f t="shared" si="251"/>
        <v>0.10928224500809498</v>
      </c>
      <c r="AH87" s="787">
        <f t="shared" si="251"/>
        <v>0.12294600938967136</v>
      </c>
      <c r="AI87" s="787">
        <f t="shared" si="251"/>
        <v>0.1149269875608437</v>
      </c>
      <c r="AJ87" s="787">
        <f t="shared" si="251"/>
        <v>0.11591403042743299</v>
      </c>
      <c r="AK87" s="786">
        <f t="shared" si="251"/>
        <v>0.1156289707750953</v>
      </c>
      <c r="AL87" s="787">
        <f t="shared" si="251"/>
        <v>0.10483364720652856</v>
      </c>
      <c r="AM87" s="787">
        <f t="shared" si="251"/>
        <v>0.13853830349280893</v>
      </c>
      <c r="AN87" s="787">
        <f t="shared" si="251"/>
        <v>0.12444933920704845</v>
      </c>
      <c r="AO87" s="787">
        <f t="shared" si="251"/>
        <v>0.11005643919958953</v>
      </c>
      <c r="AP87" s="786">
        <f t="shared" si="251"/>
        <v>0.11945054166961694</v>
      </c>
      <c r="AQ87" s="787">
        <f t="shared" si="251"/>
        <v>0.12049616066154754</v>
      </c>
      <c r="AR87" s="787">
        <f t="shared" si="251"/>
        <v>0.11750972762645914</v>
      </c>
      <c r="AS87" s="787">
        <f t="shared" si="251"/>
        <v>0.12048532731376975</v>
      </c>
      <c r="AT87" s="787">
        <f t="shared" si="251"/>
        <v>0.11269649334945586</v>
      </c>
      <c r="AU87" s="786">
        <f t="shared" si="251"/>
        <v>0.11756032171581769</v>
      </c>
      <c r="AV87" s="787">
        <f t="shared" si="251"/>
        <v>0.11837906828334396</v>
      </c>
      <c r="AW87" s="787">
        <f t="shared" si="251"/>
        <v>0.10021786492374728</v>
      </c>
      <c r="AX87" s="787">
        <f t="shared" si="251"/>
        <v>9.7679163478704409E-2</v>
      </c>
      <c r="AY87" s="787">
        <f t="shared" si="251"/>
        <v>9.420620437956205E-2</v>
      </c>
      <c r="AZ87" s="786">
        <f t="shared" si="251"/>
        <v>0.10154142581888247</v>
      </c>
      <c r="BA87" s="786"/>
      <c r="BB87" s="787">
        <f t="shared" ref="BB87:BM87" si="252">BB89/BB4</f>
        <v>0.12049616066154754</v>
      </c>
      <c r="BC87" s="787">
        <f t="shared" si="252"/>
        <v>0.10972762645914397</v>
      </c>
      <c r="BD87" s="787">
        <f t="shared" si="252"/>
        <v>0.12048532731376975</v>
      </c>
      <c r="BE87" s="787">
        <f t="shared" si="252"/>
        <v>0.11269649334945586</v>
      </c>
      <c r="BF87" s="786">
        <f t="shared" si="252"/>
        <v>0.11756032171581769</v>
      </c>
      <c r="BG87" s="787">
        <f t="shared" si="252"/>
        <v>0.11837906828334396</v>
      </c>
      <c r="BH87" s="787">
        <f t="shared" si="252"/>
        <v>0.10021786492374728</v>
      </c>
      <c r="BI87" s="787">
        <f t="shared" si="252"/>
        <v>9.7679163478704409E-2</v>
      </c>
      <c r="BJ87" s="787">
        <f t="shared" si="252"/>
        <v>9.420620437956205E-2</v>
      </c>
      <c r="BK87" s="786">
        <f t="shared" si="252"/>
        <v>0.10154142581888247</v>
      </c>
      <c r="BL87" s="787">
        <f t="shared" si="252"/>
        <v>0.11055540931824165</v>
      </c>
      <c r="BM87" s="787">
        <f t="shared" si="252"/>
        <v>0.11611428571428571</v>
      </c>
      <c r="BN87" s="787"/>
      <c r="BO87" s="787"/>
      <c r="BP87" s="786"/>
      <c r="BQ87" s="786"/>
      <c r="BR87" s="787">
        <f t="shared" ref="BR87:CC87" si="253">BR89/BR4</f>
        <v>0.11837906828334396</v>
      </c>
      <c r="BS87" s="787">
        <f t="shared" si="253"/>
        <v>0.10021786492374728</v>
      </c>
      <c r="BT87" s="787">
        <f t="shared" si="253"/>
        <v>9.7679163478704409E-2</v>
      </c>
      <c r="BU87" s="787">
        <f t="shared" si="253"/>
        <v>9.420620437956205E-2</v>
      </c>
      <c r="BV87" s="786">
        <f t="shared" si="253"/>
        <v>0.10154142581888247</v>
      </c>
      <c r="BW87" s="787">
        <f t="shared" si="253"/>
        <v>0.11055540931824165</v>
      </c>
      <c r="BX87" s="787">
        <f t="shared" si="253"/>
        <v>0.11611428571428571</v>
      </c>
      <c r="BY87" s="787">
        <f t="shared" si="253"/>
        <v>0.10434574976122254</v>
      </c>
      <c r="BZ87" s="787">
        <f>BZ89/BZ4</f>
        <v>9.2842611429628255E-2</v>
      </c>
      <c r="CA87" s="786">
        <f>CA89/CA4</f>
        <v>0.10507062862288255</v>
      </c>
      <c r="CB87" s="787">
        <f t="shared" si="253"/>
        <v>0.10253287871407696</v>
      </c>
      <c r="CC87" s="787">
        <f t="shared" si="253"/>
        <v>9.4736842105263161E-2</v>
      </c>
      <c r="CD87" s="787">
        <f t="shared" ref="CD87" si="254">CD89/CD4</f>
        <v>9.8931041710333262E-2</v>
      </c>
      <c r="CE87" s="787">
        <f>CE89/CE4</f>
        <v>9.9404565001653983E-2</v>
      </c>
      <c r="CF87" s="786">
        <f>CF89/CF4</f>
        <v>9.8719475878499108E-2</v>
      </c>
      <c r="CG87" s="787"/>
      <c r="CH87" s="787"/>
      <c r="CI87" s="787"/>
      <c r="CJ87" s="787"/>
      <c r="CK87" s="786">
        <f>CK89/CK4</f>
        <v>0.1055340311108541</v>
      </c>
      <c r="CL87" s="787"/>
      <c r="CM87" s="787"/>
      <c r="CN87" s="787"/>
      <c r="CO87" s="787"/>
      <c r="CP87" s="786">
        <f>CP89/CP4</f>
        <v>0.10309119010819165</v>
      </c>
      <c r="CQ87" s="787">
        <f t="shared" ref="CQ87:CU87" si="255">CQ89/CQ4</f>
        <v>0.107</v>
      </c>
      <c r="CR87" s="787">
        <f t="shared" si="255"/>
        <v>0.107</v>
      </c>
      <c r="CS87" s="787">
        <f t="shared" si="255"/>
        <v>0.107</v>
      </c>
      <c r="CT87" s="787">
        <f t="shared" si="255"/>
        <v>0.107</v>
      </c>
      <c r="CU87" s="786">
        <f t="shared" si="255"/>
        <v>0.107</v>
      </c>
      <c r="CV87" s="790"/>
      <c r="CW87" s="790"/>
      <c r="CX87" s="790"/>
      <c r="CY87" s="791"/>
      <c r="CZ87" s="786"/>
      <c r="DA87" s="790"/>
      <c r="DB87" s="790"/>
      <c r="DC87" s="790"/>
      <c r="DD87" s="791"/>
      <c r="DE87" s="786"/>
      <c r="DF87" s="790"/>
      <c r="DG87" s="790"/>
      <c r="DH87" s="790"/>
      <c r="DI87" s="791"/>
      <c r="DJ87" s="786"/>
      <c r="DK87" s="523"/>
      <c r="DL87" s="598"/>
      <c r="DM87" s="830"/>
      <c r="DN87" s="830"/>
      <c r="DO87" s="830"/>
      <c r="DP87" s="1105"/>
      <c r="DQ87" s="1056"/>
      <c r="DR87" s="1056"/>
      <c r="DS87" s="830"/>
      <c r="DT87" s="830"/>
      <c r="DU87" s="830"/>
      <c r="DV87" s="830"/>
      <c r="DW87" s="830"/>
      <c r="DX87" s="830"/>
      <c r="DY87" s="427"/>
      <c r="DZ87" s="428"/>
      <c r="EA87" s="428"/>
      <c r="EB87"/>
      <c r="EC87"/>
      <c r="ED87"/>
      <c r="EE87"/>
      <c r="EF87"/>
      <c r="EG87"/>
    </row>
    <row r="88" spans="1:137" s="398" customFormat="1">
      <c r="A88" s="106" t="s">
        <v>57</v>
      </c>
      <c r="B88" s="19"/>
      <c r="C88" s="253"/>
      <c r="D88" s="253"/>
      <c r="E88" s="253"/>
      <c r="F88" s="253"/>
      <c r="G88" s="253"/>
      <c r="H88" s="268"/>
      <c r="I88" s="268"/>
      <c r="J88" s="268"/>
      <c r="K88" s="268"/>
      <c r="L88" s="253"/>
      <c r="M88" s="268"/>
      <c r="N88" s="268"/>
      <c r="O88" s="268"/>
      <c r="P88" s="268"/>
      <c r="Q88" s="253"/>
      <c r="R88" s="268"/>
      <c r="S88" s="268"/>
      <c r="T88" s="268"/>
      <c r="U88" s="268"/>
      <c r="V88" s="253"/>
      <c r="W88" s="268"/>
      <c r="X88" s="268"/>
      <c r="Y88" s="268"/>
      <c r="Z88" s="268"/>
      <c r="AA88" s="253"/>
      <c r="AB88" s="268"/>
      <c r="AC88" s="268"/>
      <c r="AD88" s="268"/>
      <c r="AE88" s="268"/>
      <c r="AF88" s="253"/>
      <c r="AG88" s="254"/>
      <c r="AH88" s="255"/>
      <c r="AI88" s="255"/>
      <c r="AJ88" s="254"/>
      <c r="AK88" s="257">
        <f t="shared" ref="AK88:AP88" si="256">(AK87-AF87)*100</f>
        <v>0.84015651212866471</v>
      </c>
      <c r="AL88" s="254">
        <f t="shared" si="256"/>
        <v>-0.44485978015664229</v>
      </c>
      <c r="AM88" s="254">
        <f t="shared" si="256"/>
        <v>1.5592294103137574</v>
      </c>
      <c r="AN88" s="254">
        <f t="shared" si="256"/>
        <v>0.95223516462047542</v>
      </c>
      <c r="AO88" s="254">
        <f t="shared" si="256"/>
        <v>-0.58575912278434616</v>
      </c>
      <c r="AP88" s="257">
        <f t="shared" si="256"/>
        <v>0.38215708945216337</v>
      </c>
      <c r="AQ88" s="254">
        <f t="shared" ref="AQ88:AZ88" si="257">(AQ87-AL87)*100</f>
        <v>1.5662513455018985</v>
      </c>
      <c r="AR88" s="254">
        <f t="shared" si="257"/>
        <v>-2.102857586634979</v>
      </c>
      <c r="AS88" s="254">
        <f t="shared" si="257"/>
        <v>-0.39640118932787044</v>
      </c>
      <c r="AT88" s="254">
        <f t="shared" si="257"/>
        <v>0.26400541498663305</v>
      </c>
      <c r="AU88" s="257">
        <f t="shared" si="257"/>
        <v>-0.18902199537992465</v>
      </c>
      <c r="AV88" s="254">
        <f t="shared" si="257"/>
        <v>-0.21170923782035805</v>
      </c>
      <c r="AW88" s="254">
        <f t="shared" si="257"/>
        <v>-1.7291862702711867</v>
      </c>
      <c r="AX88" s="254">
        <f t="shared" si="257"/>
        <v>-2.2806163835065343</v>
      </c>
      <c r="AY88" s="254">
        <f t="shared" si="257"/>
        <v>-1.8490288969893811</v>
      </c>
      <c r="AZ88" s="257">
        <f t="shared" si="257"/>
        <v>-1.6018895896935226</v>
      </c>
      <c r="BA88" s="257"/>
      <c r="BB88" s="254"/>
      <c r="BC88" s="254"/>
      <c r="BD88" s="254"/>
      <c r="BE88" s="254"/>
      <c r="BF88" s="257"/>
      <c r="BG88" s="254">
        <f t="shared" ref="BG88:BM88" si="258">(BG87-BB87)*100</f>
        <v>-0.21170923782035805</v>
      </c>
      <c r="BH88" s="254">
        <f t="shared" si="258"/>
        <v>-0.95097615353966902</v>
      </c>
      <c r="BI88" s="254">
        <f t="shared" si="258"/>
        <v>-2.2806163835065343</v>
      </c>
      <c r="BJ88" s="254">
        <f t="shared" si="258"/>
        <v>-1.8490288969893811</v>
      </c>
      <c r="BK88" s="257">
        <f t="shared" si="258"/>
        <v>-1.6018895896935226</v>
      </c>
      <c r="BL88" s="254">
        <f t="shared" si="258"/>
        <v>-0.78236589651023147</v>
      </c>
      <c r="BM88" s="254">
        <f t="shared" si="258"/>
        <v>1.5896420790538435</v>
      </c>
      <c r="BN88" s="254"/>
      <c r="BO88" s="254"/>
      <c r="BP88" s="257"/>
      <c r="BQ88" s="257"/>
      <c r="BR88" s="254">
        <f>(BR87-BB87)*100</f>
        <v>-0.21170923782035805</v>
      </c>
      <c r="BS88" s="254">
        <f t="shared" ref="BS88" si="259">(BS87-BC87)*100</f>
        <v>-0.95097615353966902</v>
      </c>
      <c r="BT88" s="826">
        <f t="shared" ref="BT88" si="260">(BT87-BD87)*100</f>
        <v>-2.2806163835065343</v>
      </c>
      <c r="BU88" s="254">
        <f t="shared" ref="BU88" si="261">(BU87-BE87)*100</f>
        <v>-1.8490288969893811</v>
      </c>
      <c r="BV88" s="257">
        <f>(BV87-BF87)*100</f>
        <v>-1.6018895896935226</v>
      </c>
      <c r="BW88" s="254">
        <f>(BW87-BR87)*100</f>
        <v>-0.78236589651023147</v>
      </c>
      <c r="BX88" s="254">
        <f>(BX87-BS87)*100</f>
        <v>1.5896420790538435</v>
      </c>
      <c r="BY88" s="254">
        <f>(BY87-BT87)*100</f>
        <v>0.66665862825181366</v>
      </c>
      <c r="BZ88" s="254">
        <f>(BZ87-BU87)*100</f>
        <v>-0.13635929499337951</v>
      </c>
      <c r="CA88" s="257">
        <f>(CA87-BK87)*100</f>
        <v>0.35292028040000839</v>
      </c>
      <c r="CB88" s="254">
        <f>(CB87-BW87)*100</f>
        <v>-0.80225306041646904</v>
      </c>
      <c r="CC88" s="254">
        <f>(CC87-BX87)*100</f>
        <v>-2.1377443609022553</v>
      </c>
      <c r="CD88" s="254">
        <f>(CD87-BY87)*100</f>
        <v>-0.54147080508892831</v>
      </c>
      <c r="CE88" s="254">
        <f>(CE87-BZ87)*100</f>
        <v>0.65619535720257272</v>
      </c>
      <c r="CF88" s="257">
        <f>(CF87-CA87)*100</f>
        <v>-0.63511527443834426</v>
      </c>
      <c r="CG88" s="254"/>
      <c r="CH88" s="254"/>
      <c r="CI88" s="254"/>
      <c r="CJ88" s="254"/>
      <c r="CK88" s="257"/>
      <c r="CL88" s="254"/>
      <c r="CM88" s="254"/>
      <c r="CN88" s="254"/>
      <c r="CO88" s="254"/>
      <c r="CP88" s="257">
        <f>(CP87-CK87)*100</f>
        <v>-0.24428410026624547</v>
      </c>
      <c r="CQ88" s="254"/>
      <c r="CR88" s="254"/>
      <c r="CS88" s="254"/>
      <c r="CT88" s="254"/>
      <c r="CU88" s="257">
        <f>(CU87-CP87)*100</f>
        <v>0.39088098918083486</v>
      </c>
      <c r="CV88" s="30"/>
      <c r="CW88" s="30"/>
      <c r="CX88" s="30"/>
      <c r="CY88" s="31"/>
      <c r="CZ88" s="257"/>
      <c r="DA88" s="30"/>
      <c r="DB88" s="30"/>
      <c r="DC88" s="30"/>
      <c r="DD88" s="31"/>
      <c r="DE88" s="257"/>
      <c r="DF88" s="30"/>
      <c r="DG88" s="30"/>
      <c r="DH88" s="30"/>
      <c r="DI88" s="31"/>
      <c r="DJ88" s="257"/>
      <c r="DK88" s="397"/>
      <c r="DL88" s="74"/>
      <c r="DM88" s="809"/>
      <c r="DN88" s="809"/>
      <c r="DO88" s="809"/>
      <c r="DP88" s="1054"/>
      <c r="DQ88" s="1054"/>
      <c r="DR88" s="1054"/>
      <c r="DS88" s="809"/>
      <c r="DT88" s="809"/>
      <c r="DU88" s="809"/>
      <c r="DV88" s="809"/>
      <c r="DW88" s="809"/>
      <c r="DX88" s="809"/>
      <c r="DY88" s="360"/>
      <c r="DZ88" s="167"/>
      <c r="EA88" s="167"/>
      <c r="EB88"/>
      <c r="EC88"/>
      <c r="ED88"/>
      <c r="EE88"/>
      <c r="EF88"/>
      <c r="EG88"/>
    </row>
    <row r="89" spans="1:137" s="473" customFormat="1">
      <c r="A89" s="707" t="s">
        <v>190</v>
      </c>
      <c r="B89" s="708"/>
      <c r="C89" s="708"/>
      <c r="D89" s="708"/>
      <c r="E89" s="708"/>
      <c r="F89" s="708"/>
      <c r="G89" s="708"/>
      <c r="H89" s="709"/>
      <c r="I89" s="709"/>
      <c r="J89" s="709"/>
      <c r="K89" s="709"/>
      <c r="L89" s="708"/>
      <c r="M89" s="709"/>
      <c r="N89" s="709"/>
      <c r="O89" s="709"/>
      <c r="P89" s="709"/>
      <c r="Q89" s="708"/>
      <c r="R89" s="709"/>
      <c r="S89" s="709"/>
      <c r="T89" s="709"/>
      <c r="U89" s="709"/>
      <c r="V89" s="708"/>
      <c r="W89" s="500"/>
      <c r="X89" s="709"/>
      <c r="Y89" s="500"/>
      <c r="Z89" s="500"/>
      <c r="AA89" s="501"/>
      <c r="AB89" s="500"/>
      <c r="AC89" s="709"/>
      <c r="AD89" s="709"/>
      <c r="AE89" s="709"/>
      <c r="AF89" s="501">
        <f t="shared" ref="AF89:AZ89" si="262">AF83-AF91</f>
        <v>1540</v>
      </c>
      <c r="AG89" s="500">
        <f t="shared" si="262"/>
        <v>405</v>
      </c>
      <c r="AH89" s="709">
        <f t="shared" si="262"/>
        <v>419</v>
      </c>
      <c r="AI89" s="709">
        <f t="shared" si="262"/>
        <v>425</v>
      </c>
      <c r="AJ89" s="709">
        <f t="shared" si="262"/>
        <v>480</v>
      </c>
      <c r="AK89" s="708">
        <f t="shared" si="262"/>
        <v>1729</v>
      </c>
      <c r="AL89" s="709">
        <f t="shared" si="262"/>
        <v>334</v>
      </c>
      <c r="AM89" s="709">
        <f t="shared" si="262"/>
        <v>472</v>
      </c>
      <c r="AN89" s="709">
        <f t="shared" si="262"/>
        <v>452</v>
      </c>
      <c r="AO89" s="709">
        <f t="shared" si="262"/>
        <v>429</v>
      </c>
      <c r="AP89" s="708">
        <f t="shared" si="262"/>
        <v>1687</v>
      </c>
      <c r="AQ89" s="709">
        <f t="shared" si="262"/>
        <v>408</v>
      </c>
      <c r="AR89" s="709">
        <f t="shared" si="262"/>
        <v>453</v>
      </c>
      <c r="AS89" s="709">
        <f t="shared" si="262"/>
        <v>427</v>
      </c>
      <c r="AT89" s="709">
        <f t="shared" si="262"/>
        <v>466</v>
      </c>
      <c r="AU89" s="708">
        <f t="shared" si="262"/>
        <v>1754</v>
      </c>
      <c r="AV89" s="709">
        <f t="shared" si="262"/>
        <v>371</v>
      </c>
      <c r="AW89" s="709">
        <f t="shared" si="262"/>
        <v>414</v>
      </c>
      <c r="AX89" s="709">
        <f t="shared" si="262"/>
        <v>383</v>
      </c>
      <c r="AY89" s="709">
        <f t="shared" si="262"/>
        <v>413</v>
      </c>
      <c r="AZ89" s="708">
        <f t="shared" si="262"/>
        <v>1581</v>
      </c>
      <c r="BA89" s="708"/>
      <c r="BB89" s="709">
        <f t="shared" ref="BB89:BM89" si="263">BB83-BB91</f>
        <v>408</v>
      </c>
      <c r="BC89" s="709">
        <f t="shared" si="263"/>
        <v>423</v>
      </c>
      <c r="BD89" s="709">
        <f t="shared" si="263"/>
        <v>427</v>
      </c>
      <c r="BE89" s="709">
        <f t="shared" si="263"/>
        <v>466</v>
      </c>
      <c r="BF89" s="708">
        <f t="shared" si="263"/>
        <v>1754</v>
      </c>
      <c r="BG89" s="709">
        <f t="shared" si="263"/>
        <v>371</v>
      </c>
      <c r="BH89" s="709">
        <f t="shared" si="263"/>
        <v>414</v>
      </c>
      <c r="BI89" s="709">
        <f t="shared" si="263"/>
        <v>383</v>
      </c>
      <c r="BJ89" s="709">
        <f t="shared" si="263"/>
        <v>413</v>
      </c>
      <c r="BK89" s="708">
        <f t="shared" si="263"/>
        <v>1581</v>
      </c>
      <c r="BL89" s="709">
        <f t="shared" si="263"/>
        <v>420</v>
      </c>
      <c r="BM89" s="709">
        <f t="shared" si="263"/>
        <v>508</v>
      </c>
      <c r="BN89" s="709"/>
      <c r="BO89" s="709"/>
      <c r="BP89" s="708"/>
      <c r="BQ89" s="708"/>
      <c r="BR89" s="709">
        <f t="shared" ref="BR89:CC89" si="264">BR83-BR91</f>
        <v>371</v>
      </c>
      <c r="BS89" s="709">
        <f t="shared" si="264"/>
        <v>414</v>
      </c>
      <c r="BT89" s="709">
        <f t="shared" si="264"/>
        <v>383</v>
      </c>
      <c r="BU89" s="709">
        <f t="shared" si="264"/>
        <v>413</v>
      </c>
      <c r="BV89" s="708">
        <f t="shared" si="264"/>
        <v>1581</v>
      </c>
      <c r="BW89" s="709">
        <f t="shared" si="264"/>
        <v>420</v>
      </c>
      <c r="BX89" s="709">
        <f t="shared" si="264"/>
        <v>508</v>
      </c>
      <c r="BY89" s="709">
        <f t="shared" si="264"/>
        <v>437</v>
      </c>
      <c r="BZ89" s="709">
        <f>BZ83-BZ91</f>
        <v>502</v>
      </c>
      <c r="CA89" s="708">
        <f>CA83-CA91</f>
        <v>1867</v>
      </c>
      <c r="CB89" s="709">
        <f t="shared" si="264"/>
        <v>421</v>
      </c>
      <c r="CC89" s="709">
        <f t="shared" si="264"/>
        <v>495</v>
      </c>
      <c r="CD89" s="709">
        <f t="shared" ref="CD89" si="265">CD83-CD91</f>
        <v>472</v>
      </c>
      <c r="CE89" s="709">
        <f>CE83-CE91</f>
        <v>601</v>
      </c>
      <c r="CF89" s="708">
        <f>CF83-CF91</f>
        <v>1989</v>
      </c>
      <c r="CG89" s="709"/>
      <c r="CH89" s="709"/>
      <c r="CI89" s="709"/>
      <c r="CJ89" s="709"/>
      <c r="CK89" s="708">
        <f>CK83-CK91</f>
        <v>1825</v>
      </c>
      <c r="CL89" s="709"/>
      <c r="CM89" s="709"/>
      <c r="CN89" s="709"/>
      <c r="CO89" s="709"/>
      <c r="CP89" s="708">
        <f>CP83-CP91</f>
        <v>2001</v>
      </c>
      <c r="CQ89" s="709">
        <f t="shared" ref="CQ89:CU89" si="266">CQ83-CQ91</f>
        <v>449.4</v>
      </c>
      <c r="CR89" s="709">
        <f t="shared" si="266"/>
        <v>583.15</v>
      </c>
      <c r="CS89" s="709">
        <f t="shared" si="266"/>
        <v>529.65</v>
      </c>
      <c r="CT89" s="709">
        <f t="shared" si="266"/>
        <v>663.4</v>
      </c>
      <c r="CU89" s="708">
        <f t="shared" si="266"/>
        <v>2225.6</v>
      </c>
      <c r="CV89" s="710"/>
      <c r="CW89" s="710"/>
      <c r="CX89" s="710"/>
      <c r="CY89" s="711"/>
      <c r="CZ89" s="708"/>
      <c r="DA89" s="710"/>
      <c r="DB89" s="710"/>
      <c r="DC89" s="710"/>
      <c r="DD89" s="711"/>
      <c r="DE89" s="708"/>
      <c r="DF89" s="710"/>
      <c r="DG89" s="710"/>
      <c r="DH89" s="710"/>
      <c r="DI89" s="711"/>
      <c r="DJ89" s="708"/>
      <c r="DK89" s="470"/>
      <c r="DL89" s="471"/>
      <c r="DM89" s="864"/>
      <c r="DN89" s="864"/>
      <c r="DO89" s="864"/>
      <c r="DP89" s="1087"/>
      <c r="DQ89" s="1087"/>
      <c r="DR89" s="1087"/>
      <c r="DS89" s="864"/>
      <c r="DT89" s="864"/>
      <c r="DU89" s="864"/>
      <c r="DV89" s="864"/>
      <c r="DW89" s="864"/>
      <c r="DX89" s="864"/>
      <c r="DY89" s="472"/>
      <c r="DZ89" s="464"/>
      <c r="EA89" s="464"/>
      <c r="EB89"/>
      <c r="EC89"/>
      <c r="ED89"/>
      <c r="EE89"/>
      <c r="EF89"/>
      <c r="EG89"/>
    </row>
    <row r="90" spans="1:137" s="398" customFormat="1">
      <c r="A90" s="97" t="s">
        <v>53</v>
      </c>
      <c r="B90" s="80"/>
      <c r="C90" s="80"/>
      <c r="D90" s="80"/>
      <c r="E90" s="80"/>
      <c r="F90" s="80"/>
      <c r="G90" s="80"/>
      <c r="H90" s="82"/>
      <c r="I90" s="82"/>
      <c r="J90" s="82"/>
      <c r="K90" s="82"/>
      <c r="L90" s="80"/>
      <c r="M90" s="82"/>
      <c r="N90" s="82"/>
      <c r="O90" s="82"/>
      <c r="P90" s="82"/>
      <c r="Q90" s="80"/>
      <c r="R90" s="82"/>
      <c r="S90" s="82"/>
      <c r="T90" s="82"/>
      <c r="U90" s="82"/>
      <c r="V90" s="80"/>
      <c r="W90" s="83"/>
      <c r="X90" s="82"/>
      <c r="Y90" s="83"/>
      <c r="Z90" s="83"/>
      <c r="AA90" s="84"/>
      <c r="AB90" s="83"/>
      <c r="AC90" s="82"/>
      <c r="AD90" s="82"/>
      <c r="AE90" s="82"/>
      <c r="AF90" s="84"/>
      <c r="AG90" s="83"/>
      <c r="AH90" s="82"/>
      <c r="AI90" s="82"/>
      <c r="AJ90" s="82"/>
      <c r="AK90" s="80">
        <f t="shared" ref="AK90:AP90" si="267">AK89/AF89-1</f>
        <v>0.1227272727272728</v>
      </c>
      <c r="AL90" s="82">
        <f t="shared" si="267"/>
        <v>-0.1753086419753086</v>
      </c>
      <c r="AM90" s="82">
        <f t="shared" si="267"/>
        <v>0.12649164677804303</v>
      </c>
      <c r="AN90" s="82">
        <f t="shared" si="267"/>
        <v>6.3529411764705834E-2</v>
      </c>
      <c r="AO90" s="82">
        <f t="shared" si="267"/>
        <v>-0.10624999999999996</v>
      </c>
      <c r="AP90" s="80">
        <f t="shared" si="267"/>
        <v>-2.4291497975708509E-2</v>
      </c>
      <c r="AQ90" s="82">
        <f t="shared" ref="AQ90:AZ90" si="268">AQ89/AL89-1</f>
        <v>0.22155688622754499</v>
      </c>
      <c r="AR90" s="82">
        <f t="shared" si="268"/>
        <v>-4.0254237288135597E-2</v>
      </c>
      <c r="AS90" s="82">
        <f t="shared" si="268"/>
        <v>-5.5309734513274367E-2</v>
      </c>
      <c r="AT90" s="82">
        <f t="shared" si="268"/>
        <v>8.6247086247086324E-2</v>
      </c>
      <c r="AU90" s="80">
        <f t="shared" si="268"/>
        <v>3.9715471250741041E-2</v>
      </c>
      <c r="AV90" s="82">
        <f t="shared" si="268"/>
        <v>-9.0686274509803932E-2</v>
      </c>
      <c r="AW90" s="82">
        <f t="shared" si="268"/>
        <v>-8.6092715231788075E-2</v>
      </c>
      <c r="AX90" s="82">
        <f t="shared" si="268"/>
        <v>-0.10304449648711944</v>
      </c>
      <c r="AY90" s="82">
        <f t="shared" si="268"/>
        <v>-0.11373390557939911</v>
      </c>
      <c r="AZ90" s="80">
        <f t="shared" si="268"/>
        <v>-9.8631698973774218E-2</v>
      </c>
      <c r="BA90" s="80"/>
      <c r="BB90" s="82"/>
      <c r="BC90" s="82"/>
      <c r="BD90" s="82"/>
      <c r="BE90" s="82"/>
      <c r="BF90" s="80"/>
      <c r="BG90" s="82">
        <f t="shared" ref="BG90:BM90" si="269">BG89/BB89-1</f>
        <v>-9.0686274509803932E-2</v>
      </c>
      <c r="BH90" s="82">
        <f t="shared" si="269"/>
        <v>-2.1276595744680882E-2</v>
      </c>
      <c r="BI90" s="82">
        <f t="shared" si="269"/>
        <v>-0.10304449648711944</v>
      </c>
      <c r="BJ90" s="82">
        <f t="shared" si="269"/>
        <v>-0.11373390557939911</v>
      </c>
      <c r="BK90" s="80">
        <f t="shared" si="269"/>
        <v>-9.8631698973774218E-2</v>
      </c>
      <c r="BL90" s="82">
        <f t="shared" si="269"/>
        <v>0.13207547169811318</v>
      </c>
      <c r="BM90" s="82">
        <f t="shared" si="269"/>
        <v>0.22705314009661826</v>
      </c>
      <c r="BN90" s="82"/>
      <c r="BO90" s="82"/>
      <c r="BP90" s="80"/>
      <c r="BQ90" s="80"/>
      <c r="BR90" s="82">
        <f>+BR89/BB89-1</f>
        <v>-9.0686274509803932E-2</v>
      </c>
      <c r="BS90" s="82">
        <f t="shared" ref="BS90" si="270">+BS89/BC89-1</f>
        <v>-2.1276595744680882E-2</v>
      </c>
      <c r="BT90" s="82">
        <f t="shared" ref="BT90" si="271">+BT89/BD89-1</f>
        <v>-0.10304449648711944</v>
      </c>
      <c r="BU90" s="82">
        <f t="shared" ref="BU90" si="272">+BU89/BE89-1</f>
        <v>-0.11373390557939911</v>
      </c>
      <c r="BV90" s="80">
        <f t="shared" ref="BV90" si="273">+BV89/BF89-1</f>
        <v>-9.8631698973774218E-2</v>
      </c>
      <c r="BW90" s="82">
        <f t="shared" ref="BW90:CF90" si="274">BW89/BR89-1</f>
        <v>0.13207547169811318</v>
      </c>
      <c r="BX90" s="82">
        <f t="shared" si="274"/>
        <v>0.22705314009661826</v>
      </c>
      <c r="BY90" s="82">
        <f t="shared" si="274"/>
        <v>0.14099216710182771</v>
      </c>
      <c r="BZ90" s="82">
        <f t="shared" si="274"/>
        <v>0.21549636803874095</v>
      </c>
      <c r="CA90" s="80">
        <f t="shared" si="274"/>
        <v>0.18089816571790007</v>
      </c>
      <c r="CB90" s="82">
        <f t="shared" si="274"/>
        <v>2.3809523809523725E-3</v>
      </c>
      <c r="CC90" s="82">
        <f t="shared" si="274"/>
        <v>-2.5590551181102317E-2</v>
      </c>
      <c r="CD90" s="82">
        <f t="shared" si="274"/>
        <v>8.0091533180778107E-2</v>
      </c>
      <c r="CE90" s="82">
        <f t="shared" si="274"/>
        <v>0.1972111553784861</v>
      </c>
      <c r="CF90" s="80">
        <f t="shared" si="274"/>
        <v>6.5345474022495909E-2</v>
      </c>
      <c r="CG90" s="82"/>
      <c r="CH90" s="82"/>
      <c r="CI90" s="82"/>
      <c r="CJ90" s="82"/>
      <c r="CK90" s="80"/>
      <c r="CL90" s="82"/>
      <c r="CM90" s="82"/>
      <c r="CN90" s="82"/>
      <c r="CO90" s="82"/>
      <c r="CP90" s="80">
        <f t="shared" ref="CP90" si="275">CP89/CK89-1</f>
        <v>9.6438356164383565E-2</v>
      </c>
      <c r="CQ90" s="82"/>
      <c r="CR90" s="82"/>
      <c r="CS90" s="82"/>
      <c r="CT90" s="82"/>
      <c r="CU90" s="80">
        <f t="shared" ref="CU90" si="276">CU89/CP89-1</f>
        <v>0.11224387806096936</v>
      </c>
      <c r="CV90" s="103"/>
      <c r="CW90" s="103"/>
      <c r="CX90" s="103"/>
      <c r="CY90" s="105"/>
      <c r="CZ90" s="80"/>
      <c r="DA90" s="103"/>
      <c r="DB90" s="103"/>
      <c r="DC90" s="103"/>
      <c r="DD90" s="105"/>
      <c r="DE90" s="80"/>
      <c r="DF90" s="103"/>
      <c r="DG90" s="103"/>
      <c r="DH90" s="103"/>
      <c r="DI90" s="105"/>
      <c r="DJ90" s="80"/>
      <c r="DK90" s="401"/>
      <c r="DL90" s="74"/>
      <c r="DM90" s="867"/>
      <c r="DN90" s="809"/>
      <c r="DO90" s="809"/>
      <c r="DP90" s="1054"/>
      <c r="DQ90" s="1054"/>
      <c r="DR90" s="1054"/>
      <c r="DS90" s="809"/>
      <c r="DT90" s="809"/>
      <c r="DU90" s="809"/>
      <c r="DV90" s="809"/>
      <c r="DW90" s="809"/>
      <c r="DX90" s="809"/>
      <c r="DY90" s="360"/>
      <c r="DZ90" s="167"/>
      <c r="EA90" s="167"/>
      <c r="EB90"/>
      <c r="EC90"/>
      <c r="ED90"/>
      <c r="EE90"/>
      <c r="EF90"/>
      <c r="EG90"/>
    </row>
    <row r="91" spans="1:137" s="473" customFormat="1">
      <c r="A91" s="734" t="s">
        <v>189</v>
      </c>
      <c r="B91" s="462"/>
      <c r="C91" s="462"/>
      <c r="D91" s="462"/>
      <c r="E91" s="462"/>
      <c r="F91" s="462"/>
      <c r="G91" s="462"/>
      <c r="H91" s="463"/>
      <c r="I91" s="463"/>
      <c r="J91" s="463"/>
      <c r="K91" s="463"/>
      <c r="L91" s="462"/>
      <c r="M91" s="463"/>
      <c r="N91" s="463"/>
      <c r="O91" s="463"/>
      <c r="P91" s="463"/>
      <c r="Q91" s="462"/>
      <c r="R91" s="463"/>
      <c r="S91" s="463"/>
      <c r="T91" s="463"/>
      <c r="U91" s="463"/>
      <c r="V91" s="462"/>
      <c r="W91" s="464"/>
      <c r="X91" s="463"/>
      <c r="Y91" s="464"/>
      <c r="Z91" s="464"/>
      <c r="AA91" s="465"/>
      <c r="AB91" s="464"/>
      <c r="AC91" s="463"/>
      <c r="AD91" s="463"/>
      <c r="AE91" s="463"/>
      <c r="AF91" s="465">
        <v>90</v>
      </c>
      <c r="AG91" s="464">
        <v>-20</v>
      </c>
      <c r="AH91" s="463">
        <v>35</v>
      </c>
      <c r="AI91" s="463">
        <v>-10</v>
      </c>
      <c r="AJ91" s="463">
        <v>-35</v>
      </c>
      <c r="AK91" s="462">
        <v>-30</v>
      </c>
      <c r="AL91" s="463">
        <v>45</v>
      </c>
      <c r="AM91" s="463">
        <v>-65</v>
      </c>
      <c r="AN91" s="463">
        <v>-40</v>
      </c>
      <c r="AO91" s="463">
        <v>-15</v>
      </c>
      <c r="AP91" s="462">
        <v>-75</v>
      </c>
      <c r="AQ91" s="463">
        <v>-15</v>
      </c>
      <c r="AR91" s="794">
        <v>0</v>
      </c>
      <c r="AS91" s="794">
        <v>-65</v>
      </c>
      <c r="AT91" s="794">
        <v>-25</v>
      </c>
      <c r="AU91" s="838">
        <v>-105</v>
      </c>
      <c r="AV91" s="794">
        <v>0</v>
      </c>
      <c r="AW91" s="794">
        <v>30</v>
      </c>
      <c r="AX91" s="794">
        <v>35</v>
      </c>
      <c r="AY91" s="794">
        <f>+AZ91-SUM(AV91:AX91)</f>
        <v>35</v>
      </c>
      <c r="AZ91" s="838">
        <v>100</v>
      </c>
      <c r="BA91" s="838"/>
      <c r="BB91" s="794">
        <v>-15</v>
      </c>
      <c r="BC91" s="794">
        <v>30</v>
      </c>
      <c r="BD91" s="794">
        <v>-65</v>
      </c>
      <c r="BE91" s="794">
        <v>-25</v>
      </c>
      <c r="BF91" s="838">
        <v>-105</v>
      </c>
      <c r="BG91" s="794">
        <v>0</v>
      </c>
      <c r="BH91" s="794">
        <v>30</v>
      </c>
      <c r="BI91" s="794">
        <v>35</v>
      </c>
      <c r="BJ91" s="794">
        <f>+BK91-SUM(BG91:BI91)</f>
        <v>35</v>
      </c>
      <c r="BK91" s="838">
        <v>100</v>
      </c>
      <c r="BL91" s="794">
        <v>0</v>
      </c>
      <c r="BM91" s="794">
        <f>+-30-BL91</f>
        <v>-30</v>
      </c>
      <c r="BN91" s="794"/>
      <c r="BO91" s="82"/>
      <c r="BP91" s="462"/>
      <c r="BQ91" s="838"/>
      <c r="BR91" s="794">
        <v>0</v>
      </c>
      <c r="BS91" s="794">
        <v>30</v>
      </c>
      <c r="BT91" s="794">
        <v>35</v>
      </c>
      <c r="BU91" s="794">
        <f>+BV91-SUM(BR91:BT91)</f>
        <v>35</v>
      </c>
      <c r="BV91" s="838">
        <v>100</v>
      </c>
      <c r="BW91" s="794">
        <v>0</v>
      </c>
      <c r="BX91" s="794">
        <f>+-30-BW91</f>
        <v>-30</v>
      </c>
      <c r="BY91" s="794">
        <f>-30-BX91-BW91</f>
        <v>0</v>
      </c>
      <c r="BZ91" s="794">
        <f>20-SUM(BW91:BY91)</f>
        <v>50</v>
      </c>
      <c r="CA91" s="838">
        <f>+SUM(BW91:BZ91)</f>
        <v>20</v>
      </c>
      <c r="CB91" s="794">
        <v>15</v>
      </c>
      <c r="CC91" s="1064">
        <v>55</v>
      </c>
      <c r="CD91" s="584">
        <v>45</v>
      </c>
      <c r="CE91" s="584">
        <f>175-CD91-CC91-CB91</f>
        <v>60</v>
      </c>
      <c r="CF91" s="585">
        <f>+SUM(CB91:CE91)</f>
        <v>175</v>
      </c>
      <c r="CG91" s="794"/>
      <c r="CH91" s="794"/>
      <c r="CI91" s="794"/>
      <c r="CJ91" s="794"/>
      <c r="CK91" s="585">
        <v>20</v>
      </c>
      <c r="CL91" s="794"/>
      <c r="CM91" s="1064"/>
      <c r="CN91" s="584"/>
      <c r="CO91" s="584"/>
      <c r="CP91" s="838">
        <v>175</v>
      </c>
      <c r="CQ91" s="1024">
        <v>0</v>
      </c>
      <c r="CR91" s="1024">
        <v>0</v>
      </c>
      <c r="CS91" s="1024">
        <v>0</v>
      </c>
      <c r="CT91" s="1024">
        <v>0</v>
      </c>
      <c r="CU91" s="838">
        <f>+SUM(CQ91:CT91)</f>
        <v>0</v>
      </c>
      <c r="CV91" s="468"/>
      <c r="CW91" s="468"/>
      <c r="CX91" s="468"/>
      <c r="CY91" s="469"/>
      <c r="CZ91" s="462"/>
      <c r="DA91" s="468"/>
      <c r="DB91" s="468"/>
      <c r="DC91" s="468"/>
      <c r="DD91" s="469"/>
      <c r="DE91" s="462"/>
      <c r="DF91" s="468"/>
      <c r="DG91" s="468"/>
      <c r="DH91" s="468"/>
      <c r="DI91" s="469"/>
      <c r="DJ91" s="462"/>
      <c r="DK91" s="470"/>
      <c r="DL91" s="471"/>
      <c r="DM91" s="864"/>
      <c r="DN91" s="864"/>
      <c r="DO91" s="864"/>
      <c r="DP91" s="1087"/>
      <c r="DQ91" s="1087"/>
      <c r="DR91" s="1087"/>
      <c r="DS91" s="864"/>
      <c r="DT91" s="864"/>
      <c r="DU91" s="864"/>
      <c r="DV91" s="864"/>
      <c r="DW91" s="864"/>
      <c r="DX91" s="864"/>
      <c r="DY91" s="472"/>
      <c r="DZ91" s="464"/>
      <c r="EA91" s="464"/>
      <c r="EB91"/>
      <c r="EC91"/>
      <c r="ED91"/>
      <c r="EE91"/>
      <c r="EF91"/>
      <c r="EG91"/>
    </row>
    <row r="92" spans="1:137" s="429" customFormat="1">
      <c r="A92" s="784" t="s">
        <v>198</v>
      </c>
      <c r="B92" s="562"/>
      <c r="C92" s="562"/>
      <c r="D92" s="562"/>
      <c r="E92" s="562"/>
      <c r="F92" s="562"/>
      <c r="G92" s="562"/>
      <c r="H92" s="543"/>
      <c r="I92" s="543"/>
      <c r="J92" s="543"/>
      <c r="K92" s="543"/>
      <c r="L92" s="562"/>
      <c r="M92" s="543"/>
      <c r="N92" s="543"/>
      <c r="O92" s="543"/>
      <c r="P92" s="543"/>
      <c r="Q92" s="562"/>
      <c r="R92" s="543"/>
      <c r="S92" s="543"/>
      <c r="T92" s="543"/>
      <c r="U92" s="543"/>
      <c r="V92" s="562"/>
      <c r="W92" s="428"/>
      <c r="X92" s="543"/>
      <c r="Y92" s="428"/>
      <c r="Z92" s="428"/>
      <c r="AA92" s="522"/>
      <c r="AB92" s="428"/>
      <c r="AC92" s="543"/>
      <c r="AD92" s="543"/>
      <c r="AE92" s="543"/>
      <c r="AF92" s="522">
        <f t="shared" ref="AF92:AZ92" si="277">AF91/AF83</f>
        <v>5.5214723926380369E-2</v>
      </c>
      <c r="AG92" s="428">
        <f t="shared" si="277"/>
        <v>-5.1948051948051951E-2</v>
      </c>
      <c r="AH92" s="543">
        <f t="shared" si="277"/>
        <v>7.7092511013215861E-2</v>
      </c>
      <c r="AI92" s="543">
        <f t="shared" si="277"/>
        <v>-2.4096385542168676E-2</v>
      </c>
      <c r="AJ92" s="543">
        <f t="shared" si="277"/>
        <v>-7.8651685393258425E-2</v>
      </c>
      <c r="AK92" s="562">
        <f t="shared" si="277"/>
        <v>-1.7657445556209534E-2</v>
      </c>
      <c r="AL92" s="543">
        <f t="shared" si="277"/>
        <v>0.11873350923482849</v>
      </c>
      <c r="AM92" s="543">
        <f t="shared" si="277"/>
        <v>-0.15970515970515969</v>
      </c>
      <c r="AN92" s="543">
        <f t="shared" si="277"/>
        <v>-9.7087378640776698E-2</v>
      </c>
      <c r="AO92" s="543">
        <f t="shared" si="277"/>
        <v>-3.6231884057971016E-2</v>
      </c>
      <c r="AP92" s="562">
        <f t="shared" si="277"/>
        <v>-4.6526054590570722E-2</v>
      </c>
      <c r="AQ92" s="543">
        <f t="shared" si="277"/>
        <v>-3.8167938931297711E-2</v>
      </c>
      <c r="AR92" s="543">
        <f t="shared" si="277"/>
        <v>0</v>
      </c>
      <c r="AS92" s="543">
        <f t="shared" si="277"/>
        <v>-0.17955801104972377</v>
      </c>
      <c r="AT92" s="543">
        <f t="shared" si="277"/>
        <v>-5.6689342403628121E-2</v>
      </c>
      <c r="AU92" s="562">
        <f t="shared" si="277"/>
        <v>-6.3674954517889626E-2</v>
      </c>
      <c r="AV92" s="543">
        <f t="shared" si="277"/>
        <v>0</v>
      </c>
      <c r="AW92" s="543">
        <f t="shared" si="277"/>
        <v>6.7567567567567571E-2</v>
      </c>
      <c r="AX92" s="543">
        <f t="shared" si="277"/>
        <v>8.3732057416267949E-2</v>
      </c>
      <c r="AY92" s="543">
        <f t="shared" si="277"/>
        <v>7.8125E-2</v>
      </c>
      <c r="AZ92" s="562">
        <f t="shared" si="277"/>
        <v>5.9488399762046403E-2</v>
      </c>
      <c r="BA92" s="562"/>
      <c r="BB92" s="543">
        <f t="shared" ref="BB92:BM92" si="278">BB91/BB83</f>
        <v>-3.8167938931297711E-2</v>
      </c>
      <c r="BC92" s="543">
        <f t="shared" si="278"/>
        <v>6.6225165562913912E-2</v>
      </c>
      <c r="BD92" s="543">
        <f t="shared" si="278"/>
        <v>-0.17955801104972377</v>
      </c>
      <c r="BE92" s="543">
        <f t="shared" si="278"/>
        <v>-5.6689342403628121E-2</v>
      </c>
      <c r="BF92" s="562">
        <f t="shared" si="278"/>
        <v>-6.3674954517889626E-2</v>
      </c>
      <c r="BG92" s="543">
        <f t="shared" si="278"/>
        <v>0</v>
      </c>
      <c r="BH92" s="543">
        <f t="shared" si="278"/>
        <v>6.7567567567567571E-2</v>
      </c>
      <c r="BI92" s="543">
        <f t="shared" si="278"/>
        <v>8.3732057416267949E-2</v>
      </c>
      <c r="BJ92" s="543">
        <f t="shared" si="278"/>
        <v>7.8125E-2</v>
      </c>
      <c r="BK92" s="562">
        <f t="shared" si="278"/>
        <v>5.9488399762046403E-2</v>
      </c>
      <c r="BL92" s="543">
        <f t="shared" si="278"/>
        <v>0</v>
      </c>
      <c r="BM92" s="543">
        <f t="shared" si="278"/>
        <v>-6.2761506276150625E-2</v>
      </c>
      <c r="BN92" s="543"/>
      <c r="BO92" s="543"/>
      <c r="BP92" s="562"/>
      <c r="BQ92" s="562"/>
      <c r="BR92" s="543">
        <f t="shared" ref="BR92:CC92" si="279">BR91/BR83</f>
        <v>0</v>
      </c>
      <c r="BS92" s="543">
        <f t="shared" si="279"/>
        <v>6.7567567567567571E-2</v>
      </c>
      <c r="BT92" s="543">
        <f t="shared" si="279"/>
        <v>8.3732057416267949E-2</v>
      </c>
      <c r="BU92" s="543">
        <f t="shared" si="279"/>
        <v>7.8125E-2</v>
      </c>
      <c r="BV92" s="562">
        <f t="shared" si="279"/>
        <v>5.9488399762046403E-2</v>
      </c>
      <c r="BW92" s="543">
        <f t="shared" si="279"/>
        <v>0</v>
      </c>
      <c r="BX92" s="543">
        <f t="shared" si="279"/>
        <v>-6.2761506276150625E-2</v>
      </c>
      <c r="BY92" s="543">
        <f t="shared" si="279"/>
        <v>0</v>
      </c>
      <c r="BZ92" s="543">
        <f>BZ91/BZ83</f>
        <v>9.0579710144927536E-2</v>
      </c>
      <c r="CA92" s="562">
        <f>CA91/CA83</f>
        <v>1.0598834128245893E-2</v>
      </c>
      <c r="CB92" s="543">
        <f t="shared" si="279"/>
        <v>3.4403669724770644E-2</v>
      </c>
      <c r="CC92" s="543">
        <f t="shared" si="279"/>
        <v>0.1</v>
      </c>
      <c r="CD92" s="543">
        <f t="shared" ref="CD92" si="280">CD91/CD83</f>
        <v>8.7040618955512572E-2</v>
      </c>
      <c r="CE92" s="543">
        <f>CE91/CE83</f>
        <v>9.0771558245083206E-2</v>
      </c>
      <c r="CF92" s="562">
        <f>CF91/CF83</f>
        <v>8.0868761552680218E-2</v>
      </c>
      <c r="CG92" s="543"/>
      <c r="CH92" s="543"/>
      <c r="CI92" s="543"/>
      <c r="CJ92" s="543"/>
      <c r="CK92" s="562">
        <f>CK91/CK83</f>
        <v>1.0840108401084011E-2</v>
      </c>
      <c r="CL92" s="543"/>
      <c r="CM92" s="543"/>
      <c r="CN92" s="543"/>
      <c r="CO92" s="543"/>
      <c r="CP92" s="562">
        <f>CP91/CP83</f>
        <v>8.0422794117647065E-2</v>
      </c>
      <c r="CQ92" s="543">
        <f t="shared" ref="CQ92:CU92" si="281">CQ91/CQ83</f>
        <v>0</v>
      </c>
      <c r="CR92" s="543">
        <f t="shared" si="281"/>
        <v>0</v>
      </c>
      <c r="CS92" s="543">
        <f t="shared" si="281"/>
        <v>0</v>
      </c>
      <c r="CT92" s="543">
        <f t="shared" si="281"/>
        <v>0</v>
      </c>
      <c r="CU92" s="562">
        <f t="shared" si="281"/>
        <v>0</v>
      </c>
      <c r="CV92" s="524"/>
      <c r="CW92" s="524"/>
      <c r="CX92" s="524"/>
      <c r="CY92" s="525"/>
      <c r="CZ92" s="562"/>
      <c r="DA92" s="524"/>
      <c r="DB92" s="524"/>
      <c r="DC92" s="524"/>
      <c r="DD92" s="525"/>
      <c r="DE92" s="562"/>
      <c r="DF92" s="524"/>
      <c r="DG92" s="524"/>
      <c r="DH92" s="524"/>
      <c r="DI92" s="525"/>
      <c r="DJ92" s="562"/>
      <c r="DK92" s="523"/>
      <c r="DL92" s="598"/>
      <c r="DM92" s="830"/>
      <c r="DN92" s="830"/>
      <c r="DO92" s="830"/>
      <c r="DP92" s="1056"/>
      <c r="DQ92" s="1056"/>
      <c r="DR92" s="1056"/>
      <c r="DS92" s="830"/>
      <c r="DT92" s="830"/>
      <c r="DU92" s="830"/>
      <c r="DV92" s="830"/>
      <c r="DW92" s="830"/>
      <c r="DX92" s="830"/>
      <c r="DY92" s="427"/>
      <c r="DZ92" s="428"/>
      <c r="EA92" s="428"/>
      <c r="EB92"/>
      <c r="EC92"/>
      <c r="ED92"/>
      <c r="EE92"/>
      <c r="EF92"/>
      <c r="EG92"/>
    </row>
    <row r="93" spans="1:137" s="166" customFormat="1" hidden="1" outlineLevel="1">
      <c r="A93" s="59" t="s">
        <v>11</v>
      </c>
      <c r="B93" s="108">
        <f t="shared" ref="B93:AG93" si="282">B95/B16</f>
        <v>5.9131344845630561E-2</v>
      </c>
      <c r="C93" s="108">
        <f t="shared" si="282"/>
        <v>6.8311815656152963E-2</v>
      </c>
      <c r="D93" s="108">
        <f t="shared" si="282"/>
        <v>7.8404610251744014E-2</v>
      </c>
      <c r="E93" s="108">
        <f t="shared" si="282"/>
        <v>8.0883313733176532E-2</v>
      </c>
      <c r="F93" s="108">
        <f t="shared" si="282"/>
        <v>8.745293331713834E-2</v>
      </c>
      <c r="G93" s="108">
        <f t="shared" si="282"/>
        <v>8.9432703003337041E-2</v>
      </c>
      <c r="H93" s="107">
        <f t="shared" si="282"/>
        <v>9.2307692307692313E-2</v>
      </c>
      <c r="I93" s="107">
        <f t="shared" si="282"/>
        <v>9.166666666666666E-2</v>
      </c>
      <c r="J93" s="107">
        <f t="shared" si="282"/>
        <v>9.0305934389974196E-2</v>
      </c>
      <c r="K93" s="107">
        <f t="shared" si="282"/>
        <v>9.700176366843033E-2</v>
      </c>
      <c r="L93" s="108">
        <f t="shared" si="282"/>
        <v>9.2920787231959262E-2</v>
      </c>
      <c r="M93" s="107">
        <f t="shared" si="282"/>
        <v>9.1853035143769968E-2</v>
      </c>
      <c r="N93" s="107">
        <f t="shared" si="282"/>
        <v>9.5171448565430375E-2</v>
      </c>
      <c r="O93" s="107">
        <f t="shared" si="282"/>
        <v>9.0508474576271189E-2</v>
      </c>
      <c r="P93" s="107">
        <f t="shared" si="282"/>
        <v>9.3058502576538346E-2</v>
      </c>
      <c r="Q93" s="108">
        <f t="shared" si="282"/>
        <v>9.2670743260701058E-2</v>
      </c>
      <c r="R93" s="107">
        <f t="shared" si="282"/>
        <v>8.7649402390438252E-2</v>
      </c>
      <c r="S93" s="107">
        <f t="shared" si="282"/>
        <v>8.83629191321499E-2</v>
      </c>
      <c r="T93" s="107">
        <f t="shared" si="282"/>
        <v>8.9983022071307303E-2</v>
      </c>
      <c r="U93" s="107">
        <f t="shared" si="282"/>
        <v>9.8404255319148939E-2</v>
      </c>
      <c r="V93" s="108">
        <f t="shared" si="282"/>
        <v>9.1112407623492805E-2</v>
      </c>
      <c r="W93" s="107">
        <f t="shared" si="282"/>
        <v>8.8182632050134283E-2</v>
      </c>
      <c r="X93" s="107">
        <f t="shared" si="282"/>
        <v>8.326724821570182E-2</v>
      </c>
      <c r="Y93" s="107">
        <f t="shared" si="282"/>
        <v>8.237623762376238E-2</v>
      </c>
      <c r="Z93" s="107">
        <f t="shared" si="282"/>
        <v>7.5378787878787878E-2</v>
      </c>
      <c r="AA93" s="108">
        <f t="shared" si="282"/>
        <v>8.2048180626952932E-2</v>
      </c>
      <c r="AB93" s="107">
        <f t="shared" si="282"/>
        <v>9.0274546300604927E-2</v>
      </c>
      <c r="AC93" s="107">
        <f t="shared" si="282"/>
        <v>9.0216010165184241E-2</v>
      </c>
      <c r="AD93" s="107">
        <f t="shared" si="282"/>
        <v>9.1691777873439517E-2</v>
      </c>
      <c r="AE93" s="107">
        <f t="shared" si="282"/>
        <v>9.968602825745683E-2</v>
      </c>
      <c r="AF93" s="108">
        <f t="shared" si="282"/>
        <v>9.3167039761219483E-2</v>
      </c>
      <c r="AG93" s="107">
        <f t="shared" si="282"/>
        <v>8.9952153110047853E-2</v>
      </c>
      <c r="AH93" s="107">
        <f t="shared" ref="AH93:BM93" si="283">AH95/AH16</f>
        <v>9.1913389306230664E-2</v>
      </c>
      <c r="AI93" s="107">
        <f t="shared" si="283"/>
        <v>9.1186736474694594E-2</v>
      </c>
      <c r="AJ93" s="107">
        <f t="shared" si="283"/>
        <v>9.2230804179918219E-2</v>
      </c>
      <c r="AK93" s="108">
        <f t="shared" si="283"/>
        <v>9.1340718969025542E-2</v>
      </c>
      <c r="AL93" s="107">
        <f t="shared" si="283"/>
        <v>8.9743589743589744E-2</v>
      </c>
      <c r="AM93" s="107">
        <f t="shared" si="283"/>
        <v>9.2336982389338407E-2</v>
      </c>
      <c r="AN93" s="107">
        <f t="shared" si="283"/>
        <v>9.0820786789703734E-2</v>
      </c>
      <c r="AO93" s="107">
        <f t="shared" si="283"/>
        <v>8.9957163255592582E-2</v>
      </c>
      <c r="AP93" s="108">
        <f t="shared" si="283"/>
        <v>9.0713517389745424E-2</v>
      </c>
      <c r="AQ93" s="107">
        <f t="shared" si="283"/>
        <v>9.1099476439790578E-2</v>
      </c>
      <c r="AR93" s="107">
        <f t="shared" si="283"/>
        <v>9.0159711488923239E-2</v>
      </c>
      <c r="AS93" s="107">
        <f t="shared" si="283"/>
        <v>8.9789635710620833E-2</v>
      </c>
      <c r="AT93" s="107">
        <f t="shared" si="283"/>
        <v>8.8028169014084501E-2</v>
      </c>
      <c r="AU93" s="108">
        <f t="shared" si="283"/>
        <v>8.9753466872110943E-2</v>
      </c>
      <c r="AV93" s="107">
        <f t="shared" si="283"/>
        <v>7.2766185125735683E-2</v>
      </c>
      <c r="AW93" s="107">
        <f t="shared" si="283"/>
        <v>8.429926238145416E-2</v>
      </c>
      <c r="AX93" s="107">
        <f t="shared" si="283"/>
        <v>8.7165775401069512E-2</v>
      </c>
      <c r="AY93" s="107">
        <f t="shared" si="283"/>
        <v>9.2806150466776496E-2</v>
      </c>
      <c r="AZ93" s="108">
        <f t="shared" si="283"/>
        <v>8.4204880665057658E-2</v>
      </c>
      <c r="BA93" s="108">
        <f t="shared" si="283"/>
        <v>8.1439084219133276E-2</v>
      </c>
      <c r="BB93" s="107">
        <f t="shared" si="283"/>
        <v>9.0096798212956075E-2</v>
      </c>
      <c r="BC93" s="107">
        <f t="shared" si="283"/>
        <v>8.1218274111675121E-2</v>
      </c>
      <c r="BD93" s="107">
        <f t="shared" si="283"/>
        <v>8.4663428174878555E-2</v>
      </c>
      <c r="BE93" s="107">
        <f t="shared" si="283"/>
        <v>7.847082494969819E-2</v>
      </c>
      <c r="BF93" s="108">
        <f t="shared" si="283"/>
        <v>8.3480721613017339E-2</v>
      </c>
      <c r="BG93" s="107">
        <f t="shared" si="283"/>
        <v>0.10431654676258993</v>
      </c>
      <c r="BH93" s="107">
        <f t="shared" si="283"/>
        <v>7.5994318181818177E-2</v>
      </c>
      <c r="BI93" s="107">
        <f t="shared" si="283"/>
        <v>8.9221984296930762E-2</v>
      </c>
      <c r="BJ93" s="107">
        <f t="shared" si="283"/>
        <v>9.3772369362920549E-2</v>
      </c>
      <c r="BK93" s="108">
        <f t="shared" si="283"/>
        <v>9.0779127948534669E-2</v>
      </c>
      <c r="BL93" s="107">
        <f t="shared" si="283"/>
        <v>8.1709145427286356E-2</v>
      </c>
      <c r="BM93" s="107">
        <f t="shared" si="283"/>
        <v>0.11293941660433807</v>
      </c>
      <c r="BN93" s="107"/>
      <c r="BO93" s="107"/>
      <c r="BP93" s="110"/>
      <c r="BQ93" s="108"/>
      <c r="BR93" s="107"/>
      <c r="BS93" s="107"/>
      <c r="BT93" s="107"/>
      <c r="BU93" s="107"/>
      <c r="BV93" s="108"/>
      <c r="BW93" s="107"/>
      <c r="BX93" s="107"/>
      <c r="BY93" s="107"/>
      <c r="BZ93" s="107"/>
      <c r="CA93" s="110"/>
      <c r="CB93" s="107"/>
      <c r="CC93" s="107"/>
      <c r="CD93" s="107"/>
      <c r="CE93" s="107"/>
      <c r="CF93" s="110"/>
      <c r="CG93" s="107"/>
      <c r="CH93" s="107"/>
      <c r="CI93" s="107"/>
      <c r="CJ93" s="107"/>
      <c r="CK93" s="110"/>
      <c r="CL93" s="107"/>
      <c r="CM93" s="107"/>
      <c r="CN93" s="107"/>
      <c r="CO93" s="107"/>
      <c r="CP93" s="110"/>
      <c r="CQ93" s="109"/>
      <c r="CR93" s="109"/>
      <c r="CS93" s="109"/>
      <c r="CT93" s="111"/>
      <c r="CU93" s="110"/>
      <c r="CV93" s="109"/>
      <c r="CW93" s="109"/>
      <c r="CX93" s="109"/>
      <c r="CY93" s="111"/>
      <c r="CZ93" s="110"/>
      <c r="DA93" s="109"/>
      <c r="DB93" s="109"/>
      <c r="DC93" s="109"/>
      <c r="DD93" s="111"/>
      <c r="DE93" s="110"/>
      <c r="DF93" s="109"/>
      <c r="DG93" s="109"/>
      <c r="DH93" s="109"/>
      <c r="DI93" s="111"/>
      <c r="DJ93" s="110"/>
      <c r="DK93" s="403"/>
      <c r="DL93" s="404"/>
      <c r="DM93" s="809"/>
      <c r="DN93" s="809"/>
      <c r="DO93" s="809"/>
      <c r="DP93" s="1054"/>
      <c r="DQ93" s="1054"/>
      <c r="DR93" s="1054"/>
      <c r="DS93" s="809"/>
      <c r="DT93" s="809"/>
      <c r="DU93" s="809"/>
      <c r="DV93" s="809"/>
      <c r="DW93" s="809"/>
      <c r="DX93" s="809"/>
      <c r="DY93" s="404"/>
      <c r="DZ93" s="405"/>
      <c r="EA93" s="405"/>
      <c r="EB93"/>
      <c r="EC93"/>
      <c r="ED93"/>
      <c r="EE93"/>
      <c r="EF93"/>
      <c r="EG93"/>
    </row>
    <row r="94" spans="1:137" s="398" customFormat="1" hidden="1" outlineLevel="1">
      <c r="A94" s="106" t="s">
        <v>57</v>
      </c>
      <c r="B94" s="19"/>
      <c r="C94" s="253">
        <f>(C93-B93)*100</f>
        <v>0.9180470810522402</v>
      </c>
      <c r="D94" s="253">
        <f>(D93-C93)*100</f>
        <v>1.009279459559105</v>
      </c>
      <c r="E94" s="253">
        <f>(E93-D93)*100</f>
        <v>0.24787034814325176</v>
      </c>
      <c r="F94" s="253">
        <f>(F93-E93)*100</f>
        <v>0.65696195839618077</v>
      </c>
      <c r="G94" s="253">
        <f>(G93-F93)*100</f>
        <v>0.19797696861987013</v>
      </c>
      <c r="H94" s="254"/>
      <c r="I94" s="254"/>
      <c r="J94" s="254"/>
      <c r="K94" s="254"/>
      <c r="L94" s="253">
        <f t="shared" ref="L94:AP94" si="284">(L93-G93)*100</f>
        <v>0.34880842286222208</v>
      </c>
      <c r="M94" s="254">
        <f t="shared" si="284"/>
        <v>-4.5465716392234512E-2</v>
      </c>
      <c r="N94" s="254">
        <f t="shared" si="284"/>
        <v>0.35047818987637147</v>
      </c>
      <c r="O94" s="254">
        <f t="shared" si="284"/>
        <v>2.0254018629699277E-2</v>
      </c>
      <c r="P94" s="255">
        <f t="shared" si="284"/>
        <v>-0.39432610918919836</v>
      </c>
      <c r="Q94" s="256">
        <f t="shared" si="284"/>
        <v>-2.5004397125820421E-2</v>
      </c>
      <c r="R94" s="254">
        <f t="shared" si="284"/>
        <v>-0.42036327533317153</v>
      </c>
      <c r="S94" s="254">
        <f t="shared" si="284"/>
        <v>-0.68085294332804747</v>
      </c>
      <c r="T94" s="254">
        <f t="shared" si="284"/>
        <v>-5.2545250496388585E-2</v>
      </c>
      <c r="U94" s="254">
        <f t="shared" si="284"/>
        <v>0.53457527426105933</v>
      </c>
      <c r="V94" s="256">
        <f t="shared" si="284"/>
        <v>-0.15583356372082524</v>
      </c>
      <c r="W94" s="254">
        <f t="shared" si="284"/>
        <v>5.3322965969603009E-2</v>
      </c>
      <c r="X94" s="254">
        <f t="shared" si="284"/>
        <v>-0.50956709164480807</v>
      </c>
      <c r="Y94" s="254">
        <f t="shared" si="284"/>
        <v>-0.76067844475449231</v>
      </c>
      <c r="Z94" s="254">
        <f t="shared" si="284"/>
        <v>-2.302546744036106</v>
      </c>
      <c r="AA94" s="257">
        <f t="shared" si="284"/>
        <v>-0.90642269965398725</v>
      </c>
      <c r="AB94" s="254">
        <f t="shared" si="284"/>
        <v>0.20919142504706445</v>
      </c>
      <c r="AC94" s="254">
        <f t="shared" si="284"/>
        <v>0.69487619494824204</v>
      </c>
      <c r="AD94" s="254">
        <f t="shared" si="284"/>
        <v>0.93155402496771367</v>
      </c>
      <c r="AE94" s="254">
        <f t="shared" si="284"/>
        <v>2.4307240378668951</v>
      </c>
      <c r="AF94" s="257">
        <f t="shared" si="284"/>
        <v>1.1118859134266552</v>
      </c>
      <c r="AG94" s="254">
        <f t="shared" si="284"/>
        <v>-3.2239319055707427E-2</v>
      </c>
      <c r="AH94" s="255">
        <f t="shared" si="284"/>
        <v>0.16973791410464234</v>
      </c>
      <c r="AI94" s="255">
        <f t="shared" si="284"/>
        <v>-5.0504139874492371E-2</v>
      </c>
      <c r="AJ94" s="254">
        <f t="shared" si="284"/>
        <v>-0.74552240775386114</v>
      </c>
      <c r="AK94" s="257">
        <f t="shared" si="284"/>
        <v>-0.18263207921939417</v>
      </c>
      <c r="AL94" s="254">
        <f t="shared" si="284"/>
        <v>-2.085633664581088E-2</v>
      </c>
      <c r="AM94" s="254">
        <f>(AM93-AH93)*100</f>
        <v>4.235930831077428E-2</v>
      </c>
      <c r="AN94" s="254">
        <f>(AN93-AI93)*100</f>
        <v>-3.6594968499086E-2</v>
      </c>
      <c r="AO94" s="254">
        <f t="shared" si="284"/>
        <v>-0.22736409243256372</v>
      </c>
      <c r="AP94" s="257">
        <f t="shared" si="284"/>
        <v>-6.2720157928011777E-2</v>
      </c>
      <c r="AQ94" s="254">
        <f t="shared" ref="AQ94:AZ94" si="285">(AQ93-AL93)*100</f>
        <v>0.13558866962008337</v>
      </c>
      <c r="AR94" s="254">
        <f t="shared" si="285"/>
        <v>-0.2177270900415168</v>
      </c>
      <c r="AS94" s="254">
        <f t="shared" si="285"/>
        <v>-0.10311510790829009</v>
      </c>
      <c r="AT94" s="254">
        <f t="shared" si="285"/>
        <v>-0.19289942415080807</v>
      </c>
      <c r="AU94" s="257">
        <f t="shared" si="285"/>
        <v>-9.600505176344809E-2</v>
      </c>
      <c r="AV94" s="254">
        <f t="shared" si="285"/>
        <v>-1.8333291314054896</v>
      </c>
      <c r="AW94" s="254">
        <f t="shared" si="285"/>
        <v>-0.5860449107469079</v>
      </c>
      <c r="AX94" s="254">
        <f t="shared" si="285"/>
        <v>-0.26238603095513208</v>
      </c>
      <c r="AY94" s="254">
        <f t="shared" si="285"/>
        <v>0.47779814526919956</v>
      </c>
      <c r="AZ94" s="257">
        <f t="shared" si="285"/>
        <v>-0.55485862070532854</v>
      </c>
      <c r="BA94" s="257"/>
      <c r="BB94" s="254"/>
      <c r="BC94" s="254"/>
      <c r="BD94" s="254"/>
      <c r="BE94" s="254"/>
      <c r="BF94" s="257">
        <f t="shared" ref="BF94:BM94" si="286">(BF93-BA93)*100</f>
        <v>0.20416373938840632</v>
      </c>
      <c r="BG94" s="254">
        <f t="shared" si="286"/>
        <v>1.4219748549633857</v>
      </c>
      <c r="BH94" s="254">
        <f t="shared" si="286"/>
        <v>-0.52239559298569438</v>
      </c>
      <c r="BI94" s="254">
        <f t="shared" si="286"/>
        <v>0.45585561220522069</v>
      </c>
      <c r="BJ94" s="254">
        <f t="shared" si="286"/>
        <v>1.5301544413222359</v>
      </c>
      <c r="BK94" s="257">
        <f t="shared" si="286"/>
        <v>0.7298406335517329</v>
      </c>
      <c r="BL94" s="254">
        <f t="shared" si="286"/>
        <v>-2.2607401335303576</v>
      </c>
      <c r="BM94" s="254">
        <f t="shared" si="286"/>
        <v>3.6945098422519891</v>
      </c>
      <c r="BN94" s="254"/>
      <c r="BO94" s="254"/>
      <c r="BP94" s="257"/>
      <c r="BQ94" s="257"/>
      <c r="BR94" s="254"/>
      <c r="BS94" s="254"/>
      <c r="BT94" s="254"/>
      <c r="BU94" s="254"/>
      <c r="BV94" s="257"/>
      <c r="BW94" s="254"/>
      <c r="BX94" s="254"/>
      <c r="BY94" s="254"/>
      <c r="BZ94" s="254"/>
      <c r="CA94" s="257"/>
      <c r="CB94" s="254"/>
      <c r="CC94" s="254"/>
      <c r="CD94" s="254"/>
      <c r="CE94" s="254"/>
      <c r="CF94" s="257"/>
      <c r="CG94" s="254"/>
      <c r="CH94" s="254"/>
      <c r="CI94" s="254"/>
      <c r="CJ94" s="254"/>
      <c r="CK94" s="257"/>
      <c r="CL94" s="254"/>
      <c r="CM94" s="254"/>
      <c r="CN94" s="254"/>
      <c r="CO94" s="254"/>
      <c r="CP94" s="257"/>
      <c r="CQ94" s="30"/>
      <c r="CR94" s="30"/>
      <c r="CS94" s="30"/>
      <c r="CT94" s="31"/>
      <c r="CU94" s="257"/>
      <c r="CV94" s="30"/>
      <c r="CW94" s="30"/>
      <c r="CX94" s="30"/>
      <c r="CY94" s="31"/>
      <c r="CZ94" s="257"/>
      <c r="DA94" s="30"/>
      <c r="DB94" s="30"/>
      <c r="DC94" s="30"/>
      <c r="DD94" s="31"/>
      <c r="DE94" s="257"/>
      <c r="DF94" s="30"/>
      <c r="DG94" s="30"/>
      <c r="DH94" s="30"/>
      <c r="DI94" s="31"/>
      <c r="DJ94" s="257"/>
      <c r="DK94" s="397"/>
      <c r="DL94" s="74"/>
      <c r="DM94" s="809"/>
      <c r="DN94" s="809"/>
      <c r="DO94" s="809"/>
      <c r="DP94" s="1054"/>
      <c r="DQ94" s="1054"/>
      <c r="DR94" s="1054"/>
      <c r="DS94" s="809"/>
      <c r="DT94" s="809"/>
      <c r="DU94" s="809"/>
      <c r="DV94" s="809"/>
      <c r="DW94" s="809"/>
      <c r="DX94" s="809"/>
      <c r="DY94" s="360"/>
      <c r="DZ94" s="167"/>
      <c r="EA94" s="167"/>
      <c r="EB94"/>
      <c r="EC94"/>
      <c r="ED94"/>
      <c r="EE94"/>
      <c r="EF94"/>
      <c r="EG94"/>
    </row>
    <row r="95" spans="1:137" s="166" customFormat="1" hidden="1" outlineLevel="1">
      <c r="A95" s="22" t="s">
        <v>279</v>
      </c>
      <c r="B95" s="42">
        <f>225+114</f>
        <v>339</v>
      </c>
      <c r="C95" s="42">
        <v>418</v>
      </c>
      <c r="D95" s="42">
        <v>517</v>
      </c>
      <c r="E95" s="42">
        <v>619</v>
      </c>
      <c r="F95" s="42">
        <v>720</v>
      </c>
      <c r="G95" s="42">
        <v>804</v>
      </c>
      <c r="H95" s="40">
        <v>198</v>
      </c>
      <c r="I95" s="41">
        <v>231</v>
      </c>
      <c r="J95" s="41">
        <v>245</v>
      </c>
      <c r="K95" s="40">
        <v>275</v>
      </c>
      <c r="L95" s="42">
        <f>SUM(H95:K95)</f>
        <v>949</v>
      </c>
      <c r="M95" s="41">
        <v>230</v>
      </c>
      <c r="N95" s="41">
        <v>272</v>
      </c>
      <c r="O95" s="41">
        <v>267</v>
      </c>
      <c r="P95" s="40">
        <v>307</v>
      </c>
      <c r="Q95" s="42">
        <f>SUM(M95:P95)</f>
        <v>1076</v>
      </c>
      <c r="R95" s="41">
        <v>242</v>
      </c>
      <c r="S95" s="41">
        <v>224</v>
      </c>
      <c r="T95" s="41">
        <v>212</v>
      </c>
      <c r="U95" s="40">
        <v>259</v>
      </c>
      <c r="V95" s="42">
        <f>SUM(R95:U95)</f>
        <v>937</v>
      </c>
      <c r="W95" s="41">
        <v>197</v>
      </c>
      <c r="X95" s="41">
        <v>210</v>
      </c>
      <c r="Y95" s="41">
        <v>208</v>
      </c>
      <c r="Z95" s="40">
        <v>199</v>
      </c>
      <c r="AA95" s="42">
        <f>SUM(W95:Z95)</f>
        <v>814</v>
      </c>
      <c r="AB95" s="41">
        <v>194</v>
      </c>
      <c r="AC95" s="41">
        <v>213</v>
      </c>
      <c r="AD95" s="41">
        <v>213</v>
      </c>
      <c r="AE95" s="40">
        <v>254</v>
      </c>
      <c r="AF95" s="42">
        <f>+SUM(AB95:AE95)</f>
        <v>874</v>
      </c>
      <c r="AG95" s="40">
        <v>188</v>
      </c>
      <c r="AH95" s="41">
        <v>208</v>
      </c>
      <c r="AI95" s="41">
        <v>209</v>
      </c>
      <c r="AJ95" s="40">
        <v>203</v>
      </c>
      <c r="AK95" s="47">
        <f>+SUM(AG95:AJ95)</f>
        <v>808</v>
      </c>
      <c r="AL95" s="41">
        <v>189</v>
      </c>
      <c r="AM95" s="41">
        <v>194</v>
      </c>
      <c r="AN95" s="41">
        <v>187</v>
      </c>
      <c r="AO95" s="41">
        <v>189</v>
      </c>
      <c r="AP95" s="47">
        <f>SUM(AL95:AO95)</f>
        <v>759</v>
      </c>
      <c r="AQ95" s="41">
        <v>174</v>
      </c>
      <c r="AR95" s="41">
        <v>175</v>
      </c>
      <c r="AS95" s="41">
        <v>175</v>
      </c>
      <c r="AT95" s="41">
        <v>175</v>
      </c>
      <c r="AU95" s="47">
        <f>SUM(AQ95:AT95)</f>
        <v>699</v>
      </c>
      <c r="AV95" s="41">
        <v>136</v>
      </c>
      <c r="AW95" s="41">
        <v>160</v>
      </c>
      <c r="AX95" s="41">
        <v>163</v>
      </c>
      <c r="AY95" s="41">
        <f>628-AX95-AW95-AV95</f>
        <v>169</v>
      </c>
      <c r="AZ95" s="47">
        <f>SUM(AV95:AY95)</f>
        <v>628</v>
      </c>
      <c r="BA95" s="47">
        <v>498</v>
      </c>
      <c r="BB95" s="41">
        <v>121</v>
      </c>
      <c r="BC95" s="41">
        <v>112</v>
      </c>
      <c r="BD95" s="41">
        <v>122</v>
      </c>
      <c r="BE95" s="41">
        <v>117</v>
      </c>
      <c r="BF95" s="47">
        <v>472</v>
      </c>
      <c r="BG95" s="41">
        <v>145</v>
      </c>
      <c r="BH95" s="41">
        <v>107</v>
      </c>
      <c r="BI95" s="41">
        <v>125</v>
      </c>
      <c r="BJ95" s="41">
        <v>131</v>
      </c>
      <c r="BK95" s="47">
        <v>508</v>
      </c>
      <c r="BL95" s="41">
        <v>109</v>
      </c>
      <c r="BM95" s="41">
        <v>151</v>
      </c>
      <c r="BN95" s="41"/>
      <c r="BO95" s="41"/>
      <c r="BP95" s="47"/>
      <c r="BQ95" s="47"/>
      <c r="BR95" s="41"/>
      <c r="BS95" s="41"/>
      <c r="BT95" s="41"/>
      <c r="BU95" s="41"/>
      <c r="BV95" s="47"/>
      <c r="BW95" s="41"/>
      <c r="BX95" s="41"/>
      <c r="BY95" s="41"/>
      <c r="BZ95" s="41"/>
      <c r="CA95" s="47"/>
      <c r="CB95" s="41"/>
      <c r="CC95" s="41"/>
      <c r="CD95" s="41"/>
      <c r="CE95" s="41"/>
      <c r="CF95" s="47"/>
      <c r="CG95" s="41"/>
      <c r="CH95" s="41"/>
      <c r="CI95" s="41"/>
      <c r="CJ95" s="41"/>
      <c r="CK95" s="47"/>
      <c r="CL95" s="41"/>
      <c r="CM95" s="41"/>
      <c r="CN95" s="41"/>
      <c r="CO95" s="41"/>
      <c r="CP95" s="47"/>
      <c r="CQ95" s="49"/>
      <c r="CR95" s="49"/>
      <c r="CS95" s="49"/>
      <c r="CT95" s="50"/>
      <c r="CU95" s="47"/>
      <c r="CV95" s="49"/>
      <c r="CW95" s="49"/>
      <c r="CX95" s="49"/>
      <c r="CY95" s="50"/>
      <c r="CZ95" s="47"/>
      <c r="DA95" s="49"/>
      <c r="DB95" s="49"/>
      <c r="DC95" s="49"/>
      <c r="DD95" s="50"/>
      <c r="DE95" s="47"/>
      <c r="DF95" s="49"/>
      <c r="DG95" s="49"/>
      <c r="DH95" s="49"/>
      <c r="DI95" s="50"/>
      <c r="DJ95" s="47"/>
      <c r="DK95" s="403"/>
      <c r="DL95" s="404"/>
      <c r="DM95" s="809"/>
      <c r="DN95" s="809"/>
      <c r="DO95" s="1123"/>
      <c r="DP95" s="1054"/>
      <c r="DQ95" s="1054"/>
      <c r="DR95" s="1054"/>
      <c r="DS95" s="809"/>
      <c r="DT95" s="809"/>
      <c r="DU95" s="809"/>
      <c r="DV95" s="809"/>
      <c r="DW95" s="809"/>
      <c r="DX95" s="809"/>
      <c r="DY95" s="404"/>
      <c r="DZ95" s="405"/>
      <c r="EA95" s="405"/>
      <c r="EB95"/>
      <c r="EC95"/>
      <c r="ED95"/>
      <c r="EE95"/>
      <c r="EF95"/>
      <c r="EG95"/>
    </row>
    <row r="96" spans="1:137" s="398" customFormat="1" hidden="1" outlineLevel="1">
      <c r="A96" s="97" t="s">
        <v>53</v>
      </c>
      <c r="B96" s="80"/>
      <c r="C96" s="80">
        <f>C95/B95-1</f>
        <v>0.23303834808259594</v>
      </c>
      <c r="D96" s="80">
        <f>D95/C95-1</f>
        <v>0.23684210526315796</v>
      </c>
      <c r="E96" s="80">
        <f>E95/D95-1</f>
        <v>0.19729206963249513</v>
      </c>
      <c r="F96" s="80">
        <f>F95/E95-1</f>
        <v>0.16316639741518579</v>
      </c>
      <c r="G96" s="80">
        <f>G95/F95-1</f>
        <v>0.1166666666666667</v>
      </c>
      <c r="H96" s="82"/>
      <c r="I96" s="82"/>
      <c r="J96" s="82"/>
      <c r="K96" s="82"/>
      <c r="L96" s="80">
        <f t="shared" ref="L96:AO96" si="287">L95/G95-1</f>
        <v>0.18034825870646776</v>
      </c>
      <c r="M96" s="82">
        <f t="shared" si="287"/>
        <v>0.16161616161616155</v>
      </c>
      <c r="N96" s="82">
        <f t="shared" si="287"/>
        <v>0.17748917748917759</v>
      </c>
      <c r="O96" s="82">
        <f t="shared" si="287"/>
        <v>8.9795918367346905E-2</v>
      </c>
      <c r="P96" s="82">
        <f t="shared" si="287"/>
        <v>0.11636363636363645</v>
      </c>
      <c r="Q96" s="80">
        <f t="shared" si="287"/>
        <v>0.1338250790305584</v>
      </c>
      <c r="R96" s="82">
        <f t="shared" si="287"/>
        <v>5.2173913043478182E-2</v>
      </c>
      <c r="S96" s="82">
        <f t="shared" si="287"/>
        <v>-0.17647058823529416</v>
      </c>
      <c r="T96" s="82">
        <f t="shared" si="287"/>
        <v>-0.20599250936329583</v>
      </c>
      <c r="U96" s="82">
        <f t="shared" si="287"/>
        <v>-0.15635179153094458</v>
      </c>
      <c r="V96" s="80">
        <f t="shared" si="287"/>
        <v>-0.129182156133829</v>
      </c>
      <c r="W96" s="83">
        <f t="shared" si="287"/>
        <v>-0.18595041322314054</v>
      </c>
      <c r="X96" s="82">
        <f t="shared" si="287"/>
        <v>-6.25E-2</v>
      </c>
      <c r="Y96" s="83">
        <f t="shared" si="287"/>
        <v>-1.8867924528301883E-2</v>
      </c>
      <c r="Z96" s="83">
        <f t="shared" si="287"/>
        <v>-0.23166023166023164</v>
      </c>
      <c r="AA96" s="84">
        <f t="shared" si="287"/>
        <v>-0.13127001067235855</v>
      </c>
      <c r="AB96" s="83">
        <f t="shared" si="287"/>
        <v>-1.5228426395939132E-2</v>
      </c>
      <c r="AC96" s="82">
        <f t="shared" si="287"/>
        <v>1.4285714285714235E-2</v>
      </c>
      <c r="AD96" s="82">
        <f t="shared" si="287"/>
        <v>2.4038461538461453E-2</v>
      </c>
      <c r="AE96" s="82">
        <f t="shared" si="287"/>
        <v>0.27638190954773867</v>
      </c>
      <c r="AF96" s="84">
        <f t="shared" si="287"/>
        <v>7.3710073710073765E-2</v>
      </c>
      <c r="AG96" s="83">
        <f t="shared" si="287"/>
        <v>-3.0927835051546393E-2</v>
      </c>
      <c r="AH96" s="82">
        <f t="shared" si="287"/>
        <v>-2.3474178403755874E-2</v>
      </c>
      <c r="AI96" s="82">
        <f t="shared" si="287"/>
        <v>-1.8779342723004744E-2</v>
      </c>
      <c r="AJ96" s="82">
        <f t="shared" si="287"/>
        <v>-0.20078740157480313</v>
      </c>
      <c r="AK96" s="80">
        <f t="shared" si="287"/>
        <v>-7.5514874141876409E-2</v>
      </c>
      <c r="AL96" s="82">
        <f t="shared" si="287"/>
        <v>5.3191489361701372E-3</v>
      </c>
      <c r="AM96" s="82">
        <f>AM95/AH95-1</f>
        <v>-6.7307692307692291E-2</v>
      </c>
      <c r="AN96" s="82">
        <f>AN95/AI95-1</f>
        <v>-0.10526315789473684</v>
      </c>
      <c r="AO96" s="82">
        <f t="shared" si="287"/>
        <v>-6.8965517241379337E-2</v>
      </c>
      <c r="AP96" s="80">
        <f t="shared" ref="AP96:AZ96" si="288">AP95/AK95-1</f>
        <v>-6.0643564356435697E-2</v>
      </c>
      <c r="AQ96" s="82">
        <f t="shared" si="288"/>
        <v>-7.9365079365079416E-2</v>
      </c>
      <c r="AR96" s="82">
        <f t="shared" si="288"/>
        <v>-9.7938144329896892E-2</v>
      </c>
      <c r="AS96" s="82">
        <f t="shared" si="288"/>
        <v>-6.4171122994652441E-2</v>
      </c>
      <c r="AT96" s="82">
        <f t="shared" si="288"/>
        <v>-7.407407407407407E-2</v>
      </c>
      <c r="AU96" s="80">
        <f t="shared" si="288"/>
        <v>-7.9051383399209474E-2</v>
      </c>
      <c r="AV96" s="82">
        <f t="shared" si="288"/>
        <v>-0.2183908045977011</v>
      </c>
      <c r="AW96" s="82">
        <f t="shared" si="288"/>
        <v>-8.5714285714285743E-2</v>
      </c>
      <c r="AX96" s="82">
        <f t="shared" si="288"/>
        <v>-6.8571428571428616E-2</v>
      </c>
      <c r="AY96" s="82">
        <f t="shared" si="288"/>
        <v>-3.4285714285714253E-2</v>
      </c>
      <c r="AZ96" s="80">
        <f t="shared" si="288"/>
        <v>-0.10157367668097284</v>
      </c>
      <c r="BA96" s="80"/>
      <c r="BB96" s="82"/>
      <c r="BC96" s="82"/>
      <c r="BD96" s="82"/>
      <c r="BE96" s="82"/>
      <c r="BF96" s="80"/>
      <c r="BG96" s="82">
        <f t="shared" ref="BG96:BM96" si="289">BG95/BB95-1</f>
        <v>0.19834710743801653</v>
      </c>
      <c r="BH96" s="82">
        <f t="shared" si="289"/>
        <v>-4.4642857142857095E-2</v>
      </c>
      <c r="BI96" s="82">
        <f t="shared" si="289"/>
        <v>2.4590163934426146E-2</v>
      </c>
      <c r="BJ96" s="82">
        <f t="shared" si="289"/>
        <v>0.11965811965811968</v>
      </c>
      <c r="BK96" s="80">
        <f t="shared" si="289"/>
        <v>7.6271186440677985E-2</v>
      </c>
      <c r="BL96" s="82">
        <f t="shared" si="289"/>
        <v>-0.24827586206896557</v>
      </c>
      <c r="BM96" s="82">
        <f t="shared" si="289"/>
        <v>0.41121495327102808</v>
      </c>
      <c r="BN96" s="82"/>
      <c r="BO96" s="82"/>
      <c r="BP96" s="80"/>
      <c r="BQ96" s="80"/>
      <c r="BR96" s="82"/>
      <c r="BS96" s="82"/>
      <c r="BT96" s="82"/>
      <c r="BU96" s="82"/>
      <c r="BV96" s="80"/>
      <c r="BW96" s="82"/>
      <c r="BX96" s="82"/>
      <c r="BY96" s="82"/>
      <c r="BZ96" s="82"/>
      <c r="CA96" s="80"/>
      <c r="CB96" s="82"/>
      <c r="CC96" s="82"/>
      <c r="CD96" s="82"/>
      <c r="CE96" s="82"/>
      <c r="CF96" s="80"/>
      <c r="CG96" s="82"/>
      <c r="CH96" s="82"/>
      <c r="CI96" s="82"/>
      <c r="CJ96" s="82"/>
      <c r="CK96" s="80"/>
      <c r="CL96" s="82"/>
      <c r="CM96" s="82"/>
      <c r="CN96" s="82"/>
      <c r="CO96" s="82"/>
      <c r="CP96" s="80"/>
      <c r="CQ96" s="103"/>
      <c r="CR96" s="103"/>
      <c r="CS96" s="103"/>
      <c r="CT96" s="105"/>
      <c r="CU96" s="80"/>
      <c r="CV96" s="103"/>
      <c r="CW96" s="103"/>
      <c r="CX96" s="103"/>
      <c r="CY96" s="105"/>
      <c r="CZ96" s="80"/>
      <c r="DA96" s="103"/>
      <c r="DB96" s="103"/>
      <c r="DC96" s="103"/>
      <c r="DD96" s="105"/>
      <c r="DE96" s="80"/>
      <c r="DF96" s="103"/>
      <c r="DG96" s="103"/>
      <c r="DH96" s="103"/>
      <c r="DI96" s="105"/>
      <c r="DJ96" s="80"/>
      <c r="DK96" s="401"/>
      <c r="DL96" s="74"/>
      <c r="DM96" s="809"/>
      <c r="DN96" s="867"/>
      <c r="DO96" s="809"/>
      <c r="DP96" s="1054"/>
      <c r="DQ96" s="1054"/>
      <c r="DR96" s="1054"/>
      <c r="DS96" s="809"/>
      <c r="DT96" s="809"/>
      <c r="DU96" s="809"/>
      <c r="DV96" s="809"/>
      <c r="DW96" s="809"/>
      <c r="DX96" s="809"/>
      <c r="DY96" s="360"/>
      <c r="DZ96" s="167"/>
      <c r="EA96" s="167"/>
      <c r="EB96"/>
      <c r="EC96"/>
      <c r="ED96"/>
      <c r="EE96"/>
      <c r="EF96"/>
      <c r="EG96"/>
    </row>
    <row r="97" spans="1:137" s="166" customFormat="1" hidden="1" outlineLevel="1">
      <c r="A97" s="22" t="s">
        <v>280</v>
      </c>
      <c r="B97" s="42">
        <f t="shared" ref="B97:AG97" si="290">B16-B95</f>
        <v>5394</v>
      </c>
      <c r="C97" s="42">
        <f t="shared" si="290"/>
        <v>5701</v>
      </c>
      <c r="D97" s="42">
        <f t="shared" si="290"/>
        <v>6077</v>
      </c>
      <c r="E97" s="42">
        <f t="shared" si="290"/>
        <v>7034</v>
      </c>
      <c r="F97" s="42">
        <f t="shared" si="290"/>
        <v>7513</v>
      </c>
      <c r="G97" s="42">
        <f t="shared" si="290"/>
        <v>8186</v>
      </c>
      <c r="H97" s="40">
        <f t="shared" si="290"/>
        <v>1947</v>
      </c>
      <c r="I97" s="41">
        <f t="shared" si="290"/>
        <v>2289</v>
      </c>
      <c r="J97" s="41">
        <f t="shared" si="290"/>
        <v>2468</v>
      </c>
      <c r="K97" s="40">
        <f t="shared" si="290"/>
        <v>2560</v>
      </c>
      <c r="L97" s="42">
        <f t="shared" si="290"/>
        <v>9264</v>
      </c>
      <c r="M97" s="41">
        <f t="shared" si="290"/>
        <v>2274</v>
      </c>
      <c r="N97" s="41">
        <f t="shared" si="290"/>
        <v>2586</v>
      </c>
      <c r="O97" s="41">
        <f t="shared" si="290"/>
        <v>2683</v>
      </c>
      <c r="P97" s="40">
        <f t="shared" si="290"/>
        <v>2992</v>
      </c>
      <c r="Q97" s="42">
        <f t="shared" si="290"/>
        <v>10535</v>
      </c>
      <c r="R97" s="41">
        <f t="shared" si="290"/>
        <v>2519</v>
      </c>
      <c r="S97" s="41">
        <f t="shared" si="290"/>
        <v>2311</v>
      </c>
      <c r="T97" s="41">
        <f t="shared" si="290"/>
        <v>2144</v>
      </c>
      <c r="U97" s="40">
        <f t="shared" si="290"/>
        <v>2373</v>
      </c>
      <c r="V97" s="42">
        <f t="shared" si="290"/>
        <v>9347</v>
      </c>
      <c r="W97" s="41">
        <f t="shared" si="290"/>
        <v>2037</v>
      </c>
      <c r="X97" s="41">
        <f t="shared" si="290"/>
        <v>2312</v>
      </c>
      <c r="Y97" s="41">
        <f t="shared" si="290"/>
        <v>2317</v>
      </c>
      <c r="Z97" s="40">
        <f t="shared" si="290"/>
        <v>2441</v>
      </c>
      <c r="AA97" s="42">
        <f t="shared" si="290"/>
        <v>9107</v>
      </c>
      <c r="AB97" s="41">
        <f t="shared" si="290"/>
        <v>1955</v>
      </c>
      <c r="AC97" s="41">
        <f t="shared" si="290"/>
        <v>2148</v>
      </c>
      <c r="AD97" s="41">
        <f t="shared" si="290"/>
        <v>2110</v>
      </c>
      <c r="AE97" s="40">
        <f t="shared" si="290"/>
        <v>2294</v>
      </c>
      <c r="AF97" s="42">
        <f t="shared" si="290"/>
        <v>8507</v>
      </c>
      <c r="AG97" s="40">
        <f t="shared" si="290"/>
        <v>1902</v>
      </c>
      <c r="AH97" s="41">
        <f t="shared" ref="AH97:BM97" si="291">AH16-AH95</f>
        <v>2055</v>
      </c>
      <c r="AI97" s="41">
        <f t="shared" si="291"/>
        <v>2083</v>
      </c>
      <c r="AJ97" s="40">
        <f t="shared" si="291"/>
        <v>1998</v>
      </c>
      <c r="AK97" s="47">
        <f t="shared" si="291"/>
        <v>8038</v>
      </c>
      <c r="AL97" s="41">
        <f t="shared" si="291"/>
        <v>1917</v>
      </c>
      <c r="AM97" s="41">
        <f t="shared" si="291"/>
        <v>1907</v>
      </c>
      <c r="AN97" s="41">
        <f t="shared" si="291"/>
        <v>1872</v>
      </c>
      <c r="AO97" s="40">
        <f t="shared" si="291"/>
        <v>1912</v>
      </c>
      <c r="AP97" s="47">
        <f t="shared" si="291"/>
        <v>7608</v>
      </c>
      <c r="AQ97" s="41">
        <f t="shared" si="291"/>
        <v>1736</v>
      </c>
      <c r="AR97" s="41">
        <f t="shared" si="291"/>
        <v>1766</v>
      </c>
      <c r="AS97" s="41">
        <f t="shared" si="291"/>
        <v>1774</v>
      </c>
      <c r="AT97" s="40">
        <f t="shared" si="291"/>
        <v>1813</v>
      </c>
      <c r="AU97" s="47">
        <f t="shared" si="291"/>
        <v>7089</v>
      </c>
      <c r="AV97" s="41">
        <f t="shared" si="291"/>
        <v>1733</v>
      </c>
      <c r="AW97" s="41">
        <f t="shared" si="291"/>
        <v>1738</v>
      </c>
      <c r="AX97" s="41">
        <f t="shared" si="291"/>
        <v>1707</v>
      </c>
      <c r="AY97" s="40">
        <f t="shared" si="291"/>
        <v>1652</v>
      </c>
      <c r="AZ97" s="47">
        <f t="shared" si="291"/>
        <v>6830</v>
      </c>
      <c r="BA97" s="47">
        <f t="shared" si="291"/>
        <v>5617</v>
      </c>
      <c r="BB97" s="41">
        <f t="shared" si="291"/>
        <v>1222</v>
      </c>
      <c r="BC97" s="41">
        <f t="shared" si="291"/>
        <v>1267</v>
      </c>
      <c r="BD97" s="41">
        <f t="shared" si="291"/>
        <v>1319</v>
      </c>
      <c r="BE97" s="40">
        <f t="shared" si="291"/>
        <v>1374</v>
      </c>
      <c r="BF97" s="47">
        <f t="shared" si="291"/>
        <v>5182</v>
      </c>
      <c r="BG97" s="41">
        <f t="shared" si="291"/>
        <v>1245</v>
      </c>
      <c r="BH97" s="41">
        <f t="shared" si="291"/>
        <v>1301</v>
      </c>
      <c r="BI97" s="41">
        <f t="shared" si="291"/>
        <v>1276</v>
      </c>
      <c r="BJ97" s="40">
        <f t="shared" si="291"/>
        <v>1266</v>
      </c>
      <c r="BK97" s="47">
        <f t="shared" si="291"/>
        <v>5088</v>
      </c>
      <c r="BL97" s="41">
        <f t="shared" si="291"/>
        <v>1225</v>
      </c>
      <c r="BM97" s="41">
        <f t="shared" si="291"/>
        <v>1186</v>
      </c>
      <c r="BN97" s="41"/>
      <c r="BO97" s="40"/>
      <c r="BP97" s="47"/>
      <c r="BQ97" s="47"/>
      <c r="BR97" s="41"/>
      <c r="BS97" s="41"/>
      <c r="BT97" s="41"/>
      <c r="BU97" s="40"/>
      <c r="BV97" s="47"/>
      <c r="BW97" s="41"/>
      <c r="BX97" s="41"/>
      <c r="BY97" s="41"/>
      <c r="BZ97" s="40"/>
      <c r="CA97" s="47"/>
      <c r="CB97" s="41"/>
      <c r="CC97" s="41"/>
      <c r="CD97" s="41"/>
      <c r="CE97" s="40"/>
      <c r="CF97" s="47"/>
      <c r="CG97" s="41"/>
      <c r="CH97" s="41"/>
      <c r="CI97" s="41"/>
      <c r="CJ97" s="40"/>
      <c r="CK97" s="47"/>
      <c r="CL97" s="41"/>
      <c r="CM97" s="41"/>
      <c r="CN97" s="41"/>
      <c r="CO97" s="40"/>
      <c r="CP97" s="47"/>
      <c r="CQ97" s="49"/>
      <c r="CR97" s="49"/>
      <c r="CS97" s="49"/>
      <c r="CT97" s="50"/>
      <c r="CU97" s="47"/>
      <c r="CV97" s="49"/>
      <c r="CW97" s="49"/>
      <c r="CX97" s="49"/>
      <c r="CY97" s="50"/>
      <c r="CZ97" s="47"/>
      <c r="DA97" s="49"/>
      <c r="DB97" s="49"/>
      <c r="DC97" s="49"/>
      <c r="DD97" s="50"/>
      <c r="DE97" s="47"/>
      <c r="DF97" s="49"/>
      <c r="DG97" s="49"/>
      <c r="DH97" s="49"/>
      <c r="DI97" s="50"/>
      <c r="DJ97" s="47"/>
      <c r="DK97" s="403"/>
      <c r="DL97" s="404"/>
      <c r="DM97" s="809"/>
      <c r="DN97" s="809"/>
      <c r="DO97" s="1123"/>
      <c r="DP97" s="1054"/>
      <c r="DQ97" s="1054"/>
      <c r="DR97" s="1054"/>
      <c r="DS97" s="809"/>
      <c r="DT97" s="809"/>
      <c r="DU97" s="809"/>
      <c r="DV97" s="809"/>
      <c r="DW97" s="809"/>
      <c r="DX97" s="809"/>
      <c r="DY97" s="404"/>
      <c r="DZ97" s="405"/>
      <c r="EA97" s="405"/>
      <c r="EB97"/>
      <c r="EC97"/>
      <c r="ED97"/>
      <c r="EE97"/>
      <c r="EF97"/>
      <c r="EG97"/>
    </row>
    <row r="98" spans="1:137" s="398" customFormat="1" hidden="1" outlineLevel="1">
      <c r="A98" s="97" t="s">
        <v>53</v>
      </c>
      <c r="B98" s="80"/>
      <c r="C98" s="80">
        <f>C97/B97-1</f>
        <v>5.6915090841676008E-2</v>
      </c>
      <c r="D98" s="80">
        <f>D97/C97-1</f>
        <v>6.595334151903165E-2</v>
      </c>
      <c r="E98" s="80">
        <f>E97/D97-1</f>
        <v>0.15747901925292096</v>
      </c>
      <c r="F98" s="80">
        <f>F97/E97-1</f>
        <v>6.8097810634063061E-2</v>
      </c>
      <c r="G98" s="80">
        <f>G97/F97-1</f>
        <v>8.9578064687874326E-2</v>
      </c>
      <c r="H98" s="82"/>
      <c r="I98" s="82"/>
      <c r="J98" s="82"/>
      <c r="K98" s="82"/>
      <c r="L98" s="80">
        <f t="shared" ref="L98:AO98" si="292">L97/G97-1</f>
        <v>0.13168824822868319</v>
      </c>
      <c r="M98" s="82">
        <f t="shared" si="292"/>
        <v>0.16795069337442214</v>
      </c>
      <c r="N98" s="82">
        <f t="shared" si="292"/>
        <v>0.12975098296199206</v>
      </c>
      <c r="O98" s="82">
        <f t="shared" si="292"/>
        <v>8.7115072933549476E-2</v>
      </c>
      <c r="P98" s="82">
        <f t="shared" si="292"/>
        <v>0.16874999999999996</v>
      </c>
      <c r="Q98" s="80">
        <f t="shared" si="292"/>
        <v>0.13719775474956819</v>
      </c>
      <c r="R98" s="82">
        <f t="shared" si="292"/>
        <v>0.10773966578715921</v>
      </c>
      <c r="S98" s="82">
        <f t="shared" si="292"/>
        <v>-0.10634184068058783</v>
      </c>
      <c r="T98" s="82">
        <f t="shared" si="292"/>
        <v>-0.20089452105851657</v>
      </c>
      <c r="U98" s="82">
        <f t="shared" si="292"/>
        <v>-0.20688502673796794</v>
      </c>
      <c r="V98" s="80">
        <f t="shared" si="292"/>
        <v>-0.11276696725201707</v>
      </c>
      <c r="W98" s="83">
        <f t="shared" si="292"/>
        <v>-0.19134577213179838</v>
      </c>
      <c r="X98" s="82">
        <f t="shared" si="292"/>
        <v>4.3271311120718359E-4</v>
      </c>
      <c r="Y98" s="83">
        <f t="shared" si="292"/>
        <v>8.0690298507462677E-2</v>
      </c>
      <c r="Z98" s="83">
        <f t="shared" si="292"/>
        <v>2.8655710071639362E-2</v>
      </c>
      <c r="AA98" s="84">
        <f t="shared" si="292"/>
        <v>-2.5676687707285706E-2</v>
      </c>
      <c r="AB98" s="83">
        <f t="shared" si="292"/>
        <v>-4.0255277368679399E-2</v>
      </c>
      <c r="AC98" s="82">
        <f t="shared" si="292"/>
        <v>-7.0934256055363298E-2</v>
      </c>
      <c r="AD98" s="82">
        <f t="shared" si="292"/>
        <v>-8.93396633577902E-2</v>
      </c>
      <c r="AE98" s="82">
        <f t="shared" si="292"/>
        <v>-6.0221220811143006E-2</v>
      </c>
      <c r="AF98" s="84">
        <f t="shared" si="292"/>
        <v>-6.5883386406061284E-2</v>
      </c>
      <c r="AG98" s="83">
        <f t="shared" si="292"/>
        <v>-2.710997442455243E-2</v>
      </c>
      <c r="AH98" s="82">
        <f t="shared" si="292"/>
        <v>-4.3296089385474912E-2</v>
      </c>
      <c r="AI98" s="82">
        <f t="shared" si="292"/>
        <v>-1.2796208530805653E-2</v>
      </c>
      <c r="AJ98" s="82">
        <f t="shared" si="292"/>
        <v>-0.12903225806451613</v>
      </c>
      <c r="AK98" s="80">
        <f t="shared" si="292"/>
        <v>-5.5131068531797389E-2</v>
      </c>
      <c r="AL98" s="82">
        <f t="shared" si="292"/>
        <v>7.8864353312302349E-3</v>
      </c>
      <c r="AM98" s="82">
        <f>AM97/AH97-1</f>
        <v>-7.2019464720194604E-2</v>
      </c>
      <c r="AN98" s="82">
        <f>AN97/AI97-1</f>
        <v>-0.1012962073931829</v>
      </c>
      <c r="AO98" s="82">
        <f t="shared" si="292"/>
        <v>-4.3043043043043072E-2</v>
      </c>
      <c r="AP98" s="80">
        <f t="shared" ref="AP98:AZ98" si="293">AP97/AK97-1</f>
        <v>-5.349589450111969E-2</v>
      </c>
      <c r="AQ98" s="82">
        <f t="shared" si="293"/>
        <v>-9.4418362023995783E-2</v>
      </c>
      <c r="AR98" s="82">
        <f t="shared" si="293"/>
        <v>-7.3938122705820675E-2</v>
      </c>
      <c r="AS98" s="82">
        <f t="shared" si="293"/>
        <v>-5.2350427350427386E-2</v>
      </c>
      <c r="AT98" s="82">
        <f t="shared" si="293"/>
        <v>-5.1778242677824271E-2</v>
      </c>
      <c r="AU98" s="80">
        <f t="shared" si="293"/>
        <v>-6.8217665615141976E-2</v>
      </c>
      <c r="AV98" s="82">
        <f t="shared" si="293"/>
        <v>-1.7281105990782919E-3</v>
      </c>
      <c r="AW98" s="82">
        <f t="shared" si="293"/>
        <v>-1.5855039637599044E-2</v>
      </c>
      <c r="AX98" s="82">
        <f t="shared" si="293"/>
        <v>-3.7767756482525394E-2</v>
      </c>
      <c r="AY98" s="82">
        <f t="shared" si="293"/>
        <v>-8.8803088803088848E-2</v>
      </c>
      <c r="AZ98" s="80">
        <f t="shared" si="293"/>
        <v>-3.6535477500352687E-2</v>
      </c>
      <c r="BA98" s="80"/>
      <c r="BB98" s="82"/>
      <c r="BC98" s="82"/>
      <c r="BD98" s="82"/>
      <c r="BE98" s="82"/>
      <c r="BF98" s="80"/>
      <c r="BG98" s="82">
        <f t="shared" ref="BG98:BM98" si="294">BG97/BB97-1</f>
        <v>1.882160392798693E-2</v>
      </c>
      <c r="BH98" s="82">
        <f t="shared" si="294"/>
        <v>2.6835043409628945E-2</v>
      </c>
      <c r="BI98" s="82">
        <f t="shared" si="294"/>
        <v>-3.2600454890068242E-2</v>
      </c>
      <c r="BJ98" s="82">
        <f t="shared" si="294"/>
        <v>-7.8602620087336206E-2</v>
      </c>
      <c r="BK98" s="80">
        <f t="shared" si="294"/>
        <v>-1.8139714395986051E-2</v>
      </c>
      <c r="BL98" s="82">
        <f t="shared" si="294"/>
        <v>-1.6064257028112428E-2</v>
      </c>
      <c r="BM98" s="82">
        <f t="shared" si="294"/>
        <v>-8.8393543428132215E-2</v>
      </c>
      <c r="BN98" s="82"/>
      <c r="BO98" s="82"/>
      <c r="BP98" s="80"/>
      <c r="BQ98" s="80"/>
      <c r="BR98" s="82"/>
      <c r="BS98" s="82"/>
      <c r="BT98" s="82"/>
      <c r="BU98" s="82"/>
      <c r="BV98" s="80"/>
      <c r="BW98" s="82"/>
      <c r="BX98" s="82"/>
      <c r="BY98" s="82"/>
      <c r="BZ98" s="82"/>
      <c r="CA98" s="80"/>
      <c r="CB98" s="82"/>
      <c r="CC98" s="82"/>
      <c r="CD98" s="82"/>
      <c r="CE98" s="82"/>
      <c r="CF98" s="80"/>
      <c r="CG98" s="82"/>
      <c r="CH98" s="82"/>
      <c r="CI98" s="82"/>
      <c r="CJ98" s="82"/>
      <c r="CK98" s="80"/>
      <c r="CL98" s="82"/>
      <c r="CM98" s="82"/>
      <c r="CN98" s="82"/>
      <c r="CO98" s="82"/>
      <c r="CP98" s="80"/>
      <c r="CQ98" s="103"/>
      <c r="CR98" s="103"/>
      <c r="CS98" s="103"/>
      <c r="CT98" s="105"/>
      <c r="CU98" s="80"/>
      <c r="CV98" s="103"/>
      <c r="CW98" s="103"/>
      <c r="CX98" s="103"/>
      <c r="CY98" s="105"/>
      <c r="CZ98" s="80"/>
      <c r="DA98" s="103"/>
      <c r="DB98" s="103"/>
      <c r="DC98" s="103"/>
      <c r="DD98" s="105"/>
      <c r="DE98" s="80"/>
      <c r="DF98" s="103"/>
      <c r="DG98" s="103"/>
      <c r="DH98" s="103"/>
      <c r="DI98" s="105"/>
      <c r="DJ98" s="80"/>
      <c r="DK98" s="401"/>
      <c r="DL98" s="74"/>
      <c r="DM98" s="809"/>
      <c r="DN98" s="809"/>
      <c r="DO98" s="809"/>
      <c r="DP98" s="1054"/>
      <c r="DQ98" s="1054"/>
      <c r="DR98" s="1054"/>
      <c r="DS98" s="809"/>
      <c r="DT98" s="809"/>
      <c r="DU98" s="809"/>
      <c r="DV98" s="809"/>
      <c r="DW98" s="809"/>
      <c r="DX98" s="809"/>
      <c r="DY98" s="360"/>
      <c r="DZ98" s="167"/>
      <c r="EA98" s="167"/>
      <c r="EB98"/>
      <c r="EC98"/>
      <c r="ED98"/>
      <c r="EE98"/>
      <c r="EF98"/>
      <c r="EG98"/>
    </row>
    <row r="99" spans="1:137" s="429" customFormat="1" hidden="1" outlineLevel="1">
      <c r="A99" s="785" t="s">
        <v>193</v>
      </c>
      <c r="B99" s="786"/>
      <c r="C99" s="786"/>
      <c r="D99" s="786"/>
      <c r="E99" s="786"/>
      <c r="F99" s="786"/>
      <c r="G99" s="786"/>
      <c r="H99" s="787"/>
      <c r="I99" s="787"/>
      <c r="J99" s="787"/>
      <c r="K99" s="787"/>
      <c r="L99" s="786"/>
      <c r="M99" s="787"/>
      <c r="N99" s="787"/>
      <c r="O99" s="787"/>
      <c r="P99" s="787"/>
      <c r="Q99" s="786"/>
      <c r="R99" s="787"/>
      <c r="S99" s="787"/>
      <c r="T99" s="787"/>
      <c r="U99" s="787"/>
      <c r="V99" s="786"/>
      <c r="W99" s="788"/>
      <c r="X99" s="787"/>
      <c r="Y99" s="788"/>
      <c r="Z99" s="788"/>
      <c r="AA99" s="789"/>
      <c r="AB99" s="788"/>
      <c r="AC99" s="787"/>
      <c r="AD99" s="787"/>
      <c r="AE99" s="787"/>
      <c r="AF99" s="789">
        <f t="shared" ref="AF99:AZ99" si="295">AF101/AF16</f>
        <v>7.9309242085065554E-2</v>
      </c>
      <c r="AG99" s="788">
        <f t="shared" si="295"/>
        <v>7.0813397129186606E-2</v>
      </c>
      <c r="AH99" s="787">
        <f t="shared" si="295"/>
        <v>9.1913389306230664E-2</v>
      </c>
      <c r="AI99" s="787">
        <f t="shared" si="295"/>
        <v>9.3368237347294936E-2</v>
      </c>
      <c r="AJ99" s="787">
        <f t="shared" si="295"/>
        <v>9.9045888232621532E-2</v>
      </c>
      <c r="AK99" s="786">
        <f t="shared" si="295"/>
        <v>8.9079810083653635E-2</v>
      </c>
      <c r="AL99" s="787">
        <f t="shared" si="295"/>
        <v>8.9743589743589744E-2</v>
      </c>
      <c r="AM99" s="787">
        <f t="shared" si="295"/>
        <v>9.2336982389338407E-2</v>
      </c>
      <c r="AN99" s="787">
        <f t="shared" si="295"/>
        <v>8.1107333657115102E-2</v>
      </c>
      <c r="AO99" s="787">
        <f t="shared" si="295"/>
        <v>9.4716801523084246E-2</v>
      </c>
      <c r="AP99" s="786">
        <f t="shared" si="295"/>
        <v>9.0713517389745424E-2</v>
      </c>
      <c r="AQ99" s="787">
        <f t="shared" si="295"/>
        <v>9.1099476439790578E-2</v>
      </c>
      <c r="AR99" s="787">
        <f t="shared" si="295"/>
        <v>9.0159711488923239E-2</v>
      </c>
      <c r="AS99" s="787">
        <f t="shared" si="295"/>
        <v>8.9789635710620833E-2</v>
      </c>
      <c r="AT99" s="787">
        <f t="shared" si="295"/>
        <v>0.10311871227364185</v>
      </c>
      <c r="AU99" s="786">
        <f t="shared" si="295"/>
        <v>9.36055469953775E-2</v>
      </c>
      <c r="AV99" s="787">
        <f t="shared" si="295"/>
        <v>8.6142322097378279E-2</v>
      </c>
      <c r="AW99" s="787">
        <f t="shared" si="295"/>
        <v>8.429926238145416E-2</v>
      </c>
      <c r="AX99" s="787">
        <f t="shared" si="295"/>
        <v>8.7165775401069512E-2</v>
      </c>
      <c r="AY99" s="787">
        <f t="shared" si="295"/>
        <v>4.0637012630422846E-2</v>
      </c>
      <c r="AZ99" s="786">
        <f t="shared" si="295"/>
        <v>7.4818986323411107E-2</v>
      </c>
      <c r="BA99" s="786"/>
      <c r="BB99" s="787">
        <f t="shared" ref="BB99:BM99" si="296">BB101/BB16</f>
        <v>0.10871183916604617</v>
      </c>
      <c r="BC99" s="787">
        <f t="shared" si="296"/>
        <v>8.1218274111675121E-2</v>
      </c>
      <c r="BD99" s="787">
        <f t="shared" si="296"/>
        <v>8.4663428174878555E-2</v>
      </c>
      <c r="BE99" s="787">
        <f t="shared" si="296"/>
        <v>9.8591549295774641E-2</v>
      </c>
      <c r="BF99" s="786">
        <f t="shared" si="296"/>
        <v>8.878669968164131E-2</v>
      </c>
      <c r="BG99" s="787">
        <f t="shared" si="296"/>
        <v>0.1223021582733813</v>
      </c>
      <c r="BH99" s="787">
        <f t="shared" si="296"/>
        <v>7.5994318181818177E-2</v>
      </c>
      <c r="BI99" s="787">
        <f t="shared" si="296"/>
        <v>8.9221984296930762E-2</v>
      </c>
      <c r="BJ99" s="787">
        <f t="shared" si="296"/>
        <v>2.5769506084466716E-2</v>
      </c>
      <c r="BK99" s="786">
        <f t="shared" si="296"/>
        <v>7.8270192994996421E-2</v>
      </c>
      <c r="BL99" s="787">
        <f t="shared" si="296"/>
        <v>0.10419790104947527</v>
      </c>
      <c r="BM99" s="787">
        <f t="shared" si="296"/>
        <v>7.1802543006731487E-2</v>
      </c>
      <c r="BN99" s="787"/>
      <c r="BO99" s="787"/>
      <c r="BP99" s="786"/>
      <c r="BQ99" s="786"/>
      <c r="BR99" s="787"/>
      <c r="BS99" s="787"/>
      <c r="BT99" s="787"/>
      <c r="BU99" s="787"/>
      <c r="BV99" s="786"/>
      <c r="BW99" s="787"/>
      <c r="BX99" s="787"/>
      <c r="BY99" s="787"/>
      <c r="BZ99" s="787"/>
      <c r="CA99" s="786"/>
      <c r="CB99" s="787"/>
      <c r="CC99" s="787"/>
      <c r="CD99" s="787"/>
      <c r="CE99" s="787"/>
      <c r="CF99" s="786"/>
      <c r="CG99" s="787"/>
      <c r="CH99" s="787"/>
      <c r="CI99" s="787"/>
      <c r="CJ99" s="787"/>
      <c r="CK99" s="786"/>
      <c r="CL99" s="787"/>
      <c r="CM99" s="787"/>
      <c r="CN99" s="787"/>
      <c r="CO99" s="787"/>
      <c r="CP99" s="786"/>
      <c r="CQ99" s="790"/>
      <c r="CR99" s="790"/>
      <c r="CS99" s="790"/>
      <c r="CT99" s="791"/>
      <c r="CU99" s="786"/>
      <c r="CV99" s="790"/>
      <c r="CW99" s="790"/>
      <c r="CX99" s="790"/>
      <c r="CY99" s="791"/>
      <c r="CZ99" s="786"/>
      <c r="DA99" s="790"/>
      <c r="DB99" s="790"/>
      <c r="DC99" s="790"/>
      <c r="DD99" s="791"/>
      <c r="DE99" s="786"/>
      <c r="DF99" s="790"/>
      <c r="DG99" s="790"/>
      <c r="DH99" s="790"/>
      <c r="DI99" s="791"/>
      <c r="DJ99" s="786"/>
      <c r="DK99" s="523"/>
      <c r="DL99" s="598"/>
      <c r="DM99" s="830"/>
      <c r="DN99" s="830"/>
      <c r="DO99" s="830"/>
      <c r="DP99" s="1056"/>
      <c r="DQ99" s="1056"/>
      <c r="DR99" s="1056"/>
      <c r="DS99" s="830"/>
      <c r="DT99" s="830"/>
      <c r="DU99" s="830"/>
      <c r="DV99" s="830"/>
      <c r="DW99" s="830"/>
      <c r="DX99" s="830"/>
      <c r="DY99" s="427"/>
      <c r="DZ99" s="428"/>
      <c r="EA99" s="428"/>
      <c r="EB99"/>
      <c r="EC99"/>
      <c r="ED99"/>
      <c r="EE99"/>
      <c r="EF99"/>
      <c r="EG99"/>
    </row>
    <row r="100" spans="1:137" s="398" customFormat="1" hidden="1" outlineLevel="1">
      <c r="A100" s="106" t="s">
        <v>57</v>
      </c>
      <c r="B100" s="19"/>
      <c r="C100" s="253"/>
      <c r="D100" s="253"/>
      <c r="E100" s="253"/>
      <c r="F100" s="253"/>
      <c r="G100" s="253"/>
      <c r="H100" s="268"/>
      <c r="I100" s="268"/>
      <c r="J100" s="268"/>
      <c r="K100" s="268"/>
      <c r="L100" s="253"/>
      <c r="M100" s="268"/>
      <c r="N100" s="268"/>
      <c r="O100" s="268"/>
      <c r="P100" s="268"/>
      <c r="Q100" s="253"/>
      <c r="R100" s="268"/>
      <c r="S100" s="268"/>
      <c r="T100" s="268"/>
      <c r="U100" s="268"/>
      <c r="V100" s="253"/>
      <c r="W100" s="268"/>
      <c r="X100" s="268"/>
      <c r="Y100" s="268"/>
      <c r="Z100" s="268"/>
      <c r="AA100" s="253"/>
      <c r="AB100" s="268"/>
      <c r="AC100" s="268"/>
      <c r="AD100" s="268"/>
      <c r="AE100" s="268"/>
      <c r="AF100" s="253"/>
      <c r="AG100" s="254"/>
      <c r="AH100" s="255"/>
      <c r="AI100" s="255"/>
      <c r="AJ100" s="254"/>
      <c r="AK100" s="257">
        <f t="shared" ref="AK100:AP100" si="297">(AK99-AF99)*100</f>
        <v>0.97705679985880811</v>
      </c>
      <c r="AL100" s="254">
        <f t="shared" si="297"/>
        <v>1.8930192614403138</v>
      </c>
      <c r="AM100" s="254">
        <f t="shared" si="297"/>
        <v>4.235930831077428E-2</v>
      </c>
      <c r="AN100" s="254">
        <f t="shared" si="297"/>
        <v>-1.2260903690179834</v>
      </c>
      <c r="AO100" s="254">
        <f t="shared" si="297"/>
        <v>-0.43290867095372859</v>
      </c>
      <c r="AP100" s="257">
        <f t="shared" si="297"/>
        <v>0.16337073060917889</v>
      </c>
      <c r="AQ100" s="254">
        <f t="shared" ref="AQ100:AZ100" si="298">(AQ99-AL99)*100</f>
        <v>0.13558866962008337</v>
      </c>
      <c r="AR100" s="254">
        <f t="shared" si="298"/>
        <v>-0.2177270900415168</v>
      </c>
      <c r="AS100" s="254">
        <f t="shared" si="298"/>
        <v>0.86823020535057305</v>
      </c>
      <c r="AT100" s="254">
        <f t="shared" si="298"/>
        <v>0.84019107505576007</v>
      </c>
      <c r="AU100" s="257">
        <f t="shared" si="298"/>
        <v>0.28920296056320766</v>
      </c>
      <c r="AV100" s="254">
        <f t="shared" si="298"/>
        <v>-0.49571543424122982</v>
      </c>
      <c r="AW100" s="254">
        <f t="shared" si="298"/>
        <v>-0.5860449107469079</v>
      </c>
      <c r="AX100" s="998">
        <f t="shared" si="298"/>
        <v>-0.26238603095513208</v>
      </c>
      <c r="AY100" s="998">
        <f t="shared" si="298"/>
        <v>-6.2481699643219004</v>
      </c>
      <c r="AZ100" s="1004">
        <f t="shared" si="298"/>
        <v>-1.8786560671966392</v>
      </c>
      <c r="BA100" s="257"/>
      <c r="BB100" s="254"/>
      <c r="BC100" s="254"/>
      <c r="BD100" s="254"/>
      <c r="BE100" s="254"/>
      <c r="BF100" s="1004"/>
      <c r="BG100" s="254">
        <f t="shared" ref="BG100:BM100" si="299">(BG99-BB99)*100</f>
        <v>1.3590319107335129</v>
      </c>
      <c r="BH100" s="254">
        <f t="shared" si="299"/>
        <v>-0.52239559298569438</v>
      </c>
      <c r="BI100" s="998">
        <f t="shared" si="299"/>
        <v>0.45585561220522069</v>
      </c>
      <c r="BJ100" s="998">
        <f t="shared" si="299"/>
        <v>-7.2822043211307914</v>
      </c>
      <c r="BK100" s="1004">
        <f t="shared" si="299"/>
        <v>-1.0516506686644889</v>
      </c>
      <c r="BL100" s="254">
        <f t="shared" si="299"/>
        <v>-1.8104257223906031</v>
      </c>
      <c r="BM100" s="254">
        <f t="shared" si="299"/>
        <v>-0.419177517508669</v>
      </c>
      <c r="BN100" s="998"/>
      <c r="BO100" s="998"/>
      <c r="BP100" s="257"/>
      <c r="BQ100" s="257"/>
      <c r="BR100" s="254"/>
      <c r="BS100" s="254"/>
      <c r="BT100" s="998"/>
      <c r="BU100" s="998"/>
      <c r="BV100" s="1004"/>
      <c r="BW100" s="254"/>
      <c r="BX100" s="254"/>
      <c r="BY100" s="998"/>
      <c r="BZ100" s="998"/>
      <c r="CA100" s="257"/>
      <c r="CB100" s="254"/>
      <c r="CC100" s="254"/>
      <c r="CD100" s="998"/>
      <c r="CE100" s="998"/>
      <c r="CF100" s="257"/>
      <c r="CG100" s="254"/>
      <c r="CH100" s="254"/>
      <c r="CI100" s="998"/>
      <c r="CJ100" s="998"/>
      <c r="CK100" s="257"/>
      <c r="CL100" s="254"/>
      <c r="CM100" s="254"/>
      <c r="CN100" s="998"/>
      <c r="CO100" s="998"/>
      <c r="CP100" s="257"/>
      <c r="CQ100" s="30"/>
      <c r="CR100" s="30"/>
      <c r="CS100" s="30"/>
      <c r="CT100" s="31"/>
      <c r="CU100" s="257"/>
      <c r="CV100" s="30"/>
      <c r="CW100" s="30"/>
      <c r="CX100" s="30"/>
      <c r="CY100" s="31"/>
      <c r="CZ100" s="257"/>
      <c r="DA100" s="30"/>
      <c r="DB100" s="30"/>
      <c r="DC100" s="30"/>
      <c r="DD100" s="31"/>
      <c r="DE100" s="257"/>
      <c r="DF100" s="30"/>
      <c r="DG100" s="30"/>
      <c r="DH100" s="30"/>
      <c r="DI100" s="31"/>
      <c r="DJ100" s="257"/>
      <c r="DK100" s="397"/>
      <c r="DL100" s="74"/>
      <c r="DM100" s="809"/>
      <c r="DN100" s="809"/>
      <c r="DO100" s="809"/>
      <c r="DP100" s="1054"/>
      <c r="DQ100" s="1054"/>
      <c r="DR100" s="1054"/>
      <c r="DS100" s="809"/>
      <c r="DT100" s="809"/>
      <c r="DU100" s="809"/>
      <c r="DV100" s="809"/>
      <c r="DW100" s="809"/>
      <c r="DX100" s="809"/>
      <c r="DY100" s="360"/>
      <c r="DZ100" s="167"/>
      <c r="EA100" s="167"/>
      <c r="EB100"/>
      <c r="EC100"/>
      <c r="ED100"/>
      <c r="EE100"/>
      <c r="EF100"/>
      <c r="EG100"/>
    </row>
    <row r="101" spans="1:137" s="473" customFormat="1" hidden="1" outlineLevel="1">
      <c r="A101" s="707" t="s">
        <v>192</v>
      </c>
      <c r="B101" s="708"/>
      <c r="C101" s="708"/>
      <c r="D101" s="708"/>
      <c r="E101" s="708"/>
      <c r="F101" s="708"/>
      <c r="G101" s="708"/>
      <c r="H101" s="709"/>
      <c r="I101" s="709"/>
      <c r="J101" s="709"/>
      <c r="K101" s="709"/>
      <c r="L101" s="708"/>
      <c r="M101" s="709"/>
      <c r="N101" s="709"/>
      <c r="O101" s="709"/>
      <c r="P101" s="709"/>
      <c r="Q101" s="708"/>
      <c r="R101" s="709"/>
      <c r="S101" s="709"/>
      <c r="T101" s="709"/>
      <c r="U101" s="709"/>
      <c r="V101" s="708"/>
      <c r="W101" s="500"/>
      <c r="X101" s="709"/>
      <c r="Y101" s="500"/>
      <c r="Z101" s="500"/>
      <c r="AA101" s="501"/>
      <c r="AB101" s="500"/>
      <c r="AC101" s="709"/>
      <c r="AD101" s="709"/>
      <c r="AE101" s="709"/>
      <c r="AF101" s="501">
        <f>AF95-AF103</f>
        <v>744</v>
      </c>
      <c r="AG101" s="500">
        <f t="shared" ref="AG101:AQ101" si="300">AG95-AG103</f>
        <v>148</v>
      </c>
      <c r="AH101" s="709">
        <f t="shared" si="300"/>
        <v>208</v>
      </c>
      <c r="AI101" s="709">
        <f t="shared" si="300"/>
        <v>214</v>
      </c>
      <c r="AJ101" s="709">
        <f t="shared" si="300"/>
        <v>218</v>
      </c>
      <c r="AK101" s="708">
        <f t="shared" si="300"/>
        <v>788</v>
      </c>
      <c r="AL101" s="709">
        <f t="shared" si="300"/>
        <v>189</v>
      </c>
      <c r="AM101" s="709">
        <f t="shared" si="300"/>
        <v>194</v>
      </c>
      <c r="AN101" s="709">
        <f t="shared" si="300"/>
        <v>167</v>
      </c>
      <c r="AO101" s="709">
        <f t="shared" si="300"/>
        <v>199</v>
      </c>
      <c r="AP101" s="708">
        <f t="shared" si="300"/>
        <v>759</v>
      </c>
      <c r="AQ101" s="709">
        <f t="shared" si="300"/>
        <v>174</v>
      </c>
      <c r="AR101" s="709">
        <f t="shared" ref="AR101:BF101" si="301">AR95-AR103</f>
        <v>175</v>
      </c>
      <c r="AS101" s="709">
        <f t="shared" si="301"/>
        <v>175</v>
      </c>
      <c r="AT101" s="709">
        <f t="shared" si="301"/>
        <v>205</v>
      </c>
      <c r="AU101" s="708">
        <f t="shared" si="301"/>
        <v>729</v>
      </c>
      <c r="AV101" s="709">
        <f>AV95-AV103</f>
        <v>161</v>
      </c>
      <c r="AW101" s="709">
        <f>AW95-AW103</f>
        <v>160</v>
      </c>
      <c r="AX101" s="1003">
        <f>AX95-AX103</f>
        <v>163</v>
      </c>
      <c r="AY101" s="1003">
        <f>AY95-AY103</f>
        <v>74</v>
      </c>
      <c r="AZ101" s="1005">
        <f>AZ95-AZ103</f>
        <v>558</v>
      </c>
      <c r="BA101" s="708"/>
      <c r="BB101" s="709">
        <f t="shared" si="301"/>
        <v>146</v>
      </c>
      <c r="BC101" s="709">
        <f t="shared" si="301"/>
        <v>112</v>
      </c>
      <c r="BD101" s="709">
        <f t="shared" ref="BD101:BE101" si="302">BD95-BD103</f>
        <v>122</v>
      </c>
      <c r="BE101" s="709">
        <f t="shared" si="302"/>
        <v>147</v>
      </c>
      <c r="BF101" s="708">
        <f t="shared" si="301"/>
        <v>502</v>
      </c>
      <c r="BG101" s="709">
        <f t="shared" ref="BG101:BH101" si="303">BG95-BG103</f>
        <v>170</v>
      </c>
      <c r="BH101" s="709">
        <f t="shared" si="303"/>
        <v>107</v>
      </c>
      <c r="BI101" s="1003">
        <f t="shared" ref="BI101" si="304">BI95-BI103</f>
        <v>125</v>
      </c>
      <c r="BJ101" s="1003">
        <f t="shared" ref="BJ101" si="305">BJ95-BJ103</f>
        <v>36</v>
      </c>
      <c r="BK101" s="1005">
        <f t="shared" ref="BK101:BM101" si="306">BK95-BK103</f>
        <v>438</v>
      </c>
      <c r="BL101" s="709">
        <f t="shared" si="306"/>
        <v>139</v>
      </c>
      <c r="BM101" s="709">
        <f t="shared" si="306"/>
        <v>96</v>
      </c>
      <c r="BN101" s="1003"/>
      <c r="BO101" s="1003"/>
      <c r="BP101" s="708"/>
      <c r="BQ101" s="708"/>
      <c r="BR101" s="709"/>
      <c r="BS101" s="709"/>
      <c r="BT101" s="1003"/>
      <c r="BU101" s="1003"/>
      <c r="BV101" s="1005"/>
      <c r="BW101" s="709"/>
      <c r="BX101" s="709"/>
      <c r="BY101" s="1003"/>
      <c r="BZ101" s="1003"/>
      <c r="CA101" s="708"/>
      <c r="CB101" s="709"/>
      <c r="CC101" s="709"/>
      <c r="CD101" s="1003"/>
      <c r="CE101" s="1003"/>
      <c r="CF101" s="708"/>
      <c r="CG101" s="709"/>
      <c r="CH101" s="709"/>
      <c r="CI101" s="1003"/>
      <c r="CJ101" s="1003"/>
      <c r="CK101" s="708"/>
      <c r="CL101" s="709"/>
      <c r="CM101" s="709"/>
      <c r="CN101" s="1003"/>
      <c r="CO101" s="1003"/>
      <c r="CP101" s="708"/>
      <c r="CQ101" s="710"/>
      <c r="CR101" s="710"/>
      <c r="CS101" s="710"/>
      <c r="CT101" s="711"/>
      <c r="CU101" s="708"/>
      <c r="CV101" s="710"/>
      <c r="CW101" s="710"/>
      <c r="CX101" s="710"/>
      <c r="CY101" s="711"/>
      <c r="CZ101" s="708"/>
      <c r="DA101" s="710"/>
      <c r="DB101" s="710"/>
      <c r="DC101" s="710"/>
      <c r="DD101" s="711"/>
      <c r="DE101" s="708"/>
      <c r="DF101" s="710"/>
      <c r="DG101" s="710"/>
      <c r="DH101" s="710"/>
      <c r="DI101" s="711"/>
      <c r="DJ101" s="708"/>
      <c r="DK101" s="470"/>
      <c r="DL101" s="471"/>
      <c r="DM101" s="864"/>
      <c r="DN101" s="864"/>
      <c r="DO101" s="864"/>
      <c r="DP101" s="1087"/>
      <c r="DQ101" s="1087"/>
      <c r="DR101" s="1087"/>
      <c r="DS101" s="864"/>
      <c r="DT101" s="864"/>
      <c r="DU101" s="864"/>
      <c r="DV101" s="864"/>
      <c r="DW101" s="864"/>
      <c r="DX101" s="864"/>
      <c r="DY101" s="472"/>
      <c r="DZ101" s="464"/>
      <c r="EA101" s="464"/>
      <c r="EB101"/>
      <c r="EC101"/>
      <c r="ED101"/>
      <c r="EE101"/>
      <c r="EF101"/>
      <c r="EG101"/>
    </row>
    <row r="102" spans="1:137" s="398" customFormat="1" hidden="1" outlineLevel="1">
      <c r="A102" s="97" t="s">
        <v>53</v>
      </c>
      <c r="B102" s="80"/>
      <c r="C102" s="80"/>
      <c r="D102" s="80"/>
      <c r="E102" s="80"/>
      <c r="F102" s="80"/>
      <c r="G102" s="80"/>
      <c r="H102" s="82"/>
      <c r="I102" s="82"/>
      <c r="J102" s="82"/>
      <c r="K102" s="82"/>
      <c r="L102" s="80"/>
      <c r="M102" s="82"/>
      <c r="N102" s="82"/>
      <c r="O102" s="82"/>
      <c r="P102" s="82"/>
      <c r="Q102" s="80"/>
      <c r="R102" s="82"/>
      <c r="S102" s="82"/>
      <c r="T102" s="82"/>
      <c r="U102" s="82"/>
      <c r="V102" s="80"/>
      <c r="W102" s="83"/>
      <c r="X102" s="82"/>
      <c r="Y102" s="83"/>
      <c r="Z102" s="83"/>
      <c r="AA102" s="84"/>
      <c r="AB102" s="83"/>
      <c r="AC102" s="82"/>
      <c r="AD102" s="82"/>
      <c r="AE102" s="82"/>
      <c r="AF102" s="84"/>
      <c r="AG102" s="83"/>
      <c r="AH102" s="82"/>
      <c r="AI102" s="82"/>
      <c r="AJ102" s="82"/>
      <c r="AK102" s="80">
        <f t="shared" ref="AK102:AP102" si="307">AK101/AF101-1</f>
        <v>5.9139784946236507E-2</v>
      </c>
      <c r="AL102" s="82">
        <f t="shared" si="307"/>
        <v>0.27702702702702697</v>
      </c>
      <c r="AM102" s="82">
        <f t="shared" si="307"/>
        <v>-6.7307692307692291E-2</v>
      </c>
      <c r="AN102" s="82">
        <f t="shared" si="307"/>
        <v>-0.21962616822429903</v>
      </c>
      <c r="AO102" s="82">
        <f t="shared" si="307"/>
        <v>-8.7155963302752326E-2</v>
      </c>
      <c r="AP102" s="80">
        <f t="shared" si="307"/>
        <v>-3.6802030456852819E-2</v>
      </c>
      <c r="AQ102" s="82">
        <f t="shared" ref="AQ102:AZ102" si="308">AQ101/AL101-1</f>
        <v>-7.9365079365079416E-2</v>
      </c>
      <c r="AR102" s="82">
        <f t="shared" si="308"/>
        <v>-9.7938144329896892E-2</v>
      </c>
      <c r="AS102" s="82">
        <f t="shared" si="308"/>
        <v>4.7904191616766401E-2</v>
      </c>
      <c r="AT102" s="82">
        <f t="shared" si="308"/>
        <v>3.015075376884413E-2</v>
      </c>
      <c r="AU102" s="80">
        <f t="shared" si="308"/>
        <v>-3.9525691699604737E-2</v>
      </c>
      <c r="AV102" s="82">
        <f t="shared" si="308"/>
        <v>-7.4712643678160884E-2</v>
      </c>
      <c r="AW102" s="82">
        <f t="shared" si="308"/>
        <v>-8.5714285714285743E-2</v>
      </c>
      <c r="AX102" s="82">
        <f t="shared" si="308"/>
        <v>-6.8571428571428616E-2</v>
      </c>
      <c r="AY102" s="82">
        <f t="shared" si="308"/>
        <v>-0.63902439024390245</v>
      </c>
      <c r="AZ102" s="80">
        <f t="shared" si="308"/>
        <v>-0.23456790123456794</v>
      </c>
      <c r="BA102" s="80"/>
      <c r="BB102" s="82"/>
      <c r="BC102" s="82"/>
      <c r="BD102" s="82"/>
      <c r="BE102" s="82"/>
      <c r="BF102" s="80"/>
      <c r="BG102" s="82">
        <f t="shared" ref="BG102:BM102" si="309">BG101/BB101-1</f>
        <v>0.16438356164383561</v>
      </c>
      <c r="BH102" s="82">
        <f t="shared" si="309"/>
        <v>-4.4642857142857095E-2</v>
      </c>
      <c r="BI102" s="82">
        <f t="shared" si="309"/>
        <v>2.4590163934426146E-2</v>
      </c>
      <c r="BJ102" s="82">
        <f t="shared" si="309"/>
        <v>-0.75510204081632648</v>
      </c>
      <c r="BK102" s="80">
        <f t="shared" si="309"/>
        <v>-0.12749003984063745</v>
      </c>
      <c r="BL102" s="82">
        <f t="shared" si="309"/>
        <v>-0.18235294117647061</v>
      </c>
      <c r="BM102" s="82">
        <f t="shared" si="309"/>
        <v>-0.10280373831775702</v>
      </c>
      <c r="BN102" s="82"/>
      <c r="BO102" s="82"/>
      <c r="BP102" s="80"/>
      <c r="BQ102" s="80"/>
      <c r="BR102" s="82"/>
      <c r="BS102" s="82"/>
      <c r="BT102" s="82"/>
      <c r="BU102" s="82"/>
      <c r="BV102" s="80"/>
      <c r="BW102" s="82"/>
      <c r="BX102" s="82"/>
      <c r="BY102" s="82"/>
      <c r="BZ102" s="82"/>
      <c r="CA102" s="80"/>
      <c r="CB102" s="82"/>
      <c r="CC102" s="82"/>
      <c r="CD102" s="82"/>
      <c r="CE102" s="82"/>
      <c r="CF102" s="80"/>
      <c r="CG102" s="82"/>
      <c r="CH102" s="82"/>
      <c r="CI102" s="82"/>
      <c r="CJ102" s="82"/>
      <c r="CK102" s="80"/>
      <c r="CL102" s="82"/>
      <c r="CM102" s="82"/>
      <c r="CN102" s="82"/>
      <c r="CO102" s="82"/>
      <c r="CP102" s="80"/>
      <c r="CQ102" s="103"/>
      <c r="CR102" s="103"/>
      <c r="CS102" s="103"/>
      <c r="CT102" s="105"/>
      <c r="CU102" s="80"/>
      <c r="CV102" s="103"/>
      <c r="CW102" s="103"/>
      <c r="CX102" s="103"/>
      <c r="CY102" s="105"/>
      <c r="CZ102" s="80"/>
      <c r="DA102" s="103"/>
      <c r="DB102" s="103"/>
      <c r="DC102" s="103"/>
      <c r="DD102" s="105"/>
      <c r="DE102" s="80"/>
      <c r="DF102" s="103"/>
      <c r="DG102" s="103"/>
      <c r="DH102" s="103"/>
      <c r="DI102" s="105"/>
      <c r="DJ102" s="80"/>
      <c r="DK102" s="401"/>
      <c r="DL102" s="74"/>
      <c r="DM102" s="867"/>
      <c r="DN102" s="809"/>
      <c r="DO102" s="809"/>
      <c r="DP102" s="1054"/>
      <c r="DQ102" s="1054"/>
      <c r="DR102" s="1054"/>
      <c r="DS102" s="809"/>
      <c r="DT102" s="809"/>
      <c r="DU102" s="809"/>
      <c r="DV102" s="809"/>
      <c r="DW102" s="809"/>
      <c r="DX102" s="809"/>
      <c r="DY102" s="360"/>
      <c r="DZ102" s="167"/>
      <c r="EA102" s="167"/>
      <c r="EB102"/>
      <c r="EC102"/>
      <c r="ED102"/>
      <c r="EE102"/>
      <c r="EF102"/>
      <c r="EG102"/>
    </row>
    <row r="103" spans="1:137" s="473" customFormat="1" hidden="1" outlineLevel="1">
      <c r="A103" s="734" t="s">
        <v>189</v>
      </c>
      <c r="B103" s="462"/>
      <c r="C103" s="462"/>
      <c r="D103" s="462"/>
      <c r="E103" s="462"/>
      <c r="F103" s="462"/>
      <c r="G103" s="462"/>
      <c r="H103" s="463"/>
      <c r="I103" s="463"/>
      <c r="J103" s="463"/>
      <c r="K103" s="463"/>
      <c r="L103" s="462"/>
      <c r="M103" s="463"/>
      <c r="N103" s="463"/>
      <c r="O103" s="463"/>
      <c r="P103" s="463"/>
      <c r="Q103" s="462"/>
      <c r="R103" s="463"/>
      <c r="S103" s="463"/>
      <c r="T103" s="463"/>
      <c r="U103" s="463"/>
      <c r="V103" s="462"/>
      <c r="W103" s="464"/>
      <c r="X103" s="463"/>
      <c r="Y103" s="464"/>
      <c r="Z103" s="464"/>
      <c r="AA103" s="465"/>
      <c r="AB103" s="464"/>
      <c r="AC103" s="463"/>
      <c r="AD103" s="463"/>
      <c r="AE103" s="463"/>
      <c r="AF103" s="465">
        <v>130</v>
      </c>
      <c r="AG103" s="464">
        <v>40</v>
      </c>
      <c r="AH103" s="463">
        <v>0</v>
      </c>
      <c r="AI103" s="463">
        <v>-5</v>
      </c>
      <c r="AJ103" s="463">
        <v>-15</v>
      </c>
      <c r="AK103" s="462">
        <v>20</v>
      </c>
      <c r="AL103" s="463">
        <v>0</v>
      </c>
      <c r="AM103" s="463">
        <v>0</v>
      </c>
      <c r="AN103" s="463">
        <v>20</v>
      </c>
      <c r="AO103" s="463">
        <v>-10</v>
      </c>
      <c r="AP103" s="462">
        <v>0</v>
      </c>
      <c r="AQ103" s="463">
        <v>0</v>
      </c>
      <c r="AR103" s="794">
        <v>0</v>
      </c>
      <c r="AS103" s="794">
        <v>0</v>
      </c>
      <c r="AT103" s="794">
        <v>-30</v>
      </c>
      <c r="AU103" s="838">
        <v>-30</v>
      </c>
      <c r="AV103" s="794">
        <v>-25</v>
      </c>
      <c r="AW103" s="794">
        <v>0</v>
      </c>
      <c r="AX103" s="794">
        <v>0</v>
      </c>
      <c r="AY103" s="794">
        <f>+AZ103-SUM(AV103:AX103)</f>
        <v>95</v>
      </c>
      <c r="AZ103" s="838">
        <v>70</v>
      </c>
      <c r="BA103" s="838"/>
      <c r="BB103" s="794">
        <v>-25</v>
      </c>
      <c r="BC103" s="794">
        <v>0</v>
      </c>
      <c r="BD103" s="794">
        <v>0</v>
      </c>
      <c r="BE103" s="794">
        <v>-30</v>
      </c>
      <c r="BF103" s="838">
        <v>-30</v>
      </c>
      <c r="BG103" s="794">
        <v>-25</v>
      </c>
      <c r="BH103" s="794">
        <v>0</v>
      </c>
      <c r="BI103" s="794">
        <v>0</v>
      </c>
      <c r="BJ103" s="794">
        <f>+BK103-SUM(BG103:BI103)</f>
        <v>95</v>
      </c>
      <c r="BK103" s="838">
        <v>70</v>
      </c>
      <c r="BL103" s="794">
        <v>-30</v>
      </c>
      <c r="BM103" s="794">
        <f>25-BL103</f>
        <v>55</v>
      </c>
      <c r="BN103" s="794"/>
      <c r="BO103" s="794"/>
      <c r="BP103" s="462"/>
      <c r="BQ103" s="838"/>
      <c r="BR103" s="794"/>
      <c r="BS103" s="794"/>
      <c r="BT103" s="794"/>
      <c r="BU103" s="794"/>
      <c r="BV103" s="838"/>
      <c r="BW103" s="794"/>
      <c r="BX103" s="794"/>
      <c r="BY103" s="794"/>
      <c r="BZ103" s="794"/>
      <c r="CA103" s="462"/>
      <c r="CB103" s="794"/>
      <c r="CC103" s="794"/>
      <c r="CD103" s="794"/>
      <c r="CE103" s="794"/>
      <c r="CF103" s="462"/>
      <c r="CG103" s="794"/>
      <c r="CH103" s="794"/>
      <c r="CI103" s="794"/>
      <c r="CJ103" s="794"/>
      <c r="CK103" s="462"/>
      <c r="CL103" s="794"/>
      <c r="CM103" s="794"/>
      <c r="CN103" s="794"/>
      <c r="CO103" s="794"/>
      <c r="CP103" s="462"/>
      <c r="CQ103" s="468"/>
      <c r="CR103" s="468"/>
      <c r="CS103" s="468"/>
      <c r="CT103" s="469"/>
      <c r="CU103" s="462"/>
      <c r="CV103" s="468"/>
      <c r="CW103" s="468"/>
      <c r="CX103" s="468"/>
      <c r="CY103" s="469"/>
      <c r="CZ103" s="462"/>
      <c r="DA103" s="468"/>
      <c r="DB103" s="468"/>
      <c r="DC103" s="468"/>
      <c r="DD103" s="469"/>
      <c r="DE103" s="462"/>
      <c r="DF103" s="468"/>
      <c r="DG103" s="468"/>
      <c r="DH103" s="468"/>
      <c r="DI103" s="469"/>
      <c r="DJ103" s="462"/>
      <c r="DK103" s="470"/>
      <c r="DL103" s="471"/>
      <c r="DM103" s="864"/>
      <c r="DN103" s="864"/>
      <c r="DO103" s="864"/>
      <c r="DP103" s="1087"/>
      <c r="DQ103" s="1087"/>
      <c r="DR103" s="1087"/>
      <c r="DS103" s="864"/>
      <c r="DT103" s="864"/>
      <c r="DU103" s="864"/>
      <c r="DV103" s="864"/>
      <c r="DW103" s="864"/>
      <c r="DX103" s="864"/>
      <c r="DY103" s="472"/>
      <c r="DZ103" s="464"/>
      <c r="EA103" s="464"/>
      <c r="EB103"/>
      <c r="EC103"/>
      <c r="ED103"/>
      <c r="EE103"/>
      <c r="EF103"/>
      <c r="EG103"/>
    </row>
    <row r="104" spans="1:137" s="429" customFormat="1" hidden="1" outlineLevel="1">
      <c r="A104" s="784" t="s">
        <v>198</v>
      </c>
      <c r="B104" s="562"/>
      <c r="C104" s="562"/>
      <c r="D104" s="562"/>
      <c r="E104" s="562"/>
      <c r="F104" s="562"/>
      <c r="G104" s="562"/>
      <c r="H104" s="543"/>
      <c r="I104" s="543"/>
      <c r="J104" s="543"/>
      <c r="K104" s="543"/>
      <c r="L104" s="562"/>
      <c r="M104" s="543"/>
      <c r="N104" s="543"/>
      <c r="O104" s="543"/>
      <c r="P104" s="543"/>
      <c r="Q104" s="562"/>
      <c r="R104" s="543"/>
      <c r="S104" s="543"/>
      <c r="T104" s="543"/>
      <c r="U104" s="543"/>
      <c r="V104" s="562"/>
      <c r="W104" s="428"/>
      <c r="X104" s="543"/>
      <c r="Y104" s="428"/>
      <c r="Z104" s="428"/>
      <c r="AA104" s="522"/>
      <c r="AB104" s="428"/>
      <c r="AC104" s="543"/>
      <c r="AD104" s="543"/>
      <c r="AE104" s="543"/>
      <c r="AF104" s="522">
        <f t="shared" ref="AF104:AR104" si="310">AF103/AF95</f>
        <v>0.14874141876430205</v>
      </c>
      <c r="AG104" s="428">
        <f t="shared" si="310"/>
        <v>0.21276595744680851</v>
      </c>
      <c r="AH104" s="543">
        <f t="shared" si="310"/>
        <v>0</v>
      </c>
      <c r="AI104" s="543">
        <f t="shared" si="310"/>
        <v>-2.3923444976076555E-2</v>
      </c>
      <c r="AJ104" s="543">
        <f t="shared" si="310"/>
        <v>-7.3891625615763554E-2</v>
      </c>
      <c r="AK104" s="562">
        <f t="shared" si="310"/>
        <v>2.4752475247524754E-2</v>
      </c>
      <c r="AL104" s="543">
        <f t="shared" si="310"/>
        <v>0</v>
      </c>
      <c r="AM104" s="543">
        <f t="shared" si="310"/>
        <v>0</v>
      </c>
      <c r="AN104" s="543">
        <f t="shared" si="310"/>
        <v>0.10695187165775401</v>
      </c>
      <c r="AO104" s="543">
        <f t="shared" si="310"/>
        <v>-5.2910052910052907E-2</v>
      </c>
      <c r="AP104" s="562">
        <f t="shared" si="310"/>
        <v>0</v>
      </c>
      <c r="AQ104" s="543">
        <f t="shared" si="310"/>
        <v>0</v>
      </c>
      <c r="AR104" s="543">
        <f t="shared" si="310"/>
        <v>0</v>
      </c>
      <c r="AS104" s="543">
        <f t="shared" ref="AS104:AZ104" si="311">AS103/AS95</f>
        <v>0</v>
      </c>
      <c r="AT104" s="543">
        <f t="shared" si="311"/>
        <v>-0.17142857142857143</v>
      </c>
      <c r="AU104" s="562">
        <f t="shared" si="311"/>
        <v>-4.2918454935622317E-2</v>
      </c>
      <c r="AV104" s="543">
        <f t="shared" si="311"/>
        <v>-0.18382352941176472</v>
      </c>
      <c r="AW104" s="543">
        <f t="shared" si="311"/>
        <v>0</v>
      </c>
      <c r="AX104" s="543">
        <f t="shared" si="311"/>
        <v>0</v>
      </c>
      <c r="AY104" s="543">
        <f t="shared" si="311"/>
        <v>0.56213017751479288</v>
      </c>
      <c r="AZ104" s="562">
        <f t="shared" si="311"/>
        <v>0.11146496815286625</v>
      </c>
      <c r="BA104" s="562"/>
      <c r="BB104" s="543">
        <f>BB103/BB95</f>
        <v>-0.20661157024793389</v>
      </c>
      <c r="BC104" s="543">
        <f>BC103/BC95</f>
        <v>0</v>
      </c>
      <c r="BD104" s="543">
        <f>BD103/BD95</f>
        <v>0</v>
      </c>
      <c r="BE104" s="543">
        <f>BE103/BE95</f>
        <v>-0.25641025641025639</v>
      </c>
      <c r="BF104" s="562">
        <f t="shared" ref="BF104" si="312">BF103/BF95</f>
        <v>-6.3559322033898302E-2</v>
      </c>
      <c r="BG104" s="543">
        <f>BG103/BG95</f>
        <v>-0.17241379310344829</v>
      </c>
      <c r="BH104" s="543">
        <f>BH103/BH95</f>
        <v>0</v>
      </c>
      <c r="BI104" s="543">
        <f>BI103/BI95</f>
        <v>0</v>
      </c>
      <c r="BJ104" s="543">
        <f>BJ103/BJ95</f>
        <v>0.72519083969465647</v>
      </c>
      <c r="BK104" s="562">
        <f t="shared" ref="BK104" si="313">BK103/BK95</f>
        <v>0.13779527559055119</v>
      </c>
      <c r="BL104" s="543">
        <f>BL103/BL95</f>
        <v>-0.27522935779816515</v>
      </c>
      <c r="BM104" s="543">
        <f>BM103/BM95</f>
        <v>0.36423841059602646</v>
      </c>
      <c r="BN104" s="543"/>
      <c r="BO104" s="543"/>
      <c r="BP104" s="562"/>
      <c r="BQ104" s="562"/>
      <c r="BR104" s="543"/>
      <c r="BS104" s="543"/>
      <c r="BT104" s="543"/>
      <c r="BU104" s="543"/>
      <c r="BV104" s="562"/>
      <c r="BW104" s="543"/>
      <c r="BX104" s="543"/>
      <c r="BY104" s="543"/>
      <c r="BZ104" s="543"/>
      <c r="CA104" s="562"/>
      <c r="CB104" s="543"/>
      <c r="CC104" s="543"/>
      <c r="CD104" s="543"/>
      <c r="CE104" s="543"/>
      <c r="CF104" s="562"/>
      <c r="CG104" s="543"/>
      <c r="CH104" s="543"/>
      <c r="CI104" s="543"/>
      <c r="CJ104" s="543"/>
      <c r="CK104" s="562"/>
      <c r="CL104" s="543"/>
      <c r="CM104" s="543"/>
      <c r="CN104" s="543"/>
      <c r="CO104" s="543"/>
      <c r="CP104" s="562"/>
      <c r="CQ104" s="524"/>
      <c r="CR104" s="524"/>
      <c r="CS104" s="524"/>
      <c r="CT104" s="525"/>
      <c r="CU104" s="562"/>
      <c r="CV104" s="524"/>
      <c r="CW104" s="524"/>
      <c r="CX104" s="524"/>
      <c r="CY104" s="525"/>
      <c r="CZ104" s="562"/>
      <c r="DA104" s="524"/>
      <c r="DB104" s="524"/>
      <c r="DC104" s="524"/>
      <c r="DD104" s="525"/>
      <c r="DE104" s="562"/>
      <c r="DF104" s="524"/>
      <c r="DG104" s="524"/>
      <c r="DH104" s="524"/>
      <c r="DI104" s="525"/>
      <c r="DJ104" s="562"/>
      <c r="DK104" s="523"/>
      <c r="DL104" s="598"/>
      <c r="DM104" s="830"/>
      <c r="DN104" s="830"/>
      <c r="DO104" s="830"/>
      <c r="DP104" s="1056"/>
      <c r="DQ104" s="1056"/>
      <c r="DR104" s="1056"/>
      <c r="DS104" s="830"/>
      <c r="DT104" s="830"/>
      <c r="DU104" s="830"/>
      <c r="DV104" s="830"/>
      <c r="DW104" s="830"/>
      <c r="DX104" s="830"/>
      <c r="DY104" s="427"/>
      <c r="DZ104" s="428"/>
      <c r="EA104" s="428"/>
      <c r="EB104"/>
      <c r="EC104"/>
      <c r="ED104"/>
      <c r="EE104"/>
      <c r="EF104"/>
      <c r="EG104"/>
    </row>
    <row r="105" spans="1:137" s="166" customFormat="1" collapsed="1">
      <c r="A105" s="59" t="s">
        <v>61</v>
      </c>
      <c r="B105" s="108"/>
      <c r="C105" s="108"/>
      <c r="D105" s="108"/>
      <c r="E105" s="108"/>
      <c r="F105" s="108"/>
      <c r="G105" s="108"/>
      <c r="H105" s="107"/>
      <c r="I105" s="107"/>
      <c r="J105" s="107"/>
      <c r="K105" s="107"/>
      <c r="L105" s="108"/>
      <c r="M105" s="107"/>
      <c r="N105" s="107"/>
      <c r="O105" s="107"/>
      <c r="P105" s="107"/>
      <c r="Q105" s="108"/>
      <c r="R105" s="107"/>
      <c r="S105" s="107"/>
      <c r="T105" s="107"/>
      <c r="U105" s="107"/>
      <c r="V105" s="108"/>
      <c r="W105" s="107"/>
      <c r="X105" s="107"/>
      <c r="Y105" s="107"/>
      <c r="Z105" s="107"/>
      <c r="AA105" s="108"/>
      <c r="AB105" s="107">
        <f t="shared" ref="AB105:BM105" si="314">AB107/AB24</f>
        <v>0.16118047673098751</v>
      </c>
      <c r="AC105" s="107">
        <f t="shared" si="314"/>
        <v>0.14019162884518407</v>
      </c>
      <c r="AD105" s="107">
        <f t="shared" si="314"/>
        <v>0.14587737843551796</v>
      </c>
      <c r="AE105" s="107">
        <f t="shared" si="314"/>
        <v>0.12650602409638553</v>
      </c>
      <c r="AF105" s="108">
        <f t="shared" si="314"/>
        <v>0.14323998392067533</v>
      </c>
      <c r="AG105" s="107">
        <f t="shared" si="314"/>
        <v>0.210079275198188</v>
      </c>
      <c r="AH105" s="107">
        <f t="shared" si="314"/>
        <v>0.16983179598480738</v>
      </c>
      <c r="AI105" s="107">
        <f t="shared" si="314"/>
        <v>0.15376729882111737</v>
      </c>
      <c r="AJ105" s="107">
        <f t="shared" si="314"/>
        <v>0.14338429098576699</v>
      </c>
      <c r="AK105" s="108">
        <f t="shared" si="314"/>
        <v>0.16843234544723079</v>
      </c>
      <c r="AL105" s="107">
        <f t="shared" si="314"/>
        <v>0.17303822937625754</v>
      </c>
      <c r="AM105" s="107">
        <f t="shared" si="314"/>
        <v>0.18649045521292218</v>
      </c>
      <c r="AN105" s="107">
        <f t="shared" si="314"/>
        <v>0.17773339990014977</v>
      </c>
      <c r="AO105" s="107">
        <f t="shared" si="314"/>
        <v>0.20313406848520024</v>
      </c>
      <c r="AP105" s="108">
        <f t="shared" si="314"/>
        <v>0.18447853551630786</v>
      </c>
      <c r="AQ105" s="107">
        <f t="shared" si="314"/>
        <v>0.19175147295125872</v>
      </c>
      <c r="AR105" s="107">
        <f t="shared" si="314"/>
        <v>0.18244315177154943</v>
      </c>
      <c r="AS105" s="107">
        <f t="shared" si="314"/>
        <v>0.17557651991614256</v>
      </c>
      <c r="AT105" s="107">
        <f t="shared" si="314"/>
        <v>0.15888778550148958</v>
      </c>
      <c r="AU105" s="108">
        <f t="shared" si="314"/>
        <v>0.17682291666666666</v>
      </c>
      <c r="AV105" s="107">
        <f t="shared" si="314"/>
        <v>0.19427811044577512</v>
      </c>
      <c r="AW105" s="107">
        <f t="shared" si="314"/>
        <v>0.17051209904333145</v>
      </c>
      <c r="AX105" s="107">
        <f t="shared" si="314"/>
        <v>0.17337461300309598</v>
      </c>
      <c r="AY105" s="107">
        <f t="shared" si="314"/>
        <v>0.18668528864059591</v>
      </c>
      <c r="AZ105" s="108">
        <f t="shared" si="314"/>
        <v>0.18083084442030953</v>
      </c>
      <c r="BA105" s="108">
        <f t="shared" si="314"/>
        <v>0.20294334069168507</v>
      </c>
      <c r="BB105" s="107">
        <f t="shared" si="314"/>
        <v>0.19895287958115182</v>
      </c>
      <c r="BC105" s="107">
        <f t="shared" si="314"/>
        <v>0.19633657698912421</v>
      </c>
      <c r="BD105" s="107">
        <f t="shared" si="314"/>
        <v>0.18718094157685763</v>
      </c>
      <c r="BE105" s="107">
        <f t="shared" si="314"/>
        <v>0.17659688674181429</v>
      </c>
      <c r="BF105" s="108">
        <f t="shared" si="314"/>
        <v>0.1895093062605753</v>
      </c>
      <c r="BG105" s="107">
        <f t="shared" si="314"/>
        <v>0.20679681851048445</v>
      </c>
      <c r="BH105" s="107">
        <f t="shared" si="314"/>
        <v>0.17768344451182536</v>
      </c>
      <c r="BI105" s="107">
        <f t="shared" si="314"/>
        <v>0.178631995477671</v>
      </c>
      <c r="BJ105" s="107">
        <f t="shared" si="314"/>
        <v>0.19654647028948705</v>
      </c>
      <c r="BK105" s="108">
        <f t="shared" si="314"/>
        <v>0.18936484490398819</v>
      </c>
      <c r="BL105" s="107">
        <f t="shared" si="314"/>
        <v>0.15411436541143655</v>
      </c>
      <c r="BM105" s="107">
        <f t="shared" si="314"/>
        <v>0.15059523809523809</v>
      </c>
      <c r="BN105" s="107"/>
      <c r="BO105" s="107"/>
      <c r="BP105" s="110"/>
      <c r="BQ105" s="108">
        <f t="shared" ref="BQ105:CC105" si="315">BQ107/BQ24</f>
        <v>0.1895093062605753</v>
      </c>
      <c r="BR105" s="107">
        <f t="shared" si="315"/>
        <v>0.20679681851048445</v>
      </c>
      <c r="BS105" s="107">
        <f t="shared" si="315"/>
        <v>0.17768344451182536</v>
      </c>
      <c r="BT105" s="107">
        <f t="shared" si="315"/>
        <v>0.178631995477671</v>
      </c>
      <c r="BU105" s="107">
        <f t="shared" si="315"/>
        <v>0.19654647028948705</v>
      </c>
      <c r="BV105" s="108">
        <f t="shared" si="315"/>
        <v>0.18936484490398819</v>
      </c>
      <c r="BW105" s="107">
        <f t="shared" si="315"/>
        <v>0.15411436541143655</v>
      </c>
      <c r="BX105" s="107">
        <f t="shared" si="315"/>
        <v>0.15059523809523809</v>
      </c>
      <c r="BY105" s="107">
        <f t="shared" si="315"/>
        <v>0.16637881404720783</v>
      </c>
      <c r="BZ105" s="107">
        <f>BZ107/BZ24</f>
        <v>0.14513375071143997</v>
      </c>
      <c r="CA105" s="108">
        <f>CA107/CA24</f>
        <v>0.15405569007263922</v>
      </c>
      <c r="CB105" s="107">
        <f t="shared" si="315"/>
        <v>0.14707857622565479</v>
      </c>
      <c r="CC105" s="107">
        <f t="shared" si="315"/>
        <v>0.16371411117898596</v>
      </c>
      <c r="CD105" s="107">
        <f t="shared" ref="CD105" si="316">CD107/CD24</f>
        <v>0.15058561070831009</v>
      </c>
      <c r="CE105" s="107">
        <f>CE107/CE24</f>
        <v>0.12908853030963802</v>
      </c>
      <c r="CF105" s="108">
        <f>CF107/CF24</f>
        <v>0.14600665557404327</v>
      </c>
      <c r="CG105" s="107"/>
      <c r="CH105" s="107"/>
      <c r="CI105" s="107"/>
      <c r="CJ105" s="107"/>
      <c r="CK105" s="108">
        <f>CK107/CK24</f>
        <v>0.15071910771940122</v>
      </c>
      <c r="CL105" s="107"/>
      <c r="CM105" s="107"/>
      <c r="CN105" s="107"/>
      <c r="CO105" s="107"/>
      <c r="CP105" s="108">
        <f>CP107/CP24</f>
        <v>0.1438168357554154</v>
      </c>
      <c r="CQ105" s="109">
        <v>0.14000000000000001</v>
      </c>
      <c r="CR105" s="109">
        <v>0.14000000000000001</v>
      </c>
      <c r="CS105" s="109">
        <v>0.14000000000000001</v>
      </c>
      <c r="CT105" s="111">
        <v>0.14000000000000001</v>
      </c>
      <c r="CU105" s="108">
        <f>CU107/CU24</f>
        <v>0.14000000000000001</v>
      </c>
      <c r="CV105" s="109"/>
      <c r="CW105" s="109"/>
      <c r="CX105" s="109"/>
      <c r="CY105" s="111"/>
      <c r="CZ105" s="110">
        <v>0.14499999999999999</v>
      </c>
      <c r="DA105" s="109"/>
      <c r="DB105" s="109"/>
      <c r="DC105" s="109"/>
      <c r="DD105" s="111"/>
      <c r="DE105" s="110">
        <v>0.14499999999999999</v>
      </c>
      <c r="DF105" s="109"/>
      <c r="DG105" s="109"/>
      <c r="DH105" s="109"/>
      <c r="DI105" s="111"/>
      <c r="DJ105" s="110">
        <v>0.14499999999999999</v>
      </c>
      <c r="DK105" s="403"/>
      <c r="DL105" s="404"/>
      <c r="DM105" s="809"/>
      <c r="DN105" s="809"/>
      <c r="DO105" s="809"/>
      <c r="DP105" s="1088"/>
      <c r="DQ105" s="1088"/>
      <c r="DR105" s="1088"/>
      <c r="DS105" s="1089"/>
      <c r="DT105" s="809"/>
      <c r="DU105" s="809"/>
      <c r="DV105" s="809"/>
      <c r="DW105" s="809"/>
      <c r="DX105" s="809"/>
      <c r="DY105" s="404"/>
      <c r="DZ105" s="405"/>
      <c r="EA105" s="405"/>
      <c r="EB105"/>
      <c r="EC105"/>
      <c r="ED105"/>
      <c r="EE105"/>
      <c r="EF105"/>
      <c r="EG105"/>
    </row>
    <row r="106" spans="1:137" s="398" customFormat="1">
      <c r="A106" s="106" t="s">
        <v>57</v>
      </c>
      <c r="B106" s="19"/>
      <c r="C106" s="253"/>
      <c r="D106" s="253"/>
      <c r="E106" s="253"/>
      <c r="F106" s="253"/>
      <c r="G106" s="253"/>
      <c r="H106" s="254"/>
      <c r="I106" s="254"/>
      <c r="J106" s="254"/>
      <c r="K106" s="254"/>
      <c r="L106" s="253"/>
      <c r="M106" s="254"/>
      <c r="N106" s="254"/>
      <c r="O106" s="254"/>
      <c r="P106" s="255"/>
      <c r="Q106" s="256"/>
      <c r="R106" s="254"/>
      <c r="S106" s="254"/>
      <c r="T106" s="254"/>
      <c r="U106" s="254"/>
      <c r="V106" s="256"/>
      <c r="W106" s="254"/>
      <c r="X106" s="254"/>
      <c r="Y106" s="254"/>
      <c r="Z106" s="254"/>
      <c r="AA106" s="257"/>
      <c r="AB106" s="254"/>
      <c r="AC106" s="254"/>
      <c r="AD106" s="254"/>
      <c r="AE106" s="254"/>
      <c r="AF106" s="257">
        <f t="shared" ref="AF106:AP106" si="317">(AF105-AA105)*100</f>
        <v>14.323998392067534</v>
      </c>
      <c r="AG106" s="254">
        <f t="shared" si="317"/>
        <v>4.8898798467200493</v>
      </c>
      <c r="AH106" s="255">
        <f t="shared" si="317"/>
        <v>2.964016713962331</v>
      </c>
      <c r="AI106" s="255">
        <f t="shared" si="317"/>
        <v>0.78899203855994082</v>
      </c>
      <c r="AJ106" s="254">
        <f t="shared" si="317"/>
        <v>1.6878266889381459</v>
      </c>
      <c r="AK106" s="257">
        <f t="shared" si="317"/>
        <v>2.5192361526555462</v>
      </c>
      <c r="AL106" s="254">
        <f t="shared" si="317"/>
        <v>-3.7041045821930463</v>
      </c>
      <c r="AM106" s="254">
        <f>(AM105-AH105)*100</f>
        <v>1.6658659228114798</v>
      </c>
      <c r="AN106" s="254">
        <f>(AN105-AI105)*100</f>
        <v>2.3966101079032409</v>
      </c>
      <c r="AO106" s="254">
        <f t="shared" si="317"/>
        <v>5.9749777499433252</v>
      </c>
      <c r="AP106" s="257">
        <f t="shared" si="317"/>
        <v>1.6046190069077064</v>
      </c>
      <c r="AQ106" s="254">
        <f t="shared" ref="AQ106:AZ106" si="318">(AQ105-AL105)*100</f>
        <v>1.8713243575001175</v>
      </c>
      <c r="AR106" s="533">
        <f t="shared" si="318"/>
        <v>-0.4047303441372746</v>
      </c>
      <c r="AS106" s="254">
        <f t="shared" si="318"/>
        <v>-0.21568799840072095</v>
      </c>
      <c r="AT106" s="254">
        <f t="shared" si="318"/>
        <v>-4.4246282983710667</v>
      </c>
      <c r="AU106" s="257">
        <f t="shared" si="318"/>
        <v>-0.76556188496411937</v>
      </c>
      <c r="AV106" s="254">
        <f t="shared" si="318"/>
        <v>0.25266374945163983</v>
      </c>
      <c r="AW106" s="533">
        <f t="shared" si="318"/>
        <v>-1.1931052728217983</v>
      </c>
      <c r="AX106" s="254">
        <f t="shared" si="318"/>
        <v>-0.22019069130465863</v>
      </c>
      <c r="AY106" s="254">
        <f t="shared" si="318"/>
        <v>2.7797503139106339</v>
      </c>
      <c r="AZ106" s="257">
        <f t="shared" si="318"/>
        <v>0.40079277536428648</v>
      </c>
      <c r="BA106" s="257"/>
      <c r="BB106" s="254"/>
      <c r="BC106" s="533"/>
      <c r="BD106" s="254"/>
      <c r="BE106" s="254"/>
      <c r="BF106" s="257">
        <f t="shared" ref="BF106:BM106" si="319">(BF105-BA105)*100</f>
        <v>-1.3434034431109771</v>
      </c>
      <c r="BG106" s="254">
        <f t="shared" si="319"/>
        <v>0.78439389293326334</v>
      </c>
      <c r="BH106" s="533">
        <f t="shared" si="319"/>
        <v>-1.8653132477298855</v>
      </c>
      <c r="BI106" s="254">
        <f t="shared" si="319"/>
        <v>-0.85489460991866328</v>
      </c>
      <c r="BJ106" s="254">
        <f t="shared" si="319"/>
        <v>1.994958354767276</v>
      </c>
      <c r="BK106" s="257">
        <f t="shared" si="319"/>
        <v>-1.4446135658710557E-2</v>
      </c>
      <c r="BL106" s="254">
        <f t="shared" si="319"/>
        <v>-5.2682453099047901</v>
      </c>
      <c r="BM106" s="533">
        <f t="shared" si="319"/>
        <v>-2.7088206416587268</v>
      </c>
      <c r="BN106" s="254"/>
      <c r="BO106" s="254"/>
      <c r="BP106" s="257"/>
      <c r="BQ106" s="257"/>
      <c r="BR106" s="254">
        <f>(BR105-BB105)*100</f>
        <v>0.78439389293326334</v>
      </c>
      <c r="BS106" s="254">
        <f t="shared" ref="BS106" si="320">(BS105-BC105)*100</f>
        <v>-1.8653132477298855</v>
      </c>
      <c r="BT106" s="826">
        <f t="shared" ref="BT106" si="321">(BT105-BD105)*100</f>
        <v>-0.85489460991866328</v>
      </c>
      <c r="BU106" s="254">
        <f t="shared" ref="BU106" si="322">(BU105-BE105)*100</f>
        <v>1.994958354767276</v>
      </c>
      <c r="BV106" s="257">
        <f>(BV105-BF105)*100</f>
        <v>-1.4446135658710557E-2</v>
      </c>
      <c r="BW106" s="254">
        <f>(BW105-BR105)*100</f>
        <v>-5.2682453099047901</v>
      </c>
      <c r="BX106" s="533">
        <f>(BX105-BS105)*100</f>
        <v>-2.7088206416587268</v>
      </c>
      <c r="BY106" s="254">
        <f>(BY105-BT105)*100</f>
        <v>-1.2253181430463167</v>
      </c>
      <c r="BZ106" s="254">
        <f>(BZ105-BU105)*100</f>
        <v>-5.1412719578047081</v>
      </c>
      <c r="CA106" s="257">
        <f>(CA105-BK105)*100</f>
        <v>-3.5309154831348972</v>
      </c>
      <c r="CB106" s="254">
        <f>(CB105-BW105)*100</f>
        <v>-0.70357891857817656</v>
      </c>
      <c r="CC106" s="254">
        <f>(CC105-BX105)*100</f>
        <v>1.3118873083747873</v>
      </c>
      <c r="CD106" s="254">
        <f>(CD105-BY105)*100</f>
        <v>-1.579320333889775</v>
      </c>
      <c r="CE106" s="254">
        <f>(CE105-BZ105)*100</f>
        <v>-1.6045220401801952</v>
      </c>
      <c r="CF106" s="257">
        <f>(CF105-CA105)*100</f>
        <v>-0.80490344985959528</v>
      </c>
      <c r="CG106" s="254"/>
      <c r="CH106" s="533"/>
      <c r="CI106" s="254"/>
      <c r="CJ106" s="254"/>
      <c r="CK106" s="257"/>
      <c r="CL106" s="254"/>
      <c r="CM106" s="254"/>
      <c r="CN106" s="254"/>
      <c r="CO106" s="254"/>
      <c r="CP106" s="257">
        <f>(CP105-CK105)*100</f>
        <v>-0.69022719639858232</v>
      </c>
      <c r="CQ106" s="254"/>
      <c r="CR106" s="254"/>
      <c r="CS106" s="254"/>
      <c r="CT106" s="254"/>
      <c r="CU106" s="257">
        <f>(CU105-CP105)*100</f>
        <v>-0.38168357554153876</v>
      </c>
      <c r="CV106" s="30"/>
      <c r="CW106" s="30"/>
      <c r="CX106" s="30"/>
      <c r="CY106" s="31"/>
      <c r="CZ106" s="257">
        <f>(CZ105-CU105)*100</f>
        <v>0.49999999999999767</v>
      </c>
      <c r="DA106" s="30"/>
      <c r="DB106" s="30"/>
      <c r="DC106" s="30"/>
      <c r="DD106" s="31"/>
      <c r="DE106" s="257">
        <f>(DE105-CZ105)*100</f>
        <v>0</v>
      </c>
      <c r="DF106" s="30"/>
      <c r="DG106" s="30"/>
      <c r="DH106" s="30"/>
      <c r="DI106" s="31"/>
      <c r="DJ106" s="257">
        <f>(DJ105-DE105)*100</f>
        <v>0</v>
      </c>
      <c r="DK106" s="397"/>
      <c r="DL106" s="74"/>
      <c r="DM106" s="809"/>
      <c r="DN106" s="809"/>
      <c r="DO106" s="809"/>
      <c r="DP106" s="1054"/>
      <c r="DQ106" s="1054"/>
      <c r="DR106" s="1054"/>
      <c r="DS106" s="1242" t="s">
        <v>402</v>
      </c>
      <c r="DT106" s="1242" t="s">
        <v>403</v>
      </c>
      <c r="DU106" s="1242" t="s">
        <v>404</v>
      </c>
      <c r="DV106" s="809"/>
      <c r="DW106" s="809"/>
      <c r="DX106" s="809"/>
      <c r="DY106" s="360"/>
      <c r="DZ106" s="167"/>
      <c r="EA106" s="167"/>
      <c r="EB106"/>
      <c r="EC106"/>
      <c r="ED106"/>
      <c r="EE106"/>
      <c r="EF106"/>
      <c r="EG106"/>
    </row>
    <row r="107" spans="1:137" s="166" customFormat="1">
      <c r="A107" s="22" t="s">
        <v>62</v>
      </c>
      <c r="B107" s="42"/>
      <c r="C107" s="42"/>
      <c r="D107" s="42"/>
      <c r="E107" s="42"/>
      <c r="F107" s="42"/>
      <c r="G107" s="42"/>
      <c r="H107" s="40"/>
      <c r="I107" s="41"/>
      <c r="J107" s="41"/>
      <c r="K107" s="40"/>
      <c r="L107" s="42"/>
      <c r="M107" s="41"/>
      <c r="N107" s="41"/>
      <c r="O107" s="41"/>
      <c r="P107" s="40"/>
      <c r="Q107" s="42"/>
      <c r="R107" s="41"/>
      <c r="S107" s="41"/>
      <c r="T107" s="41"/>
      <c r="U107" s="40"/>
      <c r="V107" s="42"/>
      <c r="W107" s="41"/>
      <c r="X107" s="41"/>
      <c r="Y107" s="41"/>
      <c r="Z107" s="40"/>
      <c r="AA107" s="42"/>
      <c r="AB107" s="41">
        <v>284</v>
      </c>
      <c r="AC107" s="41">
        <v>278</v>
      </c>
      <c r="AD107" s="41">
        <v>276</v>
      </c>
      <c r="AE107" s="40">
        <v>231</v>
      </c>
      <c r="AF107" s="42">
        <f>+SUM(AB107:AE107)</f>
        <v>1069</v>
      </c>
      <c r="AG107" s="40">
        <v>371</v>
      </c>
      <c r="AH107" s="41">
        <v>313</v>
      </c>
      <c r="AI107" s="41">
        <v>300</v>
      </c>
      <c r="AJ107" s="40">
        <v>272</v>
      </c>
      <c r="AK107" s="47">
        <f>+SUM(AG107:AJ107)</f>
        <v>1256</v>
      </c>
      <c r="AL107" s="41">
        <v>344</v>
      </c>
      <c r="AM107" s="41">
        <v>381</v>
      </c>
      <c r="AN107" s="41">
        <v>356</v>
      </c>
      <c r="AO107" s="41">
        <v>350</v>
      </c>
      <c r="AP107" s="47">
        <f>SUM(AL107:AO107)</f>
        <v>1431</v>
      </c>
      <c r="AQ107" s="41">
        <v>358</v>
      </c>
      <c r="AR107" s="41">
        <v>345</v>
      </c>
      <c r="AS107" s="41">
        <v>335</v>
      </c>
      <c r="AT107" s="41">
        <v>320</v>
      </c>
      <c r="AU107" s="47">
        <f>SUM(AQ107:AT107)</f>
        <v>1358</v>
      </c>
      <c r="AV107" s="41">
        <v>292</v>
      </c>
      <c r="AW107" s="41">
        <v>303</v>
      </c>
      <c r="AX107" s="41">
        <v>336</v>
      </c>
      <c r="AY107" s="41">
        <f>1332-AX107-AW107-AV107</f>
        <v>401</v>
      </c>
      <c r="AZ107" s="47">
        <f>SUM(AV107:AY107)</f>
        <v>1332</v>
      </c>
      <c r="BA107" s="47">
        <v>1379</v>
      </c>
      <c r="BB107" s="41">
        <v>342</v>
      </c>
      <c r="BC107" s="41">
        <v>343</v>
      </c>
      <c r="BD107" s="41">
        <v>330</v>
      </c>
      <c r="BE107" s="41">
        <v>329</v>
      </c>
      <c r="BF107" s="47">
        <v>1344</v>
      </c>
      <c r="BG107" s="41">
        <v>286</v>
      </c>
      <c r="BH107" s="41">
        <v>293</v>
      </c>
      <c r="BI107" s="41">
        <v>316</v>
      </c>
      <c r="BJ107" s="41">
        <v>387</v>
      </c>
      <c r="BK107" s="47">
        <v>1282</v>
      </c>
      <c r="BL107" s="41">
        <v>221</v>
      </c>
      <c r="BM107" s="41">
        <v>253</v>
      </c>
      <c r="BN107" s="41"/>
      <c r="BO107" s="41"/>
      <c r="BP107" s="47"/>
      <c r="BQ107" s="47">
        <v>1344</v>
      </c>
      <c r="BR107" s="41">
        <v>286</v>
      </c>
      <c r="BS107" s="41">
        <v>293</v>
      </c>
      <c r="BT107" s="41">
        <v>316</v>
      </c>
      <c r="BU107" s="41">
        <v>387</v>
      </c>
      <c r="BV107" s="47">
        <v>1282</v>
      </c>
      <c r="BW107" s="41">
        <v>221</v>
      </c>
      <c r="BX107" s="41">
        <v>253</v>
      </c>
      <c r="BY107" s="41">
        <v>289</v>
      </c>
      <c r="BZ107" s="41">
        <v>255</v>
      </c>
      <c r="CA107" s="47">
        <f>+SUM(BW107:BZ107)</f>
        <v>1018</v>
      </c>
      <c r="CB107" s="41">
        <v>219</v>
      </c>
      <c r="CC107" s="41">
        <v>268</v>
      </c>
      <c r="CD107" s="41">
        <v>270</v>
      </c>
      <c r="CE107" s="41">
        <v>296</v>
      </c>
      <c r="CF107" s="42">
        <f>+SUM(CB107:CE107)</f>
        <v>1053</v>
      </c>
      <c r="CG107" s="41"/>
      <c r="CH107" s="41"/>
      <c r="CI107" s="41"/>
      <c r="CJ107" s="41"/>
      <c r="CK107" s="42">
        <v>1027</v>
      </c>
      <c r="CL107" s="41"/>
      <c r="CM107" s="41"/>
      <c r="CN107" s="41"/>
      <c r="CO107" s="41"/>
      <c r="CP107" s="42">
        <v>1049</v>
      </c>
      <c r="CQ107" s="41">
        <f t="shared" ref="CQ107:CT107" si="323">+CQ105*CQ24</f>
        <v>224.00000000000003</v>
      </c>
      <c r="CR107" s="41">
        <f>+CR105*CR24</f>
        <v>252.00000000000003</v>
      </c>
      <c r="CS107" s="41">
        <f t="shared" si="323"/>
        <v>266</v>
      </c>
      <c r="CT107" s="41">
        <f t="shared" si="323"/>
        <v>350.00000000000006</v>
      </c>
      <c r="CU107" s="47">
        <f>+SUM(CQ107:CT107)</f>
        <v>1092</v>
      </c>
      <c r="CV107" s="49"/>
      <c r="CW107" s="49"/>
      <c r="CX107" s="49"/>
      <c r="CY107" s="50"/>
      <c r="CZ107" s="47">
        <f>+CZ24*CZ105</f>
        <v>1210.1699999999998</v>
      </c>
      <c r="DA107" s="49"/>
      <c r="DB107" s="49"/>
      <c r="DC107" s="49"/>
      <c r="DD107" s="50"/>
      <c r="DE107" s="47">
        <f>+DE24*DE105</f>
        <v>1294.8819000000001</v>
      </c>
      <c r="DF107" s="49"/>
      <c r="DG107" s="49"/>
      <c r="DH107" s="49"/>
      <c r="DI107" s="50"/>
      <c r="DJ107" s="47">
        <f>+DJ24*DJ105</f>
        <v>1385.5236330000002</v>
      </c>
      <c r="DK107" s="403"/>
      <c r="DL107" s="404"/>
      <c r="DM107" s="809" t="s">
        <v>387</v>
      </c>
      <c r="DN107" s="809"/>
      <c r="DO107" s="1123"/>
      <c r="DP107" s="1054"/>
      <c r="DQ107" s="1054"/>
      <c r="DR107" s="1054"/>
      <c r="DS107" s="1150">
        <v>1.06</v>
      </c>
      <c r="DT107" s="1150">
        <f>(DS107+DU107)/2</f>
        <v>1.0750000000000002</v>
      </c>
      <c r="DU107" s="1150">
        <v>1.0900000000000001</v>
      </c>
      <c r="DV107" s="809"/>
      <c r="DW107" s="809"/>
      <c r="DX107" s="809"/>
      <c r="DY107" s="404"/>
      <c r="DZ107" s="405"/>
      <c r="EA107" s="405"/>
      <c r="EB107"/>
      <c r="EC107"/>
      <c r="ED107"/>
      <c r="EE107"/>
      <c r="EF107"/>
      <c r="EG107"/>
    </row>
    <row r="108" spans="1:137" s="398" customFormat="1">
      <c r="A108" s="97" t="s">
        <v>53</v>
      </c>
      <c r="B108" s="80"/>
      <c r="C108" s="80"/>
      <c r="D108" s="80"/>
      <c r="E108" s="80"/>
      <c r="F108" s="80"/>
      <c r="G108" s="80"/>
      <c r="H108" s="82"/>
      <c r="I108" s="82"/>
      <c r="J108" s="82"/>
      <c r="K108" s="82"/>
      <c r="L108" s="80"/>
      <c r="M108" s="82"/>
      <c r="N108" s="82"/>
      <c r="O108" s="82"/>
      <c r="P108" s="82"/>
      <c r="Q108" s="80"/>
      <c r="R108" s="82"/>
      <c r="S108" s="82"/>
      <c r="T108" s="82"/>
      <c r="U108" s="83"/>
      <c r="V108" s="80"/>
      <c r="W108" s="83"/>
      <c r="X108" s="82"/>
      <c r="Y108" s="83"/>
      <c r="Z108" s="83"/>
      <c r="AA108" s="84"/>
      <c r="AB108" s="83"/>
      <c r="AC108" s="82"/>
      <c r="AD108" s="82"/>
      <c r="AE108" s="82"/>
      <c r="AF108" s="84"/>
      <c r="AG108" s="83">
        <f t="shared" ref="AG108:AP108" si="324">AG107/AB107-1</f>
        <v>0.30633802816901401</v>
      </c>
      <c r="AH108" s="82">
        <f t="shared" si="324"/>
        <v>0.12589928057553967</v>
      </c>
      <c r="AI108" s="82">
        <f t="shared" si="324"/>
        <v>8.6956521739130377E-2</v>
      </c>
      <c r="AJ108" s="82">
        <f t="shared" si="324"/>
        <v>0.17748917748917759</v>
      </c>
      <c r="AK108" s="80">
        <f t="shared" si="324"/>
        <v>0.1749298409728719</v>
      </c>
      <c r="AL108" s="82">
        <f t="shared" si="324"/>
        <v>-7.2776280323450182E-2</v>
      </c>
      <c r="AM108" s="82">
        <f>AM107/AH107-1</f>
        <v>0.21725239616613412</v>
      </c>
      <c r="AN108" s="82">
        <f>AN107/AI107-1</f>
        <v>0.18666666666666676</v>
      </c>
      <c r="AO108" s="82">
        <f t="shared" si="324"/>
        <v>0.28676470588235303</v>
      </c>
      <c r="AP108" s="80">
        <f t="shared" si="324"/>
        <v>0.13933121019108285</v>
      </c>
      <c r="AQ108" s="82">
        <f t="shared" ref="AQ108:AZ108" si="325">AQ107/AL107-1</f>
        <v>4.0697674418604723E-2</v>
      </c>
      <c r="AR108" s="82">
        <f t="shared" si="325"/>
        <v>-9.4488188976378007E-2</v>
      </c>
      <c r="AS108" s="82">
        <f t="shared" si="325"/>
        <v>-5.8988764044943798E-2</v>
      </c>
      <c r="AT108" s="82">
        <f t="shared" si="325"/>
        <v>-8.5714285714285743E-2</v>
      </c>
      <c r="AU108" s="80">
        <f t="shared" si="325"/>
        <v>-5.1013277428371806E-2</v>
      </c>
      <c r="AV108" s="82">
        <f t="shared" si="325"/>
        <v>-0.18435754189944131</v>
      </c>
      <c r="AW108" s="82">
        <f t="shared" si="325"/>
        <v>-0.12173913043478257</v>
      </c>
      <c r="AX108" s="82">
        <f t="shared" si="325"/>
        <v>2.9850746268655914E-3</v>
      </c>
      <c r="AY108" s="82">
        <f t="shared" si="325"/>
        <v>0.25312500000000004</v>
      </c>
      <c r="AZ108" s="80">
        <f t="shared" si="325"/>
        <v>-1.9145802650957333E-2</v>
      </c>
      <c r="BA108" s="80"/>
      <c r="BB108" s="82"/>
      <c r="BC108" s="82"/>
      <c r="BD108" s="82"/>
      <c r="BE108" s="82"/>
      <c r="BF108" s="80">
        <f t="shared" ref="BF108:BM108" si="326">BF107/BA107-1</f>
        <v>-2.5380710659898442E-2</v>
      </c>
      <c r="BG108" s="82">
        <f t="shared" si="326"/>
        <v>-0.16374269005847952</v>
      </c>
      <c r="BH108" s="82">
        <f t="shared" si="326"/>
        <v>-0.14577259475218662</v>
      </c>
      <c r="BI108" s="82">
        <f t="shared" si="326"/>
        <v>-4.2424242424242475E-2</v>
      </c>
      <c r="BJ108" s="82">
        <f t="shared" si="326"/>
        <v>0.17629179331306988</v>
      </c>
      <c r="BK108" s="80">
        <f t="shared" si="326"/>
        <v>-4.6130952380952328E-2</v>
      </c>
      <c r="BL108" s="82">
        <f t="shared" si="326"/>
        <v>-0.22727272727272729</v>
      </c>
      <c r="BM108" s="82">
        <f t="shared" si="326"/>
        <v>-0.13651877133105805</v>
      </c>
      <c r="BN108" s="82"/>
      <c r="BO108" s="82"/>
      <c r="BP108" s="80"/>
      <c r="BQ108" s="80"/>
      <c r="BR108" s="82">
        <f>+BR107/BB107-1</f>
        <v>-0.16374269005847952</v>
      </c>
      <c r="BS108" s="82">
        <f t="shared" ref="BS108" si="327">+BS107/BC107-1</f>
        <v>-0.14577259475218662</v>
      </c>
      <c r="BT108" s="82">
        <f t="shared" ref="BT108" si="328">+BT107/BD107-1</f>
        <v>-4.2424242424242475E-2</v>
      </c>
      <c r="BU108" s="82">
        <f t="shared" ref="BU108" si="329">+BU107/BE107-1</f>
        <v>0.17629179331306988</v>
      </c>
      <c r="BV108" s="80">
        <f t="shared" ref="BV108" si="330">+BV107/BF107-1</f>
        <v>-4.6130952380952328E-2</v>
      </c>
      <c r="BW108" s="82">
        <f>BW107/BR107-1</f>
        <v>-0.22727272727272729</v>
      </c>
      <c r="BX108" s="82">
        <f t="shared" ref="BX108" si="331">BX107/BS107-1</f>
        <v>-0.13651877133105805</v>
      </c>
      <c r="BY108" s="82">
        <f t="shared" ref="BY108" si="332">BY107/BT107-1</f>
        <v>-8.5443037974683556E-2</v>
      </c>
      <c r="BZ108" s="82">
        <f>BZ107/BU107-1</f>
        <v>-0.34108527131782951</v>
      </c>
      <c r="CA108" s="80">
        <f>CA107/BV107-1</f>
        <v>-0.20592823712948516</v>
      </c>
      <c r="CB108" s="82">
        <f>CB107/BW107-1</f>
        <v>-9.0497737556560764E-3</v>
      </c>
      <c r="CC108" s="82">
        <f t="shared" ref="CC108:CD108" si="333">CC107/BX107-1</f>
        <v>5.9288537549407216E-2</v>
      </c>
      <c r="CD108" s="82">
        <f t="shared" si="333"/>
        <v>-6.5743944636678209E-2</v>
      </c>
      <c r="CE108" s="82">
        <f>CE107/BZ107-1</f>
        <v>0.16078431372549029</v>
      </c>
      <c r="CF108" s="80">
        <f>CF107/CA107-1</f>
        <v>3.4381139489194412E-2</v>
      </c>
      <c r="CG108" s="82"/>
      <c r="CH108" s="82"/>
      <c r="CI108" s="82"/>
      <c r="CJ108" s="82"/>
      <c r="CK108" s="80"/>
      <c r="CL108" s="82"/>
      <c r="CM108" s="82"/>
      <c r="CN108" s="82"/>
      <c r="CO108" s="82"/>
      <c r="CP108" s="80">
        <f>CP107/CK107-1</f>
        <v>2.142161635832518E-2</v>
      </c>
      <c r="CQ108" s="82"/>
      <c r="CR108" s="82"/>
      <c r="CS108" s="82"/>
      <c r="CT108" s="82"/>
      <c r="CU108" s="80">
        <f>CU107/CP107-1</f>
        <v>4.0991420400381395E-2</v>
      </c>
      <c r="CV108" s="103"/>
      <c r="CW108" s="103"/>
      <c r="CX108" s="103"/>
      <c r="CY108" s="105"/>
      <c r="CZ108" s="80">
        <f>CZ107/CU107-1</f>
        <v>0.1082142857142856</v>
      </c>
      <c r="DA108" s="103"/>
      <c r="DB108" s="103"/>
      <c r="DC108" s="103"/>
      <c r="DD108" s="105"/>
      <c r="DE108" s="80">
        <f>DE107/CZ107-1</f>
        <v>7.0000000000000284E-2</v>
      </c>
      <c r="DF108" s="103"/>
      <c r="DG108" s="103"/>
      <c r="DH108" s="103"/>
      <c r="DI108" s="105"/>
      <c r="DJ108" s="80">
        <f>DJ107/DE107-1</f>
        <v>7.0000000000000062E-2</v>
      </c>
      <c r="DK108" s="397"/>
      <c r="DL108" s="74"/>
      <c r="DM108" s="809"/>
      <c r="DN108" s="809"/>
      <c r="DO108" s="809"/>
      <c r="DP108" s="1054"/>
      <c r="DQ108" s="1054"/>
      <c r="DR108" s="1054"/>
      <c r="DS108" s="809"/>
      <c r="DT108" s="809"/>
      <c r="DU108" s="809"/>
      <c r="DV108" s="809"/>
      <c r="DW108" s="809"/>
      <c r="DX108" s="809"/>
      <c r="DY108" s="360"/>
      <c r="DZ108" s="167"/>
      <c r="EA108" s="167"/>
      <c r="EB108"/>
      <c r="EC108"/>
      <c r="ED108"/>
      <c r="EE108"/>
      <c r="EF108"/>
      <c r="EG108"/>
    </row>
    <row r="109" spans="1:137" s="166" customFormat="1">
      <c r="A109" s="22" t="s">
        <v>63</v>
      </c>
      <c r="B109" s="42"/>
      <c r="C109" s="42"/>
      <c r="D109" s="42"/>
      <c r="E109" s="42"/>
      <c r="F109" s="42"/>
      <c r="G109" s="42"/>
      <c r="H109" s="40"/>
      <c r="I109" s="41"/>
      <c r="J109" s="41"/>
      <c r="K109" s="40"/>
      <c r="L109" s="42"/>
      <c r="M109" s="41"/>
      <c r="N109" s="41"/>
      <c r="O109" s="41"/>
      <c r="P109" s="40"/>
      <c r="Q109" s="42"/>
      <c r="R109" s="41"/>
      <c r="S109" s="41"/>
      <c r="T109" s="41"/>
      <c r="U109" s="40"/>
      <c r="V109" s="42"/>
      <c r="W109" s="41"/>
      <c r="X109" s="41"/>
      <c r="Y109" s="41"/>
      <c r="Z109" s="40"/>
      <c r="AA109" s="42"/>
      <c r="AB109" s="41">
        <f t="shared" ref="AB109:BM109" si="334">AB24-AB107</f>
        <v>1478</v>
      </c>
      <c r="AC109" s="41">
        <f t="shared" si="334"/>
        <v>1705</v>
      </c>
      <c r="AD109" s="41">
        <f t="shared" si="334"/>
        <v>1616</v>
      </c>
      <c r="AE109" s="40">
        <f t="shared" si="334"/>
        <v>1595</v>
      </c>
      <c r="AF109" s="42">
        <f t="shared" si="334"/>
        <v>6394</v>
      </c>
      <c r="AG109" s="40">
        <f t="shared" si="334"/>
        <v>1395</v>
      </c>
      <c r="AH109" s="41">
        <f t="shared" si="334"/>
        <v>1530</v>
      </c>
      <c r="AI109" s="41">
        <f t="shared" si="334"/>
        <v>1651</v>
      </c>
      <c r="AJ109" s="40">
        <f t="shared" si="334"/>
        <v>1625</v>
      </c>
      <c r="AK109" s="47">
        <f t="shared" si="334"/>
        <v>6201</v>
      </c>
      <c r="AL109" s="41">
        <f t="shared" si="334"/>
        <v>1644</v>
      </c>
      <c r="AM109" s="41">
        <f t="shared" si="334"/>
        <v>1662</v>
      </c>
      <c r="AN109" s="41">
        <f t="shared" si="334"/>
        <v>1647</v>
      </c>
      <c r="AO109" s="40">
        <f t="shared" si="334"/>
        <v>1373</v>
      </c>
      <c r="AP109" s="47">
        <f t="shared" si="334"/>
        <v>6326</v>
      </c>
      <c r="AQ109" s="41">
        <f t="shared" si="334"/>
        <v>1509</v>
      </c>
      <c r="AR109" s="41">
        <f t="shared" si="334"/>
        <v>1546</v>
      </c>
      <c r="AS109" s="41">
        <f t="shared" si="334"/>
        <v>1573</v>
      </c>
      <c r="AT109" s="40">
        <f t="shared" si="334"/>
        <v>1694</v>
      </c>
      <c r="AU109" s="47">
        <f t="shared" si="334"/>
        <v>6322</v>
      </c>
      <c r="AV109" s="41">
        <f t="shared" si="334"/>
        <v>1211</v>
      </c>
      <c r="AW109" s="41">
        <f t="shared" si="334"/>
        <v>1474</v>
      </c>
      <c r="AX109" s="41">
        <f t="shared" si="334"/>
        <v>1602</v>
      </c>
      <c r="AY109" s="40">
        <f t="shared" si="334"/>
        <v>1747</v>
      </c>
      <c r="AZ109" s="47">
        <f t="shared" si="334"/>
        <v>6034</v>
      </c>
      <c r="BA109" s="47">
        <f t="shared" si="334"/>
        <v>5416</v>
      </c>
      <c r="BB109" s="41">
        <f t="shared" si="334"/>
        <v>1377</v>
      </c>
      <c r="BC109" s="41">
        <f t="shared" si="334"/>
        <v>1404</v>
      </c>
      <c r="BD109" s="41">
        <f t="shared" si="334"/>
        <v>1433</v>
      </c>
      <c r="BE109" s="40">
        <f t="shared" si="334"/>
        <v>1534</v>
      </c>
      <c r="BF109" s="47">
        <f t="shared" si="334"/>
        <v>5748</v>
      </c>
      <c r="BG109" s="41">
        <f t="shared" si="334"/>
        <v>1097</v>
      </c>
      <c r="BH109" s="41">
        <f t="shared" si="334"/>
        <v>1356</v>
      </c>
      <c r="BI109" s="41">
        <f t="shared" si="334"/>
        <v>1453</v>
      </c>
      <c r="BJ109" s="40">
        <f t="shared" si="334"/>
        <v>1582</v>
      </c>
      <c r="BK109" s="47">
        <f t="shared" si="334"/>
        <v>5488</v>
      </c>
      <c r="BL109" s="41">
        <f t="shared" si="334"/>
        <v>1213</v>
      </c>
      <c r="BM109" s="41">
        <f t="shared" si="334"/>
        <v>1427</v>
      </c>
      <c r="BN109" s="41"/>
      <c r="BO109" s="40"/>
      <c r="BP109" s="47"/>
      <c r="BQ109" s="47">
        <f t="shared" ref="BQ109:BY109" si="335">BQ24-BQ107</f>
        <v>5748</v>
      </c>
      <c r="BR109" s="41">
        <f t="shared" si="335"/>
        <v>1097</v>
      </c>
      <c r="BS109" s="41">
        <f t="shared" si="335"/>
        <v>1356</v>
      </c>
      <c r="BT109" s="41">
        <f t="shared" si="335"/>
        <v>1453</v>
      </c>
      <c r="BU109" s="40">
        <f t="shared" si="335"/>
        <v>1582</v>
      </c>
      <c r="BV109" s="47">
        <f t="shared" si="335"/>
        <v>5488</v>
      </c>
      <c r="BW109" s="41">
        <f t="shared" si="335"/>
        <v>1213</v>
      </c>
      <c r="BX109" s="41">
        <f t="shared" si="335"/>
        <v>1427</v>
      </c>
      <c r="BY109" s="41">
        <f t="shared" si="335"/>
        <v>1448</v>
      </c>
      <c r="BZ109" s="40">
        <f>BZ24-BZ107</f>
        <v>1502</v>
      </c>
      <c r="CA109" s="47">
        <f>+SUM(BW109:BZ109)</f>
        <v>5590</v>
      </c>
      <c r="CB109" s="41">
        <f>CB24-CB107</f>
        <v>1270</v>
      </c>
      <c r="CC109" s="41">
        <f>CC24-CC107</f>
        <v>1369</v>
      </c>
      <c r="CD109" s="41">
        <f t="shared" ref="CD109" si="336">CD24-CD107</f>
        <v>1523</v>
      </c>
      <c r="CE109" s="40">
        <f>CE24-CE107</f>
        <v>1997</v>
      </c>
      <c r="CF109" s="47">
        <f>+SUM(CB109:CE109)</f>
        <v>6159</v>
      </c>
      <c r="CG109" s="41"/>
      <c r="CH109" s="41"/>
      <c r="CI109" s="41"/>
      <c r="CJ109" s="40"/>
      <c r="CK109" s="47">
        <f>CK24-CK107</f>
        <v>5787</v>
      </c>
      <c r="CL109" s="41"/>
      <c r="CM109" s="41"/>
      <c r="CN109" s="41"/>
      <c r="CO109" s="40"/>
      <c r="CP109" s="47">
        <f>CP24-CP107</f>
        <v>6245</v>
      </c>
      <c r="CQ109" s="40">
        <f t="shared" ref="CQ109:CT109" si="337">CQ24-CQ107</f>
        <v>1376</v>
      </c>
      <c r="CR109" s="40">
        <f>CR24-CR107</f>
        <v>1548</v>
      </c>
      <c r="CS109" s="40">
        <f t="shared" si="337"/>
        <v>1634</v>
      </c>
      <c r="CT109" s="40">
        <f t="shared" si="337"/>
        <v>2150</v>
      </c>
      <c r="CU109" s="47">
        <f>+SUM(CQ109:CT109)</f>
        <v>6708</v>
      </c>
      <c r="CV109" s="49"/>
      <c r="CW109" s="49"/>
      <c r="CX109" s="49"/>
      <c r="CY109" s="50"/>
      <c r="CZ109" s="47">
        <f>CZ24-CZ107</f>
        <v>7135.83</v>
      </c>
      <c r="DA109" s="49"/>
      <c r="DB109" s="49"/>
      <c r="DC109" s="49"/>
      <c r="DD109" s="50"/>
      <c r="DE109" s="47">
        <f>DE24-DE107</f>
        <v>7635.3381000000008</v>
      </c>
      <c r="DF109" s="49"/>
      <c r="DG109" s="49"/>
      <c r="DH109" s="49"/>
      <c r="DI109" s="50"/>
      <c r="DJ109" s="47">
        <f>DJ24-DJ107</f>
        <v>8169.8117670000011</v>
      </c>
      <c r="DK109" s="403"/>
      <c r="DL109" s="404"/>
      <c r="DM109" s="809"/>
      <c r="DN109" s="809"/>
      <c r="DO109" s="1123"/>
      <c r="DP109" s="1105"/>
      <c r="DQ109" s="1054"/>
      <c r="DR109" s="1054"/>
      <c r="DS109" s="809"/>
      <c r="DT109" s="809"/>
      <c r="DU109" s="809"/>
      <c r="DV109" s="809"/>
      <c r="DW109" s="809"/>
      <c r="DX109" s="809"/>
      <c r="DY109" s="404"/>
      <c r="DZ109" s="405"/>
      <c r="EA109" s="405"/>
      <c r="EB109"/>
      <c r="EC109"/>
      <c r="ED109"/>
      <c r="EE109"/>
      <c r="EF109"/>
      <c r="EG109"/>
    </row>
    <row r="110" spans="1:137" s="398" customFormat="1">
      <c r="A110" s="97" t="s">
        <v>53</v>
      </c>
      <c r="B110" s="19"/>
      <c r="C110" s="19"/>
      <c r="D110" s="19"/>
      <c r="E110" s="19"/>
      <c r="F110" s="19"/>
      <c r="G110" s="19"/>
      <c r="H110" s="20"/>
      <c r="I110" s="20"/>
      <c r="J110" s="20"/>
      <c r="K110" s="20"/>
      <c r="L110" s="19"/>
      <c r="M110" s="18"/>
      <c r="N110" s="18"/>
      <c r="O110" s="18"/>
      <c r="P110" s="27"/>
      <c r="Q110" s="19"/>
      <c r="R110" s="18"/>
      <c r="S110" s="18"/>
      <c r="T110" s="18"/>
      <c r="U110" s="20"/>
      <c r="V110" s="19"/>
      <c r="W110" s="20"/>
      <c r="X110" s="18"/>
      <c r="Y110" s="20"/>
      <c r="Z110" s="20"/>
      <c r="AA110" s="28"/>
      <c r="AB110" s="20"/>
      <c r="AC110" s="18"/>
      <c r="AD110" s="18"/>
      <c r="AE110" s="18"/>
      <c r="AF110" s="28"/>
      <c r="AG110" s="83">
        <f t="shared" ref="AG110:AP110" si="338">AG109/AB109-1</f>
        <v>-5.6156968876860613E-2</v>
      </c>
      <c r="AH110" s="82">
        <f t="shared" si="338"/>
        <v>-0.1026392961876833</v>
      </c>
      <c r="AI110" s="82">
        <f t="shared" si="338"/>
        <v>2.1658415841584233E-2</v>
      </c>
      <c r="AJ110" s="82">
        <f t="shared" si="338"/>
        <v>1.8808777429467183E-2</v>
      </c>
      <c r="AK110" s="80">
        <f t="shared" si="338"/>
        <v>-3.0184548013762913E-2</v>
      </c>
      <c r="AL110" s="82">
        <f t="shared" si="338"/>
        <v>0.17849462365591395</v>
      </c>
      <c r="AM110" s="82">
        <f>AM109/AH109-1</f>
        <v>8.6274509803921484E-2</v>
      </c>
      <c r="AN110" s="82">
        <f>AN109/AI109-1</f>
        <v>-2.4227740763174133E-3</v>
      </c>
      <c r="AO110" s="82">
        <f t="shared" si="338"/>
        <v>-0.15507692307692311</v>
      </c>
      <c r="AP110" s="80">
        <f t="shared" si="338"/>
        <v>2.015803902596347E-2</v>
      </c>
      <c r="AQ110" s="82">
        <f t="shared" ref="AQ110:AZ110" si="339">AQ109/AL109-1</f>
        <v>-8.2116788321167866E-2</v>
      </c>
      <c r="AR110" s="82">
        <f t="shared" si="339"/>
        <v>-6.9795427196149173E-2</v>
      </c>
      <c r="AS110" s="82">
        <f t="shared" si="339"/>
        <v>-4.4930176077717099E-2</v>
      </c>
      <c r="AT110" s="82">
        <f t="shared" si="339"/>
        <v>0.23379461034231608</v>
      </c>
      <c r="AU110" s="80">
        <f t="shared" si="339"/>
        <v>-6.3231109705974564E-4</v>
      </c>
      <c r="AV110" s="82">
        <f t="shared" si="339"/>
        <v>-0.19748177601060302</v>
      </c>
      <c r="AW110" s="82">
        <f t="shared" si="339"/>
        <v>-4.6571798188874469E-2</v>
      </c>
      <c r="AX110" s="82">
        <f t="shared" si="339"/>
        <v>1.8436109345200347E-2</v>
      </c>
      <c r="AY110" s="82">
        <f t="shared" si="339"/>
        <v>3.1286894923258535E-2</v>
      </c>
      <c r="AZ110" s="80">
        <f t="shared" si="339"/>
        <v>-4.5555204049351428E-2</v>
      </c>
      <c r="BA110" s="80"/>
      <c r="BB110" s="82"/>
      <c r="BC110" s="82"/>
      <c r="BD110" s="82"/>
      <c r="BE110" s="82"/>
      <c r="BF110" s="80">
        <f t="shared" ref="BF110:BM110" si="340">BF109/BA109-1</f>
        <v>6.1299852289512513E-2</v>
      </c>
      <c r="BG110" s="82">
        <f t="shared" si="340"/>
        <v>-0.2033405954974582</v>
      </c>
      <c r="BH110" s="82">
        <f t="shared" si="340"/>
        <v>-3.4188034188034178E-2</v>
      </c>
      <c r="BI110" s="82">
        <f t="shared" si="340"/>
        <v>1.3956734124214831E-2</v>
      </c>
      <c r="BJ110" s="82">
        <f t="shared" si="340"/>
        <v>3.1290743155149903E-2</v>
      </c>
      <c r="BK110" s="80">
        <f t="shared" si="340"/>
        <v>-4.5233124565066118E-2</v>
      </c>
      <c r="BL110" s="82">
        <f t="shared" si="340"/>
        <v>0.10574293527803102</v>
      </c>
      <c r="BM110" s="82">
        <f t="shared" si="340"/>
        <v>5.2359882005899694E-2</v>
      </c>
      <c r="BN110" s="82"/>
      <c r="BO110" s="82"/>
      <c r="BP110" s="80"/>
      <c r="BQ110" s="80"/>
      <c r="BR110" s="82">
        <f>+BR109/BB109-1</f>
        <v>-0.2033405954974582</v>
      </c>
      <c r="BS110" s="82">
        <f t="shared" ref="BS110" si="341">+BS109/BC109-1</f>
        <v>-3.4188034188034178E-2</v>
      </c>
      <c r="BT110" s="82">
        <f t="shared" ref="BT110" si="342">+BT109/BD109-1</f>
        <v>1.3956734124214831E-2</v>
      </c>
      <c r="BU110" s="82">
        <f t="shared" ref="BU110" si="343">+BU109/BE109-1</f>
        <v>3.1290743155149903E-2</v>
      </c>
      <c r="BV110" s="80">
        <f t="shared" ref="BV110" si="344">+BV109/BF109-1</f>
        <v>-4.5233124565066118E-2</v>
      </c>
      <c r="BW110" s="82">
        <f>BW109/BR109-1</f>
        <v>0.10574293527803102</v>
      </c>
      <c r="BX110" s="82">
        <f t="shared" ref="BX110" si="345">BX109/BS109-1</f>
        <v>5.2359882005899694E-2</v>
      </c>
      <c r="BY110" s="82">
        <f t="shared" ref="BY110" si="346">BY109/BT109-1</f>
        <v>-3.4411562284927255E-3</v>
      </c>
      <c r="BZ110" s="82">
        <f>BZ109/BU109-1</f>
        <v>-5.0568900126422234E-2</v>
      </c>
      <c r="CA110" s="80">
        <f>CA109/BV109-1</f>
        <v>1.8586005830903751E-2</v>
      </c>
      <c r="CB110" s="82">
        <f>CB109/BW109-1</f>
        <v>4.699093157460843E-2</v>
      </c>
      <c r="CC110" s="82">
        <f t="shared" ref="CC110:CD110" si="347">CC109/BX109-1</f>
        <v>-4.0644709180098104E-2</v>
      </c>
      <c r="CD110" s="82">
        <f t="shared" si="347"/>
        <v>5.179558011049723E-2</v>
      </c>
      <c r="CE110" s="82">
        <f>CE109/BZ109-1</f>
        <v>0.32956058588548598</v>
      </c>
      <c r="CF110" s="80">
        <f>CF109/CA109-1</f>
        <v>0.10178890876565294</v>
      </c>
      <c r="CG110" s="82"/>
      <c r="CH110" s="82"/>
      <c r="CI110" s="82"/>
      <c r="CJ110" s="82"/>
      <c r="CK110" s="80"/>
      <c r="CL110" s="82"/>
      <c r="CM110" s="82"/>
      <c r="CN110" s="82"/>
      <c r="CO110" s="82"/>
      <c r="CP110" s="80">
        <f>CP109/CK109-1</f>
        <v>7.9142906514601652E-2</v>
      </c>
      <c r="CQ110" s="82"/>
      <c r="CR110" s="82"/>
      <c r="CS110" s="82"/>
      <c r="CT110" s="82"/>
      <c r="CU110" s="80">
        <f>CU109/CP109-1</f>
        <v>7.4139311449159306E-2</v>
      </c>
      <c r="CV110" s="103"/>
      <c r="CW110" s="103"/>
      <c r="CX110" s="103"/>
      <c r="CY110" s="105"/>
      <c r="CZ110" s="80">
        <f>CZ109/CU109-1</f>
        <v>6.3779069767441854E-2</v>
      </c>
      <c r="DA110" s="103"/>
      <c r="DB110" s="103"/>
      <c r="DC110" s="103"/>
      <c r="DD110" s="105"/>
      <c r="DE110" s="80">
        <f>DE109/CZ109-1</f>
        <v>7.0000000000000062E-2</v>
      </c>
      <c r="DF110" s="103"/>
      <c r="DG110" s="103"/>
      <c r="DH110" s="103"/>
      <c r="DI110" s="105"/>
      <c r="DJ110" s="80">
        <f>DJ109/DE109-1</f>
        <v>7.0000000000000062E-2</v>
      </c>
      <c r="DK110" s="397"/>
      <c r="DL110" s="74"/>
      <c r="DM110" s="809"/>
      <c r="DN110" s="809"/>
      <c r="DO110" s="809"/>
      <c r="DP110" s="1105"/>
      <c r="DQ110" s="1054"/>
      <c r="DR110" s="1054"/>
      <c r="DS110" s="809"/>
      <c r="DT110" s="809"/>
      <c r="DU110" s="809"/>
      <c r="DV110" s="809"/>
      <c r="DW110" s="809"/>
      <c r="DX110" s="809"/>
      <c r="DY110" s="360"/>
      <c r="DZ110" s="167"/>
      <c r="EA110" s="167"/>
      <c r="EB110"/>
      <c r="EC110"/>
      <c r="ED110"/>
      <c r="EE110"/>
      <c r="EF110"/>
      <c r="EG110"/>
    </row>
    <row r="111" spans="1:137" s="429" customFormat="1">
      <c r="A111" s="785" t="s">
        <v>194</v>
      </c>
      <c r="B111" s="786"/>
      <c r="C111" s="786"/>
      <c r="D111" s="786"/>
      <c r="E111" s="786"/>
      <c r="F111" s="786"/>
      <c r="G111" s="786"/>
      <c r="H111" s="787"/>
      <c r="I111" s="787"/>
      <c r="J111" s="787"/>
      <c r="K111" s="787"/>
      <c r="L111" s="786"/>
      <c r="M111" s="787"/>
      <c r="N111" s="787"/>
      <c r="O111" s="787"/>
      <c r="P111" s="787"/>
      <c r="Q111" s="786"/>
      <c r="R111" s="787"/>
      <c r="S111" s="787"/>
      <c r="T111" s="787"/>
      <c r="U111" s="787"/>
      <c r="V111" s="786"/>
      <c r="W111" s="788"/>
      <c r="X111" s="787"/>
      <c r="Y111" s="788"/>
      <c r="Z111" s="788"/>
      <c r="AA111" s="789"/>
      <c r="AB111" s="788"/>
      <c r="AC111" s="787"/>
      <c r="AD111" s="787"/>
      <c r="AE111" s="787"/>
      <c r="AF111" s="789">
        <f>AF113/AF24</f>
        <v>0.13855018089240251</v>
      </c>
      <c r="AG111" s="788"/>
      <c r="AH111" s="787"/>
      <c r="AI111" s="787"/>
      <c r="AJ111" s="787"/>
      <c r="AK111" s="786">
        <f t="shared" ref="AK111:AZ111" si="348">AK113/AK24</f>
        <v>0.14898752849671448</v>
      </c>
      <c r="AL111" s="787">
        <f t="shared" si="348"/>
        <v>0.20321931589537223</v>
      </c>
      <c r="AM111" s="787">
        <f t="shared" si="348"/>
        <v>0.1644640234948605</v>
      </c>
      <c r="AN111" s="787">
        <f t="shared" si="348"/>
        <v>0.16275586620069896</v>
      </c>
      <c r="AO111" s="787">
        <f t="shared" si="348"/>
        <v>0.15380150899593731</v>
      </c>
      <c r="AP111" s="786">
        <f t="shared" si="348"/>
        <v>0.17158695371922134</v>
      </c>
      <c r="AQ111" s="787">
        <f t="shared" si="348"/>
        <v>0.18371719335832887</v>
      </c>
      <c r="AR111" s="787">
        <f t="shared" si="348"/>
        <v>0.20095187731359068</v>
      </c>
      <c r="AS111" s="787">
        <f t="shared" si="348"/>
        <v>0.18343815513626835</v>
      </c>
      <c r="AT111" s="787">
        <f t="shared" si="348"/>
        <v>0.21598808341608738</v>
      </c>
      <c r="AU111" s="786">
        <f t="shared" si="348"/>
        <v>0.18984375000000001</v>
      </c>
      <c r="AV111" s="787">
        <f t="shared" si="348"/>
        <v>0.21091151031270791</v>
      </c>
      <c r="AW111" s="787">
        <f t="shared" si="348"/>
        <v>0.19302194710185705</v>
      </c>
      <c r="AX111" s="787">
        <f t="shared" si="348"/>
        <v>0.17337461300309598</v>
      </c>
      <c r="AY111" s="787">
        <f t="shared" si="348"/>
        <v>0.18435754189944134</v>
      </c>
      <c r="AZ111" s="786">
        <f t="shared" si="348"/>
        <v>0.1889763779527559</v>
      </c>
      <c r="BA111" s="786"/>
      <c r="BB111" s="787">
        <f t="shared" ref="BB111:BM111" si="349">BB113/BB24</f>
        <v>0.21349621873182081</v>
      </c>
      <c r="BC111" s="787">
        <f t="shared" si="349"/>
        <v>0.21923297080709789</v>
      </c>
      <c r="BD111" s="787">
        <f t="shared" si="349"/>
        <v>0.19568916619398752</v>
      </c>
      <c r="BE111" s="787">
        <f t="shared" si="349"/>
        <v>0.23832528180354268</v>
      </c>
      <c r="BF111" s="786">
        <f t="shared" si="349"/>
        <v>0.20360970107163001</v>
      </c>
      <c r="BG111" s="787">
        <f t="shared" si="349"/>
        <v>0.22487346348517714</v>
      </c>
      <c r="BH111" s="787">
        <f t="shared" si="349"/>
        <v>0.20194057004244997</v>
      </c>
      <c r="BI111" s="787">
        <f t="shared" si="349"/>
        <v>0.178631995477671</v>
      </c>
      <c r="BJ111" s="787">
        <f t="shared" si="349"/>
        <v>0.19400711020822753</v>
      </c>
      <c r="BK111" s="786">
        <f t="shared" si="349"/>
        <v>0.19822747415066469</v>
      </c>
      <c r="BL111" s="787">
        <f t="shared" si="349"/>
        <v>0.20990237099023709</v>
      </c>
      <c r="BM111" s="787">
        <f t="shared" si="349"/>
        <v>0.17142857142857143</v>
      </c>
      <c r="BN111" s="787"/>
      <c r="BO111" s="787"/>
      <c r="BP111" s="786"/>
      <c r="BQ111" s="786"/>
      <c r="BR111" s="787">
        <f t="shared" ref="BR111:CC111" si="350">BR113/BR24</f>
        <v>0.22487346348517714</v>
      </c>
      <c r="BS111" s="787">
        <f t="shared" si="350"/>
        <v>0.20194057004244997</v>
      </c>
      <c r="BT111" s="787">
        <f t="shared" si="350"/>
        <v>0.178631995477671</v>
      </c>
      <c r="BU111" s="787">
        <f t="shared" si="350"/>
        <v>0.19400711020822753</v>
      </c>
      <c r="BV111" s="786">
        <f t="shared" si="350"/>
        <v>0.19822747415066469</v>
      </c>
      <c r="BW111" s="787">
        <f t="shared" si="350"/>
        <v>0.20990237099023709</v>
      </c>
      <c r="BX111" s="787">
        <f t="shared" si="350"/>
        <v>0.17142857142857143</v>
      </c>
      <c r="BY111" s="787">
        <f t="shared" si="350"/>
        <v>0.18364997121473806</v>
      </c>
      <c r="BZ111" s="787">
        <f>BZ113/BZ24</f>
        <v>0.19066590779738191</v>
      </c>
      <c r="CA111" s="786">
        <f>CA113/CA24</f>
        <v>0.18810532687651332</v>
      </c>
      <c r="CB111" s="787">
        <f t="shared" si="350"/>
        <v>0.14707857622565479</v>
      </c>
      <c r="CC111" s="787">
        <f t="shared" si="350"/>
        <v>0.16371411117898596</v>
      </c>
      <c r="CD111" s="787">
        <f t="shared" ref="CD111" si="351">CD113/CD24</f>
        <v>0.18962632459564974</v>
      </c>
      <c r="CE111" s="787">
        <f>CE113/CE24</f>
        <v>0.13344962930658527</v>
      </c>
      <c r="CF111" s="786">
        <f>CF113/CF24</f>
        <v>0.15709927897947865</v>
      </c>
      <c r="CG111" s="787"/>
      <c r="CH111" s="787"/>
      <c r="CI111" s="787"/>
      <c r="CJ111" s="787"/>
      <c r="CK111" s="786">
        <f>CK113/CK24</f>
        <v>0.1837393601408864</v>
      </c>
      <c r="CL111" s="787"/>
      <c r="CM111" s="787"/>
      <c r="CN111" s="787"/>
      <c r="CO111" s="787"/>
      <c r="CP111" s="786">
        <f>CP113/CP24</f>
        <v>0.13284891691801481</v>
      </c>
      <c r="CQ111" s="787">
        <f t="shared" ref="CQ111:CU111" si="352">CQ113/CQ24</f>
        <v>0.14000000000000001</v>
      </c>
      <c r="CR111" s="787">
        <f>CR113/CR24</f>
        <v>0.14000000000000001</v>
      </c>
      <c r="CS111" s="787">
        <f t="shared" si="352"/>
        <v>0.14000000000000001</v>
      </c>
      <c r="CT111" s="787">
        <f t="shared" si="352"/>
        <v>0.14000000000000001</v>
      </c>
      <c r="CU111" s="786">
        <f t="shared" si="352"/>
        <v>0.14000000000000001</v>
      </c>
      <c r="CV111" s="790"/>
      <c r="CW111" s="790"/>
      <c r="CX111" s="790"/>
      <c r="CY111" s="791"/>
      <c r="CZ111" s="786"/>
      <c r="DA111" s="790"/>
      <c r="DB111" s="790"/>
      <c r="DC111" s="790"/>
      <c r="DD111" s="791"/>
      <c r="DE111" s="786"/>
      <c r="DF111" s="790"/>
      <c r="DG111" s="790"/>
      <c r="DH111" s="790"/>
      <c r="DI111" s="791"/>
      <c r="DJ111" s="786"/>
      <c r="DK111" s="523"/>
      <c r="DL111" s="598"/>
      <c r="DM111" s="830"/>
      <c r="DN111" s="830"/>
      <c r="DO111" s="830"/>
      <c r="DP111" s="1105"/>
      <c r="DQ111" s="1056"/>
      <c r="DR111" s="1056"/>
      <c r="DS111" s="830"/>
      <c r="DT111" s="830"/>
      <c r="DU111" s="830"/>
      <c r="DV111" s="830"/>
      <c r="DW111" s="830"/>
      <c r="DX111" s="830"/>
      <c r="DY111" s="427"/>
      <c r="DZ111" s="428"/>
      <c r="EA111" s="428"/>
      <c r="EB111"/>
      <c r="EC111"/>
      <c r="ED111"/>
      <c r="EE111"/>
      <c r="EF111"/>
      <c r="EG111"/>
    </row>
    <row r="112" spans="1:137" s="398" customFormat="1">
      <c r="A112" s="106" t="s">
        <v>57</v>
      </c>
      <c r="B112" s="19"/>
      <c r="C112" s="253"/>
      <c r="D112" s="253"/>
      <c r="E112" s="253"/>
      <c r="F112" s="253"/>
      <c r="G112" s="253"/>
      <c r="H112" s="268"/>
      <c r="I112" s="268"/>
      <c r="J112" s="268"/>
      <c r="K112" s="268"/>
      <c r="L112" s="253"/>
      <c r="M112" s="268"/>
      <c r="N112" s="268"/>
      <c r="O112" s="268"/>
      <c r="P112" s="268"/>
      <c r="Q112" s="253"/>
      <c r="R112" s="268"/>
      <c r="S112" s="268"/>
      <c r="T112" s="268"/>
      <c r="U112" s="268"/>
      <c r="V112" s="253"/>
      <c r="W112" s="268"/>
      <c r="X112" s="268"/>
      <c r="Y112" s="268"/>
      <c r="Z112" s="268"/>
      <c r="AA112" s="253"/>
      <c r="AB112" s="268"/>
      <c r="AC112" s="268"/>
      <c r="AD112" s="268"/>
      <c r="AE112" s="268"/>
      <c r="AF112" s="257"/>
      <c r="AG112" s="254"/>
      <c r="AH112" s="255"/>
      <c r="AI112" s="255"/>
      <c r="AJ112" s="254"/>
      <c r="AK112" s="257">
        <f t="shared" ref="AK112:AP112" si="353">(AK111-AF111)*100</f>
        <v>1.0437347604311975</v>
      </c>
      <c r="AL112" s="254">
        <f t="shared" si="353"/>
        <v>20.321931589537222</v>
      </c>
      <c r="AM112" s="254">
        <f t="shared" si="353"/>
        <v>16.44640234948605</v>
      </c>
      <c r="AN112" s="254">
        <f t="shared" si="353"/>
        <v>16.275586620069895</v>
      </c>
      <c r="AO112" s="254">
        <f t="shared" si="353"/>
        <v>15.380150899593731</v>
      </c>
      <c r="AP112" s="257">
        <f t="shared" si="353"/>
        <v>2.259942522250685</v>
      </c>
      <c r="AQ112" s="254">
        <f t="shared" ref="AQ112:AZ112" si="354">(AQ111-AL111)*100</f>
        <v>-1.9502122537043365</v>
      </c>
      <c r="AR112" s="254">
        <f t="shared" si="354"/>
        <v>3.6487853818730183</v>
      </c>
      <c r="AS112" s="254">
        <f t="shared" si="354"/>
        <v>2.0682288935569391</v>
      </c>
      <c r="AT112" s="254">
        <f t="shared" si="354"/>
        <v>6.218657442015008</v>
      </c>
      <c r="AU112" s="257">
        <f t="shared" si="354"/>
        <v>1.8256796280778671</v>
      </c>
      <c r="AV112" s="254">
        <f t="shared" si="354"/>
        <v>2.7194316954379043</v>
      </c>
      <c r="AW112" s="254">
        <f t="shared" si="354"/>
        <v>-0.79299302117336323</v>
      </c>
      <c r="AX112" s="254">
        <f t="shared" si="354"/>
        <v>-1.0063542133172372</v>
      </c>
      <c r="AY112" s="254">
        <f t="shared" si="354"/>
        <v>-3.1630541516646042</v>
      </c>
      <c r="AZ112" s="257">
        <f t="shared" si="354"/>
        <v>-8.6737204724410266E-2</v>
      </c>
      <c r="BA112" s="257"/>
      <c r="BB112" s="254"/>
      <c r="BC112" s="254"/>
      <c r="BD112" s="254"/>
      <c r="BE112" s="254"/>
      <c r="BF112" s="257"/>
      <c r="BG112" s="254">
        <f t="shared" ref="BG112:BM112" si="355">(BG111-BB111)*100</f>
        <v>1.137724475335633</v>
      </c>
      <c r="BH112" s="254">
        <f t="shared" si="355"/>
        <v>-1.7292400764647913</v>
      </c>
      <c r="BI112" s="254">
        <f t="shared" si="355"/>
        <v>-1.7057170716316516</v>
      </c>
      <c r="BJ112" s="254">
        <f t="shared" si="355"/>
        <v>-4.4318171595315148</v>
      </c>
      <c r="BK112" s="257">
        <f t="shared" si="355"/>
        <v>-0.53822269209653217</v>
      </c>
      <c r="BL112" s="254">
        <f t="shared" si="355"/>
        <v>-1.4971092494940053</v>
      </c>
      <c r="BM112" s="254">
        <f t="shared" si="355"/>
        <v>-3.0511998613878544</v>
      </c>
      <c r="BN112" s="254"/>
      <c r="BO112" s="254"/>
      <c r="BP112" s="257"/>
      <c r="BQ112" s="257"/>
      <c r="BR112" s="254">
        <f>(BR111-BB111)*100</f>
        <v>1.137724475335633</v>
      </c>
      <c r="BS112" s="254">
        <f t="shared" ref="BS112" si="356">(BS111-BC111)*100</f>
        <v>-1.7292400764647913</v>
      </c>
      <c r="BT112" s="826">
        <f t="shared" ref="BT112" si="357">(BT111-BD111)*100</f>
        <v>-1.7057170716316516</v>
      </c>
      <c r="BU112" s="254">
        <f t="shared" ref="BU112" si="358">(BU111-BE111)*100</f>
        <v>-4.4318171595315148</v>
      </c>
      <c r="BV112" s="257">
        <f>(BV111-BF111)*100</f>
        <v>-0.53822269209653217</v>
      </c>
      <c r="BW112" s="254">
        <f>(BW111-BR111)*100</f>
        <v>-1.4971092494940053</v>
      </c>
      <c r="BX112" s="254">
        <f>(BX111-BS111)*100</f>
        <v>-3.0511998613878544</v>
      </c>
      <c r="BY112" s="254">
        <f>(BY111-BT111)*100</f>
        <v>0.50179757370670541</v>
      </c>
      <c r="BZ112" s="254">
        <f>(BZ111-BU111)*100</f>
        <v>-0.33412024108456229</v>
      </c>
      <c r="CA112" s="257">
        <f>(CA111-BK111)*100</f>
        <v>-1.0122147274151367</v>
      </c>
      <c r="CB112" s="254">
        <f>(CB111-BW111)*100</f>
        <v>-6.2823794764582299</v>
      </c>
      <c r="CC112" s="254">
        <f>(CC111-BX111)*100</f>
        <v>-0.77144602495854697</v>
      </c>
      <c r="CD112" s="254">
        <f>(CD111-BY111)*100</f>
        <v>0.59763533809116809</v>
      </c>
      <c r="CE112" s="254">
        <f>(CE111-BZ111)*100</f>
        <v>-5.7216278490796633</v>
      </c>
      <c r="CF112" s="257">
        <f>(CF111-BP111)*100</f>
        <v>15.709927897947864</v>
      </c>
      <c r="CG112" s="254"/>
      <c r="CH112" s="254"/>
      <c r="CI112" s="254"/>
      <c r="CJ112" s="254"/>
      <c r="CK112" s="257"/>
      <c r="CL112" s="254"/>
      <c r="CM112" s="254"/>
      <c r="CN112" s="254"/>
      <c r="CO112" s="254"/>
      <c r="CP112" s="257">
        <f>(CP111-BZ111)*100</f>
        <v>-5.7816990879367092</v>
      </c>
      <c r="CQ112" s="254"/>
      <c r="CR112" s="254"/>
      <c r="CS112" s="254"/>
      <c r="CT112" s="254"/>
      <c r="CU112" s="257">
        <f>(CU111-CP111)*100</f>
        <v>0.71510830819851989</v>
      </c>
      <c r="CV112" s="30"/>
      <c r="CW112" s="30"/>
      <c r="CX112" s="30"/>
      <c r="CY112" s="31"/>
      <c r="CZ112" s="257"/>
      <c r="DA112" s="30"/>
      <c r="DB112" s="30"/>
      <c r="DC112" s="30"/>
      <c r="DD112" s="31"/>
      <c r="DE112" s="257"/>
      <c r="DF112" s="30"/>
      <c r="DG112" s="30"/>
      <c r="DH112" s="30"/>
      <c r="DI112" s="31"/>
      <c r="DJ112" s="257"/>
      <c r="DK112" s="397"/>
      <c r="DL112" s="74"/>
      <c r="DM112" s="809"/>
      <c r="DN112" s="809"/>
      <c r="DO112" s="809"/>
      <c r="DP112" s="1054"/>
      <c r="DQ112" s="1054"/>
      <c r="DR112" s="1054"/>
      <c r="DS112" s="809"/>
      <c r="DT112" s="809"/>
      <c r="DU112" s="809"/>
      <c r="DV112" s="809"/>
      <c r="DW112" s="809"/>
      <c r="DX112" s="809"/>
      <c r="DY112" s="360"/>
      <c r="DZ112" s="167"/>
      <c r="EA112" s="167"/>
      <c r="EB112"/>
      <c r="EC112"/>
      <c r="ED112"/>
      <c r="EE112"/>
      <c r="EF112"/>
      <c r="EG112"/>
    </row>
    <row r="113" spans="1:137" s="473" customFormat="1">
      <c r="A113" s="707" t="s">
        <v>195</v>
      </c>
      <c r="B113" s="708"/>
      <c r="C113" s="708"/>
      <c r="D113" s="708"/>
      <c r="E113" s="708"/>
      <c r="F113" s="708"/>
      <c r="G113" s="708"/>
      <c r="H113" s="709"/>
      <c r="I113" s="709"/>
      <c r="J113" s="709"/>
      <c r="K113" s="709"/>
      <c r="L113" s="708"/>
      <c r="M113" s="709"/>
      <c r="N113" s="709"/>
      <c r="O113" s="709"/>
      <c r="P113" s="709"/>
      <c r="Q113" s="708"/>
      <c r="R113" s="709"/>
      <c r="S113" s="709"/>
      <c r="T113" s="709"/>
      <c r="U113" s="709"/>
      <c r="V113" s="708"/>
      <c r="W113" s="500"/>
      <c r="X113" s="709"/>
      <c r="Y113" s="500"/>
      <c r="Z113" s="500"/>
      <c r="AA113" s="501"/>
      <c r="AB113" s="500"/>
      <c r="AC113" s="709"/>
      <c r="AD113" s="709"/>
      <c r="AE113" s="709"/>
      <c r="AF113" s="708">
        <f>AF107-AF115</f>
        <v>1034</v>
      </c>
      <c r="AG113" s="500"/>
      <c r="AH113" s="709"/>
      <c r="AI113" s="709"/>
      <c r="AJ113" s="709"/>
      <c r="AK113" s="708">
        <f t="shared" ref="AK113:AQ113" si="359">AK107-AK115</f>
        <v>1111</v>
      </c>
      <c r="AL113" s="709">
        <f t="shared" si="359"/>
        <v>404</v>
      </c>
      <c r="AM113" s="709">
        <f t="shared" si="359"/>
        <v>336</v>
      </c>
      <c r="AN113" s="709">
        <f t="shared" si="359"/>
        <v>326</v>
      </c>
      <c r="AO113" s="709">
        <f t="shared" si="359"/>
        <v>265</v>
      </c>
      <c r="AP113" s="708">
        <f t="shared" si="359"/>
        <v>1331</v>
      </c>
      <c r="AQ113" s="709">
        <f t="shared" si="359"/>
        <v>343</v>
      </c>
      <c r="AR113" s="709">
        <f t="shared" ref="AR113:BF113" si="360">AR107-AR115</f>
        <v>380</v>
      </c>
      <c r="AS113" s="709">
        <f t="shared" si="360"/>
        <v>350</v>
      </c>
      <c r="AT113" s="709">
        <f t="shared" si="360"/>
        <v>435</v>
      </c>
      <c r="AU113" s="708">
        <f t="shared" si="360"/>
        <v>1458</v>
      </c>
      <c r="AV113" s="709">
        <f>AV107-AV115</f>
        <v>317</v>
      </c>
      <c r="AW113" s="709">
        <f>AW107-AW115</f>
        <v>343</v>
      </c>
      <c r="AX113" s="709">
        <f>AX107-AX115</f>
        <v>336</v>
      </c>
      <c r="AY113" s="709">
        <f>AY107-AY115</f>
        <v>396</v>
      </c>
      <c r="AZ113" s="708">
        <f>AZ107-AZ115</f>
        <v>1392</v>
      </c>
      <c r="BA113" s="708"/>
      <c r="BB113" s="709">
        <f t="shared" si="360"/>
        <v>367</v>
      </c>
      <c r="BC113" s="709">
        <f t="shared" si="360"/>
        <v>383</v>
      </c>
      <c r="BD113" s="709">
        <f>BD107-BD115</f>
        <v>345</v>
      </c>
      <c r="BE113" s="709">
        <f>BE107-BE115</f>
        <v>444</v>
      </c>
      <c r="BF113" s="708">
        <f t="shared" si="360"/>
        <v>1444</v>
      </c>
      <c r="BG113" s="709">
        <f t="shared" ref="BG113:BH113" si="361">BG107-BG115</f>
        <v>311</v>
      </c>
      <c r="BH113" s="709">
        <f t="shared" si="361"/>
        <v>333</v>
      </c>
      <c r="BI113" s="709">
        <f>BI107-BI115</f>
        <v>316</v>
      </c>
      <c r="BJ113" s="709">
        <f>BJ107-BJ115</f>
        <v>382</v>
      </c>
      <c r="BK113" s="708">
        <f t="shared" ref="BK113:BM113" si="362">BK107-BK115</f>
        <v>1342</v>
      </c>
      <c r="BL113" s="709">
        <f t="shared" si="362"/>
        <v>301</v>
      </c>
      <c r="BM113" s="709">
        <f t="shared" si="362"/>
        <v>288</v>
      </c>
      <c r="BN113" s="709"/>
      <c r="BO113" s="709"/>
      <c r="BP113" s="708"/>
      <c r="BQ113" s="708"/>
      <c r="BR113" s="709">
        <f t="shared" ref="BR113:BS113" si="363">BR107-BR115</f>
        <v>311</v>
      </c>
      <c r="BS113" s="709">
        <f t="shared" si="363"/>
        <v>333</v>
      </c>
      <c r="BT113" s="709">
        <f>BT107-BT115</f>
        <v>316</v>
      </c>
      <c r="BU113" s="709">
        <f>BU107-BU115</f>
        <v>382</v>
      </c>
      <c r="BV113" s="708">
        <f t="shared" ref="BV113:BX113" si="364">BV107-BV115</f>
        <v>1342</v>
      </c>
      <c r="BW113" s="709">
        <f t="shared" si="364"/>
        <v>301</v>
      </c>
      <c r="BX113" s="709">
        <f t="shared" si="364"/>
        <v>288</v>
      </c>
      <c r="BY113" s="709">
        <f>BY107-BY115</f>
        <v>319</v>
      </c>
      <c r="BZ113" s="709">
        <f>BZ107-BZ115</f>
        <v>335</v>
      </c>
      <c r="CA113" s="708">
        <f>CA107-CA115</f>
        <v>1243</v>
      </c>
      <c r="CB113" s="709">
        <f t="shared" ref="CB113:CC113" si="365">CB107-CB115</f>
        <v>219</v>
      </c>
      <c r="CC113" s="709">
        <f t="shared" si="365"/>
        <v>268</v>
      </c>
      <c r="CD113" s="709">
        <f>CD107-CD115</f>
        <v>340</v>
      </c>
      <c r="CE113" s="709">
        <f>CE107-CE115</f>
        <v>306</v>
      </c>
      <c r="CF113" s="708">
        <f>CF107-CF115</f>
        <v>1133</v>
      </c>
      <c r="CG113" s="709"/>
      <c r="CH113" s="709"/>
      <c r="CI113" s="709"/>
      <c r="CJ113" s="709"/>
      <c r="CK113" s="708">
        <f>CK107-CK115</f>
        <v>1252</v>
      </c>
      <c r="CL113" s="709"/>
      <c r="CM113" s="709"/>
      <c r="CN113" s="709"/>
      <c r="CO113" s="709"/>
      <c r="CP113" s="708">
        <f>CP107-CP115</f>
        <v>969</v>
      </c>
      <c r="CQ113" s="709">
        <f t="shared" ref="CQ113:CT113" si="366">CQ107-CQ115</f>
        <v>224.00000000000003</v>
      </c>
      <c r="CR113" s="709">
        <f t="shared" si="366"/>
        <v>252.00000000000003</v>
      </c>
      <c r="CS113" s="709">
        <f t="shared" si="366"/>
        <v>266</v>
      </c>
      <c r="CT113" s="709">
        <f t="shared" si="366"/>
        <v>350.00000000000006</v>
      </c>
      <c r="CU113" s="708">
        <f t="shared" ref="CU113" si="367">CU107-CU115</f>
        <v>1092</v>
      </c>
      <c r="CV113" s="710"/>
      <c r="CW113" s="710"/>
      <c r="CX113" s="710"/>
      <c r="CY113" s="711"/>
      <c r="CZ113" s="708"/>
      <c r="DA113" s="710"/>
      <c r="DB113" s="710"/>
      <c r="DC113" s="710"/>
      <c r="DD113" s="711"/>
      <c r="DE113" s="708"/>
      <c r="DF113" s="710"/>
      <c r="DG113" s="710"/>
      <c r="DH113" s="710"/>
      <c r="DI113" s="711"/>
      <c r="DJ113" s="708"/>
      <c r="DK113" s="470"/>
      <c r="DL113" s="471"/>
      <c r="DM113" s="864"/>
      <c r="DN113" s="864"/>
      <c r="DO113" s="864"/>
      <c r="DP113" s="1087"/>
      <c r="DQ113" s="1087"/>
      <c r="DR113" s="1087"/>
      <c r="DS113" s="864"/>
      <c r="DT113" s="864"/>
      <c r="DU113" s="864"/>
      <c r="DV113" s="864"/>
      <c r="DW113" s="864"/>
      <c r="DX113" s="864"/>
      <c r="DY113" s="472"/>
      <c r="DZ113" s="464"/>
      <c r="EA113" s="464"/>
      <c r="EB113"/>
      <c r="EC113"/>
      <c r="ED113"/>
      <c r="EE113"/>
      <c r="EF113"/>
      <c r="EG113"/>
    </row>
    <row r="114" spans="1:137" s="398" customFormat="1">
      <c r="A114" s="97" t="s">
        <v>53</v>
      </c>
      <c r="B114" s="80"/>
      <c r="C114" s="80"/>
      <c r="D114" s="80"/>
      <c r="E114" s="80"/>
      <c r="F114" s="80"/>
      <c r="G114" s="80"/>
      <c r="H114" s="82"/>
      <c r="I114" s="82"/>
      <c r="J114" s="82"/>
      <c r="K114" s="82"/>
      <c r="L114" s="80"/>
      <c r="M114" s="82"/>
      <c r="N114" s="82"/>
      <c r="O114" s="82"/>
      <c r="P114" s="82"/>
      <c r="Q114" s="80"/>
      <c r="R114" s="82"/>
      <c r="S114" s="82"/>
      <c r="T114" s="82"/>
      <c r="U114" s="82"/>
      <c r="V114" s="80"/>
      <c r="W114" s="83"/>
      <c r="X114" s="82"/>
      <c r="Y114" s="83"/>
      <c r="Z114" s="83"/>
      <c r="AA114" s="84"/>
      <c r="AB114" s="83"/>
      <c r="AC114" s="82"/>
      <c r="AD114" s="82"/>
      <c r="AE114" s="82"/>
      <c r="AF114" s="80"/>
      <c r="AG114" s="83"/>
      <c r="AH114" s="82"/>
      <c r="AI114" s="82"/>
      <c r="AJ114" s="82"/>
      <c r="AK114" s="80">
        <f>AK113/AF113-1</f>
        <v>7.4468085106383031E-2</v>
      </c>
      <c r="AL114" s="82"/>
      <c r="AM114" s="82"/>
      <c r="AN114" s="82"/>
      <c r="AO114" s="82"/>
      <c r="AP114" s="80">
        <f t="shared" ref="AP114:AZ114" si="368">AP113/AK113-1</f>
        <v>0.19801980198019797</v>
      </c>
      <c r="AQ114" s="82">
        <f t="shared" si="368"/>
        <v>-0.15099009900990101</v>
      </c>
      <c r="AR114" s="82">
        <f t="shared" si="368"/>
        <v>0.13095238095238093</v>
      </c>
      <c r="AS114" s="82">
        <f t="shared" si="368"/>
        <v>7.361963190184051E-2</v>
      </c>
      <c r="AT114" s="82">
        <f t="shared" si="368"/>
        <v>0.64150943396226423</v>
      </c>
      <c r="AU114" s="80">
        <f t="shared" si="368"/>
        <v>9.5416979714500361E-2</v>
      </c>
      <c r="AV114" s="82">
        <f t="shared" si="368"/>
        <v>-7.5801749271137031E-2</v>
      </c>
      <c r="AW114" s="82">
        <f t="shared" si="368"/>
        <v>-9.7368421052631549E-2</v>
      </c>
      <c r="AX114" s="82">
        <f t="shared" si="368"/>
        <v>-4.0000000000000036E-2</v>
      </c>
      <c r="AY114" s="82">
        <f t="shared" si="368"/>
        <v>-8.9655172413793061E-2</v>
      </c>
      <c r="AZ114" s="80">
        <f t="shared" si="368"/>
        <v>-4.5267489711934172E-2</v>
      </c>
      <c r="BA114" s="80"/>
      <c r="BB114" s="82"/>
      <c r="BC114" s="82"/>
      <c r="BD114" s="82"/>
      <c r="BE114" s="82"/>
      <c r="BF114" s="80"/>
      <c r="BG114" s="82">
        <f t="shared" ref="BG114:BM114" si="369">BG113/BB113-1</f>
        <v>-0.15258855585831066</v>
      </c>
      <c r="BH114" s="82">
        <f t="shared" si="369"/>
        <v>-0.13054830287206265</v>
      </c>
      <c r="BI114" s="82">
        <f t="shared" si="369"/>
        <v>-8.4057971014492749E-2</v>
      </c>
      <c r="BJ114" s="82">
        <f t="shared" si="369"/>
        <v>-0.13963963963963966</v>
      </c>
      <c r="BK114" s="80">
        <f t="shared" si="369"/>
        <v>-7.0637119113573399E-2</v>
      </c>
      <c r="BL114" s="82">
        <f t="shared" si="369"/>
        <v>-3.2154340836012874E-2</v>
      </c>
      <c r="BM114" s="82">
        <f t="shared" si="369"/>
        <v>-0.13513513513513509</v>
      </c>
      <c r="BN114" s="82"/>
      <c r="BO114" s="82"/>
      <c r="BP114" s="80"/>
      <c r="BQ114" s="80"/>
      <c r="BR114" s="82">
        <f>+BR113/BB113-1</f>
        <v>-0.15258855585831066</v>
      </c>
      <c r="BS114" s="82">
        <f t="shared" ref="BS114" si="370">+BS113/BC113-1</f>
        <v>-0.13054830287206265</v>
      </c>
      <c r="BT114" s="82">
        <f t="shared" ref="BT114" si="371">+BT113/BD113-1</f>
        <v>-8.4057971014492749E-2</v>
      </c>
      <c r="BU114" s="82">
        <f t="shared" ref="BU114" si="372">+BU113/BE113-1</f>
        <v>-0.13963963963963966</v>
      </c>
      <c r="BV114" s="80">
        <f t="shared" ref="BV114" si="373">+BV113/BF113-1</f>
        <v>-7.0637119113573399E-2</v>
      </c>
      <c r="BW114" s="82">
        <f t="shared" ref="BW114:CF114" si="374">BW113/BR113-1</f>
        <v>-3.2154340836012874E-2</v>
      </c>
      <c r="BX114" s="82">
        <f t="shared" si="374"/>
        <v>-0.13513513513513509</v>
      </c>
      <c r="BY114" s="82">
        <f t="shared" si="374"/>
        <v>9.493670886076E-3</v>
      </c>
      <c r="BZ114" s="82">
        <f t="shared" si="374"/>
        <v>-0.12303664921465973</v>
      </c>
      <c r="CA114" s="80">
        <f t="shared" si="374"/>
        <v>-7.3770491803278659E-2</v>
      </c>
      <c r="CB114" s="82">
        <f t="shared" si="374"/>
        <v>-0.27242524916943522</v>
      </c>
      <c r="CC114" s="82">
        <f t="shared" si="374"/>
        <v>-6.944444444444442E-2</v>
      </c>
      <c r="CD114" s="82">
        <f t="shared" si="374"/>
        <v>6.5830721003134807E-2</v>
      </c>
      <c r="CE114" s="82">
        <f t="shared" si="374"/>
        <v>-8.6567164179104483E-2</v>
      </c>
      <c r="CF114" s="80">
        <f t="shared" si="374"/>
        <v>-8.8495575221238965E-2</v>
      </c>
      <c r="CG114" s="82"/>
      <c r="CH114" s="82"/>
      <c r="CI114" s="82"/>
      <c r="CJ114" s="82"/>
      <c r="CK114" s="80"/>
      <c r="CL114" s="82"/>
      <c r="CM114" s="82"/>
      <c r="CN114" s="82"/>
      <c r="CO114" s="82"/>
      <c r="CP114" s="80">
        <f t="shared" ref="CP114" si="375">CP113/CK113-1</f>
        <v>-0.22603833865814693</v>
      </c>
      <c r="CQ114" s="82"/>
      <c r="CR114" s="82"/>
      <c r="CS114" s="82"/>
      <c r="CT114" s="82"/>
      <c r="CU114" s="80">
        <f t="shared" ref="CU114" si="376">CU113/CP113-1</f>
        <v>0.12693498452012375</v>
      </c>
      <c r="CV114" s="103"/>
      <c r="CW114" s="103"/>
      <c r="CX114" s="103"/>
      <c r="CY114" s="105"/>
      <c r="CZ114" s="80"/>
      <c r="DA114" s="103"/>
      <c r="DB114" s="103"/>
      <c r="DC114" s="103"/>
      <c r="DD114" s="105"/>
      <c r="DE114" s="80"/>
      <c r="DF114" s="103"/>
      <c r="DG114" s="103"/>
      <c r="DH114" s="103"/>
      <c r="DI114" s="105"/>
      <c r="DJ114" s="80"/>
      <c r="DK114" s="401"/>
      <c r="DL114" s="74"/>
      <c r="DM114" s="867"/>
      <c r="DN114" s="809"/>
      <c r="DO114" s="809"/>
      <c r="DP114" s="1054"/>
      <c r="DQ114" s="1054"/>
      <c r="DR114" s="1054"/>
      <c r="DS114" s="809"/>
      <c r="DT114" s="809"/>
      <c r="DU114" s="809"/>
      <c r="DV114" s="809"/>
      <c r="DW114" s="809"/>
      <c r="DX114" s="809"/>
      <c r="DY114" s="360"/>
      <c r="DZ114" s="167"/>
      <c r="EA114" s="167"/>
      <c r="EB114"/>
      <c r="EC114"/>
      <c r="ED114"/>
      <c r="EE114"/>
      <c r="EF114"/>
      <c r="EG114"/>
    </row>
    <row r="115" spans="1:137" s="473" customFormat="1">
      <c r="A115" s="734" t="s">
        <v>189</v>
      </c>
      <c r="B115" s="462"/>
      <c r="C115" s="462"/>
      <c r="D115" s="462"/>
      <c r="E115" s="462"/>
      <c r="F115" s="462"/>
      <c r="G115" s="462"/>
      <c r="H115" s="463"/>
      <c r="I115" s="463"/>
      <c r="J115" s="463"/>
      <c r="K115" s="463"/>
      <c r="L115" s="462"/>
      <c r="M115" s="463"/>
      <c r="N115" s="463"/>
      <c r="O115" s="463"/>
      <c r="P115" s="463"/>
      <c r="Q115" s="462"/>
      <c r="R115" s="463"/>
      <c r="S115" s="463"/>
      <c r="T115" s="463"/>
      <c r="U115" s="463"/>
      <c r="V115" s="462"/>
      <c r="W115" s="464"/>
      <c r="X115" s="463"/>
      <c r="Y115" s="464"/>
      <c r="Z115" s="464"/>
      <c r="AA115" s="465"/>
      <c r="AB115" s="464"/>
      <c r="AC115" s="463"/>
      <c r="AD115" s="463"/>
      <c r="AE115" s="463"/>
      <c r="AF115" s="462">
        <v>35</v>
      </c>
      <c r="AG115" s="464"/>
      <c r="AH115" s="463"/>
      <c r="AI115" s="463"/>
      <c r="AJ115" s="463"/>
      <c r="AK115" s="462">
        <v>145</v>
      </c>
      <c r="AL115" s="463">
        <v>-60</v>
      </c>
      <c r="AM115" s="463">
        <v>45</v>
      </c>
      <c r="AN115" s="463">
        <v>30</v>
      </c>
      <c r="AO115" s="463">
        <v>85</v>
      </c>
      <c r="AP115" s="462">
        <v>100</v>
      </c>
      <c r="AQ115" s="463">
        <v>15</v>
      </c>
      <c r="AR115" s="794">
        <v>-35</v>
      </c>
      <c r="AS115" s="794">
        <v>-15</v>
      </c>
      <c r="AT115" s="794">
        <v>-115</v>
      </c>
      <c r="AU115" s="838">
        <v>-100</v>
      </c>
      <c r="AV115" s="794">
        <v>-25</v>
      </c>
      <c r="AW115" s="794">
        <v>-40</v>
      </c>
      <c r="AX115" s="794">
        <v>0</v>
      </c>
      <c r="AY115" s="794">
        <f>+AZ115-SUM(AV115:AX115)</f>
        <v>5</v>
      </c>
      <c r="AZ115" s="838">
        <v>-60</v>
      </c>
      <c r="BA115" s="838"/>
      <c r="BB115" s="794">
        <v>-25</v>
      </c>
      <c r="BC115" s="794">
        <v>-40</v>
      </c>
      <c r="BD115" s="794">
        <v>-15</v>
      </c>
      <c r="BE115" s="794">
        <v>-115</v>
      </c>
      <c r="BF115" s="838">
        <v>-100</v>
      </c>
      <c r="BG115" s="794">
        <v>-25</v>
      </c>
      <c r="BH115" s="794">
        <v>-40</v>
      </c>
      <c r="BI115" s="794">
        <v>0</v>
      </c>
      <c r="BJ115" s="794">
        <f>+BK115-SUM(BG115:BI115)</f>
        <v>5</v>
      </c>
      <c r="BK115" s="838">
        <v>-60</v>
      </c>
      <c r="BL115" s="794">
        <v>-80</v>
      </c>
      <c r="BM115" s="794">
        <f>-115-BL115</f>
        <v>-35</v>
      </c>
      <c r="BN115" s="794"/>
      <c r="BO115" s="82"/>
      <c r="BP115" s="462"/>
      <c r="BQ115" s="838"/>
      <c r="BR115" s="794">
        <v>-25</v>
      </c>
      <c r="BS115" s="794">
        <v>-40</v>
      </c>
      <c r="BT115" s="794">
        <v>0</v>
      </c>
      <c r="BU115" s="794">
        <f>+BV115-SUM(BR115:BT115)</f>
        <v>5</v>
      </c>
      <c r="BV115" s="838">
        <v>-60</v>
      </c>
      <c r="BW115" s="794">
        <v>-80</v>
      </c>
      <c r="BX115" s="794">
        <f>-115-BW115</f>
        <v>-35</v>
      </c>
      <c r="BY115" s="794">
        <f>-145-BX115-BW115</f>
        <v>-30</v>
      </c>
      <c r="BZ115" s="794">
        <f>-225-SUM(BW115:BY115)</f>
        <v>-80</v>
      </c>
      <c r="CA115" s="838">
        <f>+SUM(BW115:BZ115)</f>
        <v>-225</v>
      </c>
      <c r="CB115" s="794">
        <v>0</v>
      </c>
      <c r="CC115" s="1064">
        <v>0</v>
      </c>
      <c r="CD115" s="584">
        <v>-70</v>
      </c>
      <c r="CE115" s="584">
        <f>-80-CD115-CC115-CB115</f>
        <v>-10</v>
      </c>
      <c r="CF115" s="585">
        <f>+SUM(CB115:CE115)</f>
        <v>-80</v>
      </c>
      <c r="CG115" s="794"/>
      <c r="CH115" s="794"/>
      <c r="CI115" s="794"/>
      <c r="CJ115" s="794"/>
      <c r="CK115" s="585">
        <v>-225</v>
      </c>
      <c r="CL115" s="794"/>
      <c r="CM115" s="1064"/>
      <c r="CN115" s="584"/>
      <c r="CO115" s="584"/>
      <c r="CP115" s="838">
        <v>80</v>
      </c>
      <c r="CQ115" s="1024">
        <v>0</v>
      </c>
      <c r="CR115" s="1024">
        <v>0</v>
      </c>
      <c r="CS115" s="1024">
        <v>0</v>
      </c>
      <c r="CT115" s="1024">
        <v>0</v>
      </c>
      <c r="CU115" s="462">
        <f>+SUM(CQ115:CT115)</f>
        <v>0</v>
      </c>
      <c r="CV115" s="468"/>
      <c r="CW115" s="468"/>
      <c r="CX115" s="468"/>
      <c r="CY115" s="469"/>
      <c r="CZ115" s="462"/>
      <c r="DA115" s="468"/>
      <c r="DB115" s="468"/>
      <c r="DC115" s="468"/>
      <c r="DD115" s="469"/>
      <c r="DE115" s="462"/>
      <c r="DF115" s="468"/>
      <c r="DG115" s="468"/>
      <c r="DH115" s="468"/>
      <c r="DI115" s="469"/>
      <c r="DJ115" s="462"/>
      <c r="DK115" s="470"/>
      <c r="DL115" s="471"/>
      <c r="DM115" s="864"/>
      <c r="DN115" s="864"/>
      <c r="DO115" s="864"/>
      <c r="DP115" s="1090"/>
      <c r="DQ115" s="1090"/>
      <c r="DR115" s="1090"/>
      <c r="DS115" s="1091"/>
      <c r="DT115" s="864"/>
      <c r="DU115" s="864"/>
      <c r="DV115" s="864"/>
      <c r="DW115" s="864"/>
      <c r="DX115" s="864"/>
      <c r="DY115" s="472"/>
      <c r="DZ115" s="464"/>
      <c r="EA115" s="464"/>
      <c r="EB115"/>
      <c r="EC115"/>
      <c r="ED115"/>
      <c r="EE115"/>
      <c r="EF115"/>
      <c r="EG115"/>
    </row>
    <row r="116" spans="1:137" s="429" customFormat="1">
      <c r="A116" s="784" t="s">
        <v>198</v>
      </c>
      <c r="B116" s="562"/>
      <c r="C116" s="562"/>
      <c r="D116" s="562"/>
      <c r="E116" s="562"/>
      <c r="F116" s="562"/>
      <c r="G116" s="562"/>
      <c r="H116" s="543"/>
      <c r="I116" s="543"/>
      <c r="J116" s="543"/>
      <c r="K116" s="543"/>
      <c r="L116" s="562"/>
      <c r="M116" s="543"/>
      <c r="N116" s="543"/>
      <c r="O116" s="543"/>
      <c r="P116" s="543"/>
      <c r="Q116" s="562"/>
      <c r="R116" s="543"/>
      <c r="S116" s="543"/>
      <c r="T116" s="543"/>
      <c r="U116" s="543"/>
      <c r="V116" s="562"/>
      <c r="W116" s="428"/>
      <c r="X116" s="543"/>
      <c r="Y116" s="428"/>
      <c r="Z116" s="428"/>
      <c r="AA116" s="522"/>
      <c r="AB116" s="428"/>
      <c r="AC116" s="543"/>
      <c r="AD116" s="543"/>
      <c r="AE116" s="543"/>
      <c r="AF116" s="562">
        <f>AF115/AF107</f>
        <v>3.2740879326473342E-2</v>
      </c>
      <c r="AG116" s="428"/>
      <c r="AH116" s="543"/>
      <c r="AI116" s="543"/>
      <c r="AJ116" s="543"/>
      <c r="AK116" s="562">
        <f t="shared" ref="AK116:AR116" si="377">AK115/AK107</f>
        <v>0.11544585987261147</v>
      </c>
      <c r="AL116" s="543">
        <f t="shared" si="377"/>
        <v>-0.1744186046511628</v>
      </c>
      <c r="AM116" s="543">
        <f t="shared" si="377"/>
        <v>0.11811023622047244</v>
      </c>
      <c r="AN116" s="543">
        <f t="shared" si="377"/>
        <v>8.4269662921348312E-2</v>
      </c>
      <c r="AO116" s="543">
        <f t="shared" si="377"/>
        <v>0.24285714285714285</v>
      </c>
      <c r="AP116" s="562">
        <f t="shared" si="377"/>
        <v>6.9881201956673661E-2</v>
      </c>
      <c r="AQ116" s="543">
        <f t="shared" si="377"/>
        <v>4.189944134078212E-2</v>
      </c>
      <c r="AR116" s="543">
        <f t="shared" si="377"/>
        <v>-0.10144927536231885</v>
      </c>
      <c r="AS116" s="543">
        <f t="shared" ref="AS116:BF116" si="378">AS115/AS107</f>
        <v>-4.4776119402985072E-2</v>
      </c>
      <c r="AT116" s="543">
        <f t="shared" si="378"/>
        <v>-0.359375</v>
      </c>
      <c r="AU116" s="562">
        <f t="shared" si="378"/>
        <v>-7.3637702503681887E-2</v>
      </c>
      <c r="AV116" s="543">
        <f>AV115/AV107</f>
        <v>-8.5616438356164379E-2</v>
      </c>
      <c r="AW116" s="543">
        <f>AW115/AW107</f>
        <v>-0.132013201320132</v>
      </c>
      <c r="AX116" s="543">
        <f>AX115/AX107</f>
        <v>0</v>
      </c>
      <c r="AY116" s="543">
        <f>AY115/AY107</f>
        <v>1.2468827930174564E-2</v>
      </c>
      <c r="AZ116" s="562">
        <f>AZ115/AZ107</f>
        <v>-4.5045045045045043E-2</v>
      </c>
      <c r="BA116" s="562"/>
      <c r="BB116" s="543">
        <f t="shared" si="378"/>
        <v>-7.3099415204678359E-2</v>
      </c>
      <c r="BC116" s="543">
        <f t="shared" si="378"/>
        <v>-0.11661807580174927</v>
      </c>
      <c r="BD116" s="543">
        <f t="shared" si="378"/>
        <v>-4.5454545454545456E-2</v>
      </c>
      <c r="BE116" s="543">
        <f>BE115/BE107</f>
        <v>-0.34954407294832829</v>
      </c>
      <c r="BF116" s="562">
        <f t="shared" si="378"/>
        <v>-7.4404761904761904E-2</v>
      </c>
      <c r="BG116" s="543">
        <f t="shared" ref="BG116:BI116" si="379">BG115/BG107</f>
        <v>-8.7412587412587409E-2</v>
      </c>
      <c r="BH116" s="543">
        <f t="shared" si="379"/>
        <v>-0.13651877133105803</v>
      </c>
      <c r="BI116" s="543">
        <f t="shared" si="379"/>
        <v>0</v>
      </c>
      <c r="BJ116" s="543">
        <f>BJ115/BJ107</f>
        <v>1.2919896640826873E-2</v>
      </c>
      <c r="BK116" s="562">
        <f t="shared" ref="BK116:BM116" si="380">BK115/BK107</f>
        <v>-4.6801872074882997E-2</v>
      </c>
      <c r="BL116" s="543">
        <f t="shared" si="380"/>
        <v>-0.36199095022624433</v>
      </c>
      <c r="BM116" s="543">
        <f t="shared" si="380"/>
        <v>-0.13833992094861661</v>
      </c>
      <c r="BN116" s="543"/>
      <c r="BO116" s="543"/>
      <c r="BP116" s="562"/>
      <c r="BQ116" s="562"/>
      <c r="BR116" s="543">
        <f t="shared" ref="BR116:BT116" si="381">BR115/BR107</f>
        <v>-8.7412587412587409E-2</v>
      </c>
      <c r="BS116" s="543">
        <f t="shared" si="381"/>
        <v>-0.13651877133105803</v>
      </c>
      <c r="BT116" s="543">
        <f t="shared" si="381"/>
        <v>0</v>
      </c>
      <c r="BU116" s="543">
        <f>BU115/BU107</f>
        <v>1.2919896640826873E-2</v>
      </c>
      <c r="BV116" s="562">
        <f t="shared" ref="BV116:BY116" si="382">BV115/BV107</f>
        <v>-4.6801872074882997E-2</v>
      </c>
      <c r="BW116" s="543">
        <f t="shared" si="382"/>
        <v>-0.36199095022624433</v>
      </c>
      <c r="BX116" s="543">
        <f t="shared" si="382"/>
        <v>-0.13833992094861661</v>
      </c>
      <c r="BY116" s="543">
        <f t="shared" si="382"/>
        <v>-0.10380622837370242</v>
      </c>
      <c r="BZ116" s="543">
        <f>BZ115/BZ107</f>
        <v>-0.31372549019607843</v>
      </c>
      <c r="CA116" s="562">
        <f>CA115/CA107</f>
        <v>-0.22102161100196463</v>
      </c>
      <c r="CB116" s="543">
        <f t="shared" ref="CB116:CD116" si="383">CB115/CB107</f>
        <v>0</v>
      </c>
      <c r="CC116" s="543">
        <f t="shared" si="383"/>
        <v>0</v>
      </c>
      <c r="CD116" s="543">
        <f t="shared" si="383"/>
        <v>-0.25925925925925924</v>
      </c>
      <c r="CE116" s="543">
        <f>CE115/CE107</f>
        <v>-3.3783783783783786E-2</v>
      </c>
      <c r="CF116" s="562">
        <f>CF115/CF107</f>
        <v>-7.5973409306742637E-2</v>
      </c>
      <c r="CG116" s="543"/>
      <c r="CH116" s="543"/>
      <c r="CI116" s="543"/>
      <c r="CJ116" s="543"/>
      <c r="CK116" s="562">
        <f>CK115/CK107</f>
        <v>-0.21908471275559882</v>
      </c>
      <c r="CL116" s="543"/>
      <c r="CM116" s="543"/>
      <c r="CN116" s="543"/>
      <c r="CO116" s="543"/>
      <c r="CP116" s="562">
        <f>CP115/CP107</f>
        <v>7.6263107721639661E-2</v>
      </c>
      <c r="CQ116" s="543">
        <f t="shared" ref="CQ116:CT116" si="384">CQ115/CQ107</f>
        <v>0</v>
      </c>
      <c r="CR116" s="543">
        <f t="shared" si="384"/>
        <v>0</v>
      </c>
      <c r="CS116" s="543">
        <f t="shared" si="384"/>
        <v>0</v>
      </c>
      <c r="CT116" s="543">
        <f t="shared" si="384"/>
        <v>0</v>
      </c>
      <c r="CU116" s="562">
        <f t="shared" ref="CU116" si="385">CU115/CU107</f>
        <v>0</v>
      </c>
      <c r="CV116" s="524"/>
      <c r="CW116" s="524"/>
      <c r="CX116" s="524"/>
      <c r="CY116" s="525"/>
      <c r="CZ116" s="562"/>
      <c r="DA116" s="524"/>
      <c r="DB116" s="524"/>
      <c r="DC116" s="524"/>
      <c r="DD116" s="525"/>
      <c r="DE116" s="562"/>
      <c r="DF116" s="524"/>
      <c r="DG116" s="524"/>
      <c r="DH116" s="524"/>
      <c r="DI116" s="525"/>
      <c r="DJ116" s="562"/>
      <c r="DK116" s="523"/>
      <c r="DL116" s="598"/>
      <c r="DM116" s="830"/>
      <c r="DN116" s="830"/>
      <c r="DO116" s="830"/>
      <c r="DP116" s="1056"/>
      <c r="DQ116" s="1056"/>
      <c r="DR116" s="1056"/>
      <c r="DS116" s="830"/>
      <c r="DT116" s="830"/>
      <c r="DU116" s="830"/>
      <c r="DV116" s="830"/>
      <c r="DW116" s="830"/>
      <c r="DX116" s="830"/>
      <c r="DY116" s="427"/>
      <c r="DZ116" s="428"/>
      <c r="EA116" s="428"/>
      <c r="EB116"/>
      <c r="EC116"/>
      <c r="ED116"/>
      <c r="EE116"/>
      <c r="EF116"/>
      <c r="EG116"/>
    </row>
    <row r="117" spans="1:137" s="166" customFormat="1">
      <c r="A117" s="59" t="s">
        <v>285</v>
      </c>
      <c r="B117" s="108"/>
      <c r="C117" s="108"/>
      <c r="D117" s="108"/>
      <c r="E117" s="108"/>
      <c r="F117" s="108"/>
      <c r="G117" s="108"/>
      <c r="H117" s="107"/>
      <c r="I117" s="107"/>
      <c r="J117" s="107"/>
      <c r="K117" s="107"/>
      <c r="L117" s="108"/>
      <c r="M117" s="107"/>
      <c r="N117" s="107"/>
      <c r="O117" s="107"/>
      <c r="P117" s="107"/>
      <c r="Q117" s="108"/>
      <c r="R117" s="107"/>
      <c r="S117" s="107"/>
      <c r="T117" s="107"/>
      <c r="U117" s="107"/>
      <c r="V117" s="108"/>
      <c r="W117" s="107"/>
      <c r="X117" s="107"/>
      <c r="Y117" s="107"/>
      <c r="Z117" s="107"/>
      <c r="AA117" s="108"/>
      <c r="AB117" s="107">
        <f t="shared" ref="AB117:BM117" si="386">AB119/AB32</f>
        <v>7.93002915451895E-2</v>
      </c>
      <c r="AC117" s="107">
        <f t="shared" si="386"/>
        <v>0.10206358059118795</v>
      </c>
      <c r="AD117" s="107">
        <f t="shared" si="386"/>
        <v>8.7768969422423557E-2</v>
      </c>
      <c r="AE117" s="107">
        <f t="shared" si="386"/>
        <v>9.2034445640473625E-2</v>
      </c>
      <c r="AF117" s="108">
        <f t="shared" si="386"/>
        <v>9.0437464946719018E-2</v>
      </c>
      <c r="AG117" s="107">
        <f t="shared" si="386"/>
        <v>8.5418933623503807E-2</v>
      </c>
      <c r="AH117" s="107">
        <f t="shared" si="386"/>
        <v>9.658246656760773E-2</v>
      </c>
      <c r="AI117" s="107">
        <f t="shared" si="386"/>
        <v>0.10633727175080558</v>
      </c>
      <c r="AJ117" s="107">
        <f t="shared" si="386"/>
        <v>0.10053763440860215</v>
      </c>
      <c r="AK117" s="108">
        <f t="shared" si="386"/>
        <v>9.7242380261248179E-2</v>
      </c>
      <c r="AL117" s="107">
        <f t="shared" si="386"/>
        <v>0.10983606557377049</v>
      </c>
      <c r="AM117" s="107">
        <f t="shared" si="386"/>
        <v>0.15536723163841809</v>
      </c>
      <c r="AN117" s="107">
        <f t="shared" si="386"/>
        <v>0.12720848056537101</v>
      </c>
      <c r="AO117" s="107">
        <f t="shared" si="386"/>
        <v>0.11482479784366577</v>
      </c>
      <c r="AP117" s="108">
        <f t="shared" si="386"/>
        <v>0.12652034111561583</v>
      </c>
      <c r="AQ117" s="107">
        <f t="shared" si="386"/>
        <v>0.15356265356265356</v>
      </c>
      <c r="AR117" s="107">
        <f t="shared" si="386"/>
        <v>0.10446075663466968</v>
      </c>
      <c r="AS117" s="107">
        <f t="shared" si="386"/>
        <v>0.11494937462775462</v>
      </c>
      <c r="AT117" s="107">
        <f t="shared" si="386"/>
        <v>0.10391493475108748</v>
      </c>
      <c r="AU117" s="108">
        <f t="shared" si="386"/>
        <v>0.11795158807891423</v>
      </c>
      <c r="AV117" s="107">
        <f t="shared" si="386"/>
        <v>0.13264688067837674</v>
      </c>
      <c r="AW117" s="107">
        <f t="shared" si="386"/>
        <v>0.12942477876106195</v>
      </c>
      <c r="AX117" s="107">
        <f t="shared" si="386"/>
        <v>0.1220865704772475</v>
      </c>
      <c r="AY117" s="107">
        <f t="shared" si="386"/>
        <v>5.2134646962233168E-2</v>
      </c>
      <c r="AZ117" s="108">
        <f t="shared" si="386"/>
        <v>0.10393659867480837</v>
      </c>
      <c r="BA117" s="108">
        <f t="shared" si="386"/>
        <v>0.11784884364280182</v>
      </c>
      <c r="BB117" s="107">
        <f t="shared" si="386"/>
        <v>0.13643031784841075</v>
      </c>
      <c r="BC117" s="107">
        <f t="shared" si="386"/>
        <v>9.3333333333333338E-2</v>
      </c>
      <c r="BD117" s="107">
        <f t="shared" si="386"/>
        <v>0.10771470160116449</v>
      </c>
      <c r="BE117" s="107">
        <f t="shared" si="386"/>
        <v>9.4655242758057936E-2</v>
      </c>
      <c r="BF117" s="108">
        <f t="shared" si="386"/>
        <v>0.10719193770041227</v>
      </c>
      <c r="BG117" s="107">
        <f t="shared" si="386"/>
        <v>9.0955027791814053E-2</v>
      </c>
      <c r="BH117" s="107">
        <f t="shared" si="386"/>
        <v>0.1210161662817552</v>
      </c>
      <c r="BI117" s="107">
        <f t="shared" si="386"/>
        <v>0.11332099907493062</v>
      </c>
      <c r="BJ117" s="107">
        <f t="shared" si="386"/>
        <v>5.6373429084380609E-2</v>
      </c>
      <c r="BK117" s="108">
        <f t="shared" si="386"/>
        <v>9.283907160928391E-2</v>
      </c>
      <c r="BL117" s="107">
        <f t="shared" si="386"/>
        <v>7.6231691078561911E-2</v>
      </c>
      <c r="BM117" s="107">
        <f t="shared" si="386"/>
        <v>6.1156524371783226E-2</v>
      </c>
      <c r="BN117" s="107"/>
      <c r="BO117" s="107"/>
      <c r="BP117" s="110"/>
      <c r="BQ117" s="108">
        <f t="shared" ref="BQ117:CC117" si="387">BQ119/BQ32</f>
        <v>0.10719193770041227</v>
      </c>
      <c r="BR117" s="107">
        <f t="shared" si="387"/>
        <v>9.0955027791814053E-2</v>
      </c>
      <c r="BS117" s="107">
        <f t="shared" si="387"/>
        <v>0.1210161662817552</v>
      </c>
      <c r="BT117" s="107">
        <f t="shared" si="387"/>
        <v>0.11332099907493062</v>
      </c>
      <c r="BU117" s="107">
        <f t="shared" si="387"/>
        <v>5.6373429084380609E-2</v>
      </c>
      <c r="BV117" s="108">
        <f t="shared" si="387"/>
        <v>9.283907160928391E-2</v>
      </c>
      <c r="BW117" s="107">
        <f t="shared" si="387"/>
        <v>7.6231691078561911E-2</v>
      </c>
      <c r="BX117" s="107">
        <f t="shared" si="387"/>
        <v>6.1156524371783226E-2</v>
      </c>
      <c r="BY117" s="107">
        <f t="shared" si="387"/>
        <v>7.3819485953377173E-2</v>
      </c>
      <c r="BZ117" s="107">
        <f>BZ119/BZ32</f>
        <v>5.9858230506694671E-2</v>
      </c>
      <c r="CA117" s="108">
        <f>CA119/CA32</f>
        <v>6.7300549695439013E-2</v>
      </c>
      <c r="CB117" s="107">
        <f t="shared" si="387"/>
        <v>3.4827475008061916E-2</v>
      </c>
      <c r="CC117" s="107">
        <f t="shared" si="387"/>
        <v>7.448680351906159E-2</v>
      </c>
      <c r="CD117" s="107">
        <f t="shared" ref="CD117" si="388">CD119/CD32</f>
        <v>7.2770653146436021E-2</v>
      </c>
      <c r="CE117" s="107">
        <f>CE119/CE32</f>
        <v>6.8719834520799813E-2</v>
      </c>
      <c r="CF117" s="108">
        <f>CF119/CF32</f>
        <v>6.3665142455153007E-2</v>
      </c>
      <c r="CG117" s="107"/>
      <c r="CH117" s="107"/>
      <c r="CI117" s="107"/>
      <c r="CJ117" s="107"/>
      <c r="CK117" s="108">
        <f>CK119/CK32</f>
        <v>6.2155204119161457E-2</v>
      </c>
      <c r="CL117" s="107"/>
      <c r="CM117" s="107"/>
      <c r="CN117" s="107"/>
      <c r="CO117" s="107"/>
      <c r="CP117" s="108">
        <f>CP119/CP32</f>
        <v>6.6017712069091711E-2</v>
      </c>
      <c r="CQ117" s="109">
        <v>7.4999999999999997E-2</v>
      </c>
      <c r="CR117" s="109">
        <v>7.4999999999999997E-2</v>
      </c>
      <c r="CS117" s="109">
        <v>7.4999999999999997E-2</v>
      </c>
      <c r="CT117" s="111">
        <v>7.4999999999999997E-2</v>
      </c>
      <c r="CU117" s="108">
        <f>CU119/CU32</f>
        <v>7.4999999999999997E-2</v>
      </c>
      <c r="CV117" s="109"/>
      <c r="CW117" s="109"/>
      <c r="CX117" s="109"/>
      <c r="CY117" s="111"/>
      <c r="CZ117" s="110">
        <v>0.08</v>
      </c>
      <c r="DA117" s="109"/>
      <c r="DB117" s="109"/>
      <c r="DC117" s="109"/>
      <c r="DD117" s="111"/>
      <c r="DE117" s="110">
        <v>8.5000000000000006E-2</v>
      </c>
      <c r="DF117" s="109"/>
      <c r="DG117" s="109"/>
      <c r="DH117" s="109"/>
      <c r="DI117" s="111"/>
      <c r="DJ117" s="110">
        <v>0.09</v>
      </c>
      <c r="DK117" s="403"/>
      <c r="DL117" s="404"/>
      <c r="DM117" s="809"/>
      <c r="DN117" s="809"/>
      <c r="DO117" s="809"/>
      <c r="DP117" s="1054"/>
      <c r="DQ117" s="1054"/>
      <c r="DR117" s="1054"/>
      <c r="DS117" s="1242"/>
      <c r="DT117" s="1242"/>
      <c r="DU117" s="1242"/>
      <c r="DV117" s="809"/>
      <c r="DW117" s="809"/>
      <c r="DX117" s="809"/>
      <c r="DY117" s="404"/>
      <c r="DZ117" s="405"/>
      <c r="EA117" s="405"/>
      <c r="EB117"/>
      <c r="EC117"/>
      <c r="ED117"/>
      <c r="EE117"/>
      <c r="EF117"/>
      <c r="EG117"/>
    </row>
    <row r="118" spans="1:137" s="398" customFormat="1">
      <c r="A118" s="106" t="s">
        <v>57</v>
      </c>
      <c r="B118" s="80"/>
      <c r="C118" s="253"/>
      <c r="D118" s="253"/>
      <c r="E118" s="253"/>
      <c r="F118" s="253"/>
      <c r="G118" s="253"/>
      <c r="H118" s="268"/>
      <c r="I118" s="268"/>
      <c r="J118" s="268"/>
      <c r="K118" s="268"/>
      <c r="L118" s="253"/>
      <c r="M118" s="268"/>
      <c r="N118" s="268"/>
      <c r="O118" s="268"/>
      <c r="P118" s="268"/>
      <c r="Q118" s="253"/>
      <c r="R118" s="268"/>
      <c r="S118" s="268"/>
      <c r="T118" s="268"/>
      <c r="U118" s="268"/>
      <c r="V118" s="253"/>
      <c r="W118" s="268"/>
      <c r="X118" s="268"/>
      <c r="Y118" s="268"/>
      <c r="Z118" s="268"/>
      <c r="AA118" s="253"/>
      <c r="AB118" s="268"/>
      <c r="AC118" s="268"/>
      <c r="AD118" s="268"/>
      <c r="AE118" s="268"/>
      <c r="AF118" s="253">
        <f t="shared" ref="AF118:AP118" si="389">(AF117-AA117)*100</f>
        <v>9.0437464946719022</v>
      </c>
      <c r="AG118" s="268">
        <f t="shared" si="389"/>
        <v>0.6118642078314307</v>
      </c>
      <c r="AH118" s="268">
        <f t="shared" si="389"/>
        <v>-0.54811140235802158</v>
      </c>
      <c r="AI118" s="268">
        <f t="shared" si="389"/>
        <v>1.8568302328382025</v>
      </c>
      <c r="AJ118" s="268">
        <f t="shared" si="389"/>
        <v>0.85031887681285279</v>
      </c>
      <c r="AK118" s="253">
        <f t="shared" si="389"/>
        <v>0.68049153145291608</v>
      </c>
      <c r="AL118" s="268">
        <f t="shared" si="389"/>
        <v>2.4417131950266677</v>
      </c>
      <c r="AM118" s="268">
        <f>(AM117-AH117)*100</f>
        <v>5.8784765070810359</v>
      </c>
      <c r="AN118" s="268">
        <f>(AN117-AI117)*100</f>
        <v>2.087120881456543</v>
      </c>
      <c r="AO118" s="268">
        <f t="shared" si="389"/>
        <v>1.4287163435063617</v>
      </c>
      <c r="AP118" s="253">
        <f t="shared" si="389"/>
        <v>2.9277960854367651</v>
      </c>
      <c r="AQ118" s="422">
        <f t="shared" ref="AQ118:AZ118" si="390">(AQ117-AL117)*100</f>
        <v>4.372658798888307</v>
      </c>
      <c r="AR118" s="422">
        <f t="shared" si="390"/>
        <v>-5.0906475003748408</v>
      </c>
      <c r="AS118" s="268">
        <f t="shared" si="390"/>
        <v>-1.2259105937616392</v>
      </c>
      <c r="AT118" s="268">
        <f t="shared" si="390"/>
        <v>-1.0909863092578285</v>
      </c>
      <c r="AU118" s="253">
        <f t="shared" si="390"/>
        <v>-0.85687530367015985</v>
      </c>
      <c r="AV118" s="422">
        <f t="shared" si="390"/>
        <v>-2.0915772884276818</v>
      </c>
      <c r="AW118" s="422">
        <f t="shared" si="390"/>
        <v>2.4964022126392273</v>
      </c>
      <c r="AX118" s="268">
        <f t="shared" si="390"/>
        <v>0.71371958494928778</v>
      </c>
      <c r="AY118" s="268">
        <f t="shared" si="390"/>
        <v>-5.178028778885432</v>
      </c>
      <c r="AZ118" s="253">
        <f t="shared" si="390"/>
        <v>-1.4014989404105864</v>
      </c>
      <c r="BA118" s="253"/>
      <c r="BB118" s="422"/>
      <c r="BC118" s="422"/>
      <c r="BD118" s="268"/>
      <c r="BE118" s="268"/>
      <c r="BF118" s="253">
        <f t="shared" ref="BF118:BM118" si="391">(BF117-BA117)*100</f>
        <v>-1.065690594238955</v>
      </c>
      <c r="BG118" s="422">
        <f t="shared" si="391"/>
        <v>-4.54752900565967</v>
      </c>
      <c r="BH118" s="422">
        <f t="shared" si="391"/>
        <v>2.768283294842186</v>
      </c>
      <c r="BI118" s="268">
        <f t="shared" si="391"/>
        <v>0.56062974737661331</v>
      </c>
      <c r="BJ118" s="268">
        <f t="shared" si="391"/>
        <v>-3.8281813673677325</v>
      </c>
      <c r="BK118" s="253">
        <f t="shared" si="391"/>
        <v>-1.435286609112836</v>
      </c>
      <c r="BL118" s="422">
        <f t="shared" si="391"/>
        <v>-1.4723336713252142</v>
      </c>
      <c r="BM118" s="422">
        <f t="shared" si="391"/>
        <v>-5.9859641909971968</v>
      </c>
      <c r="BN118" s="268"/>
      <c r="BO118" s="268"/>
      <c r="BP118" s="253"/>
      <c r="BQ118" s="253"/>
      <c r="BR118" s="254">
        <f>(BR117-BB117)*100</f>
        <v>-4.54752900565967</v>
      </c>
      <c r="BS118" s="254">
        <f t="shared" ref="BS118" si="392">(BS117-BC117)*100</f>
        <v>2.768283294842186</v>
      </c>
      <c r="BT118" s="826">
        <f t="shared" ref="BT118" si="393">(BT117-BD117)*100</f>
        <v>0.56062974737661331</v>
      </c>
      <c r="BU118" s="254">
        <f t="shared" ref="BU118" si="394">(BU117-BE117)*100</f>
        <v>-3.8281813673677325</v>
      </c>
      <c r="BV118" s="257">
        <f>(BV117-BF117)*100</f>
        <v>-1.435286609112836</v>
      </c>
      <c r="BW118" s="422">
        <f>(BW117-BR117)*100</f>
        <v>-1.4723336713252142</v>
      </c>
      <c r="BX118" s="422">
        <f>(BX117-BS117)*100</f>
        <v>-5.9859641909971968</v>
      </c>
      <c r="BY118" s="268">
        <f>(BY117-BT117)*100</f>
        <v>-3.9501513121553451</v>
      </c>
      <c r="BZ118" s="268">
        <f>(BZ117-BU117)*100</f>
        <v>0.34848014223140611</v>
      </c>
      <c r="CA118" s="253">
        <f>(CA117-BN117)*100</f>
        <v>6.7300549695439011</v>
      </c>
      <c r="CB118" s="422">
        <f>(CB117-BW117)*100</f>
        <v>-4.1404216070499995</v>
      </c>
      <c r="CC118" s="422">
        <f>(CC117-BX117)*100</f>
        <v>1.3330279147278363</v>
      </c>
      <c r="CD118" s="268">
        <f>(CD117-BY117)*100</f>
        <v>-0.10488328069411523</v>
      </c>
      <c r="CE118" s="268">
        <f>(CE117-BZ117)*100</f>
        <v>0.88616040141051422</v>
      </c>
      <c r="CF118" s="253">
        <f>(CF117-BS117)*100</f>
        <v>-5.7351023826602194</v>
      </c>
      <c r="CG118" s="422"/>
      <c r="CH118" s="422"/>
      <c r="CI118" s="268"/>
      <c r="CJ118" s="268"/>
      <c r="CK118" s="253"/>
      <c r="CL118" s="422"/>
      <c r="CM118" s="422"/>
      <c r="CN118" s="268"/>
      <c r="CO118" s="268"/>
      <c r="CP118" s="253">
        <f>(CP117-CC117)*100</f>
        <v>-0.84690914499698788</v>
      </c>
      <c r="CQ118" s="268"/>
      <c r="CR118" s="268"/>
      <c r="CS118" s="268"/>
      <c r="CT118" s="268"/>
      <c r="CU118" s="253">
        <f>(CU117-CP117)*100</f>
        <v>0.89822879309082859</v>
      </c>
      <c r="CV118" s="103"/>
      <c r="CW118" s="103"/>
      <c r="CX118" s="103"/>
      <c r="CY118" s="105"/>
      <c r="CZ118" s="253">
        <f>(CZ117-CU117)*100</f>
        <v>0.50000000000000044</v>
      </c>
      <c r="DA118" s="103"/>
      <c r="DB118" s="103"/>
      <c r="DC118" s="103"/>
      <c r="DD118" s="105"/>
      <c r="DE118" s="253">
        <f>(DE117-CZ117)*100</f>
        <v>0.50000000000000044</v>
      </c>
      <c r="DF118" s="103"/>
      <c r="DG118" s="103"/>
      <c r="DH118" s="103"/>
      <c r="DI118" s="105"/>
      <c r="DJ118" s="253">
        <f>(DJ117-DE117)*100</f>
        <v>0.49999999999999906</v>
      </c>
      <c r="DK118" s="397"/>
      <c r="DL118" s="74"/>
      <c r="DM118" s="809"/>
      <c r="DN118" s="809"/>
      <c r="DO118" s="809"/>
      <c r="DP118" s="1054"/>
      <c r="DQ118" s="1054"/>
      <c r="DR118" s="1054"/>
      <c r="DS118" s="1242" t="s">
        <v>402</v>
      </c>
      <c r="DT118" s="1242" t="s">
        <v>403</v>
      </c>
      <c r="DU118" s="1242" t="s">
        <v>404</v>
      </c>
      <c r="DV118" s="809"/>
      <c r="DW118" s="809"/>
      <c r="DX118" s="809"/>
      <c r="DY118" s="360"/>
      <c r="DZ118" s="167"/>
      <c r="EA118" s="167"/>
      <c r="EB118"/>
      <c r="EC118"/>
      <c r="ED118"/>
      <c r="EE118"/>
      <c r="EF118"/>
      <c r="EG118"/>
    </row>
    <row r="119" spans="1:137" s="166" customFormat="1">
      <c r="A119" s="22" t="s">
        <v>286</v>
      </c>
      <c r="B119" s="42"/>
      <c r="C119" s="42"/>
      <c r="D119" s="42"/>
      <c r="E119" s="42"/>
      <c r="F119" s="42"/>
      <c r="G119" s="42"/>
      <c r="H119" s="40"/>
      <c r="I119" s="41"/>
      <c r="J119" s="41"/>
      <c r="K119" s="40"/>
      <c r="L119" s="42"/>
      <c r="M119" s="499"/>
      <c r="N119" s="499"/>
      <c r="O119" s="499"/>
      <c r="P119" s="500"/>
      <c r="Q119" s="501"/>
      <c r="R119" s="499"/>
      <c r="S119" s="499"/>
      <c r="T119" s="499"/>
      <c r="U119" s="500"/>
      <c r="V119" s="501"/>
      <c r="W119" s="499"/>
      <c r="X119" s="499"/>
      <c r="Y119" s="499"/>
      <c r="Z119" s="500"/>
      <c r="AA119" s="501"/>
      <c r="AB119" s="499">
        <v>136</v>
      </c>
      <c r="AC119" s="499">
        <v>183</v>
      </c>
      <c r="AD119" s="499">
        <v>155</v>
      </c>
      <c r="AE119" s="500">
        <v>171</v>
      </c>
      <c r="AF119" s="501">
        <f>+SUM(AB119:AE119)</f>
        <v>645</v>
      </c>
      <c r="AG119" s="500">
        <v>157</v>
      </c>
      <c r="AH119" s="499">
        <v>195</v>
      </c>
      <c r="AI119" s="499">
        <v>198</v>
      </c>
      <c r="AJ119" s="500">
        <v>187</v>
      </c>
      <c r="AK119" s="501">
        <f>+SUM(AG119:AJ119)</f>
        <v>737</v>
      </c>
      <c r="AL119" s="499">
        <v>201</v>
      </c>
      <c r="AM119" s="499">
        <v>275</v>
      </c>
      <c r="AN119" s="499">
        <v>216</v>
      </c>
      <c r="AO119" s="499">
        <v>213</v>
      </c>
      <c r="AP119" s="501">
        <f>SUM(AL119:AO119)</f>
        <v>905</v>
      </c>
      <c r="AQ119" s="499">
        <v>250</v>
      </c>
      <c r="AR119" s="499">
        <v>185</v>
      </c>
      <c r="AS119" s="499">
        <v>193</v>
      </c>
      <c r="AT119" s="499">
        <f>843-AS119-AR119-AQ119</f>
        <v>215</v>
      </c>
      <c r="AU119" s="501">
        <f>SUM(AQ119:AT119)</f>
        <v>843</v>
      </c>
      <c r="AV119" s="499">
        <v>219</v>
      </c>
      <c r="AW119" s="499">
        <v>234</v>
      </c>
      <c r="AX119" s="499">
        <v>220</v>
      </c>
      <c r="AY119" s="499">
        <f>800-AX119-AW119-AV119</f>
        <v>127</v>
      </c>
      <c r="AZ119" s="501">
        <f>SUM(AV119:AY119)</f>
        <v>800</v>
      </c>
      <c r="BA119" s="501">
        <v>1065</v>
      </c>
      <c r="BB119" s="499">
        <v>279</v>
      </c>
      <c r="BC119" s="499">
        <v>203</v>
      </c>
      <c r="BD119" s="499">
        <v>222</v>
      </c>
      <c r="BE119" s="499">
        <v>232</v>
      </c>
      <c r="BF119" s="501">
        <v>936</v>
      </c>
      <c r="BG119" s="499">
        <v>180</v>
      </c>
      <c r="BH119" s="499">
        <v>262</v>
      </c>
      <c r="BI119" s="499">
        <v>245</v>
      </c>
      <c r="BJ119" s="499">
        <v>157</v>
      </c>
      <c r="BK119" s="501">
        <v>844</v>
      </c>
      <c r="BL119" s="499">
        <v>229</v>
      </c>
      <c r="BM119" s="499">
        <v>202</v>
      </c>
      <c r="BN119" s="499"/>
      <c r="BO119" s="499"/>
      <c r="BP119" s="501"/>
      <c r="BQ119" s="501">
        <v>936</v>
      </c>
      <c r="BR119" s="499">
        <v>180</v>
      </c>
      <c r="BS119" s="499">
        <v>262</v>
      </c>
      <c r="BT119" s="499">
        <v>245</v>
      </c>
      <c r="BU119" s="499">
        <v>157</v>
      </c>
      <c r="BV119" s="501">
        <v>844</v>
      </c>
      <c r="BW119" s="499">
        <v>229</v>
      </c>
      <c r="BX119" s="499">
        <v>202</v>
      </c>
      <c r="BY119" s="499">
        <v>247</v>
      </c>
      <c r="BZ119" s="499">
        <v>228</v>
      </c>
      <c r="CA119" s="501">
        <f>+SUM(BW119:BZ119)</f>
        <v>906</v>
      </c>
      <c r="CB119" s="499">
        <v>108</v>
      </c>
      <c r="CC119" s="499">
        <v>254</v>
      </c>
      <c r="CD119" s="499">
        <v>244</v>
      </c>
      <c r="CE119" s="499">
        <v>299</v>
      </c>
      <c r="CF119" s="42">
        <f>+SUM(CB119:CE119)</f>
        <v>905</v>
      </c>
      <c r="CG119" s="41"/>
      <c r="CH119" s="41"/>
      <c r="CI119" s="41"/>
      <c r="CJ119" s="41"/>
      <c r="CK119" s="42">
        <v>845</v>
      </c>
      <c r="CL119" s="41"/>
      <c r="CM119" s="41"/>
      <c r="CN119" s="41"/>
      <c r="CO119" s="41"/>
      <c r="CP119" s="42">
        <v>902</v>
      </c>
      <c r="CQ119" s="499">
        <f t="shared" ref="CQ119:CT119" si="395">+CQ117*CQ32</f>
        <v>225</v>
      </c>
      <c r="CR119" s="499">
        <f>+CR117*CR32</f>
        <v>247.5</v>
      </c>
      <c r="CS119" s="499">
        <f t="shared" si="395"/>
        <v>243.75</v>
      </c>
      <c r="CT119" s="499">
        <f t="shared" si="395"/>
        <v>311.25</v>
      </c>
      <c r="CU119" s="501">
        <f>+SUM(CQ119:CT119)</f>
        <v>1027.5</v>
      </c>
      <c r="CV119" s="500"/>
      <c r="CW119" s="500"/>
      <c r="CX119" s="500"/>
      <c r="CY119" s="503"/>
      <c r="CZ119" s="501">
        <f>+CZ32*CZ117</f>
        <v>1150.8</v>
      </c>
      <c r="DA119" s="500"/>
      <c r="DB119" s="500"/>
      <c r="DC119" s="500"/>
      <c r="DD119" s="503"/>
      <c r="DE119" s="501">
        <f>+DE32*DE117</f>
        <v>1283.8612500000002</v>
      </c>
      <c r="DF119" s="500"/>
      <c r="DG119" s="500"/>
      <c r="DH119" s="500"/>
      <c r="DI119" s="503"/>
      <c r="DJ119" s="501">
        <f>+DJ32*DJ117</f>
        <v>1427.351625</v>
      </c>
      <c r="DK119" s="403"/>
      <c r="DL119" s="404"/>
      <c r="DM119" s="809" t="s">
        <v>388</v>
      </c>
      <c r="DN119" s="809"/>
      <c r="DO119" s="1123"/>
      <c r="DP119" s="1057"/>
      <c r="DQ119" s="1057"/>
      <c r="DR119" s="1057"/>
      <c r="DS119" s="1150">
        <v>0.995</v>
      </c>
      <c r="DT119" s="1150">
        <f>(DS119+DU119)/2</f>
        <v>1.0149999999999999</v>
      </c>
      <c r="DU119" s="1150">
        <v>1.0349999999999999</v>
      </c>
      <c r="DV119" s="809"/>
      <c r="DW119" s="809"/>
      <c r="DX119" s="809"/>
      <c r="DY119" s="404"/>
      <c r="DZ119" s="405"/>
      <c r="EA119" s="405"/>
      <c r="EB119"/>
      <c r="EC119"/>
      <c r="ED119"/>
      <c r="EE119"/>
      <c r="EF119"/>
      <c r="EG119"/>
    </row>
    <row r="120" spans="1:137" s="398" customFormat="1">
      <c r="A120" s="97" t="s">
        <v>53</v>
      </c>
      <c r="B120" s="80"/>
      <c r="C120" s="80"/>
      <c r="D120" s="80"/>
      <c r="E120" s="80"/>
      <c r="F120" s="80"/>
      <c r="G120" s="80"/>
      <c r="H120" s="82"/>
      <c r="I120" s="82"/>
      <c r="J120" s="82"/>
      <c r="K120" s="82"/>
      <c r="L120" s="80"/>
      <c r="M120" s="82"/>
      <c r="N120" s="82"/>
      <c r="O120" s="82"/>
      <c r="P120" s="82"/>
      <c r="Q120" s="80"/>
      <c r="R120" s="82"/>
      <c r="S120" s="82"/>
      <c r="T120" s="82"/>
      <c r="U120" s="83"/>
      <c r="V120" s="80"/>
      <c r="W120" s="83"/>
      <c r="X120" s="82"/>
      <c r="Y120" s="83"/>
      <c r="Z120" s="83"/>
      <c r="AA120" s="84"/>
      <c r="AB120" s="83"/>
      <c r="AC120" s="82"/>
      <c r="AD120" s="82"/>
      <c r="AE120" s="82"/>
      <c r="AF120" s="84"/>
      <c r="AG120" s="83">
        <f t="shared" ref="AG120:AP120" si="396">AG119/AB119-1</f>
        <v>0.15441176470588225</v>
      </c>
      <c r="AH120" s="82">
        <f t="shared" si="396"/>
        <v>6.5573770491803351E-2</v>
      </c>
      <c r="AI120" s="82">
        <f t="shared" si="396"/>
        <v>0.27741935483870961</v>
      </c>
      <c r="AJ120" s="82">
        <f t="shared" si="396"/>
        <v>9.3567251461988299E-2</v>
      </c>
      <c r="AK120" s="80">
        <f t="shared" si="396"/>
        <v>0.14263565891472862</v>
      </c>
      <c r="AL120" s="82">
        <f t="shared" si="396"/>
        <v>0.28025477707006363</v>
      </c>
      <c r="AM120" s="82">
        <f>AM119/AH119-1</f>
        <v>0.41025641025641035</v>
      </c>
      <c r="AN120" s="82">
        <f>AN119/AI119-1</f>
        <v>9.0909090909090828E-2</v>
      </c>
      <c r="AO120" s="82">
        <f t="shared" si="396"/>
        <v>0.1390374331550801</v>
      </c>
      <c r="AP120" s="80">
        <f t="shared" si="396"/>
        <v>0.22795115332428773</v>
      </c>
      <c r="AQ120" s="82">
        <f t="shared" ref="AQ120:AZ120" si="397">AQ119/AL119-1</f>
        <v>0.24378109452736307</v>
      </c>
      <c r="AR120" s="82">
        <f t="shared" si="397"/>
        <v>-0.32727272727272727</v>
      </c>
      <c r="AS120" s="82">
        <f t="shared" si="397"/>
        <v>-0.10648148148148151</v>
      </c>
      <c r="AT120" s="82">
        <f t="shared" si="397"/>
        <v>9.3896713615022609E-3</v>
      </c>
      <c r="AU120" s="80">
        <f t="shared" si="397"/>
        <v>-6.850828729281766E-2</v>
      </c>
      <c r="AV120" s="82">
        <f t="shared" si="397"/>
        <v>-0.124</v>
      </c>
      <c r="AW120" s="82">
        <f t="shared" si="397"/>
        <v>0.26486486486486482</v>
      </c>
      <c r="AX120" s="82">
        <f t="shared" si="397"/>
        <v>0.13989637305699487</v>
      </c>
      <c r="AY120" s="82">
        <f t="shared" si="397"/>
        <v>-0.40930232558139534</v>
      </c>
      <c r="AZ120" s="80">
        <f t="shared" si="397"/>
        <v>-5.100830367734277E-2</v>
      </c>
      <c r="BA120" s="80"/>
      <c r="BB120" s="82"/>
      <c r="BC120" s="82"/>
      <c r="BD120" s="82"/>
      <c r="BE120" s="82"/>
      <c r="BF120" s="80">
        <f t="shared" ref="BF120:BM120" si="398">BF119/BA119-1</f>
        <v>-0.12112676056338023</v>
      </c>
      <c r="BG120" s="82">
        <f t="shared" si="398"/>
        <v>-0.35483870967741937</v>
      </c>
      <c r="BH120" s="82">
        <f t="shared" si="398"/>
        <v>0.29064039408866993</v>
      </c>
      <c r="BI120" s="82">
        <f t="shared" si="398"/>
        <v>0.10360360360360366</v>
      </c>
      <c r="BJ120" s="82">
        <f t="shared" si="398"/>
        <v>-0.32327586206896552</v>
      </c>
      <c r="BK120" s="80">
        <f t="shared" si="398"/>
        <v>-9.8290598290598274E-2</v>
      </c>
      <c r="BL120" s="82">
        <f t="shared" si="398"/>
        <v>0.27222222222222214</v>
      </c>
      <c r="BM120" s="82">
        <f t="shared" si="398"/>
        <v>-0.22900763358778631</v>
      </c>
      <c r="BN120" s="82"/>
      <c r="BO120" s="82"/>
      <c r="BP120" s="80"/>
      <c r="BQ120" s="80"/>
      <c r="BR120" s="82">
        <f>+BR119/BB119-1</f>
        <v>-0.35483870967741937</v>
      </c>
      <c r="BS120" s="82">
        <f t="shared" ref="BS120" si="399">+BS119/BC119-1</f>
        <v>0.29064039408866993</v>
      </c>
      <c r="BT120" s="82">
        <f t="shared" ref="BT120" si="400">+BT119/BD119-1</f>
        <v>0.10360360360360366</v>
      </c>
      <c r="BU120" s="82">
        <f t="shared" ref="BU120" si="401">+BU119/BE119-1</f>
        <v>-0.32327586206896552</v>
      </c>
      <c r="BV120" s="80">
        <f t="shared" ref="BV120" si="402">+BV119/BF119-1</f>
        <v>-9.8290598290598274E-2</v>
      </c>
      <c r="BW120" s="82">
        <f>BW119/BR119-1</f>
        <v>0.27222222222222214</v>
      </c>
      <c r="BX120" s="82">
        <f t="shared" ref="BX120" si="403">BX119/BS119-1</f>
        <v>-0.22900763358778631</v>
      </c>
      <c r="BY120" s="82">
        <f t="shared" ref="BY120" si="404">BY119/BT119-1</f>
        <v>8.1632653061225469E-3</v>
      </c>
      <c r="BZ120" s="82">
        <f>BZ119/BU119-1</f>
        <v>0.45222929936305722</v>
      </c>
      <c r="CA120" s="80">
        <f>CA119/BV119-1</f>
        <v>7.3459715639810463E-2</v>
      </c>
      <c r="CB120" s="82">
        <f>CB119/BW119-1</f>
        <v>-0.52838427947598254</v>
      </c>
      <c r="CC120" s="82">
        <f t="shared" ref="CC120:CD120" si="405">CC119/BX119-1</f>
        <v>0.25742574257425743</v>
      </c>
      <c r="CD120" s="82">
        <f t="shared" si="405"/>
        <v>-1.2145748987854255E-2</v>
      </c>
      <c r="CE120" s="82">
        <f>CE119/BZ119-1</f>
        <v>0.31140350877192979</v>
      </c>
      <c r="CF120" s="34">
        <f>CF119/CA119-1</f>
        <v>-1.1037527593819041E-3</v>
      </c>
      <c r="CG120" s="27"/>
      <c r="CH120" s="27"/>
      <c r="CI120" s="27"/>
      <c r="CJ120" s="27"/>
      <c r="CK120" s="34"/>
      <c r="CL120" s="27"/>
      <c r="CM120" s="27"/>
      <c r="CN120" s="27"/>
      <c r="CO120" s="27"/>
      <c r="CP120" s="34">
        <f>CP119/CK119-1</f>
        <v>6.7455621301775182E-2</v>
      </c>
      <c r="CQ120" s="82"/>
      <c r="CR120" s="82"/>
      <c r="CS120" s="82"/>
      <c r="CT120" s="82"/>
      <c r="CU120" s="34">
        <f>CU119/CP119-1</f>
        <v>0.13913525498891355</v>
      </c>
      <c r="CV120" s="103"/>
      <c r="CW120" s="103"/>
      <c r="CX120" s="103"/>
      <c r="CY120" s="105"/>
      <c r="CZ120" s="80">
        <f>CZ119/CU119-1</f>
        <v>0.11999999999999988</v>
      </c>
      <c r="DA120" s="103"/>
      <c r="DB120" s="103"/>
      <c r="DC120" s="103"/>
      <c r="DD120" s="105"/>
      <c r="DE120" s="80">
        <f>DE119/CZ119-1</f>
        <v>0.11562500000000009</v>
      </c>
      <c r="DF120" s="103"/>
      <c r="DG120" s="103"/>
      <c r="DH120" s="103"/>
      <c r="DI120" s="105"/>
      <c r="DJ120" s="80">
        <f>DJ119/DE119-1</f>
        <v>0.11176470588235277</v>
      </c>
      <c r="DK120" s="397"/>
      <c r="DL120" s="74"/>
      <c r="DM120" s="809"/>
      <c r="DN120" s="809"/>
      <c r="DO120" s="809"/>
      <c r="DP120" s="1054"/>
      <c r="DQ120" s="1054"/>
      <c r="DR120" s="1054"/>
      <c r="DS120" s="809"/>
      <c r="DT120" s="809"/>
      <c r="DU120" s="809"/>
      <c r="DV120" s="809"/>
      <c r="DW120" s="809"/>
      <c r="DX120" s="809"/>
      <c r="DY120" s="360"/>
      <c r="DZ120" s="167"/>
      <c r="EA120" s="167"/>
      <c r="EB120"/>
      <c r="EC120"/>
      <c r="ED120"/>
      <c r="EE120"/>
      <c r="EF120"/>
      <c r="EG120"/>
    </row>
    <row r="121" spans="1:137" s="166" customFormat="1">
      <c r="A121" s="22" t="s">
        <v>287</v>
      </c>
      <c r="B121" s="42"/>
      <c r="C121" s="42"/>
      <c r="D121" s="42"/>
      <c r="E121" s="42"/>
      <c r="F121" s="42"/>
      <c r="G121" s="42"/>
      <c r="H121" s="40"/>
      <c r="I121" s="41"/>
      <c r="J121" s="41"/>
      <c r="K121" s="40"/>
      <c r="L121" s="42"/>
      <c r="M121" s="41"/>
      <c r="N121" s="41"/>
      <c r="O121" s="41"/>
      <c r="P121" s="40"/>
      <c r="Q121" s="42"/>
      <c r="R121" s="41"/>
      <c r="S121" s="41"/>
      <c r="T121" s="41"/>
      <c r="U121" s="40"/>
      <c r="V121" s="42"/>
      <c r="W121" s="41"/>
      <c r="X121" s="41"/>
      <c r="Y121" s="41"/>
      <c r="Z121" s="40"/>
      <c r="AA121" s="42"/>
      <c r="AB121" s="41">
        <f t="shared" ref="AB121:BM121" si="406">AB32-AB119</f>
        <v>1579</v>
      </c>
      <c r="AC121" s="41">
        <f t="shared" si="406"/>
        <v>1610</v>
      </c>
      <c r="AD121" s="41">
        <f t="shared" si="406"/>
        <v>1611</v>
      </c>
      <c r="AE121" s="40">
        <f t="shared" si="406"/>
        <v>1687</v>
      </c>
      <c r="AF121" s="42">
        <f t="shared" si="406"/>
        <v>6487</v>
      </c>
      <c r="AG121" s="40">
        <f t="shared" si="406"/>
        <v>1681</v>
      </c>
      <c r="AH121" s="41">
        <f t="shared" si="406"/>
        <v>1824</v>
      </c>
      <c r="AI121" s="41">
        <f t="shared" si="406"/>
        <v>1664</v>
      </c>
      <c r="AJ121" s="40">
        <f t="shared" si="406"/>
        <v>1673</v>
      </c>
      <c r="AK121" s="47">
        <f t="shared" si="406"/>
        <v>6842</v>
      </c>
      <c r="AL121" s="41">
        <f t="shared" si="406"/>
        <v>1629</v>
      </c>
      <c r="AM121" s="41">
        <f t="shared" si="406"/>
        <v>1495</v>
      </c>
      <c r="AN121" s="41">
        <f t="shared" si="406"/>
        <v>1482</v>
      </c>
      <c r="AO121" s="40">
        <f t="shared" si="406"/>
        <v>1642</v>
      </c>
      <c r="AP121" s="47">
        <f t="shared" si="406"/>
        <v>6248</v>
      </c>
      <c r="AQ121" s="41">
        <f t="shared" si="406"/>
        <v>1378</v>
      </c>
      <c r="AR121" s="41">
        <f t="shared" si="406"/>
        <v>1586</v>
      </c>
      <c r="AS121" s="41">
        <f t="shared" si="406"/>
        <v>1486</v>
      </c>
      <c r="AT121" s="40">
        <f t="shared" si="406"/>
        <v>1854</v>
      </c>
      <c r="AU121" s="47">
        <f t="shared" si="406"/>
        <v>6304</v>
      </c>
      <c r="AV121" s="41">
        <f t="shared" si="406"/>
        <v>1432</v>
      </c>
      <c r="AW121" s="41">
        <f t="shared" si="406"/>
        <v>1574</v>
      </c>
      <c r="AX121" s="41">
        <f t="shared" si="406"/>
        <v>1582</v>
      </c>
      <c r="AY121" s="40">
        <f t="shared" si="406"/>
        <v>2309</v>
      </c>
      <c r="AZ121" s="47">
        <f t="shared" si="406"/>
        <v>6897</v>
      </c>
      <c r="BA121" s="47">
        <f t="shared" si="406"/>
        <v>7972</v>
      </c>
      <c r="BB121" s="41">
        <f t="shared" si="406"/>
        <v>1766</v>
      </c>
      <c r="BC121" s="41">
        <f t="shared" si="406"/>
        <v>1972</v>
      </c>
      <c r="BD121" s="41">
        <f t="shared" si="406"/>
        <v>1839</v>
      </c>
      <c r="BE121" s="40">
        <f t="shared" si="406"/>
        <v>2219</v>
      </c>
      <c r="BF121" s="47">
        <f t="shared" si="406"/>
        <v>7796</v>
      </c>
      <c r="BG121" s="41">
        <f t="shared" si="406"/>
        <v>1799</v>
      </c>
      <c r="BH121" s="41">
        <f t="shared" si="406"/>
        <v>1903</v>
      </c>
      <c r="BI121" s="41">
        <f t="shared" si="406"/>
        <v>1917</v>
      </c>
      <c r="BJ121" s="40">
        <f t="shared" si="406"/>
        <v>2628</v>
      </c>
      <c r="BK121" s="47">
        <f t="shared" si="406"/>
        <v>8247</v>
      </c>
      <c r="BL121" s="41">
        <f t="shared" si="406"/>
        <v>2775</v>
      </c>
      <c r="BM121" s="41">
        <f t="shared" si="406"/>
        <v>3101</v>
      </c>
      <c r="BN121" s="41"/>
      <c r="BO121" s="40"/>
      <c r="BP121" s="47"/>
      <c r="BQ121" s="47">
        <f t="shared" ref="BQ121:BY121" si="407">BQ32-BQ119</f>
        <v>7796</v>
      </c>
      <c r="BR121" s="41">
        <f t="shared" si="407"/>
        <v>1799</v>
      </c>
      <c r="BS121" s="41">
        <f t="shared" si="407"/>
        <v>1903</v>
      </c>
      <c r="BT121" s="41">
        <f t="shared" si="407"/>
        <v>1917</v>
      </c>
      <c r="BU121" s="40">
        <f t="shared" si="407"/>
        <v>2628</v>
      </c>
      <c r="BV121" s="47">
        <f t="shared" si="407"/>
        <v>8247</v>
      </c>
      <c r="BW121" s="41">
        <f t="shared" si="407"/>
        <v>2775</v>
      </c>
      <c r="BX121" s="41">
        <f t="shared" si="407"/>
        <v>3101</v>
      </c>
      <c r="BY121" s="41">
        <f t="shared" si="407"/>
        <v>3099</v>
      </c>
      <c r="BZ121" s="40">
        <f>BZ32-BZ119</f>
        <v>3581</v>
      </c>
      <c r="CA121" s="501">
        <f>+SUM(BW121:BZ121)</f>
        <v>12556</v>
      </c>
      <c r="CB121" s="41">
        <f>CB32-CB119</f>
        <v>2993</v>
      </c>
      <c r="CC121" s="41">
        <f>CC32-CC119</f>
        <v>3156</v>
      </c>
      <c r="CD121" s="41">
        <f t="shared" ref="CD121" si="408">CD32-CD119</f>
        <v>3109</v>
      </c>
      <c r="CE121" s="40">
        <f>CE32-CE119</f>
        <v>4052</v>
      </c>
      <c r="CF121" s="501">
        <f>+SUM(CB121:CE121)</f>
        <v>13310</v>
      </c>
      <c r="CG121" s="41"/>
      <c r="CH121" s="41"/>
      <c r="CI121" s="41"/>
      <c r="CJ121" s="40"/>
      <c r="CK121" s="47">
        <f>CK32-CK119</f>
        <v>12750</v>
      </c>
      <c r="CL121" s="41"/>
      <c r="CM121" s="41"/>
      <c r="CN121" s="41"/>
      <c r="CO121" s="40"/>
      <c r="CP121" s="47">
        <f>CP32-CP119</f>
        <v>12761</v>
      </c>
      <c r="CQ121" s="40">
        <f t="shared" ref="CQ121:CT121" si="409">CQ32-CQ119</f>
        <v>2775</v>
      </c>
      <c r="CR121" s="40">
        <f>CR32-CR119</f>
        <v>3052.5</v>
      </c>
      <c r="CS121" s="40">
        <f t="shared" si="409"/>
        <v>3006.25</v>
      </c>
      <c r="CT121" s="40">
        <f t="shared" si="409"/>
        <v>3838.75</v>
      </c>
      <c r="CU121" s="47">
        <f>CU32-CU119</f>
        <v>12672.5</v>
      </c>
      <c r="CV121" s="49"/>
      <c r="CW121" s="49"/>
      <c r="CX121" s="49"/>
      <c r="CY121" s="50"/>
      <c r="CZ121" s="47">
        <f>CZ32-CZ119</f>
        <v>13234.2</v>
      </c>
      <c r="DA121" s="49"/>
      <c r="DB121" s="49"/>
      <c r="DC121" s="49"/>
      <c r="DD121" s="50"/>
      <c r="DE121" s="47">
        <f>DE32-DE119</f>
        <v>13820.38875</v>
      </c>
      <c r="DF121" s="49"/>
      <c r="DG121" s="49"/>
      <c r="DH121" s="49"/>
      <c r="DI121" s="50"/>
      <c r="DJ121" s="47">
        <f>DJ32-DJ119</f>
        <v>14432.110875000002</v>
      </c>
      <c r="DK121" s="403"/>
      <c r="DL121" s="404"/>
      <c r="DM121" s="867"/>
      <c r="DN121" s="809"/>
      <c r="DO121" s="1123"/>
      <c r="DP121" s="1105"/>
      <c r="DQ121" s="1054"/>
      <c r="DR121" s="1054"/>
      <c r="DS121" s="809"/>
      <c r="DT121" s="809"/>
      <c r="DU121" s="809"/>
      <c r="DV121" s="809"/>
      <c r="DW121" s="809"/>
      <c r="DX121" s="809"/>
      <c r="DY121" s="404"/>
      <c r="DZ121" s="405"/>
      <c r="EA121" s="405"/>
      <c r="EB121"/>
      <c r="EC121"/>
      <c r="ED121"/>
      <c r="EE121"/>
      <c r="EF121"/>
      <c r="EG121"/>
    </row>
    <row r="122" spans="1:137" s="398" customFormat="1">
      <c r="A122" s="97" t="s">
        <v>53</v>
      </c>
      <c r="B122" s="80"/>
      <c r="C122" s="80"/>
      <c r="D122" s="80"/>
      <c r="E122" s="80"/>
      <c r="F122" s="80"/>
      <c r="G122" s="80"/>
      <c r="H122" s="82"/>
      <c r="I122" s="82"/>
      <c r="J122" s="82"/>
      <c r="K122" s="82"/>
      <c r="L122" s="80"/>
      <c r="M122" s="82"/>
      <c r="N122" s="82"/>
      <c r="O122" s="82"/>
      <c r="P122" s="82"/>
      <c r="Q122" s="80"/>
      <c r="R122" s="82"/>
      <c r="S122" s="82"/>
      <c r="T122" s="82"/>
      <c r="U122" s="83"/>
      <c r="V122" s="80"/>
      <c r="W122" s="83"/>
      <c r="X122" s="82"/>
      <c r="Y122" s="83"/>
      <c r="Z122" s="83"/>
      <c r="AA122" s="84"/>
      <c r="AB122" s="83"/>
      <c r="AC122" s="82"/>
      <c r="AD122" s="82"/>
      <c r="AE122" s="82"/>
      <c r="AF122" s="84"/>
      <c r="AG122" s="83">
        <f t="shared" ref="AG122:AP122" si="410">AG121/AB121-1</f>
        <v>6.4597846738442044E-2</v>
      </c>
      <c r="AH122" s="82">
        <f t="shared" si="410"/>
        <v>0.13291925465838506</v>
      </c>
      <c r="AI122" s="82">
        <f t="shared" si="410"/>
        <v>3.2898820608317836E-2</v>
      </c>
      <c r="AJ122" s="82">
        <f t="shared" si="410"/>
        <v>-8.2987551867219622E-3</v>
      </c>
      <c r="AK122" s="80">
        <f t="shared" si="410"/>
        <v>5.4724834283952584E-2</v>
      </c>
      <c r="AL122" s="82">
        <f t="shared" si="410"/>
        <v>-3.0933967876264123E-2</v>
      </c>
      <c r="AM122" s="82">
        <f>AM121/AH121-1</f>
        <v>-0.18037280701754388</v>
      </c>
      <c r="AN122" s="82">
        <f>AN121/AI121-1</f>
        <v>-0.109375</v>
      </c>
      <c r="AO122" s="82">
        <f t="shared" si="410"/>
        <v>-1.8529587567244432E-2</v>
      </c>
      <c r="AP122" s="80">
        <f t="shared" si="410"/>
        <v>-8.6816720257234747E-2</v>
      </c>
      <c r="AQ122" s="82">
        <f t="shared" ref="AQ122:AZ122" si="411">AQ121/AL121-1</f>
        <v>-0.1540822590546348</v>
      </c>
      <c r="AR122" s="82">
        <f t="shared" si="411"/>
        <v>6.0869565217391397E-2</v>
      </c>
      <c r="AS122" s="82">
        <f t="shared" si="411"/>
        <v>2.6990553306343035E-3</v>
      </c>
      <c r="AT122" s="82">
        <f t="shared" si="411"/>
        <v>0.12911084043848975</v>
      </c>
      <c r="AU122" s="80">
        <f t="shared" si="411"/>
        <v>8.9628681177977843E-3</v>
      </c>
      <c r="AV122" s="82">
        <f t="shared" si="411"/>
        <v>3.9187227866473107E-2</v>
      </c>
      <c r="AW122" s="82">
        <f t="shared" si="411"/>
        <v>-7.5662042875157542E-3</v>
      </c>
      <c r="AX122" s="82">
        <f t="shared" si="411"/>
        <v>6.4602960969044387E-2</v>
      </c>
      <c r="AY122" s="82">
        <f t="shared" si="411"/>
        <v>0.24541531823085228</v>
      </c>
      <c r="AZ122" s="80">
        <f t="shared" si="411"/>
        <v>9.4067258883248739E-2</v>
      </c>
      <c r="BA122" s="80"/>
      <c r="BB122" s="82"/>
      <c r="BC122" s="82"/>
      <c r="BD122" s="82"/>
      <c r="BE122" s="82"/>
      <c r="BF122" s="80">
        <f t="shared" ref="BF122:BM122" si="412">BF121/BA121-1</f>
        <v>-2.2077270446562935E-2</v>
      </c>
      <c r="BG122" s="82">
        <f t="shared" si="412"/>
        <v>1.8686296715741735E-2</v>
      </c>
      <c r="BH122" s="82">
        <f t="shared" si="412"/>
        <v>-3.4989858012170361E-2</v>
      </c>
      <c r="BI122" s="82">
        <f t="shared" si="412"/>
        <v>4.2414355628058731E-2</v>
      </c>
      <c r="BJ122" s="82">
        <f t="shared" si="412"/>
        <v>0.1843172600270393</v>
      </c>
      <c r="BK122" s="80">
        <f t="shared" si="412"/>
        <v>5.785017957927141E-2</v>
      </c>
      <c r="BL122" s="82">
        <f t="shared" si="412"/>
        <v>0.54252362423568656</v>
      </c>
      <c r="BM122" s="82">
        <f t="shared" si="412"/>
        <v>0.62953231739358917</v>
      </c>
      <c r="BN122" s="82"/>
      <c r="BO122" s="82"/>
      <c r="BP122" s="80"/>
      <c r="BQ122" s="80"/>
      <c r="BR122" s="82">
        <f>+BR121/BB121-1</f>
        <v>1.8686296715741735E-2</v>
      </c>
      <c r="BS122" s="82">
        <f t="shared" ref="BS122" si="413">+BS121/BC121-1</f>
        <v>-3.4989858012170361E-2</v>
      </c>
      <c r="BT122" s="82">
        <f t="shared" ref="BT122" si="414">+BT121/BD121-1</f>
        <v>4.2414355628058731E-2</v>
      </c>
      <c r="BU122" s="82">
        <f t="shared" ref="BU122" si="415">+BU121/BE121-1</f>
        <v>0.1843172600270393</v>
      </c>
      <c r="BV122" s="80">
        <f t="shared" ref="BV122" si="416">+BV121/BF121-1</f>
        <v>5.785017957927141E-2</v>
      </c>
      <c r="BW122" s="82">
        <f>BW121/BR121-1</f>
        <v>0.54252362423568656</v>
      </c>
      <c r="BX122" s="82">
        <f t="shared" ref="BX122" si="417">BX121/BS121-1</f>
        <v>0.62953231739358917</v>
      </c>
      <c r="BY122" s="82">
        <f t="shared" ref="BY122" si="418">BY121/BT121-1</f>
        <v>0.61658841940532083</v>
      </c>
      <c r="BZ122" s="82">
        <f>BZ121/BU121-1</f>
        <v>0.36263318112633192</v>
      </c>
      <c r="CA122" s="80">
        <f>CA121/BV121-1</f>
        <v>0.52249302776767315</v>
      </c>
      <c r="CB122" s="82">
        <f>CB121/BW121-1</f>
        <v>7.8558558558558644E-2</v>
      </c>
      <c r="CC122" s="82">
        <f t="shared" ref="CC122:CD122" si="419">CC121/BX121-1</f>
        <v>1.7736214124475902E-2</v>
      </c>
      <c r="CD122" s="82">
        <f t="shared" si="419"/>
        <v>3.2268473701193567E-3</v>
      </c>
      <c r="CE122" s="82">
        <f>CE121/BZ121-1</f>
        <v>0.13152750628316112</v>
      </c>
      <c r="CF122" s="80">
        <f>CF121/CA121-1</f>
        <v>6.0050971647021445E-2</v>
      </c>
      <c r="CG122" s="82"/>
      <c r="CH122" s="82"/>
      <c r="CI122" s="82"/>
      <c r="CJ122" s="82"/>
      <c r="CK122" s="80"/>
      <c r="CL122" s="82"/>
      <c r="CM122" s="82"/>
      <c r="CN122" s="82"/>
      <c r="CO122" s="82"/>
      <c r="CP122" s="80">
        <f>CP121/CK121-1</f>
        <v>8.6274509803918598E-4</v>
      </c>
      <c r="CQ122" s="82"/>
      <c r="CR122" s="82"/>
      <c r="CS122" s="82"/>
      <c r="CT122" s="82"/>
      <c r="CU122" s="80">
        <f>CU121/CP121-1</f>
        <v>-6.9351931666796762E-3</v>
      </c>
      <c r="CV122" s="103"/>
      <c r="CW122" s="103"/>
      <c r="CX122" s="103"/>
      <c r="CY122" s="105"/>
      <c r="CZ122" s="80">
        <f>CZ121/CU121-1</f>
        <v>4.4324324324324316E-2</v>
      </c>
      <c r="DA122" s="103"/>
      <c r="DB122" s="103"/>
      <c r="DC122" s="103"/>
      <c r="DD122" s="105"/>
      <c r="DE122" s="80">
        <f>DE121/CZ121-1</f>
        <v>4.429347826086949E-2</v>
      </c>
      <c r="DF122" s="103"/>
      <c r="DG122" s="103"/>
      <c r="DH122" s="103"/>
      <c r="DI122" s="105"/>
      <c r="DJ122" s="80">
        <f>DJ121/DE121-1</f>
        <v>4.4262295081967329E-2</v>
      </c>
      <c r="DK122" s="397"/>
      <c r="DL122" s="74"/>
      <c r="DM122" s="809"/>
      <c r="DN122" s="809"/>
      <c r="DO122" s="1123"/>
      <c r="DP122" s="1105"/>
      <c r="DQ122" s="1054"/>
      <c r="DR122" s="1054"/>
      <c r="DS122" s="809"/>
      <c r="DT122" s="809"/>
      <c r="DU122" s="809"/>
      <c r="DV122" s="809"/>
      <c r="DW122" s="809"/>
      <c r="DX122" s="809"/>
      <c r="DY122" s="360"/>
      <c r="DZ122" s="167"/>
      <c r="EA122" s="167"/>
      <c r="EB122"/>
      <c r="EC122"/>
      <c r="ED122"/>
      <c r="EE122"/>
      <c r="EF122"/>
      <c r="EG122"/>
    </row>
    <row r="123" spans="1:137" s="429" customFormat="1">
      <c r="A123" s="785" t="s">
        <v>375</v>
      </c>
      <c r="B123" s="786"/>
      <c r="C123" s="786"/>
      <c r="D123" s="786"/>
      <c r="E123" s="786"/>
      <c r="F123" s="786"/>
      <c r="G123" s="786"/>
      <c r="H123" s="787"/>
      <c r="I123" s="787"/>
      <c r="J123" s="787"/>
      <c r="K123" s="787"/>
      <c r="L123" s="786"/>
      <c r="M123" s="787"/>
      <c r="N123" s="787"/>
      <c r="O123" s="787"/>
      <c r="P123" s="787"/>
      <c r="Q123" s="786"/>
      <c r="R123" s="787"/>
      <c r="S123" s="787"/>
      <c r="T123" s="787"/>
      <c r="U123" s="787"/>
      <c r="V123" s="786"/>
      <c r="W123" s="788"/>
      <c r="X123" s="787"/>
      <c r="Y123" s="788"/>
      <c r="Z123" s="788"/>
      <c r="AA123" s="789"/>
      <c r="AB123" s="788"/>
      <c r="AC123" s="787"/>
      <c r="AD123" s="787"/>
      <c r="AE123" s="787"/>
      <c r="AF123" s="789">
        <f>AF125/AF32</f>
        <v>9.8149186763881097E-2</v>
      </c>
      <c r="AG123" s="788"/>
      <c r="AH123" s="787"/>
      <c r="AI123" s="787"/>
      <c r="AJ123" s="787"/>
      <c r="AK123" s="789">
        <f t="shared" ref="AK123:AZ123" si="420">AK125/AK32</f>
        <v>7.745085103575669E-2</v>
      </c>
      <c r="AL123" s="787">
        <f t="shared" si="420"/>
        <v>9.0710382513661203E-2</v>
      </c>
      <c r="AM123" s="787">
        <f t="shared" si="420"/>
        <v>0.11864406779661017</v>
      </c>
      <c r="AN123" s="787">
        <f t="shared" si="420"/>
        <v>0.10954063604240283</v>
      </c>
      <c r="AO123" s="787">
        <f t="shared" si="420"/>
        <v>9.3261455525606468E-2</v>
      </c>
      <c r="AP123" s="786">
        <f t="shared" si="420"/>
        <v>0.10275408919334544</v>
      </c>
      <c r="AQ123" s="787">
        <f t="shared" si="420"/>
        <v>0.11056511056511056</v>
      </c>
      <c r="AR123" s="787">
        <f t="shared" si="420"/>
        <v>0.14963297571993225</v>
      </c>
      <c r="AS123" s="787">
        <f t="shared" si="420"/>
        <v>0.12686122692078619</v>
      </c>
      <c r="AT123" s="787">
        <f t="shared" si="420"/>
        <v>0.11358144030932818</v>
      </c>
      <c r="AU123" s="786">
        <f t="shared" si="420"/>
        <v>0.12494753043234924</v>
      </c>
      <c r="AV123" s="787">
        <f t="shared" si="420"/>
        <v>0.15687462144155057</v>
      </c>
      <c r="AW123" s="787">
        <f t="shared" si="420"/>
        <v>0.10176991150442478</v>
      </c>
      <c r="AX123" s="787">
        <f t="shared" si="420"/>
        <v>0.1220865704772475</v>
      </c>
      <c r="AY123" s="787">
        <f t="shared" si="420"/>
        <v>9.7290640394088676E-2</v>
      </c>
      <c r="AZ123" s="786">
        <f t="shared" si="420"/>
        <v>0.11692867350915941</v>
      </c>
      <c r="BA123" s="786"/>
      <c r="BB123" s="787">
        <f t="shared" ref="BB123:BM123" si="421">BB125/BB32</f>
        <v>0.15599022004889976</v>
      </c>
      <c r="BC123" s="787">
        <f t="shared" si="421"/>
        <v>7.0344827586206901E-2</v>
      </c>
      <c r="BD123" s="787">
        <f t="shared" si="421"/>
        <v>0.11741872877244056</v>
      </c>
      <c r="BE123" s="787">
        <f t="shared" si="421"/>
        <v>0.10281517747858017</v>
      </c>
      <c r="BF123" s="786">
        <f t="shared" si="421"/>
        <v>0.11291800274851123</v>
      </c>
      <c r="BG123" s="787">
        <f t="shared" si="421"/>
        <v>0.11116725618999494</v>
      </c>
      <c r="BH123" s="787">
        <f t="shared" si="421"/>
        <v>9.7921478060046183E-2</v>
      </c>
      <c r="BI123" s="787">
        <f t="shared" si="421"/>
        <v>0.11332099907493062</v>
      </c>
      <c r="BJ123" s="787">
        <f t="shared" si="421"/>
        <v>9.5870736086175939E-2</v>
      </c>
      <c r="BK123" s="786">
        <f t="shared" si="421"/>
        <v>0.10383896161038389</v>
      </c>
      <c r="BL123" s="787">
        <f t="shared" si="421"/>
        <v>4.6271637816245006E-2</v>
      </c>
      <c r="BM123" s="787">
        <f t="shared" si="421"/>
        <v>7.1752951861943692E-2</v>
      </c>
      <c r="BN123" s="787"/>
      <c r="BO123" s="787"/>
      <c r="BP123" s="786"/>
      <c r="BQ123" s="786"/>
      <c r="BR123" s="787">
        <f t="shared" ref="BR123:CC123" si="422">BR125/BR32</f>
        <v>0.11116725618999494</v>
      </c>
      <c r="BS123" s="787">
        <f t="shared" si="422"/>
        <v>9.7921478060046183E-2</v>
      </c>
      <c r="BT123" s="787">
        <f t="shared" si="422"/>
        <v>0.11332099907493062</v>
      </c>
      <c r="BU123" s="787">
        <f t="shared" si="422"/>
        <v>9.5870736086175939E-2</v>
      </c>
      <c r="BV123" s="786">
        <f t="shared" si="422"/>
        <v>0.10383896161038389</v>
      </c>
      <c r="BW123" s="787">
        <f t="shared" si="422"/>
        <v>4.6271637816245006E-2</v>
      </c>
      <c r="BX123" s="787">
        <f t="shared" si="422"/>
        <v>7.1752951861943692E-2</v>
      </c>
      <c r="BY123" s="787">
        <f t="shared" si="422"/>
        <v>6.7842199641362816E-2</v>
      </c>
      <c r="BZ123" s="787">
        <f>BZ125/BZ32</f>
        <v>3.8855342609608823E-2</v>
      </c>
      <c r="CA123" s="786">
        <f>CA125/CA32</f>
        <v>5.5786658743128804E-2</v>
      </c>
      <c r="CB123" s="787">
        <f t="shared" si="422"/>
        <v>7.191228635923895E-2</v>
      </c>
      <c r="CC123" s="787">
        <f t="shared" si="422"/>
        <v>5.395894428152493E-2</v>
      </c>
      <c r="CD123" s="787">
        <f t="shared" ref="CD123" si="423">CD125/CD32</f>
        <v>6.9788249328959134E-2</v>
      </c>
      <c r="CE123" s="787">
        <f>CE125/CE32</f>
        <v>7.3316478970351637E-2</v>
      </c>
      <c r="CF123" s="786">
        <f>CF125/CF32</f>
        <v>6.7534294759057339E-2</v>
      </c>
      <c r="CG123" s="787"/>
      <c r="CH123" s="787"/>
      <c r="CI123" s="787"/>
      <c r="CJ123" s="787"/>
      <c r="CK123" s="786">
        <f>CK125/CK32</f>
        <v>5.0753953659433616E-2</v>
      </c>
      <c r="CL123" s="787"/>
      <c r="CM123" s="787"/>
      <c r="CN123" s="787"/>
      <c r="CO123" s="787"/>
      <c r="CP123" s="786">
        <f>CP125/CP32</f>
        <v>7.0043182317207062E-2</v>
      </c>
      <c r="CQ123" s="787">
        <f t="shared" ref="CQ123:CU123" si="424">CQ125/CQ32</f>
        <v>7.4999999999999997E-2</v>
      </c>
      <c r="CR123" s="787">
        <f>CR125/CR32</f>
        <v>7.4999999999999997E-2</v>
      </c>
      <c r="CS123" s="787">
        <f t="shared" si="424"/>
        <v>7.4999999999999997E-2</v>
      </c>
      <c r="CT123" s="787">
        <f t="shared" si="424"/>
        <v>7.4999999999999997E-2</v>
      </c>
      <c r="CU123" s="786">
        <f t="shared" si="424"/>
        <v>7.4999999999999997E-2</v>
      </c>
      <c r="CV123" s="790"/>
      <c r="CW123" s="790"/>
      <c r="CX123" s="790"/>
      <c r="CY123" s="791"/>
      <c r="CZ123" s="786"/>
      <c r="DA123" s="790"/>
      <c r="DB123" s="790"/>
      <c r="DC123" s="790"/>
      <c r="DD123" s="791"/>
      <c r="DE123" s="786"/>
      <c r="DF123" s="790"/>
      <c r="DG123" s="790"/>
      <c r="DH123" s="790"/>
      <c r="DI123" s="791"/>
      <c r="DJ123" s="786"/>
      <c r="DK123" s="523"/>
      <c r="DL123" s="598"/>
      <c r="DM123" s="809"/>
      <c r="DN123" s="809"/>
      <c r="DO123" s="830"/>
      <c r="DP123" s="1105"/>
      <c r="DQ123" s="1056"/>
      <c r="DR123" s="1056"/>
      <c r="DS123" s="830"/>
      <c r="DT123" s="830"/>
      <c r="DU123" s="830"/>
      <c r="DV123" s="830"/>
      <c r="DW123" s="830"/>
      <c r="DX123" s="830"/>
      <c r="DY123" s="427"/>
      <c r="DZ123" s="428"/>
      <c r="EA123" s="428"/>
      <c r="EB123"/>
      <c r="EC123"/>
      <c r="ED123"/>
      <c r="EE123"/>
      <c r="EF123"/>
      <c r="EG123"/>
    </row>
    <row r="124" spans="1:137" s="398" customFormat="1">
      <c r="A124" s="106" t="s">
        <v>57</v>
      </c>
      <c r="B124" s="19"/>
      <c r="C124" s="253"/>
      <c r="D124" s="253"/>
      <c r="E124" s="253"/>
      <c r="F124" s="253"/>
      <c r="G124" s="253"/>
      <c r="H124" s="268"/>
      <c r="I124" s="268"/>
      <c r="J124" s="268"/>
      <c r="K124" s="268"/>
      <c r="L124" s="253"/>
      <c r="M124" s="268"/>
      <c r="N124" s="268"/>
      <c r="O124" s="268"/>
      <c r="P124" s="268"/>
      <c r="Q124" s="253"/>
      <c r="R124" s="268"/>
      <c r="S124" s="268"/>
      <c r="T124" s="268"/>
      <c r="U124" s="268"/>
      <c r="V124" s="253"/>
      <c r="W124" s="268"/>
      <c r="X124" s="268"/>
      <c r="Y124" s="268"/>
      <c r="Z124" s="268"/>
      <c r="AA124" s="253"/>
      <c r="AB124" s="268"/>
      <c r="AC124" s="268"/>
      <c r="AD124" s="268"/>
      <c r="AE124" s="268"/>
      <c r="AF124" s="257"/>
      <c r="AG124" s="254"/>
      <c r="AH124" s="255"/>
      <c r="AI124" s="255"/>
      <c r="AJ124" s="254"/>
      <c r="AK124" s="257">
        <f t="shared" ref="AK124:AP124" si="425">(AK123-AF123)*100</f>
        <v>-2.0698335728124406</v>
      </c>
      <c r="AL124" s="254">
        <f t="shared" si="425"/>
        <v>9.0710382513661205</v>
      </c>
      <c r="AM124" s="254">
        <f t="shared" si="425"/>
        <v>11.864406779661017</v>
      </c>
      <c r="AN124" s="254">
        <f t="shared" si="425"/>
        <v>10.954063604240282</v>
      </c>
      <c r="AO124" s="254">
        <f t="shared" si="425"/>
        <v>9.3261455525606465</v>
      </c>
      <c r="AP124" s="257">
        <f t="shared" si="425"/>
        <v>2.5303238157588752</v>
      </c>
      <c r="AQ124" s="254">
        <f t="shared" ref="AQ124:AZ124" si="426">(AQ123-AL123)*100</f>
        <v>1.9854728051449362</v>
      </c>
      <c r="AR124" s="254">
        <f t="shared" si="426"/>
        <v>3.0988907923322082</v>
      </c>
      <c r="AS124" s="254">
        <f t="shared" si="426"/>
        <v>1.7320590878383362</v>
      </c>
      <c r="AT124" s="254">
        <f t="shared" si="426"/>
        <v>2.031998478372171</v>
      </c>
      <c r="AU124" s="257">
        <f t="shared" si="426"/>
        <v>2.2193441239003797</v>
      </c>
      <c r="AV124" s="254">
        <f t="shared" si="426"/>
        <v>4.6309510876440001</v>
      </c>
      <c r="AW124" s="254">
        <f t="shared" si="426"/>
        <v>-4.7863064215507469</v>
      </c>
      <c r="AX124" s="254">
        <f t="shared" si="426"/>
        <v>-0.4774656443538694</v>
      </c>
      <c r="AY124" s="254">
        <f t="shared" si="426"/>
        <v>-1.6290799915239504</v>
      </c>
      <c r="AZ124" s="257">
        <f t="shared" si="426"/>
        <v>-0.80188569231898343</v>
      </c>
      <c r="BA124" s="257"/>
      <c r="BB124" s="254"/>
      <c r="BC124" s="254"/>
      <c r="BD124" s="254"/>
      <c r="BE124" s="254"/>
      <c r="BF124" s="257"/>
      <c r="BG124" s="254">
        <f t="shared" ref="BG124:BM124" si="427">(BG123-BB123)*100</f>
        <v>-4.4822963858904812</v>
      </c>
      <c r="BH124" s="254">
        <f t="shared" si="427"/>
        <v>2.7576650473839281</v>
      </c>
      <c r="BI124" s="254">
        <f t="shared" si="427"/>
        <v>-0.40977296975099331</v>
      </c>
      <c r="BJ124" s="254">
        <f t="shared" si="427"/>
        <v>-0.69444413924042303</v>
      </c>
      <c r="BK124" s="257">
        <f t="shared" si="427"/>
        <v>-0.90790411381273395</v>
      </c>
      <c r="BL124" s="254">
        <f t="shared" si="427"/>
        <v>-6.4895618373749935</v>
      </c>
      <c r="BM124" s="254">
        <f t="shared" si="427"/>
        <v>-2.6168526198102491</v>
      </c>
      <c r="BN124" s="254"/>
      <c r="BO124" s="254"/>
      <c r="BP124" s="257"/>
      <c r="BQ124" s="257"/>
      <c r="BR124" s="254">
        <f>(BR123-BB123)*100</f>
        <v>-4.4822963858904812</v>
      </c>
      <c r="BS124" s="254">
        <f t="shared" ref="BS124" si="428">(BS123-BC123)*100</f>
        <v>2.7576650473839281</v>
      </c>
      <c r="BT124" s="826">
        <f t="shared" ref="BT124" si="429">(BT123-BD123)*100</f>
        <v>-0.40977296975099331</v>
      </c>
      <c r="BU124" s="254">
        <f t="shared" ref="BU124" si="430">(BU123-BE123)*100</f>
        <v>-0.69444413924042303</v>
      </c>
      <c r="BV124" s="257">
        <f>(BV123-BF123)*100</f>
        <v>-0.90790411381273395</v>
      </c>
      <c r="BW124" s="254">
        <f>(BW123-BR123)*100</f>
        <v>-6.4895618373749935</v>
      </c>
      <c r="BX124" s="254">
        <f>(BX123-BS123)*100</f>
        <v>-2.6168526198102491</v>
      </c>
      <c r="BY124" s="254">
        <f>(BY123-BT123)*100</f>
        <v>-4.5478799433567811</v>
      </c>
      <c r="BZ124" s="254">
        <f>(BZ123-BU123)*100</f>
        <v>-5.7015393476567118</v>
      </c>
      <c r="CA124" s="257">
        <f>(CA123-BK123)*100</f>
        <v>-4.8052302867255081</v>
      </c>
      <c r="CB124" s="254">
        <f>(CB123-BW123)*100</f>
        <v>2.5640648542993945</v>
      </c>
      <c r="CC124" s="254">
        <f>(CC123-BX123)*100</f>
        <v>-1.7794007580418763</v>
      </c>
      <c r="CD124" s="254">
        <f>(CD123-BY123)*100</f>
        <v>0.19460496875963185</v>
      </c>
      <c r="CE124" s="254">
        <f>(CE123-BZ123)*100</f>
        <v>3.4461136360742812</v>
      </c>
      <c r="CF124" s="257">
        <f>(CF123-BP123)*100</f>
        <v>6.7534294759057341</v>
      </c>
      <c r="CG124" s="254"/>
      <c r="CH124" s="254"/>
      <c r="CI124" s="254"/>
      <c r="CJ124" s="254"/>
      <c r="CK124" s="257"/>
      <c r="CL124" s="254"/>
      <c r="CM124" s="254"/>
      <c r="CN124" s="254"/>
      <c r="CO124" s="254"/>
      <c r="CP124" s="257">
        <f>(CP123-BZ123)*100</f>
        <v>3.1187839707598237</v>
      </c>
      <c r="CQ124" s="254"/>
      <c r="CR124" s="254"/>
      <c r="CS124" s="254"/>
      <c r="CT124" s="254"/>
      <c r="CU124" s="257">
        <f>(CU123-CP123)*100</f>
        <v>0.49568176827929356</v>
      </c>
      <c r="CV124" s="30"/>
      <c r="CW124" s="30"/>
      <c r="CX124" s="30"/>
      <c r="CY124" s="31"/>
      <c r="CZ124" s="257"/>
      <c r="DA124" s="30"/>
      <c r="DB124" s="30"/>
      <c r="DC124" s="30"/>
      <c r="DD124" s="31"/>
      <c r="DE124" s="257"/>
      <c r="DF124" s="30"/>
      <c r="DG124" s="30"/>
      <c r="DH124" s="30"/>
      <c r="DI124" s="31"/>
      <c r="DJ124" s="257"/>
      <c r="DK124" s="397"/>
      <c r="DL124" s="74"/>
      <c r="DM124" s="809"/>
      <c r="DN124" s="809"/>
      <c r="DO124" s="809"/>
      <c r="DP124" s="1054"/>
      <c r="DQ124" s="1054"/>
      <c r="DR124" s="1054"/>
      <c r="DS124" s="809"/>
      <c r="DT124" s="809"/>
      <c r="DU124" s="809"/>
      <c r="DV124" s="809"/>
      <c r="DW124" s="809"/>
      <c r="DX124" s="809"/>
      <c r="DY124" s="360"/>
      <c r="DZ124" s="167"/>
      <c r="EA124" s="167"/>
      <c r="EB124"/>
      <c r="EC124"/>
      <c r="ED124"/>
      <c r="EE124"/>
      <c r="EF124"/>
      <c r="EG124"/>
    </row>
    <row r="125" spans="1:137" s="473" customFormat="1">
      <c r="A125" s="707" t="s">
        <v>376</v>
      </c>
      <c r="B125" s="708"/>
      <c r="C125" s="708"/>
      <c r="D125" s="708"/>
      <c r="E125" s="708"/>
      <c r="F125" s="708"/>
      <c r="G125" s="708"/>
      <c r="H125" s="709"/>
      <c r="I125" s="709"/>
      <c r="J125" s="709"/>
      <c r="K125" s="709"/>
      <c r="L125" s="708"/>
      <c r="M125" s="709"/>
      <c r="N125" s="709"/>
      <c r="O125" s="709"/>
      <c r="P125" s="709"/>
      <c r="Q125" s="708"/>
      <c r="R125" s="709"/>
      <c r="S125" s="709"/>
      <c r="T125" s="709"/>
      <c r="U125" s="709"/>
      <c r="V125" s="708"/>
      <c r="W125" s="500"/>
      <c r="X125" s="709"/>
      <c r="Y125" s="500"/>
      <c r="Z125" s="500"/>
      <c r="AA125" s="501"/>
      <c r="AB125" s="500"/>
      <c r="AC125" s="709"/>
      <c r="AD125" s="709"/>
      <c r="AE125" s="709"/>
      <c r="AF125" s="708">
        <f>AF119-AF127</f>
        <v>700</v>
      </c>
      <c r="AG125" s="500"/>
      <c r="AH125" s="709"/>
      <c r="AI125" s="709"/>
      <c r="AJ125" s="709"/>
      <c r="AK125" s="708">
        <f t="shared" ref="AK125:AQ125" si="431">AK119-AK127</f>
        <v>587</v>
      </c>
      <c r="AL125" s="709">
        <f t="shared" si="431"/>
        <v>166</v>
      </c>
      <c r="AM125" s="709">
        <f t="shared" si="431"/>
        <v>210</v>
      </c>
      <c r="AN125" s="709">
        <f t="shared" si="431"/>
        <v>186</v>
      </c>
      <c r="AO125" s="709">
        <f t="shared" si="431"/>
        <v>173</v>
      </c>
      <c r="AP125" s="708">
        <f t="shared" si="431"/>
        <v>735</v>
      </c>
      <c r="AQ125" s="709">
        <f t="shared" si="431"/>
        <v>180</v>
      </c>
      <c r="AR125" s="709">
        <f t="shared" ref="AR125:BF125" si="432">AR119-AR127</f>
        <v>265</v>
      </c>
      <c r="AS125" s="709">
        <f t="shared" si="432"/>
        <v>213</v>
      </c>
      <c r="AT125" s="709">
        <f t="shared" si="432"/>
        <v>235</v>
      </c>
      <c r="AU125" s="708">
        <f t="shared" si="432"/>
        <v>893</v>
      </c>
      <c r="AV125" s="709">
        <f>AV119-AV127</f>
        <v>259</v>
      </c>
      <c r="AW125" s="709">
        <f>AW119-AW127</f>
        <v>184</v>
      </c>
      <c r="AX125" s="709">
        <f>AX119-AX127</f>
        <v>220</v>
      </c>
      <c r="AY125" s="709">
        <f>AY119-AY127</f>
        <v>237</v>
      </c>
      <c r="AZ125" s="708">
        <f>AZ119-AZ127</f>
        <v>900</v>
      </c>
      <c r="BA125" s="708"/>
      <c r="BB125" s="709">
        <f t="shared" si="432"/>
        <v>319</v>
      </c>
      <c r="BC125" s="709">
        <f t="shared" si="432"/>
        <v>153</v>
      </c>
      <c r="BD125" s="709">
        <f>BD119-BD127</f>
        <v>242</v>
      </c>
      <c r="BE125" s="709">
        <f>BE119-BE127</f>
        <v>252</v>
      </c>
      <c r="BF125" s="708">
        <f t="shared" si="432"/>
        <v>986</v>
      </c>
      <c r="BG125" s="709">
        <f t="shared" ref="BG125:BH125" si="433">BG119-BG127</f>
        <v>220</v>
      </c>
      <c r="BH125" s="709">
        <f t="shared" si="433"/>
        <v>212</v>
      </c>
      <c r="BI125" s="709">
        <f>BI119-BI127</f>
        <v>245</v>
      </c>
      <c r="BJ125" s="709">
        <f>BJ119-BJ127</f>
        <v>267</v>
      </c>
      <c r="BK125" s="708">
        <f t="shared" ref="BK125:BM125" si="434">BK119-BK127</f>
        <v>944</v>
      </c>
      <c r="BL125" s="709">
        <f t="shared" si="434"/>
        <v>139</v>
      </c>
      <c r="BM125" s="709">
        <f t="shared" si="434"/>
        <v>237</v>
      </c>
      <c r="BN125" s="709"/>
      <c r="BO125" s="709"/>
      <c r="BP125" s="708"/>
      <c r="BQ125" s="708"/>
      <c r="BR125" s="709">
        <f t="shared" ref="BR125:BS125" si="435">BR119-BR127</f>
        <v>220</v>
      </c>
      <c r="BS125" s="709">
        <f t="shared" si="435"/>
        <v>212</v>
      </c>
      <c r="BT125" s="709">
        <f>BT119-BT127</f>
        <v>245</v>
      </c>
      <c r="BU125" s="709">
        <f>BU119-BU127</f>
        <v>267</v>
      </c>
      <c r="BV125" s="708">
        <f t="shared" ref="BV125:BX125" si="436">BV119-BV127</f>
        <v>944</v>
      </c>
      <c r="BW125" s="709">
        <f t="shared" si="436"/>
        <v>139</v>
      </c>
      <c r="BX125" s="709">
        <f t="shared" si="436"/>
        <v>237</v>
      </c>
      <c r="BY125" s="709">
        <f>BY119-BY127</f>
        <v>227</v>
      </c>
      <c r="BZ125" s="709">
        <f>BZ119-BZ127</f>
        <v>148</v>
      </c>
      <c r="CA125" s="708">
        <f>CA119-CA127</f>
        <v>751</v>
      </c>
      <c r="CB125" s="709">
        <f t="shared" ref="CB125:CC125" si="437">CB119-CB127</f>
        <v>223</v>
      </c>
      <c r="CC125" s="709">
        <f t="shared" si="437"/>
        <v>184</v>
      </c>
      <c r="CD125" s="709">
        <f>CD119-CD127</f>
        <v>234</v>
      </c>
      <c r="CE125" s="709">
        <f>CE119-CE127</f>
        <v>319</v>
      </c>
      <c r="CF125" s="708">
        <f>CF119-CF127</f>
        <v>960</v>
      </c>
      <c r="CG125" s="709"/>
      <c r="CH125" s="709"/>
      <c r="CI125" s="709"/>
      <c r="CJ125" s="709"/>
      <c r="CK125" s="708">
        <f>CK119-CK127</f>
        <v>690</v>
      </c>
      <c r="CL125" s="709"/>
      <c r="CM125" s="709"/>
      <c r="CN125" s="709"/>
      <c r="CO125" s="709"/>
      <c r="CP125" s="708">
        <f>CP119-CP127</f>
        <v>957</v>
      </c>
      <c r="CQ125" s="709">
        <f t="shared" ref="CQ125:CT125" si="438">CQ119-CQ127</f>
        <v>225</v>
      </c>
      <c r="CR125" s="709">
        <f>CR119-CR127</f>
        <v>247.5</v>
      </c>
      <c r="CS125" s="709">
        <f t="shared" si="438"/>
        <v>243.75</v>
      </c>
      <c r="CT125" s="709">
        <f t="shared" si="438"/>
        <v>311.25</v>
      </c>
      <c r="CU125" s="708">
        <f t="shared" ref="CU125" si="439">CU119-CU127</f>
        <v>1027.5</v>
      </c>
      <c r="CV125" s="710"/>
      <c r="CW125" s="710"/>
      <c r="CX125" s="710"/>
      <c r="CY125" s="711"/>
      <c r="CZ125" s="708"/>
      <c r="DA125" s="710"/>
      <c r="DB125" s="710"/>
      <c r="DC125" s="710"/>
      <c r="DD125" s="711"/>
      <c r="DE125" s="708"/>
      <c r="DF125" s="710"/>
      <c r="DG125" s="710"/>
      <c r="DH125" s="710"/>
      <c r="DI125" s="711"/>
      <c r="DJ125" s="708"/>
      <c r="DK125" s="470"/>
      <c r="DL125" s="471"/>
      <c r="DM125" s="864"/>
      <c r="DN125" s="864"/>
      <c r="DO125" s="864"/>
      <c r="DP125" s="1087"/>
      <c r="DQ125" s="1087"/>
      <c r="DR125" s="1087"/>
      <c r="DS125" s="864"/>
      <c r="DT125" s="864"/>
      <c r="DU125" s="864"/>
      <c r="DV125" s="864"/>
      <c r="DW125" s="864"/>
      <c r="DX125" s="864"/>
      <c r="DY125" s="472"/>
      <c r="DZ125" s="464"/>
      <c r="EA125" s="464"/>
      <c r="EB125"/>
      <c r="EC125"/>
      <c r="ED125"/>
      <c r="EE125"/>
      <c r="EF125"/>
      <c r="EG125"/>
    </row>
    <row r="126" spans="1:137" s="398" customFormat="1">
      <c r="A126" s="97" t="s">
        <v>53</v>
      </c>
      <c r="B126" s="80"/>
      <c r="C126" s="80"/>
      <c r="D126" s="80"/>
      <c r="E126" s="80"/>
      <c r="F126" s="80"/>
      <c r="G126" s="80"/>
      <c r="H126" s="82"/>
      <c r="I126" s="82"/>
      <c r="J126" s="82"/>
      <c r="K126" s="82"/>
      <c r="L126" s="80"/>
      <c r="M126" s="82"/>
      <c r="N126" s="82"/>
      <c r="O126" s="82"/>
      <c r="P126" s="82"/>
      <c r="Q126" s="80"/>
      <c r="R126" s="82"/>
      <c r="S126" s="82"/>
      <c r="T126" s="82"/>
      <c r="U126" s="82"/>
      <c r="V126" s="80"/>
      <c r="W126" s="83"/>
      <c r="X126" s="82"/>
      <c r="Y126" s="83"/>
      <c r="Z126" s="83"/>
      <c r="AA126" s="84"/>
      <c r="AB126" s="83"/>
      <c r="AC126" s="82"/>
      <c r="AD126" s="82"/>
      <c r="AE126" s="82"/>
      <c r="AF126" s="80"/>
      <c r="AG126" s="83"/>
      <c r="AH126" s="82"/>
      <c r="AI126" s="82"/>
      <c r="AJ126" s="82"/>
      <c r="AK126" s="80">
        <f>AK125/AF125-1</f>
        <v>-0.16142857142857148</v>
      </c>
      <c r="AL126" s="82"/>
      <c r="AM126" s="82"/>
      <c r="AN126" s="82"/>
      <c r="AO126" s="82"/>
      <c r="AP126" s="80">
        <f t="shared" ref="AP126:AZ126" si="440">AP125/AK125-1</f>
        <v>0.25212947189097101</v>
      </c>
      <c r="AQ126" s="82">
        <f t="shared" si="440"/>
        <v>8.43373493975903E-2</v>
      </c>
      <c r="AR126" s="82">
        <f t="shared" si="440"/>
        <v>0.26190476190476186</v>
      </c>
      <c r="AS126" s="82">
        <f t="shared" si="440"/>
        <v>0.14516129032258074</v>
      </c>
      <c r="AT126" s="82">
        <f t="shared" si="440"/>
        <v>0.35838150289017334</v>
      </c>
      <c r="AU126" s="80">
        <f t="shared" si="440"/>
        <v>0.21496598639455788</v>
      </c>
      <c r="AV126" s="82">
        <f t="shared" si="440"/>
        <v>0.43888888888888888</v>
      </c>
      <c r="AW126" s="82">
        <f t="shared" si="440"/>
        <v>-0.30566037735849061</v>
      </c>
      <c r="AX126" s="82">
        <f t="shared" si="440"/>
        <v>3.2863849765258246E-2</v>
      </c>
      <c r="AY126" s="82">
        <f t="shared" si="440"/>
        <v>8.5106382978723527E-3</v>
      </c>
      <c r="AZ126" s="80">
        <f t="shared" si="440"/>
        <v>7.838745800671898E-3</v>
      </c>
      <c r="BA126" s="80"/>
      <c r="BB126" s="82"/>
      <c r="BC126" s="82"/>
      <c r="BD126" s="82"/>
      <c r="BE126" s="82"/>
      <c r="BF126" s="80"/>
      <c r="BG126" s="82">
        <f t="shared" ref="BG126:BM126" si="441">BG125/BB125-1</f>
        <v>-0.31034482758620685</v>
      </c>
      <c r="BH126" s="82">
        <f t="shared" si="441"/>
        <v>0.3856209150326797</v>
      </c>
      <c r="BI126" s="82">
        <f t="shared" si="441"/>
        <v>1.2396694214876103E-2</v>
      </c>
      <c r="BJ126" s="82">
        <f t="shared" si="441"/>
        <v>5.9523809523809534E-2</v>
      </c>
      <c r="BK126" s="80">
        <f t="shared" si="441"/>
        <v>-4.2596348884381352E-2</v>
      </c>
      <c r="BL126" s="82">
        <f t="shared" si="441"/>
        <v>-0.36818181818181817</v>
      </c>
      <c r="BM126" s="82">
        <f t="shared" si="441"/>
        <v>0.11792452830188682</v>
      </c>
      <c r="BN126" s="82"/>
      <c r="BO126" s="82"/>
      <c r="BP126" s="80"/>
      <c r="BQ126" s="80"/>
      <c r="BR126" s="82">
        <f>+BR125/BB125-1</f>
        <v>-0.31034482758620685</v>
      </c>
      <c r="BS126" s="82">
        <f t="shared" ref="BS126" si="442">+BS125/BC125-1</f>
        <v>0.3856209150326797</v>
      </c>
      <c r="BT126" s="82">
        <f t="shared" ref="BT126" si="443">+BT125/BD125-1</f>
        <v>1.2396694214876103E-2</v>
      </c>
      <c r="BU126" s="82">
        <f t="shared" ref="BU126" si="444">+BU125/BE125-1</f>
        <v>5.9523809523809534E-2</v>
      </c>
      <c r="BV126" s="80">
        <f t="shared" ref="BV126" si="445">+BV125/BF125-1</f>
        <v>-4.2596348884381352E-2</v>
      </c>
      <c r="BW126" s="82">
        <f t="shared" ref="BW126:CF126" si="446">BW125/BR125-1</f>
        <v>-0.36818181818181817</v>
      </c>
      <c r="BX126" s="82">
        <f t="shared" si="446"/>
        <v>0.11792452830188682</v>
      </c>
      <c r="BY126" s="82">
        <f t="shared" si="446"/>
        <v>-7.3469387755102034E-2</v>
      </c>
      <c r="BZ126" s="82">
        <f t="shared" si="446"/>
        <v>-0.44569288389513106</v>
      </c>
      <c r="CA126" s="80">
        <f t="shared" si="446"/>
        <v>-0.20444915254237284</v>
      </c>
      <c r="CB126" s="82">
        <f t="shared" si="446"/>
        <v>0.60431654676258995</v>
      </c>
      <c r="CC126" s="82">
        <f t="shared" si="446"/>
        <v>-0.22362869198312241</v>
      </c>
      <c r="CD126" s="82">
        <f t="shared" si="446"/>
        <v>3.0837004405286361E-2</v>
      </c>
      <c r="CE126" s="82">
        <f t="shared" si="446"/>
        <v>1.1554054054054053</v>
      </c>
      <c r="CF126" s="80">
        <f t="shared" si="446"/>
        <v>0.27829560585885482</v>
      </c>
      <c r="CG126" s="82"/>
      <c r="CH126" s="82"/>
      <c r="CI126" s="82"/>
      <c r="CJ126" s="82"/>
      <c r="CK126" s="80"/>
      <c r="CL126" s="82"/>
      <c r="CM126" s="82"/>
      <c r="CN126" s="82"/>
      <c r="CO126" s="82"/>
      <c r="CP126" s="80">
        <f t="shared" ref="CP126" si="447">CP125/CK125-1</f>
        <v>0.38695652173913042</v>
      </c>
      <c r="CQ126" s="82"/>
      <c r="CR126" s="82"/>
      <c r="CS126" s="82"/>
      <c r="CT126" s="82"/>
      <c r="CU126" s="80">
        <f t="shared" ref="CU126" si="448">CU125/CP125-1</f>
        <v>7.3667711598746077E-2</v>
      </c>
      <c r="CV126" s="103"/>
      <c r="CW126" s="103"/>
      <c r="CX126" s="103"/>
      <c r="CY126" s="105"/>
      <c r="CZ126" s="80"/>
      <c r="DA126" s="103"/>
      <c r="DB126" s="103"/>
      <c r="DC126" s="103"/>
      <c r="DD126" s="105"/>
      <c r="DE126" s="80"/>
      <c r="DF126" s="103"/>
      <c r="DG126" s="103"/>
      <c r="DH126" s="103"/>
      <c r="DI126" s="105"/>
      <c r="DJ126" s="80"/>
      <c r="DK126" s="401"/>
      <c r="DL126" s="74"/>
      <c r="DM126" s="867"/>
      <c r="DN126" s="809"/>
      <c r="DO126" s="809"/>
      <c r="DP126" s="1054"/>
      <c r="DQ126" s="1054"/>
      <c r="DR126" s="1054"/>
      <c r="DS126" s="809"/>
      <c r="DT126" s="809"/>
      <c r="DU126" s="809"/>
      <c r="DV126" s="809"/>
      <c r="DW126" s="809"/>
      <c r="DX126" s="809"/>
      <c r="DY126" s="360"/>
      <c r="DZ126" s="167"/>
      <c r="EA126" s="167"/>
      <c r="EB126"/>
      <c r="EC126"/>
      <c r="ED126"/>
      <c r="EE126"/>
      <c r="EF126"/>
      <c r="EG126"/>
    </row>
    <row r="127" spans="1:137" s="473" customFormat="1">
      <c r="A127" s="734" t="s">
        <v>189</v>
      </c>
      <c r="B127" s="462"/>
      <c r="C127" s="462"/>
      <c r="D127" s="462"/>
      <c r="E127" s="462"/>
      <c r="F127" s="462"/>
      <c r="G127" s="462"/>
      <c r="H127" s="463"/>
      <c r="I127" s="463"/>
      <c r="J127" s="463"/>
      <c r="K127" s="463"/>
      <c r="L127" s="462"/>
      <c r="M127" s="463"/>
      <c r="N127" s="463"/>
      <c r="O127" s="463"/>
      <c r="P127" s="463"/>
      <c r="Q127" s="462"/>
      <c r="R127" s="463"/>
      <c r="S127" s="463"/>
      <c r="T127" s="463"/>
      <c r="U127" s="463"/>
      <c r="V127" s="462"/>
      <c r="W127" s="464"/>
      <c r="X127" s="463"/>
      <c r="Y127" s="464"/>
      <c r="Z127" s="464"/>
      <c r="AA127" s="465"/>
      <c r="AB127" s="464"/>
      <c r="AC127" s="463"/>
      <c r="AD127" s="463"/>
      <c r="AE127" s="463"/>
      <c r="AF127" s="462">
        <v>-55</v>
      </c>
      <c r="AG127" s="464"/>
      <c r="AH127" s="463"/>
      <c r="AI127" s="463"/>
      <c r="AJ127" s="463"/>
      <c r="AK127" s="462">
        <v>150</v>
      </c>
      <c r="AL127" s="463">
        <v>35</v>
      </c>
      <c r="AM127" s="463">
        <v>65</v>
      </c>
      <c r="AN127" s="463">
        <v>30</v>
      </c>
      <c r="AO127" s="463">
        <v>40</v>
      </c>
      <c r="AP127" s="462">
        <v>170</v>
      </c>
      <c r="AQ127" s="463">
        <f>40+30</f>
        <v>70</v>
      </c>
      <c r="AR127" s="794">
        <v>-80</v>
      </c>
      <c r="AS127" s="794">
        <v>-20</v>
      </c>
      <c r="AT127" s="794">
        <v>-20</v>
      </c>
      <c r="AU127" s="838">
        <v>-50</v>
      </c>
      <c r="AV127" s="794">
        <v>-40</v>
      </c>
      <c r="AW127" s="794">
        <v>50</v>
      </c>
      <c r="AX127" s="794">
        <v>0</v>
      </c>
      <c r="AY127" s="794">
        <f>+AZ127-SUM(AV127:AX127)</f>
        <v>-110</v>
      </c>
      <c r="AZ127" s="838">
        <v>-100</v>
      </c>
      <c r="BA127" s="838"/>
      <c r="BB127" s="794">
        <v>-40</v>
      </c>
      <c r="BC127" s="794">
        <v>50</v>
      </c>
      <c r="BD127" s="794">
        <v>-20</v>
      </c>
      <c r="BE127" s="794">
        <v>-20</v>
      </c>
      <c r="BF127" s="838">
        <v>-50</v>
      </c>
      <c r="BG127" s="794">
        <v>-40</v>
      </c>
      <c r="BH127" s="794">
        <v>50</v>
      </c>
      <c r="BI127" s="794">
        <v>0</v>
      </c>
      <c r="BJ127" s="794">
        <f>+BK127-SUM(BG127:BI127)</f>
        <v>-110</v>
      </c>
      <c r="BK127" s="838">
        <v>-100</v>
      </c>
      <c r="BL127" s="794">
        <v>90</v>
      </c>
      <c r="BM127" s="794">
        <f>55-BL127</f>
        <v>-35</v>
      </c>
      <c r="BN127" s="794"/>
      <c r="BO127" s="82"/>
      <c r="BP127" s="462"/>
      <c r="BQ127" s="838"/>
      <c r="BR127" s="794">
        <v>-40</v>
      </c>
      <c r="BS127" s="794">
        <v>50</v>
      </c>
      <c r="BT127" s="794">
        <v>0</v>
      </c>
      <c r="BU127" s="794">
        <f>+BV127-SUM(BR127:BT127)</f>
        <v>-110</v>
      </c>
      <c r="BV127" s="838">
        <v>-100</v>
      </c>
      <c r="BW127" s="794">
        <v>90</v>
      </c>
      <c r="BX127" s="794">
        <f>55-BW127</f>
        <v>-35</v>
      </c>
      <c r="BY127" s="794">
        <f>75-BX127-BW127</f>
        <v>20</v>
      </c>
      <c r="BZ127" s="794">
        <f>155-SUM(BW127:BY127)</f>
        <v>80</v>
      </c>
      <c r="CA127" s="838">
        <f>+SUM(BW127:BZ127)</f>
        <v>155</v>
      </c>
      <c r="CB127" s="794">
        <v>-115</v>
      </c>
      <c r="CC127" s="1064">
        <v>70</v>
      </c>
      <c r="CD127" s="584">
        <v>10</v>
      </c>
      <c r="CE127" s="584">
        <f>-55-CD127-CC127-CB127</f>
        <v>-20</v>
      </c>
      <c r="CF127" s="585">
        <f>+SUM(CB127:CE127)</f>
        <v>-55</v>
      </c>
      <c r="CG127" s="794"/>
      <c r="CH127" s="794"/>
      <c r="CI127" s="794"/>
      <c r="CJ127" s="794"/>
      <c r="CK127" s="585">
        <v>155</v>
      </c>
      <c r="CL127" s="794"/>
      <c r="CM127" s="1064"/>
      <c r="CN127" s="584"/>
      <c r="CO127" s="584"/>
      <c r="CP127" s="838">
        <v>-55</v>
      </c>
      <c r="CQ127" s="1024">
        <v>0</v>
      </c>
      <c r="CR127" s="1024">
        <v>0</v>
      </c>
      <c r="CS127" s="1024">
        <v>0</v>
      </c>
      <c r="CT127" s="1024">
        <v>0</v>
      </c>
      <c r="CU127" s="462">
        <f>+SUM(CQ127:CT127)</f>
        <v>0</v>
      </c>
      <c r="CV127" s="468"/>
      <c r="CW127" s="468"/>
      <c r="CX127" s="468"/>
      <c r="CY127" s="469"/>
      <c r="CZ127" s="462"/>
      <c r="DA127" s="468"/>
      <c r="DB127" s="468"/>
      <c r="DC127" s="468"/>
      <c r="DD127" s="469"/>
      <c r="DE127" s="462"/>
      <c r="DF127" s="468"/>
      <c r="DG127" s="468"/>
      <c r="DH127" s="468"/>
      <c r="DI127" s="469"/>
      <c r="DJ127" s="462"/>
      <c r="DK127" s="470"/>
      <c r="DL127" s="471"/>
      <c r="DM127" s="864"/>
      <c r="DN127" s="864"/>
      <c r="DO127" s="864"/>
      <c r="DP127" s="1087"/>
      <c r="DQ127" s="1087"/>
      <c r="DR127" s="1087"/>
      <c r="DS127" s="864"/>
      <c r="DT127" s="864"/>
      <c r="DU127" s="864"/>
      <c r="DV127" s="864"/>
      <c r="DW127" s="864"/>
      <c r="DX127" s="864"/>
      <c r="DY127" s="472"/>
      <c r="DZ127" s="464"/>
      <c r="EA127" s="464"/>
      <c r="EB127"/>
      <c r="EC127"/>
      <c r="ED127"/>
      <c r="EE127"/>
      <c r="EF127"/>
      <c r="EG127"/>
    </row>
    <row r="128" spans="1:137" s="429" customFormat="1">
      <c r="A128" s="784" t="s">
        <v>198</v>
      </c>
      <c r="B128" s="562"/>
      <c r="C128" s="562"/>
      <c r="D128" s="562"/>
      <c r="E128" s="562"/>
      <c r="F128" s="562"/>
      <c r="G128" s="562"/>
      <c r="H128" s="543"/>
      <c r="I128" s="543"/>
      <c r="J128" s="543"/>
      <c r="K128" s="543"/>
      <c r="L128" s="562"/>
      <c r="M128" s="543"/>
      <c r="N128" s="543"/>
      <c r="O128" s="543"/>
      <c r="P128" s="543"/>
      <c r="Q128" s="562"/>
      <c r="R128" s="543"/>
      <c r="S128" s="543"/>
      <c r="T128" s="543"/>
      <c r="U128" s="543"/>
      <c r="V128" s="562"/>
      <c r="W128" s="428"/>
      <c r="X128" s="543"/>
      <c r="Y128" s="428"/>
      <c r="Z128" s="428"/>
      <c r="AA128" s="522"/>
      <c r="AB128" s="428"/>
      <c r="AC128" s="543"/>
      <c r="AD128" s="543"/>
      <c r="AE128" s="543"/>
      <c r="AF128" s="562">
        <f>AF127/AF119</f>
        <v>-8.5271317829457363E-2</v>
      </c>
      <c r="AG128" s="428"/>
      <c r="AH128" s="543"/>
      <c r="AI128" s="543"/>
      <c r="AJ128" s="543"/>
      <c r="AK128" s="562">
        <f t="shared" ref="AK128:AR128" si="449">AK127/AK119</f>
        <v>0.20352781546811397</v>
      </c>
      <c r="AL128" s="543">
        <f t="shared" si="449"/>
        <v>0.17412935323383086</v>
      </c>
      <c r="AM128" s="543">
        <f t="shared" si="449"/>
        <v>0.23636363636363636</v>
      </c>
      <c r="AN128" s="543">
        <f t="shared" si="449"/>
        <v>0.1388888888888889</v>
      </c>
      <c r="AO128" s="543">
        <f t="shared" si="449"/>
        <v>0.18779342723004694</v>
      </c>
      <c r="AP128" s="562">
        <f t="shared" si="449"/>
        <v>0.18784530386740331</v>
      </c>
      <c r="AQ128" s="543">
        <f t="shared" si="449"/>
        <v>0.28000000000000003</v>
      </c>
      <c r="AR128" s="543">
        <f t="shared" si="449"/>
        <v>-0.43243243243243246</v>
      </c>
      <c r="AS128" s="543">
        <f t="shared" ref="AS128:BF128" si="450">AS127/AS119</f>
        <v>-0.10362694300518134</v>
      </c>
      <c r="AT128" s="543">
        <f t="shared" si="450"/>
        <v>-9.3023255813953487E-2</v>
      </c>
      <c r="AU128" s="562">
        <f t="shared" si="450"/>
        <v>-5.9311981020166077E-2</v>
      </c>
      <c r="AV128" s="543">
        <f>AV127/AV119</f>
        <v>-0.18264840182648401</v>
      </c>
      <c r="AW128" s="543">
        <f>AW127/AW119</f>
        <v>0.21367521367521367</v>
      </c>
      <c r="AX128" s="543">
        <f>AX127/AX119</f>
        <v>0</v>
      </c>
      <c r="AY128" s="543">
        <f>AY127/AY119</f>
        <v>-0.86614173228346458</v>
      </c>
      <c r="AZ128" s="562">
        <f>AZ127/AZ119</f>
        <v>-0.125</v>
      </c>
      <c r="BA128" s="562"/>
      <c r="BB128" s="543">
        <f t="shared" si="450"/>
        <v>-0.14336917562724014</v>
      </c>
      <c r="BC128" s="543">
        <f t="shared" si="450"/>
        <v>0.24630541871921183</v>
      </c>
      <c r="BD128" s="543">
        <f t="shared" si="450"/>
        <v>-9.0090090090090086E-2</v>
      </c>
      <c r="BE128" s="543">
        <f>BE127/BE119</f>
        <v>-8.6206896551724144E-2</v>
      </c>
      <c r="BF128" s="562">
        <f t="shared" si="450"/>
        <v>-5.3418803418803416E-2</v>
      </c>
      <c r="BG128" s="543">
        <f t="shared" ref="BG128:BI128" si="451">BG127/BG119</f>
        <v>-0.22222222222222221</v>
      </c>
      <c r="BH128" s="543">
        <f t="shared" si="451"/>
        <v>0.19083969465648856</v>
      </c>
      <c r="BI128" s="543">
        <f t="shared" si="451"/>
        <v>0</v>
      </c>
      <c r="BJ128" s="543">
        <f>BJ127/BJ119</f>
        <v>-0.70063694267515919</v>
      </c>
      <c r="BK128" s="562">
        <f t="shared" ref="BK128:BM128" si="452">BK127/BK119</f>
        <v>-0.11848341232227488</v>
      </c>
      <c r="BL128" s="543">
        <f t="shared" si="452"/>
        <v>0.3930131004366812</v>
      </c>
      <c r="BM128" s="543">
        <f t="shared" si="452"/>
        <v>-0.17326732673267325</v>
      </c>
      <c r="BN128" s="543"/>
      <c r="BO128" s="543"/>
      <c r="BP128" s="562"/>
      <c r="BQ128" s="562"/>
      <c r="BR128" s="543">
        <f t="shared" ref="BR128:BT128" si="453">BR127/BR119</f>
        <v>-0.22222222222222221</v>
      </c>
      <c r="BS128" s="543">
        <f t="shared" si="453"/>
        <v>0.19083969465648856</v>
      </c>
      <c r="BT128" s="543">
        <f t="shared" si="453"/>
        <v>0</v>
      </c>
      <c r="BU128" s="543">
        <f>BU127/BU119</f>
        <v>-0.70063694267515919</v>
      </c>
      <c r="BV128" s="562">
        <f t="shared" ref="BV128:BY128" si="454">BV127/BV119</f>
        <v>-0.11848341232227488</v>
      </c>
      <c r="BW128" s="543">
        <f t="shared" si="454"/>
        <v>0.3930131004366812</v>
      </c>
      <c r="BX128" s="543">
        <f t="shared" si="454"/>
        <v>-0.17326732673267325</v>
      </c>
      <c r="BY128" s="543">
        <f t="shared" si="454"/>
        <v>8.0971659919028341E-2</v>
      </c>
      <c r="BZ128" s="543">
        <f>BZ127/BZ119</f>
        <v>0.35087719298245612</v>
      </c>
      <c r="CA128" s="562">
        <f>CA127/CA119</f>
        <v>0.17108167770419427</v>
      </c>
      <c r="CB128" s="543">
        <f t="shared" ref="CB128:CD128" si="455">CB127/CB119</f>
        <v>-1.0648148148148149</v>
      </c>
      <c r="CC128" s="543">
        <f t="shared" si="455"/>
        <v>0.27559055118110237</v>
      </c>
      <c r="CD128" s="543">
        <f t="shared" si="455"/>
        <v>4.0983606557377046E-2</v>
      </c>
      <c r="CE128" s="543">
        <f>CE127/CE119</f>
        <v>-6.6889632107023408E-2</v>
      </c>
      <c r="CF128" s="562">
        <f>CF127/CF119</f>
        <v>-6.0773480662983423E-2</v>
      </c>
      <c r="CG128" s="543"/>
      <c r="CH128" s="543"/>
      <c r="CI128" s="543"/>
      <c r="CJ128" s="543"/>
      <c r="CK128" s="562">
        <f>CK127/CK119</f>
        <v>0.18343195266272189</v>
      </c>
      <c r="CL128" s="543"/>
      <c r="CM128" s="543"/>
      <c r="CN128" s="543"/>
      <c r="CO128" s="543"/>
      <c r="CP128" s="562">
        <f>CP127/CP119</f>
        <v>-6.097560975609756E-2</v>
      </c>
      <c r="CQ128" s="543">
        <f t="shared" ref="CQ128:CT128" si="456">CQ127/CQ119</f>
        <v>0</v>
      </c>
      <c r="CR128" s="543">
        <f t="shared" si="456"/>
        <v>0</v>
      </c>
      <c r="CS128" s="543">
        <f t="shared" si="456"/>
        <v>0</v>
      </c>
      <c r="CT128" s="543">
        <f t="shared" si="456"/>
        <v>0</v>
      </c>
      <c r="CU128" s="562">
        <f t="shared" ref="CU128" si="457">CU127/CU119</f>
        <v>0</v>
      </c>
      <c r="CV128" s="524"/>
      <c r="CW128" s="524"/>
      <c r="CX128" s="524"/>
      <c r="CY128" s="525"/>
      <c r="CZ128" s="562"/>
      <c r="DA128" s="524"/>
      <c r="DB128" s="524"/>
      <c r="DC128" s="524"/>
      <c r="DD128" s="525"/>
      <c r="DE128" s="562"/>
      <c r="DF128" s="524"/>
      <c r="DG128" s="524"/>
      <c r="DH128" s="524"/>
      <c r="DI128" s="525"/>
      <c r="DJ128" s="562"/>
      <c r="DK128" s="523"/>
      <c r="DL128" s="598"/>
      <c r="DM128" s="830"/>
      <c r="DN128" s="830"/>
      <c r="DO128" s="830"/>
      <c r="DP128" s="1056"/>
      <c r="DQ128" s="1056"/>
      <c r="DR128" s="1056"/>
      <c r="DS128" s="830"/>
      <c r="DT128" s="830"/>
      <c r="DU128" s="830"/>
      <c r="DV128" s="830"/>
      <c r="DW128" s="830"/>
      <c r="DX128" s="830"/>
      <c r="DY128" s="427"/>
      <c r="DZ128" s="428"/>
      <c r="EA128" s="428"/>
      <c r="EB128"/>
      <c r="EC128"/>
      <c r="ED128"/>
      <c r="EE128"/>
      <c r="EF128"/>
      <c r="EG128"/>
    </row>
    <row r="129" spans="1:137" s="166" customFormat="1">
      <c r="A129" s="59" t="s">
        <v>70</v>
      </c>
      <c r="B129" s="108">
        <f t="shared" ref="B129:AG129" si="458">B131/B40</f>
        <v>4.686523640908144E-2</v>
      </c>
      <c r="C129" s="108">
        <f t="shared" si="458"/>
        <v>5.2770947607338754E-2</v>
      </c>
      <c r="D129" s="108">
        <f t="shared" si="458"/>
        <v>6.6932403255273207E-2</v>
      </c>
      <c r="E129" s="108">
        <f t="shared" si="458"/>
        <v>7.6898883472244065E-2</v>
      </c>
      <c r="F129" s="108">
        <f t="shared" si="458"/>
        <v>8.8709677419354843E-2</v>
      </c>
      <c r="G129" s="108">
        <f t="shared" si="458"/>
        <v>9.3651394673734692E-2</v>
      </c>
      <c r="H129" s="107">
        <f t="shared" si="458"/>
        <v>0.10312151616499443</v>
      </c>
      <c r="I129" s="107">
        <f t="shared" si="458"/>
        <v>0.10348162475822051</v>
      </c>
      <c r="J129" s="107">
        <f t="shared" si="458"/>
        <v>9.9864437415273385E-2</v>
      </c>
      <c r="K129" s="107">
        <f t="shared" si="458"/>
        <v>0.11090225563909774</v>
      </c>
      <c r="L129" s="108">
        <f t="shared" si="458"/>
        <v>0.10435206631720102</v>
      </c>
      <c r="M129" s="107">
        <f t="shared" si="458"/>
        <v>0.12267657992565056</v>
      </c>
      <c r="N129" s="107">
        <f t="shared" si="458"/>
        <v>0.12170753860127158</v>
      </c>
      <c r="O129" s="107">
        <f t="shared" si="458"/>
        <v>0.1278825995807128</v>
      </c>
      <c r="P129" s="107">
        <f t="shared" si="458"/>
        <v>0.10324483775811209</v>
      </c>
      <c r="Q129" s="108">
        <f t="shared" si="458"/>
        <v>0.11872430546904199</v>
      </c>
      <c r="R129" s="107">
        <f t="shared" si="458"/>
        <v>0.1105318039624609</v>
      </c>
      <c r="S129" s="107">
        <f t="shared" si="458"/>
        <v>0.10894941634241245</v>
      </c>
      <c r="T129" s="107">
        <f t="shared" si="458"/>
        <v>0.11384466956102267</v>
      </c>
      <c r="U129" s="107">
        <f t="shared" si="458"/>
        <v>0.11507479861910241</v>
      </c>
      <c r="V129" s="108">
        <f t="shared" si="458"/>
        <v>0.11231800323549804</v>
      </c>
      <c r="W129" s="107">
        <f t="shared" si="458"/>
        <v>0.10820700470465237</v>
      </c>
      <c r="X129" s="107">
        <f t="shared" si="458"/>
        <v>0.11821239788563191</v>
      </c>
      <c r="Y129" s="107">
        <f t="shared" si="458"/>
        <v>0.11991869918699187</v>
      </c>
      <c r="Z129" s="107">
        <f t="shared" si="458"/>
        <v>0.12236842105263158</v>
      </c>
      <c r="AA129" s="108">
        <f t="shared" si="458"/>
        <v>0.11744722154816792</v>
      </c>
      <c r="AB129" s="107">
        <f t="shared" si="458"/>
        <v>0.12391774891774891</v>
      </c>
      <c r="AC129" s="107">
        <f t="shared" si="458"/>
        <v>0.1388888888888889</v>
      </c>
      <c r="AD129" s="107">
        <f t="shared" si="458"/>
        <v>0.12287160607455132</v>
      </c>
      <c r="AE129" s="107">
        <f t="shared" si="458"/>
        <v>0.13512241054613935</v>
      </c>
      <c r="AF129" s="108">
        <f t="shared" si="458"/>
        <v>0.13025364538659479</v>
      </c>
      <c r="AG129" s="107">
        <f t="shared" si="458"/>
        <v>0.12625462229265716</v>
      </c>
      <c r="AH129" s="107">
        <f t="shared" ref="AH129:BM129" si="459">AH131/AH40</f>
        <v>0.12562814070351758</v>
      </c>
      <c r="AI129" s="107">
        <f t="shared" si="459"/>
        <v>0.15101645692158761</v>
      </c>
      <c r="AJ129" s="107">
        <f t="shared" si="459"/>
        <v>0.11600000000000001</v>
      </c>
      <c r="AK129" s="108">
        <f t="shared" si="459"/>
        <v>0.12974721456810831</v>
      </c>
      <c r="AL129" s="107">
        <f t="shared" si="459"/>
        <v>0.11734693877551021</v>
      </c>
      <c r="AM129" s="107">
        <f t="shared" si="459"/>
        <v>0.13224724484906564</v>
      </c>
      <c r="AN129" s="107">
        <f t="shared" si="459"/>
        <v>0.14526854219948848</v>
      </c>
      <c r="AO129" s="107">
        <f t="shared" si="459"/>
        <v>0.1303680981595092</v>
      </c>
      <c r="AP129" s="108">
        <f t="shared" si="459"/>
        <v>0.13131440060316663</v>
      </c>
      <c r="AQ129" s="107">
        <f t="shared" si="459"/>
        <v>0.13663259817105972</v>
      </c>
      <c r="AR129" s="107">
        <f t="shared" si="459"/>
        <v>0.13419913419913421</v>
      </c>
      <c r="AS129" s="107">
        <f t="shared" si="459"/>
        <v>0.13815142576204523</v>
      </c>
      <c r="AT129" s="107">
        <f t="shared" si="459"/>
        <v>0.11015490533562823</v>
      </c>
      <c r="AU129" s="108">
        <f t="shared" si="459"/>
        <v>0.12882827030378177</v>
      </c>
      <c r="AV129" s="107">
        <f t="shared" si="459"/>
        <v>0.14738996929375639</v>
      </c>
      <c r="AW129" s="107">
        <f t="shared" si="459"/>
        <v>0.12764908822079843</v>
      </c>
      <c r="AX129" s="107">
        <f t="shared" si="459"/>
        <v>0.12020725388601036</v>
      </c>
      <c r="AY129" s="107">
        <f t="shared" si="459"/>
        <v>0.125</v>
      </c>
      <c r="AZ129" s="108">
        <f t="shared" si="459"/>
        <v>0.12995896032831739</v>
      </c>
      <c r="BA129" s="108">
        <f t="shared" si="459"/>
        <v>0.12898363479758829</v>
      </c>
      <c r="BB129" s="107">
        <f t="shared" si="459"/>
        <v>0.13630041724617525</v>
      </c>
      <c r="BC129" s="107">
        <f t="shared" si="459"/>
        <v>0.1372093023255814</v>
      </c>
      <c r="BD129" s="107">
        <f t="shared" si="459"/>
        <v>0.13449023861171366</v>
      </c>
      <c r="BE129" s="107">
        <f t="shared" si="459"/>
        <v>0.11119691119691119</v>
      </c>
      <c r="BF129" s="108">
        <f t="shared" si="459"/>
        <v>0.12899369702238644</v>
      </c>
      <c r="BG129" s="107">
        <f t="shared" si="459"/>
        <v>0.14561797752808989</v>
      </c>
      <c r="BH129" s="107">
        <f t="shared" si="459"/>
        <v>0.12838427947598252</v>
      </c>
      <c r="BI129" s="107">
        <f t="shared" si="459"/>
        <v>0.12001811594202899</v>
      </c>
      <c r="BJ129" s="107">
        <f t="shared" si="459"/>
        <v>0.12090680100755667</v>
      </c>
      <c r="BK129" s="108">
        <f t="shared" si="459"/>
        <v>0.12861065348709499</v>
      </c>
      <c r="BL129" s="107">
        <f t="shared" si="459"/>
        <v>0.11450023463162834</v>
      </c>
      <c r="BM129" s="107">
        <f t="shared" si="459"/>
        <v>0.15322217214961695</v>
      </c>
      <c r="BN129" s="107"/>
      <c r="BO129" s="107"/>
      <c r="BP129" s="110"/>
      <c r="BQ129" s="108">
        <f t="shared" ref="BQ129:CC129" si="460">BQ131/BQ40</f>
        <v>0.12899369702238644</v>
      </c>
      <c r="BR129" s="107">
        <f t="shared" si="460"/>
        <v>0.14561797752808989</v>
      </c>
      <c r="BS129" s="107">
        <f t="shared" si="460"/>
        <v>0.12838427947598252</v>
      </c>
      <c r="BT129" s="107">
        <f t="shared" si="460"/>
        <v>0.12001811594202899</v>
      </c>
      <c r="BU129" s="107">
        <f t="shared" si="460"/>
        <v>0.12090680100755667</v>
      </c>
      <c r="BV129" s="108">
        <f t="shared" si="460"/>
        <v>0.12861065348709499</v>
      </c>
      <c r="BW129" s="107">
        <f t="shared" si="460"/>
        <v>0.11450023463162834</v>
      </c>
      <c r="BX129" s="107">
        <f t="shared" si="460"/>
        <v>0.15322217214961695</v>
      </c>
      <c r="BY129" s="107">
        <f t="shared" si="460"/>
        <v>0.19736842105263158</v>
      </c>
      <c r="BZ129" s="107">
        <f>BZ131/BZ40</f>
        <v>9.1759625764663552E-2</v>
      </c>
      <c r="CA129" s="108">
        <f>CA131/CA40</f>
        <v>0.13699649271973643</v>
      </c>
      <c r="CB129" s="107">
        <f t="shared" si="460"/>
        <v>0.12198221092757307</v>
      </c>
      <c r="CC129" s="107">
        <f t="shared" si="460"/>
        <v>0.10609200165768752</v>
      </c>
      <c r="CD129" s="107">
        <f t="shared" ref="CD129" si="461">CD131/CD40</f>
        <v>9.6802841918294844E-2</v>
      </c>
      <c r="CE129" s="107">
        <f>CE131/CE40</f>
        <v>9.4401307723743361E-2</v>
      </c>
      <c r="CF129" s="108">
        <f>CF131/CF40</f>
        <v>0.10482423730602766</v>
      </c>
      <c r="CG129" s="107"/>
      <c r="CH129" s="107"/>
      <c r="CI129" s="107"/>
      <c r="CJ129" s="107"/>
      <c r="CK129" s="108">
        <f>CK131/CK40</f>
        <v>0.1339155749636099</v>
      </c>
      <c r="CL129" s="107"/>
      <c r="CM129" s="107"/>
      <c r="CN129" s="107"/>
      <c r="CO129" s="107"/>
      <c r="CP129" s="108">
        <f>CP131/CP40</f>
        <v>0.10198771984597772</v>
      </c>
      <c r="CQ129" s="109">
        <v>0.109</v>
      </c>
      <c r="CR129" s="109">
        <v>0.109</v>
      </c>
      <c r="CS129" s="109">
        <v>0.109</v>
      </c>
      <c r="CT129" s="111">
        <v>0.109</v>
      </c>
      <c r="CU129" s="108">
        <f>CU131/CU40</f>
        <v>0.109</v>
      </c>
      <c r="CV129" s="109"/>
      <c r="CW129" s="109"/>
      <c r="CX129" s="109"/>
      <c r="CY129" s="111"/>
      <c r="CZ129" s="110">
        <v>0.11</v>
      </c>
      <c r="DA129" s="109"/>
      <c r="DB129" s="109"/>
      <c r="DC129" s="109"/>
      <c r="DD129" s="111"/>
      <c r="DE129" s="110">
        <v>0.11</v>
      </c>
      <c r="DF129" s="109"/>
      <c r="DG129" s="109"/>
      <c r="DH129" s="109"/>
      <c r="DI129" s="111"/>
      <c r="DJ129" s="110">
        <v>0.11</v>
      </c>
      <c r="DK129" s="403"/>
      <c r="DL129" s="404"/>
      <c r="DM129" s="809"/>
      <c r="DN129" s="809"/>
      <c r="DO129" s="809"/>
      <c r="DP129" s="1054"/>
      <c r="DQ129" s="1054"/>
      <c r="DR129" s="1054"/>
      <c r="DS129" s="809"/>
      <c r="DT129" s="809"/>
      <c r="DU129" s="809"/>
      <c r="DV129" s="809"/>
      <c r="DW129" s="809"/>
      <c r="DX129" s="809"/>
      <c r="DY129" s="404"/>
      <c r="DZ129" s="405"/>
      <c r="EA129" s="405"/>
      <c r="EB129"/>
      <c r="EC129"/>
      <c r="ED129"/>
      <c r="EE129"/>
      <c r="EF129"/>
      <c r="EG129"/>
    </row>
    <row r="130" spans="1:137" s="398" customFormat="1">
      <c r="A130" s="106" t="s">
        <v>57</v>
      </c>
      <c r="B130" s="19"/>
      <c r="C130" s="253">
        <f>(C129-B129)*100</f>
        <v>0.59057111982573141</v>
      </c>
      <c r="D130" s="253">
        <f>(D129-C129)*100</f>
        <v>1.4161455647934453</v>
      </c>
      <c r="E130" s="253">
        <f>(E129-D129)*100</f>
        <v>0.99664802169708577</v>
      </c>
      <c r="F130" s="253">
        <f>(F129-E129)*100</f>
        <v>1.1810793947110778</v>
      </c>
      <c r="G130" s="253">
        <f>(G129-F129)*100</f>
        <v>0.49417172543798488</v>
      </c>
      <c r="H130" s="254"/>
      <c r="I130" s="254"/>
      <c r="J130" s="254"/>
      <c r="K130" s="254"/>
      <c r="L130" s="253">
        <f t="shared" ref="L130:AO130" si="462">(L129-G129)*100</f>
        <v>1.0700671643466331</v>
      </c>
      <c r="M130" s="254">
        <f t="shared" si="462"/>
        <v>1.9555063760656133</v>
      </c>
      <c r="N130" s="254">
        <f t="shared" si="462"/>
        <v>1.8225913843051069</v>
      </c>
      <c r="O130" s="254">
        <f t="shared" si="462"/>
        <v>2.8018162165439411</v>
      </c>
      <c r="P130" s="255">
        <f t="shared" si="462"/>
        <v>-0.76574178809856452</v>
      </c>
      <c r="Q130" s="256">
        <f t="shared" si="462"/>
        <v>1.4372239151840964</v>
      </c>
      <c r="R130" s="254">
        <f t="shared" si="462"/>
        <v>-1.2144775963189662</v>
      </c>
      <c r="S130" s="254">
        <f t="shared" si="462"/>
        <v>-1.2758122258859126</v>
      </c>
      <c r="T130" s="254">
        <f t="shared" si="462"/>
        <v>-1.4037930019690128</v>
      </c>
      <c r="U130" s="254">
        <f t="shared" si="462"/>
        <v>1.1829960860990321</v>
      </c>
      <c r="V130" s="256">
        <f t="shared" si="462"/>
        <v>-0.64063022335439501</v>
      </c>
      <c r="W130" s="254">
        <f t="shared" si="462"/>
        <v>-0.23247992578085269</v>
      </c>
      <c r="X130" s="254">
        <f t="shared" si="462"/>
        <v>0.92629815432194595</v>
      </c>
      <c r="Y130" s="254">
        <f t="shared" si="462"/>
        <v>0.60740296259692017</v>
      </c>
      <c r="Z130" s="254">
        <f t="shared" si="462"/>
        <v>0.72936224335291699</v>
      </c>
      <c r="AA130" s="257">
        <f t="shared" si="462"/>
        <v>0.51292183126698809</v>
      </c>
      <c r="AB130" s="254">
        <f t="shared" si="462"/>
        <v>1.5710744213096539</v>
      </c>
      <c r="AC130" s="254">
        <f t="shared" si="462"/>
        <v>2.0676491003256983</v>
      </c>
      <c r="AD130" s="254">
        <f t="shared" si="462"/>
        <v>0.29529068875594477</v>
      </c>
      <c r="AE130" s="254">
        <f t="shared" si="462"/>
        <v>1.2753989493507769</v>
      </c>
      <c r="AF130" s="257">
        <f t="shared" si="462"/>
        <v>1.2806423838426868</v>
      </c>
      <c r="AG130" s="254">
        <f t="shared" si="462"/>
        <v>0.23368733749082465</v>
      </c>
      <c r="AH130" s="255">
        <f t="shared" si="462"/>
        <v>-1.3260748185371318</v>
      </c>
      <c r="AI130" s="255">
        <f t="shared" si="462"/>
        <v>2.8144850847036289</v>
      </c>
      <c r="AJ130" s="254">
        <f t="shared" si="462"/>
        <v>-1.9122410546139348</v>
      </c>
      <c r="AK130" s="257">
        <f t="shared" si="462"/>
        <v>-5.064308184864752E-2</v>
      </c>
      <c r="AL130" s="254">
        <f t="shared" si="462"/>
        <v>-0.89076835171469493</v>
      </c>
      <c r="AM130" s="254">
        <f>(AM129-AH129)*100</f>
        <v>0.66191041455480604</v>
      </c>
      <c r="AN130" s="254">
        <f>(AN129-AI129)*100</f>
        <v>-0.57479147220991234</v>
      </c>
      <c r="AO130" s="254">
        <f t="shared" si="462"/>
        <v>1.4368098159509193</v>
      </c>
      <c r="AP130" s="257">
        <f t="shared" ref="AP130:AZ130" si="463">(AP129-AK129)*100</f>
        <v>0.15671860350583156</v>
      </c>
      <c r="AQ130" s="254">
        <f t="shared" si="463"/>
        <v>1.9285659395549506</v>
      </c>
      <c r="AR130" s="533">
        <f t="shared" si="463"/>
        <v>0.19518893500685697</v>
      </c>
      <c r="AS130" s="254">
        <f t="shared" si="463"/>
        <v>-0.7117116437443255</v>
      </c>
      <c r="AT130" s="254">
        <f t="shared" si="463"/>
        <v>-2.021319282388097</v>
      </c>
      <c r="AU130" s="257">
        <f t="shared" si="463"/>
        <v>-0.24861302993848533</v>
      </c>
      <c r="AV130" s="254">
        <f t="shared" si="463"/>
        <v>1.0757371122696675</v>
      </c>
      <c r="AW130" s="533">
        <f t="shared" si="463"/>
        <v>-0.65500459783357778</v>
      </c>
      <c r="AX130" s="254">
        <f t="shared" si="463"/>
        <v>-1.7944171876034865</v>
      </c>
      <c r="AY130" s="254">
        <f t="shared" si="463"/>
        <v>1.484509466437177</v>
      </c>
      <c r="AZ130" s="257">
        <f t="shared" si="463"/>
        <v>0.11306900245356133</v>
      </c>
      <c r="BA130" s="257"/>
      <c r="BB130" s="254"/>
      <c r="BC130" s="533"/>
      <c r="BD130" s="254"/>
      <c r="BE130" s="254"/>
      <c r="BF130" s="257">
        <f t="shared" ref="BF130:BM130" si="464">(BF129-BA129)*100</f>
        <v>1.0062224798157438E-3</v>
      </c>
      <c r="BG130" s="254">
        <f t="shared" si="464"/>
        <v>0.9317560281914633</v>
      </c>
      <c r="BH130" s="533">
        <f t="shared" si="464"/>
        <v>-0.88250228495988792</v>
      </c>
      <c r="BI130" s="254">
        <f t="shared" si="464"/>
        <v>-1.4472122669684673</v>
      </c>
      <c r="BJ130" s="254">
        <f t="shared" si="464"/>
        <v>0.97098898106454801</v>
      </c>
      <c r="BK130" s="257">
        <f t="shared" si="464"/>
        <v>-3.8304353529144963E-2</v>
      </c>
      <c r="BL130" s="254">
        <f t="shared" si="464"/>
        <v>-3.1117742896461547</v>
      </c>
      <c r="BM130" s="533">
        <f t="shared" si="464"/>
        <v>2.4837892673634427</v>
      </c>
      <c r="BN130" s="254"/>
      <c r="BO130" s="254"/>
      <c r="BP130" s="257"/>
      <c r="BQ130" s="257"/>
      <c r="BR130" s="254">
        <f>(BR129-BB129)*100</f>
        <v>0.9317560281914633</v>
      </c>
      <c r="BS130" s="254">
        <f t="shared" ref="BS130" si="465">(BS129-BC129)*100</f>
        <v>-0.88250228495988792</v>
      </c>
      <c r="BT130" s="826">
        <f t="shared" ref="BT130" si="466">(BT129-BD129)*100</f>
        <v>-1.4472122669684673</v>
      </c>
      <c r="BU130" s="254">
        <f t="shared" ref="BU130" si="467">(BU129-BE129)*100</f>
        <v>0.97098898106454801</v>
      </c>
      <c r="BV130" s="257">
        <f>(BV129-BF129)*100</f>
        <v>-3.8304353529144963E-2</v>
      </c>
      <c r="BW130" s="254">
        <f>(BW129-BR129)*100</f>
        <v>-3.1117742896461547</v>
      </c>
      <c r="BX130" s="533">
        <f>(BX129-BS129)*100</f>
        <v>2.4837892673634427</v>
      </c>
      <c r="BY130" s="254">
        <f>(BY129-BT129)*100</f>
        <v>7.7350305110602591</v>
      </c>
      <c r="BZ130" s="254">
        <f>(BZ129-BU129)*100</f>
        <v>-2.914717524289312</v>
      </c>
      <c r="CA130" s="257">
        <f>(CA129-BK129)*100</f>
        <v>0.83858392326414399</v>
      </c>
      <c r="CB130" s="254">
        <f>(CB129-BW129)*100</f>
        <v>0.74819762959447278</v>
      </c>
      <c r="CC130" s="533">
        <f>(CC129-BX129)*100</f>
        <v>-4.7130170491929428</v>
      </c>
      <c r="CD130" s="254">
        <f>(CD129-BY129)*100</f>
        <v>-10.056557913433673</v>
      </c>
      <c r="CE130" s="254">
        <f>(CE129-BZ129)*100</f>
        <v>0.26416819590798085</v>
      </c>
      <c r="CF130" s="257">
        <f>(CF129-BP129)*100</f>
        <v>10.482423730602767</v>
      </c>
      <c r="CG130" s="254"/>
      <c r="CH130" s="533"/>
      <c r="CI130" s="254"/>
      <c r="CJ130" s="254"/>
      <c r="CK130" s="257"/>
      <c r="CL130" s="254"/>
      <c r="CM130" s="533"/>
      <c r="CN130" s="254"/>
      <c r="CO130" s="254"/>
      <c r="CP130" s="257">
        <f>(CP129-BZ129)*100</f>
        <v>1.0228094081314172</v>
      </c>
      <c r="CQ130" s="254"/>
      <c r="CR130" s="254"/>
      <c r="CS130" s="254"/>
      <c r="CT130" s="254"/>
      <c r="CU130" s="257">
        <f>(CU129-CP129)*100</f>
        <v>0.70122801540222768</v>
      </c>
      <c r="CV130" s="30"/>
      <c r="CW130" s="30"/>
      <c r="CX130" s="30"/>
      <c r="CY130" s="31"/>
      <c r="CZ130" s="257">
        <f>(CZ129-CU129)*100</f>
        <v>0.10000000000000009</v>
      </c>
      <c r="DA130" s="30"/>
      <c r="DB130" s="30"/>
      <c r="DC130" s="30"/>
      <c r="DD130" s="31"/>
      <c r="DE130" s="257">
        <f>(DE129-CZ129)*100</f>
        <v>0</v>
      </c>
      <c r="DF130" s="30"/>
      <c r="DG130" s="30"/>
      <c r="DH130" s="30"/>
      <c r="DI130" s="31"/>
      <c r="DJ130" s="257">
        <f>(DJ129-DE129)*100</f>
        <v>0</v>
      </c>
      <c r="DK130" s="397"/>
      <c r="DL130" s="74"/>
      <c r="DM130" s="809"/>
      <c r="DN130" s="809"/>
      <c r="DO130" s="809"/>
      <c r="DP130" s="1054"/>
      <c r="DQ130" s="1054"/>
      <c r="DR130" s="1054"/>
      <c r="DS130" s="1242" t="s">
        <v>402</v>
      </c>
      <c r="DT130" s="1242" t="s">
        <v>403</v>
      </c>
      <c r="DU130" s="1242" t="s">
        <v>404</v>
      </c>
      <c r="DV130" s="809"/>
      <c r="DW130" s="809"/>
      <c r="DX130" s="809"/>
      <c r="DY130" s="360"/>
      <c r="DZ130" s="167"/>
      <c r="EA130" s="167"/>
      <c r="EB130"/>
      <c r="EC130"/>
      <c r="ED130"/>
      <c r="EE130"/>
      <c r="EF130"/>
      <c r="EG130"/>
    </row>
    <row r="131" spans="1:137" s="166" customFormat="1">
      <c r="A131" s="22" t="s">
        <v>71</v>
      </c>
      <c r="B131" s="42">
        <v>225</v>
      </c>
      <c r="C131" s="42">
        <v>279</v>
      </c>
      <c r="D131" s="42">
        <v>403</v>
      </c>
      <c r="E131" s="42">
        <v>489</v>
      </c>
      <c r="F131" s="42">
        <v>605</v>
      </c>
      <c r="G131" s="42">
        <v>742</v>
      </c>
      <c r="H131" s="40">
        <v>185</v>
      </c>
      <c r="I131" s="41">
        <v>214</v>
      </c>
      <c r="J131" s="41">
        <v>221</v>
      </c>
      <c r="K131" s="40">
        <f>L131-SUM(H131:J131)</f>
        <v>236</v>
      </c>
      <c r="L131" s="42">
        <v>856</v>
      </c>
      <c r="M131" s="41">
        <v>231</v>
      </c>
      <c r="N131" s="41">
        <v>268</v>
      </c>
      <c r="O131" s="41">
        <v>244</v>
      </c>
      <c r="P131" s="40">
        <f>Q131-SUM(M131:O131)</f>
        <v>210</v>
      </c>
      <c r="Q131" s="42">
        <v>953</v>
      </c>
      <c r="R131" s="41">
        <v>212</v>
      </c>
      <c r="S131" s="41">
        <v>224</v>
      </c>
      <c r="T131" s="41">
        <v>236</v>
      </c>
      <c r="U131" s="40">
        <v>300</v>
      </c>
      <c r="V131" s="42">
        <f>SUM(R131:U131)</f>
        <v>972</v>
      </c>
      <c r="W131" s="41">
        <v>207</v>
      </c>
      <c r="X131" s="41">
        <v>246</v>
      </c>
      <c r="Y131" s="41">
        <v>236</v>
      </c>
      <c r="Z131" s="40">
        <v>279</v>
      </c>
      <c r="AA131" s="42">
        <f>SUM(W131:Z131)</f>
        <v>968</v>
      </c>
      <c r="AB131" s="41">
        <v>229</v>
      </c>
      <c r="AC131" s="41">
        <v>280</v>
      </c>
      <c r="AD131" s="41">
        <v>267</v>
      </c>
      <c r="AE131" s="40">
        <v>287</v>
      </c>
      <c r="AF131" s="42">
        <f>+SUM(AB131:AE131)</f>
        <v>1063</v>
      </c>
      <c r="AG131" s="40">
        <v>239</v>
      </c>
      <c r="AH131" s="41">
        <v>300</v>
      </c>
      <c r="AI131" s="41">
        <v>312</v>
      </c>
      <c r="AJ131" s="40">
        <v>232</v>
      </c>
      <c r="AK131" s="47">
        <f>+SUM(AG131:AJ131)</f>
        <v>1083</v>
      </c>
      <c r="AL131" s="41">
        <v>230</v>
      </c>
      <c r="AM131" s="41">
        <v>276</v>
      </c>
      <c r="AN131" s="41">
        <v>284</v>
      </c>
      <c r="AO131" s="41">
        <v>255</v>
      </c>
      <c r="AP131" s="47">
        <f>SUM(AL131:AO131)</f>
        <v>1045</v>
      </c>
      <c r="AQ131" s="41">
        <v>254</v>
      </c>
      <c r="AR131" s="41">
        <v>248</v>
      </c>
      <c r="AS131" s="41">
        <v>281</v>
      </c>
      <c r="AT131" s="41">
        <v>256</v>
      </c>
      <c r="AU131" s="47">
        <f>SUM(AQ131:AT131)</f>
        <v>1039</v>
      </c>
      <c r="AV131" s="41">
        <v>288</v>
      </c>
      <c r="AW131" s="41">
        <v>259</v>
      </c>
      <c r="AX131" s="41">
        <v>232</v>
      </c>
      <c r="AY131" s="41">
        <f>1045-AX131-AW131-AV131</f>
        <v>266</v>
      </c>
      <c r="AZ131" s="47">
        <f>SUM(AV131:AY131)</f>
        <v>1045</v>
      </c>
      <c r="BA131" s="47">
        <v>1198</v>
      </c>
      <c r="BB131" s="41">
        <v>294</v>
      </c>
      <c r="BC131" s="41">
        <v>295</v>
      </c>
      <c r="BD131" s="41">
        <v>310</v>
      </c>
      <c r="BE131" s="41">
        <v>288</v>
      </c>
      <c r="BF131" s="47">
        <v>1187</v>
      </c>
      <c r="BG131" s="41">
        <v>324</v>
      </c>
      <c r="BH131" s="41">
        <v>294</v>
      </c>
      <c r="BI131" s="41">
        <v>265</v>
      </c>
      <c r="BJ131" s="41">
        <v>288</v>
      </c>
      <c r="BK131" s="47">
        <v>1171</v>
      </c>
      <c r="BL131" s="41">
        <v>244</v>
      </c>
      <c r="BM131" s="41">
        <v>340</v>
      </c>
      <c r="BN131" s="41"/>
      <c r="BO131" s="41"/>
      <c r="BP131" s="47"/>
      <c r="BQ131" s="47">
        <v>1187</v>
      </c>
      <c r="BR131" s="41">
        <v>324</v>
      </c>
      <c r="BS131" s="41">
        <v>294</v>
      </c>
      <c r="BT131" s="41">
        <v>265</v>
      </c>
      <c r="BU131" s="41">
        <v>288</v>
      </c>
      <c r="BV131" s="47">
        <v>1171</v>
      </c>
      <c r="BW131" s="41">
        <v>244</v>
      </c>
      <c r="BX131" s="41">
        <v>340</v>
      </c>
      <c r="BY131" s="41">
        <v>450</v>
      </c>
      <c r="BZ131" s="41">
        <v>255</v>
      </c>
      <c r="CA131" s="501">
        <f>+SUM(BW131:BZ131)</f>
        <v>1289</v>
      </c>
      <c r="CB131" s="41">
        <v>288</v>
      </c>
      <c r="CC131" s="41">
        <v>256</v>
      </c>
      <c r="CD131" s="41">
        <v>218</v>
      </c>
      <c r="CE131" s="41">
        <v>231</v>
      </c>
      <c r="CF131" s="42">
        <f>+SUM(CB131:CE131)</f>
        <v>993</v>
      </c>
      <c r="CG131" s="41"/>
      <c r="CH131" s="41"/>
      <c r="CI131" s="41"/>
      <c r="CJ131" s="41"/>
      <c r="CK131" s="42">
        <v>1288</v>
      </c>
      <c r="CL131" s="41"/>
      <c r="CM131" s="41"/>
      <c r="CN131" s="41"/>
      <c r="CO131" s="41"/>
      <c r="CP131" s="42">
        <v>980</v>
      </c>
      <c r="CQ131" s="41">
        <f t="shared" ref="CQ131:CT131" si="468">+CQ129*CQ40</f>
        <v>250.7</v>
      </c>
      <c r="CR131" s="41">
        <f>+CR129*CR40</f>
        <v>250.7</v>
      </c>
      <c r="CS131" s="41">
        <f t="shared" si="468"/>
        <v>228.9</v>
      </c>
      <c r="CT131" s="41">
        <f t="shared" si="468"/>
        <v>250.7</v>
      </c>
      <c r="CU131" s="501">
        <f>+SUM(CQ131:CT131)</f>
        <v>981</v>
      </c>
      <c r="CV131" s="49"/>
      <c r="CW131" s="49"/>
      <c r="CX131" s="49"/>
      <c r="CY131" s="50"/>
      <c r="CZ131" s="47">
        <f>+CZ40*CZ129</f>
        <v>1039.5</v>
      </c>
      <c r="DA131" s="49"/>
      <c r="DB131" s="49"/>
      <c r="DC131" s="49"/>
      <c r="DD131" s="50"/>
      <c r="DE131" s="47">
        <f>+DE40*DE129</f>
        <v>1091.4749999999999</v>
      </c>
      <c r="DF131" s="49"/>
      <c r="DG131" s="49"/>
      <c r="DH131" s="49"/>
      <c r="DI131" s="50"/>
      <c r="DJ131" s="47">
        <f>+DJ40*DJ129</f>
        <v>1146.0487499999999</v>
      </c>
      <c r="DK131" s="403"/>
      <c r="DL131" s="404"/>
      <c r="DM131" s="809" t="s">
        <v>389</v>
      </c>
      <c r="DN131" s="809"/>
      <c r="DO131" s="1123"/>
      <c r="DP131" s="1105"/>
      <c r="DQ131" s="1054"/>
      <c r="DR131" s="1054"/>
      <c r="DS131" s="1150">
        <v>0.97</v>
      </c>
      <c r="DT131" s="1150">
        <f>(DS131+DU131)/2</f>
        <v>0.98499999999999999</v>
      </c>
      <c r="DU131" s="1150">
        <v>1</v>
      </c>
      <c r="DV131" s="809"/>
      <c r="DW131" s="809"/>
      <c r="DX131" s="809"/>
      <c r="DY131" s="404"/>
      <c r="DZ131" s="405"/>
      <c r="EA131" s="405"/>
      <c r="EB131"/>
      <c r="EC131"/>
      <c r="ED131"/>
      <c r="EE131"/>
      <c r="EF131"/>
      <c r="EG131"/>
    </row>
    <row r="132" spans="1:137" s="398" customFormat="1">
      <c r="A132" s="97" t="s">
        <v>53</v>
      </c>
      <c r="B132" s="80"/>
      <c r="C132" s="80">
        <f>C131/B131-1</f>
        <v>0.24</v>
      </c>
      <c r="D132" s="80">
        <f>D131/C131-1</f>
        <v>0.44444444444444442</v>
      </c>
      <c r="E132" s="80">
        <f>E131/D131-1</f>
        <v>0.21339950372208438</v>
      </c>
      <c r="F132" s="80">
        <f>F131/E131-1</f>
        <v>0.23721881390593058</v>
      </c>
      <c r="G132" s="80">
        <f>G131/F131-1</f>
        <v>0.22644628099173558</v>
      </c>
      <c r="H132" s="82"/>
      <c r="I132" s="82"/>
      <c r="J132" s="82"/>
      <c r="K132" s="82"/>
      <c r="L132" s="80">
        <f t="shared" ref="L132:AO132" si="469">L131/G131-1</f>
        <v>0.15363881401617241</v>
      </c>
      <c r="M132" s="82">
        <f t="shared" si="469"/>
        <v>0.24864864864864855</v>
      </c>
      <c r="N132" s="82">
        <f t="shared" si="469"/>
        <v>0.25233644859813076</v>
      </c>
      <c r="O132" s="82">
        <f t="shared" si="469"/>
        <v>0.10407239819004532</v>
      </c>
      <c r="P132" s="82">
        <f t="shared" si="469"/>
        <v>-0.11016949152542377</v>
      </c>
      <c r="Q132" s="80">
        <f t="shared" si="469"/>
        <v>0.11331775700934577</v>
      </c>
      <c r="R132" s="82">
        <f t="shared" si="469"/>
        <v>-8.2251082251082241E-2</v>
      </c>
      <c r="S132" s="82">
        <f t="shared" si="469"/>
        <v>-0.16417910447761197</v>
      </c>
      <c r="T132" s="82">
        <f t="shared" si="469"/>
        <v>-3.2786885245901676E-2</v>
      </c>
      <c r="U132" s="82">
        <f t="shared" si="469"/>
        <v>0.4285714285714286</v>
      </c>
      <c r="V132" s="80">
        <f t="shared" si="469"/>
        <v>1.9937040923399874E-2</v>
      </c>
      <c r="W132" s="83">
        <f t="shared" si="469"/>
        <v>-2.3584905660377409E-2</v>
      </c>
      <c r="X132" s="82">
        <f t="shared" si="469"/>
        <v>9.8214285714285809E-2</v>
      </c>
      <c r="Y132" s="83">
        <f t="shared" si="469"/>
        <v>0</v>
      </c>
      <c r="Z132" s="83">
        <f t="shared" si="469"/>
        <v>-6.9999999999999951E-2</v>
      </c>
      <c r="AA132" s="84">
        <f t="shared" si="469"/>
        <v>-4.1152263374485409E-3</v>
      </c>
      <c r="AB132" s="83">
        <f t="shared" si="469"/>
        <v>0.106280193236715</v>
      </c>
      <c r="AC132" s="82">
        <f t="shared" si="469"/>
        <v>0.13821138211382111</v>
      </c>
      <c r="AD132" s="82">
        <f t="shared" si="469"/>
        <v>0.13135593220338992</v>
      </c>
      <c r="AE132" s="82">
        <f t="shared" si="469"/>
        <v>2.8673835125448077E-2</v>
      </c>
      <c r="AF132" s="84">
        <f t="shared" si="469"/>
        <v>9.8140495867768518E-2</v>
      </c>
      <c r="AG132" s="83">
        <f t="shared" si="469"/>
        <v>4.366812227074246E-2</v>
      </c>
      <c r="AH132" s="82">
        <f t="shared" si="469"/>
        <v>7.1428571428571397E-2</v>
      </c>
      <c r="AI132" s="82">
        <f t="shared" si="469"/>
        <v>0.1685393258426966</v>
      </c>
      <c r="AJ132" s="82">
        <f t="shared" si="469"/>
        <v>-0.19163763066202089</v>
      </c>
      <c r="AK132" s="80">
        <f t="shared" si="469"/>
        <v>1.8814675446848561E-2</v>
      </c>
      <c r="AL132" s="82">
        <f t="shared" si="469"/>
        <v>-3.7656903765690419E-2</v>
      </c>
      <c r="AM132" s="82">
        <f>AM131/AH131-1</f>
        <v>-7.999999999999996E-2</v>
      </c>
      <c r="AN132" s="82">
        <f>AN131/AI131-1</f>
        <v>-8.9743589743589758E-2</v>
      </c>
      <c r="AO132" s="82">
        <f t="shared" si="469"/>
        <v>9.9137931034482651E-2</v>
      </c>
      <c r="AP132" s="80">
        <f t="shared" ref="AP132:AZ132" si="470">AP131/AK131-1</f>
        <v>-3.5087719298245612E-2</v>
      </c>
      <c r="AQ132" s="82">
        <f t="shared" si="470"/>
        <v>0.10434782608695659</v>
      </c>
      <c r="AR132" s="82">
        <f t="shared" si="470"/>
        <v>-0.10144927536231885</v>
      </c>
      <c r="AS132" s="82">
        <f t="shared" si="470"/>
        <v>-1.0563380281690127E-2</v>
      </c>
      <c r="AT132" s="82">
        <f t="shared" si="470"/>
        <v>3.9215686274509665E-3</v>
      </c>
      <c r="AU132" s="80">
        <f t="shared" si="470"/>
        <v>-5.741626794258381E-3</v>
      </c>
      <c r="AV132" s="82">
        <f t="shared" si="470"/>
        <v>0.13385826771653542</v>
      </c>
      <c r="AW132" s="82">
        <f t="shared" si="470"/>
        <v>4.4354838709677491E-2</v>
      </c>
      <c r="AX132" s="82">
        <f t="shared" si="470"/>
        <v>-0.17437722419928825</v>
      </c>
      <c r="AY132" s="82">
        <f t="shared" si="470"/>
        <v>3.90625E-2</v>
      </c>
      <c r="AZ132" s="80">
        <f t="shared" si="470"/>
        <v>5.7747834456207681E-3</v>
      </c>
      <c r="BA132" s="80"/>
      <c r="BB132" s="82"/>
      <c r="BC132" s="82"/>
      <c r="BD132" s="82"/>
      <c r="BE132" s="82"/>
      <c r="BF132" s="80">
        <f t="shared" ref="BF132:BM132" si="471">BF131/BA131-1</f>
        <v>-9.1819699499164908E-3</v>
      </c>
      <c r="BG132" s="82">
        <f t="shared" si="471"/>
        <v>0.1020408163265305</v>
      </c>
      <c r="BH132" s="82">
        <f t="shared" si="471"/>
        <v>-3.3898305084745228E-3</v>
      </c>
      <c r="BI132" s="82">
        <f t="shared" si="471"/>
        <v>-0.14516129032258063</v>
      </c>
      <c r="BJ132" s="82">
        <f t="shared" si="471"/>
        <v>0</v>
      </c>
      <c r="BK132" s="85">
        <f t="shared" si="471"/>
        <v>-1.347935973041281E-2</v>
      </c>
      <c r="BL132" s="82">
        <f t="shared" si="471"/>
        <v>-0.24691358024691357</v>
      </c>
      <c r="BM132" s="82">
        <f t="shared" si="471"/>
        <v>0.15646258503401356</v>
      </c>
      <c r="BN132" s="82"/>
      <c r="BO132" s="82"/>
      <c r="BP132" s="80"/>
      <c r="BQ132" s="80"/>
      <c r="BR132" s="82">
        <f>+BR131/BB131-1</f>
        <v>0.1020408163265305</v>
      </c>
      <c r="BS132" s="82">
        <f t="shared" ref="BS132" si="472">+BS131/BC131-1</f>
        <v>-3.3898305084745228E-3</v>
      </c>
      <c r="BT132" s="82">
        <f t="shared" ref="BT132" si="473">+BT131/BD131-1</f>
        <v>-0.14516129032258063</v>
      </c>
      <c r="BU132" s="82">
        <f t="shared" ref="BU132" si="474">+BU131/BE131-1</f>
        <v>0</v>
      </c>
      <c r="BV132" s="80">
        <f t="shared" ref="BV132" si="475">+BV131/BF131-1</f>
        <v>-1.347935973041281E-2</v>
      </c>
      <c r="BW132" s="82">
        <f>BW131/BR131-1</f>
        <v>-0.24691358024691357</v>
      </c>
      <c r="BX132" s="82">
        <f t="shared" ref="BX132" si="476">BX131/BS131-1</f>
        <v>0.15646258503401356</v>
      </c>
      <c r="BY132" s="82">
        <f t="shared" ref="BY132" si="477">BY131/BT131-1</f>
        <v>0.69811320754716988</v>
      </c>
      <c r="BZ132" s="82">
        <f>BZ131/BU131-1</f>
        <v>-0.11458333333333337</v>
      </c>
      <c r="CA132" s="80">
        <f>CA131/BV131-1</f>
        <v>0.10076857386848848</v>
      </c>
      <c r="CB132" s="82">
        <f>CB131/BW131-1</f>
        <v>0.18032786885245899</v>
      </c>
      <c r="CC132" s="82">
        <f t="shared" ref="CC132:CD132" si="478">CC131/BX131-1</f>
        <v>-0.24705882352941178</v>
      </c>
      <c r="CD132" s="82">
        <f t="shared" si="478"/>
        <v>-0.51555555555555554</v>
      </c>
      <c r="CE132" s="82">
        <f>CE131/BZ131-1</f>
        <v>-9.4117647058823528E-2</v>
      </c>
      <c r="CF132" s="80">
        <f>CF131/CA131-1</f>
        <v>-0.22963537626066721</v>
      </c>
      <c r="CG132" s="82"/>
      <c r="CH132" s="82"/>
      <c r="CI132" s="82"/>
      <c r="CJ132" s="82"/>
      <c r="CK132" s="80"/>
      <c r="CL132" s="82"/>
      <c r="CM132" s="82"/>
      <c r="CN132" s="82"/>
      <c r="CO132" s="82"/>
      <c r="CP132" s="80">
        <f>CP131/CK131-1</f>
        <v>-0.23913043478260865</v>
      </c>
      <c r="CQ132" s="82"/>
      <c r="CR132" s="82"/>
      <c r="CS132" s="82"/>
      <c r="CT132" s="82"/>
      <c r="CU132" s="80">
        <f>CU131/CP131-1</f>
        <v>1.0204081632652073E-3</v>
      </c>
      <c r="CV132" s="103"/>
      <c r="CW132" s="103"/>
      <c r="CX132" s="103"/>
      <c r="CY132" s="105"/>
      <c r="CZ132" s="80">
        <f>CZ131/CU131-1</f>
        <v>5.9633027522935755E-2</v>
      </c>
      <c r="DA132" s="103"/>
      <c r="DB132" s="103"/>
      <c r="DC132" s="103"/>
      <c r="DD132" s="105"/>
      <c r="DE132" s="80">
        <f>DE131/CZ131-1</f>
        <v>4.9999999999999822E-2</v>
      </c>
      <c r="DF132" s="103"/>
      <c r="DG132" s="103"/>
      <c r="DH132" s="103"/>
      <c r="DI132" s="105"/>
      <c r="DJ132" s="80">
        <f>DJ131/DE131-1</f>
        <v>5.0000000000000044E-2</v>
      </c>
      <c r="DK132" s="401"/>
      <c r="DL132" s="74"/>
      <c r="DM132" s="809"/>
      <c r="DN132" s="809"/>
      <c r="DO132" s="809"/>
      <c r="DP132" s="1105"/>
      <c r="DQ132" s="1054"/>
      <c r="DR132" s="1054"/>
      <c r="DS132" s="809"/>
      <c r="DT132" s="809"/>
      <c r="DU132" s="809"/>
      <c r="DV132" s="809"/>
      <c r="DW132" s="809"/>
      <c r="DX132" s="809"/>
      <c r="DY132" s="360"/>
      <c r="DZ132" s="167"/>
      <c r="EA132" s="167"/>
      <c r="EB132"/>
      <c r="EC132"/>
      <c r="ED132"/>
      <c r="EE132"/>
      <c r="EF132"/>
      <c r="EG132"/>
    </row>
    <row r="133" spans="1:137" s="166" customFormat="1">
      <c r="A133" s="22" t="s">
        <v>72</v>
      </c>
      <c r="B133" s="42">
        <f t="shared" ref="B133:AG133" si="479">B40-B131</f>
        <v>4576</v>
      </c>
      <c r="C133" s="42">
        <f t="shared" si="479"/>
        <v>5008</v>
      </c>
      <c r="D133" s="42">
        <f t="shared" si="479"/>
        <v>5618</v>
      </c>
      <c r="E133" s="42">
        <f t="shared" si="479"/>
        <v>5870</v>
      </c>
      <c r="F133" s="42">
        <f t="shared" si="479"/>
        <v>6215</v>
      </c>
      <c r="G133" s="42">
        <f t="shared" si="479"/>
        <v>7181</v>
      </c>
      <c r="H133" s="40">
        <f t="shared" si="479"/>
        <v>1609</v>
      </c>
      <c r="I133" s="41">
        <f t="shared" si="479"/>
        <v>1854</v>
      </c>
      <c r="J133" s="41">
        <f t="shared" si="479"/>
        <v>1992</v>
      </c>
      <c r="K133" s="40">
        <f t="shared" si="479"/>
        <v>1892</v>
      </c>
      <c r="L133" s="42">
        <f t="shared" si="479"/>
        <v>7347</v>
      </c>
      <c r="M133" s="41">
        <f t="shared" si="479"/>
        <v>1652</v>
      </c>
      <c r="N133" s="41">
        <f t="shared" si="479"/>
        <v>1934</v>
      </c>
      <c r="O133" s="41">
        <f t="shared" si="479"/>
        <v>1664</v>
      </c>
      <c r="P133" s="40">
        <f t="shared" si="479"/>
        <v>1824</v>
      </c>
      <c r="Q133" s="42">
        <f t="shared" si="479"/>
        <v>7074</v>
      </c>
      <c r="R133" s="41">
        <f t="shared" si="479"/>
        <v>1706</v>
      </c>
      <c r="S133" s="41">
        <f t="shared" si="479"/>
        <v>1832</v>
      </c>
      <c r="T133" s="41">
        <f t="shared" si="479"/>
        <v>1837</v>
      </c>
      <c r="U133" s="40">
        <f t="shared" si="479"/>
        <v>2307</v>
      </c>
      <c r="V133" s="42">
        <f t="shared" si="479"/>
        <v>7682</v>
      </c>
      <c r="W133" s="41">
        <f t="shared" si="479"/>
        <v>1706</v>
      </c>
      <c r="X133" s="41">
        <f t="shared" si="479"/>
        <v>1835</v>
      </c>
      <c r="Y133" s="41">
        <f t="shared" si="479"/>
        <v>1732</v>
      </c>
      <c r="Z133" s="40">
        <f t="shared" si="479"/>
        <v>2001</v>
      </c>
      <c r="AA133" s="42">
        <f t="shared" si="479"/>
        <v>7274</v>
      </c>
      <c r="AB133" s="41">
        <f t="shared" si="479"/>
        <v>1619</v>
      </c>
      <c r="AC133" s="41">
        <f t="shared" si="479"/>
        <v>1736</v>
      </c>
      <c r="AD133" s="41">
        <f t="shared" si="479"/>
        <v>1906</v>
      </c>
      <c r="AE133" s="40">
        <f t="shared" si="479"/>
        <v>1837</v>
      </c>
      <c r="AF133" s="42">
        <f t="shared" si="479"/>
        <v>7098</v>
      </c>
      <c r="AG133" s="40">
        <f t="shared" si="479"/>
        <v>1654</v>
      </c>
      <c r="AH133" s="41">
        <f t="shared" ref="AH133:BM133" si="480">AH40-AH131</f>
        <v>2088</v>
      </c>
      <c r="AI133" s="41">
        <f t="shared" si="480"/>
        <v>1754</v>
      </c>
      <c r="AJ133" s="40">
        <f t="shared" si="480"/>
        <v>1768</v>
      </c>
      <c r="AK133" s="47">
        <f t="shared" si="480"/>
        <v>7264</v>
      </c>
      <c r="AL133" s="41">
        <f t="shared" si="480"/>
        <v>1730</v>
      </c>
      <c r="AM133" s="41">
        <f t="shared" si="480"/>
        <v>1811</v>
      </c>
      <c r="AN133" s="41">
        <f t="shared" si="480"/>
        <v>1671</v>
      </c>
      <c r="AO133" s="40">
        <f t="shared" si="480"/>
        <v>1701</v>
      </c>
      <c r="AP133" s="47">
        <f t="shared" si="480"/>
        <v>6913</v>
      </c>
      <c r="AQ133" s="41">
        <f t="shared" si="480"/>
        <v>1605</v>
      </c>
      <c r="AR133" s="41">
        <f t="shared" si="480"/>
        <v>1600</v>
      </c>
      <c r="AS133" s="41">
        <f t="shared" si="480"/>
        <v>1753</v>
      </c>
      <c r="AT133" s="40">
        <f t="shared" si="480"/>
        <v>2068</v>
      </c>
      <c r="AU133" s="47">
        <f t="shared" si="480"/>
        <v>7026</v>
      </c>
      <c r="AV133" s="41">
        <f t="shared" si="480"/>
        <v>1666</v>
      </c>
      <c r="AW133" s="41">
        <f t="shared" si="480"/>
        <v>1770</v>
      </c>
      <c r="AX133" s="41">
        <f t="shared" si="480"/>
        <v>1698</v>
      </c>
      <c r="AY133" s="40">
        <f t="shared" si="480"/>
        <v>1862</v>
      </c>
      <c r="AZ133" s="47">
        <f t="shared" si="480"/>
        <v>6996</v>
      </c>
      <c r="BA133" s="47">
        <f t="shared" si="480"/>
        <v>8090</v>
      </c>
      <c r="BB133" s="41">
        <f t="shared" si="480"/>
        <v>1863</v>
      </c>
      <c r="BC133" s="41">
        <f t="shared" si="480"/>
        <v>1855</v>
      </c>
      <c r="BD133" s="41">
        <f t="shared" si="480"/>
        <v>1995</v>
      </c>
      <c r="BE133" s="40">
        <f t="shared" si="480"/>
        <v>2302</v>
      </c>
      <c r="BF133" s="47">
        <f t="shared" si="480"/>
        <v>8015</v>
      </c>
      <c r="BG133" s="41">
        <f t="shared" si="480"/>
        <v>1901</v>
      </c>
      <c r="BH133" s="41">
        <f t="shared" si="480"/>
        <v>1996</v>
      </c>
      <c r="BI133" s="41">
        <f t="shared" si="480"/>
        <v>1943</v>
      </c>
      <c r="BJ133" s="40">
        <f t="shared" si="480"/>
        <v>2094</v>
      </c>
      <c r="BK133" s="47">
        <f t="shared" si="480"/>
        <v>7934</v>
      </c>
      <c r="BL133" s="41">
        <f t="shared" si="480"/>
        <v>1887</v>
      </c>
      <c r="BM133" s="41">
        <f t="shared" si="480"/>
        <v>1879</v>
      </c>
      <c r="BN133" s="41"/>
      <c r="BO133" s="40"/>
      <c r="BP133" s="47"/>
      <c r="BQ133" s="47">
        <f t="shared" ref="BQ133:CC133" si="481">BQ40-BQ131</f>
        <v>8015</v>
      </c>
      <c r="BR133" s="41">
        <f t="shared" si="481"/>
        <v>1901</v>
      </c>
      <c r="BS133" s="41">
        <f t="shared" si="481"/>
        <v>1996</v>
      </c>
      <c r="BT133" s="41">
        <f t="shared" si="481"/>
        <v>1943</v>
      </c>
      <c r="BU133" s="40">
        <f t="shared" si="481"/>
        <v>2094</v>
      </c>
      <c r="BV133" s="47">
        <f t="shared" si="481"/>
        <v>7934</v>
      </c>
      <c r="BW133" s="41">
        <f t="shared" si="481"/>
        <v>1887</v>
      </c>
      <c r="BX133" s="41">
        <f t="shared" si="481"/>
        <v>1879</v>
      </c>
      <c r="BY133" s="41">
        <f t="shared" si="481"/>
        <v>1830</v>
      </c>
      <c r="BZ133" s="40">
        <f>BZ40-BZ131</f>
        <v>2524</v>
      </c>
      <c r="CA133" s="47">
        <f>CA40-CA131</f>
        <v>8120</v>
      </c>
      <c r="CB133" s="41">
        <f t="shared" si="481"/>
        <v>2073</v>
      </c>
      <c r="CC133" s="41">
        <f t="shared" si="481"/>
        <v>2157</v>
      </c>
      <c r="CD133" s="41">
        <f t="shared" ref="CD133" si="482">CD40-CD131</f>
        <v>2034</v>
      </c>
      <c r="CE133" s="40">
        <f>CE40-CE131</f>
        <v>2216</v>
      </c>
      <c r="CF133" s="47">
        <f>CF40-CF131</f>
        <v>8480</v>
      </c>
      <c r="CG133" s="41"/>
      <c r="CH133" s="41"/>
      <c r="CI133" s="41"/>
      <c r="CJ133" s="40"/>
      <c r="CK133" s="47">
        <f>CK40-CK131</f>
        <v>8330</v>
      </c>
      <c r="CL133" s="41"/>
      <c r="CM133" s="41"/>
      <c r="CN133" s="41"/>
      <c r="CO133" s="40"/>
      <c r="CP133" s="47">
        <f>CP40-CP131</f>
        <v>8629</v>
      </c>
      <c r="CQ133" s="40">
        <f t="shared" ref="CQ133:CT133" si="483">CQ40-CQ131</f>
        <v>2049.3000000000002</v>
      </c>
      <c r="CR133" s="40">
        <f>CR40-CR131</f>
        <v>2049.3000000000002</v>
      </c>
      <c r="CS133" s="40">
        <f t="shared" si="483"/>
        <v>1871.1</v>
      </c>
      <c r="CT133" s="40">
        <f t="shared" si="483"/>
        <v>2049.3000000000002</v>
      </c>
      <c r="CU133" s="47">
        <f>CU40-CU131</f>
        <v>8019</v>
      </c>
      <c r="CV133" s="49"/>
      <c r="CW133" s="49"/>
      <c r="CX133" s="49"/>
      <c r="CY133" s="50"/>
      <c r="CZ133" s="47">
        <f>CZ40-CZ131</f>
        <v>8410.5</v>
      </c>
      <c r="DA133" s="49"/>
      <c r="DB133" s="49"/>
      <c r="DC133" s="49"/>
      <c r="DD133" s="50"/>
      <c r="DE133" s="47">
        <f>DE40-DE131</f>
        <v>8831.0249999999996</v>
      </c>
      <c r="DF133" s="49"/>
      <c r="DG133" s="49"/>
      <c r="DH133" s="49"/>
      <c r="DI133" s="50"/>
      <c r="DJ133" s="47">
        <f>DJ40-DJ131</f>
        <v>9272.5762500000001</v>
      </c>
      <c r="DK133" s="403"/>
      <c r="DL133" s="404"/>
      <c r="DM133" s="809"/>
      <c r="DN133" s="809"/>
      <c r="DO133" s="1123"/>
      <c r="DP133" s="1105"/>
      <c r="DQ133" s="1054"/>
      <c r="DR133" s="1054"/>
      <c r="DS133" s="809"/>
      <c r="DT133" s="809"/>
      <c r="DU133" s="809"/>
      <c r="DV133" s="809"/>
      <c r="DW133" s="809"/>
      <c r="DX133" s="809"/>
      <c r="DY133" s="404"/>
      <c r="DZ133" s="405"/>
      <c r="EA133" s="405"/>
      <c r="EB133"/>
      <c r="EC133"/>
      <c r="ED133"/>
      <c r="EE133"/>
      <c r="EF133"/>
      <c r="EG133"/>
    </row>
    <row r="134" spans="1:137" s="398" customFormat="1">
      <c r="A134" s="97" t="s">
        <v>53</v>
      </c>
      <c r="B134" s="80"/>
      <c r="C134" s="80">
        <f>C133/B133-1</f>
        <v>9.4405594405594373E-2</v>
      </c>
      <c r="D134" s="80">
        <f>D133/C133-1</f>
        <v>0.12180511182108633</v>
      </c>
      <c r="E134" s="80">
        <f>E133/D133-1</f>
        <v>4.4855820576717775E-2</v>
      </c>
      <c r="F134" s="80">
        <f>F133/E133-1</f>
        <v>5.8773424190800672E-2</v>
      </c>
      <c r="G134" s="80">
        <f>G133/F133-1</f>
        <v>0.15543041029766691</v>
      </c>
      <c r="H134" s="82"/>
      <c r="I134" s="82"/>
      <c r="J134" s="82"/>
      <c r="K134" s="82"/>
      <c r="L134" s="80">
        <f t="shared" ref="L134:AL134" si="484">L133/G133-1</f>
        <v>2.3116557582509412E-2</v>
      </c>
      <c r="M134" s="82">
        <f t="shared" si="484"/>
        <v>2.672467371037901E-2</v>
      </c>
      <c r="N134" s="82">
        <f t="shared" si="484"/>
        <v>4.3149946062567501E-2</v>
      </c>
      <c r="O134" s="82">
        <f t="shared" si="484"/>
        <v>-0.16465863453815266</v>
      </c>
      <c r="P134" s="82">
        <f t="shared" si="484"/>
        <v>-3.5940803382663811E-2</v>
      </c>
      <c r="Q134" s="80">
        <f t="shared" si="484"/>
        <v>-3.7158023683135921E-2</v>
      </c>
      <c r="R134" s="82">
        <f t="shared" si="484"/>
        <v>3.2687651331719136E-2</v>
      </c>
      <c r="S134" s="82">
        <f t="shared" si="484"/>
        <v>-5.2740434332988584E-2</v>
      </c>
      <c r="T134" s="82">
        <f t="shared" si="484"/>
        <v>0.10396634615384626</v>
      </c>
      <c r="U134" s="82">
        <f t="shared" si="484"/>
        <v>0.26480263157894735</v>
      </c>
      <c r="V134" s="80">
        <f t="shared" si="484"/>
        <v>8.5948543963811241E-2</v>
      </c>
      <c r="W134" s="83">
        <f t="shared" si="484"/>
        <v>0</v>
      </c>
      <c r="X134" s="82">
        <f t="shared" si="484"/>
        <v>1.6375545851528006E-3</v>
      </c>
      <c r="Y134" s="83">
        <f t="shared" si="484"/>
        <v>-5.7158410451823571E-2</v>
      </c>
      <c r="Z134" s="83">
        <f t="shared" si="484"/>
        <v>-0.13263979193758124</v>
      </c>
      <c r="AA134" s="84">
        <f t="shared" si="484"/>
        <v>-5.311116896641499E-2</v>
      </c>
      <c r="AB134" s="83">
        <f t="shared" si="484"/>
        <v>-5.0996483001172321E-2</v>
      </c>
      <c r="AC134" s="82">
        <f t="shared" si="484"/>
        <v>-5.3950953678474134E-2</v>
      </c>
      <c r="AD134" s="82">
        <f t="shared" si="484"/>
        <v>0.10046189376443415</v>
      </c>
      <c r="AE134" s="82">
        <f t="shared" si="484"/>
        <v>-8.1959020489755119E-2</v>
      </c>
      <c r="AF134" s="84">
        <f t="shared" si="484"/>
        <v>-2.4195765740995356E-2</v>
      </c>
      <c r="AG134" s="83">
        <f t="shared" si="484"/>
        <v>2.1618282890673246E-2</v>
      </c>
      <c r="AH134" s="82">
        <f t="shared" si="484"/>
        <v>0.20276497695852536</v>
      </c>
      <c r="AI134" s="82">
        <f t="shared" si="484"/>
        <v>-7.9748163693599161E-2</v>
      </c>
      <c r="AJ134" s="82">
        <f t="shared" si="484"/>
        <v>-3.7561241154055569E-2</v>
      </c>
      <c r="AK134" s="80">
        <f t="shared" si="484"/>
        <v>2.3386869540715782E-2</v>
      </c>
      <c r="AL134" s="82">
        <f t="shared" si="484"/>
        <v>4.5949214026602236E-2</v>
      </c>
      <c r="AM134" s="82">
        <f t="shared" ref="AM134:AP134" si="485">AM133/AH133-1</f>
        <v>-0.1326628352490421</v>
      </c>
      <c r="AN134" s="82">
        <f t="shared" si="485"/>
        <v>-4.7320410490307885E-2</v>
      </c>
      <c r="AO134" s="82">
        <f t="shared" si="485"/>
        <v>-3.7895927601809931E-2</v>
      </c>
      <c r="AP134" s="80">
        <f t="shared" si="485"/>
        <v>-4.8320484581497847E-2</v>
      </c>
      <c r="AQ134" s="82">
        <f t="shared" ref="AQ134:AZ134" si="486">AQ133/AL133-1</f>
        <v>-7.2254335260115599E-2</v>
      </c>
      <c r="AR134" s="82">
        <f t="shared" si="486"/>
        <v>-0.11651021535063499</v>
      </c>
      <c r="AS134" s="82">
        <f t="shared" si="486"/>
        <v>4.9072411729503385E-2</v>
      </c>
      <c r="AT134" s="82">
        <f t="shared" si="486"/>
        <v>0.21575543797766028</v>
      </c>
      <c r="AU134" s="80">
        <f t="shared" si="486"/>
        <v>1.634601475480979E-2</v>
      </c>
      <c r="AV134" s="82">
        <f t="shared" si="486"/>
        <v>3.8006230529594953E-2</v>
      </c>
      <c r="AW134" s="82">
        <f t="shared" si="486"/>
        <v>0.10624999999999996</v>
      </c>
      <c r="AX134" s="82">
        <f t="shared" si="486"/>
        <v>-3.1374786081003969E-2</v>
      </c>
      <c r="AY134" s="82">
        <f t="shared" si="486"/>
        <v>-9.9613152804642113E-2</v>
      </c>
      <c r="AZ134" s="80">
        <f t="shared" si="486"/>
        <v>-4.2698548249359147E-3</v>
      </c>
      <c r="BA134" s="80"/>
      <c r="BB134" s="82"/>
      <c r="BC134" s="82"/>
      <c r="BD134" s="82"/>
      <c r="BE134" s="82"/>
      <c r="BF134" s="80">
        <f t="shared" ref="BF134:BM134" si="487">BF133/BA133-1</f>
        <v>-9.2707045735476168E-3</v>
      </c>
      <c r="BG134" s="82">
        <f t="shared" si="487"/>
        <v>2.0397208803005995E-2</v>
      </c>
      <c r="BH134" s="82">
        <f t="shared" si="487"/>
        <v>7.6010781671159044E-2</v>
      </c>
      <c r="BI134" s="82">
        <f t="shared" si="487"/>
        <v>-2.6065162907268125E-2</v>
      </c>
      <c r="BJ134" s="82">
        <f t="shared" si="487"/>
        <v>-9.0356211989574331E-2</v>
      </c>
      <c r="BK134" s="80">
        <f t="shared" si="487"/>
        <v>-1.0106051154086138E-2</v>
      </c>
      <c r="BL134" s="82">
        <f t="shared" si="487"/>
        <v>-7.3645449763282134E-3</v>
      </c>
      <c r="BM134" s="82">
        <f t="shared" si="487"/>
        <v>-5.8617234468937851E-2</v>
      </c>
      <c r="BN134" s="82"/>
      <c r="BO134" s="82"/>
      <c r="BP134" s="80"/>
      <c r="BQ134" s="80"/>
      <c r="BR134" s="82">
        <f>+BR133/BB133-1</f>
        <v>2.0397208803005995E-2</v>
      </c>
      <c r="BS134" s="82">
        <f t="shared" ref="BS134" si="488">+BS133/BC133-1</f>
        <v>7.6010781671159044E-2</v>
      </c>
      <c r="BT134" s="82">
        <f t="shared" ref="BT134" si="489">+BT133/BD133-1</f>
        <v>-2.6065162907268125E-2</v>
      </c>
      <c r="BU134" s="82">
        <f t="shared" ref="BU134" si="490">+BU133/BE133-1</f>
        <v>-9.0356211989574331E-2</v>
      </c>
      <c r="BV134" s="80">
        <f t="shared" ref="BV134" si="491">+BV133/BF133-1</f>
        <v>-1.0106051154086138E-2</v>
      </c>
      <c r="BW134" s="82">
        <f>BW133/BR133-1</f>
        <v>-7.3645449763282134E-3</v>
      </c>
      <c r="BX134" s="82">
        <f t="shared" ref="BX134" si="492">BX133/BS133-1</f>
        <v>-5.8617234468937851E-2</v>
      </c>
      <c r="BY134" s="82">
        <f t="shared" ref="BY134" si="493">BY133/BT133-1</f>
        <v>-5.815748841996915E-2</v>
      </c>
      <c r="BZ134" s="82">
        <f>BZ133/BU133-1</f>
        <v>0.20534861509073554</v>
      </c>
      <c r="CA134" s="80">
        <f>CA133/BV133-1</f>
        <v>2.3443408116964992E-2</v>
      </c>
      <c r="CB134" s="82">
        <f>CB133/BW133-1</f>
        <v>9.856915739268679E-2</v>
      </c>
      <c r="CC134" s="82">
        <f t="shared" ref="CC134:CD134" si="494">CC133/BX133-1</f>
        <v>0.14795103778605645</v>
      </c>
      <c r="CD134" s="82">
        <f t="shared" si="494"/>
        <v>0.11147540983606552</v>
      </c>
      <c r="CE134" s="82">
        <f>CE133/BZ133-1</f>
        <v>-0.12202852614896986</v>
      </c>
      <c r="CF134" s="80">
        <f>CF133/CA133-1</f>
        <v>4.4334975369458185E-2</v>
      </c>
      <c r="CG134" s="82"/>
      <c r="CH134" s="82"/>
      <c r="CI134" s="82"/>
      <c r="CJ134" s="82"/>
      <c r="CK134" s="80"/>
      <c r="CL134" s="82"/>
      <c r="CM134" s="82"/>
      <c r="CN134" s="82"/>
      <c r="CO134" s="82"/>
      <c r="CP134" s="80">
        <f>CP133/CK133-1</f>
        <v>3.5894357743097238E-2</v>
      </c>
      <c r="CQ134" s="82"/>
      <c r="CR134" s="82"/>
      <c r="CS134" s="82"/>
      <c r="CT134" s="82"/>
      <c r="CU134" s="80">
        <f>CU133/CP133-1</f>
        <v>-7.0691853053656328E-2</v>
      </c>
      <c r="CV134" s="103"/>
      <c r="CW134" s="103"/>
      <c r="CX134" s="103"/>
      <c r="CY134" s="105"/>
      <c r="CZ134" s="80">
        <f>CZ133/CU133-1</f>
        <v>4.8821548821548877E-2</v>
      </c>
      <c r="DA134" s="103"/>
      <c r="DB134" s="103"/>
      <c r="DC134" s="103"/>
      <c r="DD134" s="105"/>
      <c r="DE134" s="80">
        <f>DE133/CZ133-1</f>
        <v>5.0000000000000044E-2</v>
      </c>
      <c r="DF134" s="103"/>
      <c r="DG134" s="103"/>
      <c r="DH134" s="103"/>
      <c r="DI134" s="105"/>
      <c r="DJ134" s="80">
        <f>DJ133/DE133-1</f>
        <v>5.0000000000000044E-2</v>
      </c>
      <c r="DK134" s="401"/>
      <c r="DL134" s="74"/>
      <c r="DM134" s="809"/>
      <c r="DN134" s="408"/>
      <c r="DO134" s="809"/>
      <c r="DP134" s="1054"/>
      <c r="DQ134" s="1054"/>
      <c r="DR134" s="1054"/>
      <c r="DS134" s="809"/>
      <c r="DT134" s="809"/>
      <c r="DU134" s="809"/>
      <c r="DV134" s="809"/>
      <c r="DW134" s="809"/>
      <c r="DX134" s="809"/>
      <c r="DY134" s="360"/>
      <c r="DZ134" s="167"/>
      <c r="EA134" s="167"/>
      <c r="EB134"/>
      <c r="EC134"/>
      <c r="ED134"/>
      <c r="EE134"/>
      <c r="EF134"/>
      <c r="EG134"/>
    </row>
    <row r="135" spans="1:137" s="429" customFormat="1">
      <c r="A135" s="785" t="s">
        <v>196</v>
      </c>
      <c r="B135" s="786"/>
      <c r="C135" s="786"/>
      <c r="D135" s="786"/>
      <c r="E135" s="786"/>
      <c r="F135" s="786"/>
      <c r="G135" s="786"/>
      <c r="H135" s="787"/>
      <c r="I135" s="787"/>
      <c r="J135" s="787"/>
      <c r="K135" s="787"/>
      <c r="L135" s="786"/>
      <c r="M135" s="787"/>
      <c r="N135" s="787"/>
      <c r="O135" s="787"/>
      <c r="P135" s="787"/>
      <c r="Q135" s="786"/>
      <c r="R135" s="787"/>
      <c r="S135" s="787"/>
      <c r="T135" s="787"/>
      <c r="U135" s="787"/>
      <c r="V135" s="786"/>
      <c r="W135" s="788"/>
      <c r="X135" s="787"/>
      <c r="Y135" s="788"/>
      <c r="Z135" s="788"/>
      <c r="AA135" s="789"/>
      <c r="AB135" s="788"/>
      <c r="AC135" s="787"/>
      <c r="AD135" s="787"/>
      <c r="AE135" s="787"/>
      <c r="AF135" s="789">
        <f t="shared" ref="AF135:AZ135" si="495">AF137/AF40</f>
        <v>0.12841563533880651</v>
      </c>
      <c r="AG135" s="788">
        <f t="shared" si="495"/>
        <v>0.12361331220285261</v>
      </c>
      <c r="AH135" s="787">
        <f t="shared" si="495"/>
        <v>0.11097152428810721</v>
      </c>
      <c r="AI135" s="787">
        <f t="shared" si="495"/>
        <v>0.1558567279767667</v>
      </c>
      <c r="AJ135" s="787">
        <f t="shared" si="495"/>
        <v>0.1235</v>
      </c>
      <c r="AK135" s="786">
        <f t="shared" si="495"/>
        <v>0.12795016173475501</v>
      </c>
      <c r="AL135" s="787">
        <f t="shared" si="495"/>
        <v>0.13520408163265307</v>
      </c>
      <c r="AM135" s="787">
        <f t="shared" si="495"/>
        <v>0.15141351221849544</v>
      </c>
      <c r="AN135" s="787">
        <f t="shared" si="495"/>
        <v>0.12480818414322251</v>
      </c>
      <c r="AO135" s="787">
        <f t="shared" si="495"/>
        <v>0.12014314928425358</v>
      </c>
      <c r="AP135" s="786">
        <f t="shared" si="495"/>
        <v>0.13319929630560443</v>
      </c>
      <c r="AQ135" s="787">
        <f t="shared" si="495"/>
        <v>0.13663259817105972</v>
      </c>
      <c r="AR135" s="787">
        <f t="shared" si="495"/>
        <v>0.14880952380952381</v>
      </c>
      <c r="AS135" s="787">
        <f t="shared" si="495"/>
        <v>0.15044247787610621</v>
      </c>
      <c r="AT135" s="787">
        <f t="shared" si="495"/>
        <v>9.2082616179001722E-2</v>
      </c>
      <c r="AU135" s="786">
        <f t="shared" si="495"/>
        <v>0.1300681959082455</v>
      </c>
      <c r="AV135" s="787">
        <f t="shared" si="495"/>
        <v>0.12180143295803481</v>
      </c>
      <c r="AW135" s="787">
        <f t="shared" si="495"/>
        <v>9.0685066535239028E-2</v>
      </c>
      <c r="AX135" s="787">
        <f t="shared" si="495"/>
        <v>0.12020725388601036</v>
      </c>
      <c r="AY135" s="787">
        <f t="shared" si="495"/>
        <v>0.13439849624060152</v>
      </c>
      <c r="AZ135" s="786">
        <f t="shared" si="495"/>
        <v>0.11690088297475439</v>
      </c>
      <c r="BA135" s="786"/>
      <c r="BB135" s="787">
        <f t="shared" ref="BB135:BM135" si="496">BB137/BB40</f>
        <v>0.11312007417709782</v>
      </c>
      <c r="BC135" s="787">
        <f t="shared" si="496"/>
        <v>0.10232558139534884</v>
      </c>
      <c r="BD135" s="787">
        <f t="shared" si="496"/>
        <v>0.14533622559652928</v>
      </c>
      <c r="BE135" s="787">
        <f t="shared" si="496"/>
        <v>9.4980694980694974E-2</v>
      </c>
      <c r="BF135" s="786">
        <f t="shared" si="496"/>
        <v>0.13008041730058684</v>
      </c>
      <c r="BG135" s="787">
        <f t="shared" si="496"/>
        <v>0.12314606741573034</v>
      </c>
      <c r="BH135" s="787">
        <f t="shared" si="496"/>
        <v>9.563318777292576E-2</v>
      </c>
      <c r="BI135" s="787">
        <f t="shared" si="496"/>
        <v>0.12001811594202899</v>
      </c>
      <c r="BJ135" s="787">
        <f t="shared" si="496"/>
        <v>0.12930310663308145</v>
      </c>
      <c r="BK135" s="786">
        <f t="shared" si="496"/>
        <v>0.11707852828116419</v>
      </c>
      <c r="BL135" s="787">
        <f t="shared" si="496"/>
        <v>0.14265603003284844</v>
      </c>
      <c r="BM135" s="787">
        <f t="shared" si="496"/>
        <v>0.18702118071203244</v>
      </c>
      <c r="BN135" s="787"/>
      <c r="BO135" s="787"/>
      <c r="BP135" s="786"/>
      <c r="BQ135" s="786"/>
      <c r="BR135" s="787">
        <f t="shared" ref="BR135:CC135" si="497">BR137/BR40</f>
        <v>0.12314606741573034</v>
      </c>
      <c r="BS135" s="787">
        <f t="shared" si="497"/>
        <v>9.563318777292576E-2</v>
      </c>
      <c r="BT135" s="787">
        <f t="shared" si="497"/>
        <v>0.12001811594202899</v>
      </c>
      <c r="BU135" s="787">
        <f t="shared" si="497"/>
        <v>0.12930310663308145</v>
      </c>
      <c r="BV135" s="786">
        <f t="shared" si="497"/>
        <v>0.11707852828116419</v>
      </c>
      <c r="BW135" s="787">
        <f t="shared" si="497"/>
        <v>0.14265603003284844</v>
      </c>
      <c r="BX135" s="787">
        <f t="shared" si="497"/>
        <v>0.18702118071203244</v>
      </c>
      <c r="BY135" s="787">
        <f t="shared" si="497"/>
        <v>0.18640350877192982</v>
      </c>
      <c r="BZ135" s="787">
        <f>BZ137/BZ40</f>
        <v>0.1187477509895646</v>
      </c>
      <c r="CA135" s="786">
        <f>CA137/CA40</f>
        <v>0.1566585184397917</v>
      </c>
      <c r="CB135" s="787">
        <f t="shared" si="497"/>
        <v>0.11139347734011013</v>
      </c>
      <c r="CC135" s="787">
        <f t="shared" si="497"/>
        <v>0.10194778284293411</v>
      </c>
      <c r="CD135" s="787">
        <f t="shared" ref="CD135" si="498">CD137/CD40</f>
        <v>0.12344582593250444</v>
      </c>
      <c r="CE135" s="787">
        <f>CE137/CE40</f>
        <v>7.6011442582754399E-2</v>
      </c>
      <c r="CF135" s="786">
        <f>CF137/CF40</f>
        <v>0.10271297371476829</v>
      </c>
      <c r="CG135" s="787"/>
      <c r="CH135" s="787"/>
      <c r="CI135" s="787"/>
      <c r="CJ135" s="787"/>
      <c r="CK135" s="786">
        <f>CK137/CK40</f>
        <v>0.153150343106675</v>
      </c>
      <c r="CL135" s="787"/>
      <c r="CM135" s="787"/>
      <c r="CN135" s="787"/>
      <c r="CO135" s="787"/>
      <c r="CP135" s="786">
        <f>CP137/CP40</f>
        <v>9.9906337808304713E-2</v>
      </c>
      <c r="CQ135" s="787">
        <f t="shared" ref="CQ135:CT135" si="499">CQ137/CQ40</f>
        <v>0.109</v>
      </c>
      <c r="CR135" s="787">
        <f>CR137/CR40</f>
        <v>0.109</v>
      </c>
      <c r="CS135" s="787">
        <f t="shared" si="499"/>
        <v>0.109</v>
      </c>
      <c r="CT135" s="787">
        <f t="shared" si="499"/>
        <v>0.109</v>
      </c>
      <c r="CU135" s="786">
        <f>CU137/CU40</f>
        <v>0.109</v>
      </c>
      <c r="CV135" s="790"/>
      <c r="CW135" s="790"/>
      <c r="CX135" s="790"/>
      <c r="CY135" s="791"/>
      <c r="CZ135" s="786"/>
      <c r="DA135" s="790"/>
      <c r="DB135" s="790"/>
      <c r="DC135" s="790"/>
      <c r="DD135" s="791"/>
      <c r="DE135" s="786"/>
      <c r="DF135" s="790"/>
      <c r="DG135" s="790"/>
      <c r="DH135" s="790"/>
      <c r="DI135" s="791"/>
      <c r="DJ135" s="786"/>
      <c r="DK135" s="523"/>
      <c r="DL135" s="598"/>
      <c r="DM135" s="830"/>
      <c r="DN135" s="830"/>
      <c r="DO135" s="830"/>
      <c r="DP135" s="1056"/>
      <c r="DQ135" s="1056"/>
      <c r="DR135" s="1056"/>
      <c r="DS135" s="830"/>
      <c r="DT135" s="830"/>
      <c r="DU135" s="830"/>
      <c r="DV135" s="830"/>
      <c r="DW135" s="830"/>
      <c r="DX135" s="830"/>
      <c r="DY135" s="427"/>
      <c r="DZ135" s="428"/>
      <c r="EA135" s="428"/>
      <c r="EB135"/>
      <c r="EC135"/>
      <c r="ED135"/>
      <c r="EE135"/>
      <c r="EF135"/>
      <c r="EG135"/>
    </row>
    <row r="136" spans="1:137" s="398" customFormat="1">
      <c r="A136" s="106" t="s">
        <v>57</v>
      </c>
      <c r="B136" s="19"/>
      <c r="C136" s="253"/>
      <c r="D136" s="253"/>
      <c r="E136" s="253"/>
      <c r="F136" s="253"/>
      <c r="G136" s="253"/>
      <c r="H136" s="268"/>
      <c r="I136" s="268"/>
      <c r="J136" s="268"/>
      <c r="K136" s="268"/>
      <c r="L136" s="253"/>
      <c r="M136" s="268"/>
      <c r="N136" s="268"/>
      <c r="O136" s="268"/>
      <c r="P136" s="268"/>
      <c r="Q136" s="253"/>
      <c r="R136" s="268"/>
      <c r="S136" s="268"/>
      <c r="T136" s="268"/>
      <c r="U136" s="268"/>
      <c r="V136" s="253"/>
      <c r="W136" s="268"/>
      <c r="X136" s="268"/>
      <c r="Y136" s="268"/>
      <c r="Z136" s="268"/>
      <c r="AA136" s="253"/>
      <c r="AB136" s="268"/>
      <c r="AC136" s="268"/>
      <c r="AD136" s="268"/>
      <c r="AE136" s="268"/>
      <c r="AF136" s="253"/>
      <c r="AG136" s="254"/>
      <c r="AH136" s="255"/>
      <c r="AI136" s="255"/>
      <c r="AJ136" s="254"/>
      <c r="AK136" s="257">
        <f t="shared" ref="AK136:AP136" si="500">(AK135-AF135)*100</f>
        <v>-4.6547360405149729E-2</v>
      </c>
      <c r="AL136" s="254">
        <f t="shared" si="500"/>
        <v>1.159076942980046</v>
      </c>
      <c r="AM136" s="254">
        <f t="shared" si="500"/>
        <v>4.0441987930388237</v>
      </c>
      <c r="AN136" s="254">
        <f t="shared" si="500"/>
        <v>-3.1048543833544189</v>
      </c>
      <c r="AO136" s="254">
        <f t="shared" si="500"/>
        <v>-0.3356850715746415</v>
      </c>
      <c r="AP136" s="257">
        <f t="shared" si="500"/>
        <v>0.52491345708494119</v>
      </c>
      <c r="AQ136" s="254">
        <f t="shared" ref="AQ136:AZ136" si="501">(AQ135-AL135)*100</f>
        <v>0.14285165384066434</v>
      </c>
      <c r="AR136" s="254">
        <f t="shared" si="501"/>
        <v>-0.26039884089716359</v>
      </c>
      <c r="AS136" s="254">
        <f t="shared" si="501"/>
        <v>2.5634293732883702</v>
      </c>
      <c r="AT136" s="254">
        <f t="shared" si="501"/>
        <v>-2.8060533105251864</v>
      </c>
      <c r="AU136" s="257">
        <f t="shared" si="501"/>
        <v>-0.31311003973589213</v>
      </c>
      <c r="AV136" s="254">
        <f t="shared" si="501"/>
        <v>-1.4831165213024911</v>
      </c>
      <c r="AW136" s="254">
        <f t="shared" si="501"/>
        <v>-5.8124457274284778</v>
      </c>
      <c r="AX136" s="254">
        <f t="shared" si="501"/>
        <v>-3.0235223990095843</v>
      </c>
      <c r="AY136" s="254">
        <f t="shared" si="501"/>
        <v>4.2315880061599795</v>
      </c>
      <c r="AZ136" s="257">
        <f t="shared" si="501"/>
        <v>-1.3167312933491118</v>
      </c>
      <c r="BA136" s="257"/>
      <c r="BB136" s="254"/>
      <c r="BC136" s="254"/>
      <c r="BD136" s="254"/>
      <c r="BE136" s="254"/>
      <c r="BF136" s="257"/>
      <c r="BG136" s="254">
        <f t="shared" ref="BG136:BM136" si="502">(BG135-BB135)*100</f>
        <v>1.0025993238632513</v>
      </c>
      <c r="BH136" s="254">
        <f t="shared" si="502"/>
        <v>-0.66923936224230762</v>
      </c>
      <c r="BI136" s="254">
        <f t="shared" si="502"/>
        <v>-2.5318109654500294</v>
      </c>
      <c r="BJ136" s="254">
        <f t="shared" si="502"/>
        <v>3.4322411652386475</v>
      </c>
      <c r="BK136" s="257">
        <f t="shared" si="502"/>
        <v>-1.3001889019422648</v>
      </c>
      <c r="BL136" s="254">
        <f t="shared" si="502"/>
        <v>1.95099626171181</v>
      </c>
      <c r="BM136" s="254">
        <f t="shared" si="502"/>
        <v>9.1387992939106688</v>
      </c>
      <c r="BN136" s="254"/>
      <c r="BO136" s="254"/>
      <c r="BP136" s="257"/>
      <c r="BQ136" s="257"/>
      <c r="BR136" s="254">
        <f>(BR135-BB135)*100</f>
        <v>1.0025993238632513</v>
      </c>
      <c r="BS136" s="254">
        <f t="shared" ref="BS136" si="503">(BS135-BC135)*100</f>
        <v>-0.66923936224230762</v>
      </c>
      <c r="BT136" s="826">
        <f t="shared" ref="BT136" si="504">(BT135-BD135)*100</f>
        <v>-2.5318109654500294</v>
      </c>
      <c r="BU136" s="254">
        <f t="shared" ref="BU136" si="505">(BU135-BE135)*100</f>
        <v>3.4322411652386475</v>
      </c>
      <c r="BV136" s="257">
        <f>(BV135-BF135)*100</f>
        <v>-1.3001889019422648</v>
      </c>
      <c r="BW136" s="254">
        <f>(BW135-BR135)*100</f>
        <v>1.95099626171181</v>
      </c>
      <c r="BX136" s="254">
        <f>(BX135-BS135)*100</f>
        <v>9.1387992939106688</v>
      </c>
      <c r="BY136" s="254">
        <f>(BY135-BT135)*100</f>
        <v>6.6385392829900827</v>
      </c>
      <c r="BZ136" s="254">
        <f>(BZ135-BU135)*100</f>
        <v>-1.0555355643516853</v>
      </c>
      <c r="CA136" s="257">
        <f>(CA135-BK135)*100</f>
        <v>3.9579990158627512</v>
      </c>
      <c r="CB136" s="254">
        <f>(CB135-BW135)*100</f>
        <v>-3.1262552692738312</v>
      </c>
      <c r="CC136" s="254">
        <f>(CC135-BX135)*100</f>
        <v>-8.5073397869098333</v>
      </c>
      <c r="CD136" s="254">
        <f>(CD135-BY135)*100</f>
        <v>-6.2957682839425377</v>
      </c>
      <c r="CE136" s="254">
        <f>(CE135-BZ135)*100</f>
        <v>-4.2736308406810197</v>
      </c>
      <c r="CF136" s="257">
        <f>(CF135-BP135)*100</f>
        <v>10.271297371476829</v>
      </c>
      <c r="CG136" s="254"/>
      <c r="CH136" s="254"/>
      <c r="CI136" s="254"/>
      <c r="CJ136" s="254"/>
      <c r="CK136" s="257"/>
      <c r="CL136" s="254"/>
      <c r="CM136" s="254"/>
      <c r="CN136" s="254"/>
      <c r="CO136" s="254"/>
      <c r="CP136" s="257">
        <f>(CP135-BZ135)*100</f>
        <v>-1.8841413181259883</v>
      </c>
      <c r="CQ136" s="254"/>
      <c r="CR136" s="254"/>
      <c r="CS136" s="254"/>
      <c r="CT136" s="254"/>
      <c r="CU136" s="257">
        <f>(CU135-CP135)*100</f>
        <v>0.90936621916952864</v>
      </c>
      <c r="CV136" s="30"/>
      <c r="CW136" s="30"/>
      <c r="CX136" s="30"/>
      <c r="CY136" s="31"/>
      <c r="CZ136" s="257"/>
      <c r="DA136" s="30"/>
      <c r="DB136" s="30"/>
      <c r="DC136" s="30"/>
      <c r="DD136" s="31"/>
      <c r="DE136" s="257"/>
      <c r="DF136" s="30"/>
      <c r="DG136" s="30"/>
      <c r="DH136" s="30"/>
      <c r="DI136" s="31"/>
      <c r="DJ136" s="257"/>
      <c r="DK136" s="397"/>
      <c r="DL136" s="74"/>
      <c r="DM136" s="809"/>
      <c r="DN136" s="809"/>
      <c r="DO136" s="809"/>
      <c r="DP136" s="1054"/>
      <c r="DQ136" s="1054"/>
      <c r="DR136" s="1054"/>
      <c r="DS136" s="809"/>
      <c r="DT136" s="809"/>
      <c r="DU136" s="809"/>
      <c r="DV136" s="809"/>
      <c r="DW136" s="809"/>
      <c r="DX136" s="809"/>
      <c r="DY136" s="360"/>
      <c r="DZ136" s="167"/>
      <c r="EA136" s="167"/>
      <c r="EB136"/>
      <c r="EC136"/>
      <c r="ED136"/>
      <c r="EE136"/>
      <c r="EF136"/>
      <c r="EG136"/>
    </row>
    <row r="137" spans="1:137" s="473" customFormat="1">
      <c r="A137" s="707" t="s">
        <v>197</v>
      </c>
      <c r="B137" s="708"/>
      <c r="C137" s="708"/>
      <c r="D137" s="708"/>
      <c r="E137" s="708"/>
      <c r="F137" s="708"/>
      <c r="G137" s="708"/>
      <c r="H137" s="709"/>
      <c r="I137" s="709"/>
      <c r="J137" s="709"/>
      <c r="K137" s="709"/>
      <c r="L137" s="708"/>
      <c r="M137" s="709"/>
      <c r="N137" s="709"/>
      <c r="O137" s="709"/>
      <c r="P137" s="709"/>
      <c r="Q137" s="708"/>
      <c r="R137" s="709"/>
      <c r="S137" s="709"/>
      <c r="T137" s="709"/>
      <c r="U137" s="709"/>
      <c r="V137" s="708"/>
      <c r="W137" s="500"/>
      <c r="X137" s="709"/>
      <c r="Y137" s="500"/>
      <c r="Z137" s="500"/>
      <c r="AA137" s="501"/>
      <c r="AB137" s="500"/>
      <c r="AC137" s="709"/>
      <c r="AD137" s="709"/>
      <c r="AE137" s="709"/>
      <c r="AF137" s="501">
        <f>AF131-AF139</f>
        <v>1048</v>
      </c>
      <c r="AG137" s="500">
        <f t="shared" ref="AG137:AQ137" si="506">AG131-AG139</f>
        <v>234</v>
      </c>
      <c r="AH137" s="709">
        <f t="shared" si="506"/>
        <v>265</v>
      </c>
      <c r="AI137" s="709">
        <f t="shared" si="506"/>
        <v>322</v>
      </c>
      <c r="AJ137" s="709">
        <f t="shared" si="506"/>
        <v>247</v>
      </c>
      <c r="AK137" s="708">
        <f>AK131-AK139</f>
        <v>1068</v>
      </c>
      <c r="AL137" s="709">
        <f t="shared" si="506"/>
        <v>265</v>
      </c>
      <c r="AM137" s="709">
        <f t="shared" si="506"/>
        <v>316</v>
      </c>
      <c r="AN137" s="709">
        <f t="shared" si="506"/>
        <v>244</v>
      </c>
      <c r="AO137" s="709">
        <f t="shared" si="506"/>
        <v>235</v>
      </c>
      <c r="AP137" s="708">
        <f t="shared" si="506"/>
        <v>1060</v>
      </c>
      <c r="AQ137" s="709">
        <f t="shared" si="506"/>
        <v>254</v>
      </c>
      <c r="AR137" s="709">
        <f t="shared" ref="AR137:BF137" si="507">AR131-AR139</f>
        <v>275</v>
      </c>
      <c r="AS137" s="709">
        <f t="shared" si="507"/>
        <v>306</v>
      </c>
      <c r="AT137" s="709">
        <f t="shared" si="507"/>
        <v>214</v>
      </c>
      <c r="AU137" s="708">
        <f t="shared" si="507"/>
        <v>1049</v>
      </c>
      <c r="AV137" s="709">
        <f>AV131-AV139</f>
        <v>238</v>
      </c>
      <c r="AW137" s="709">
        <f>AW131-AW139</f>
        <v>184</v>
      </c>
      <c r="AX137" s="709">
        <f>AX131-AX139</f>
        <v>232</v>
      </c>
      <c r="AY137" s="709">
        <f>AY131-AY139</f>
        <v>286</v>
      </c>
      <c r="AZ137" s="708">
        <f>AZ131-AZ139</f>
        <v>940</v>
      </c>
      <c r="BA137" s="708"/>
      <c r="BB137" s="709">
        <f t="shared" si="507"/>
        <v>244</v>
      </c>
      <c r="BC137" s="709">
        <f t="shared" si="507"/>
        <v>220</v>
      </c>
      <c r="BD137" s="709">
        <f>BD131-BD139</f>
        <v>335</v>
      </c>
      <c r="BE137" s="709">
        <f>BE131-BE139</f>
        <v>246</v>
      </c>
      <c r="BF137" s="708">
        <f t="shared" si="507"/>
        <v>1197</v>
      </c>
      <c r="BG137" s="709">
        <f t="shared" ref="BG137:BH137" si="508">BG131-BG139</f>
        <v>274</v>
      </c>
      <c r="BH137" s="709">
        <f t="shared" si="508"/>
        <v>219</v>
      </c>
      <c r="BI137" s="709">
        <f>BI131-BI139</f>
        <v>265</v>
      </c>
      <c r="BJ137" s="709">
        <f>BJ131-BJ139</f>
        <v>308</v>
      </c>
      <c r="BK137" s="708">
        <f t="shared" ref="BK137:BM137" si="509">BK131-BK139</f>
        <v>1066</v>
      </c>
      <c r="BL137" s="709">
        <f t="shared" si="509"/>
        <v>304</v>
      </c>
      <c r="BM137" s="709">
        <f t="shared" si="509"/>
        <v>415</v>
      </c>
      <c r="BN137" s="709"/>
      <c r="BO137" s="709"/>
      <c r="BP137" s="708"/>
      <c r="BQ137" s="708"/>
      <c r="BR137" s="709">
        <f t="shared" ref="BR137:BS137" si="510">BR131-BR139</f>
        <v>274</v>
      </c>
      <c r="BS137" s="709">
        <f t="shared" si="510"/>
        <v>219</v>
      </c>
      <c r="BT137" s="709">
        <f>BT131-BT139</f>
        <v>265</v>
      </c>
      <c r="BU137" s="709">
        <f>BU131-BU139</f>
        <v>308</v>
      </c>
      <c r="BV137" s="708">
        <f t="shared" ref="BV137:BX137" si="511">BV131-BV139</f>
        <v>1066</v>
      </c>
      <c r="BW137" s="709">
        <f t="shared" si="511"/>
        <v>304</v>
      </c>
      <c r="BX137" s="709">
        <f t="shared" si="511"/>
        <v>415</v>
      </c>
      <c r="BY137" s="709">
        <f>BY131-BY139</f>
        <v>425</v>
      </c>
      <c r="BZ137" s="709">
        <f>BZ131-BZ139</f>
        <v>330</v>
      </c>
      <c r="CA137" s="708">
        <f>CA131-CA139</f>
        <v>1474</v>
      </c>
      <c r="CB137" s="709">
        <f t="shared" ref="CB137:CC137" si="512">CB131-CB139</f>
        <v>263</v>
      </c>
      <c r="CC137" s="709">
        <f t="shared" si="512"/>
        <v>246</v>
      </c>
      <c r="CD137" s="709">
        <f>CD131-CD139</f>
        <v>278</v>
      </c>
      <c r="CE137" s="709">
        <f>CE131-CE139</f>
        <v>186</v>
      </c>
      <c r="CF137" s="708">
        <f>CF131-CF139</f>
        <v>973</v>
      </c>
      <c r="CG137" s="709"/>
      <c r="CH137" s="709"/>
      <c r="CI137" s="709"/>
      <c r="CJ137" s="709"/>
      <c r="CK137" s="708">
        <f>CK131-CK139</f>
        <v>1473</v>
      </c>
      <c r="CL137" s="709"/>
      <c r="CM137" s="709"/>
      <c r="CN137" s="709"/>
      <c r="CO137" s="709"/>
      <c r="CP137" s="708">
        <f>CP131-CP139</f>
        <v>960</v>
      </c>
      <c r="CQ137" s="709">
        <f t="shared" ref="CQ137:CT137" si="513">CQ131-CQ139</f>
        <v>250.7</v>
      </c>
      <c r="CR137" s="709">
        <f>CR131-CR139</f>
        <v>250.7</v>
      </c>
      <c r="CS137" s="709">
        <f t="shared" si="513"/>
        <v>228.9</v>
      </c>
      <c r="CT137" s="709">
        <f t="shared" si="513"/>
        <v>250.7</v>
      </c>
      <c r="CU137" s="708">
        <f>CU131-CU139</f>
        <v>981</v>
      </c>
      <c r="CV137" s="710"/>
      <c r="CW137" s="710"/>
      <c r="CX137" s="710"/>
      <c r="CY137" s="711"/>
      <c r="CZ137" s="708"/>
      <c r="DA137" s="710"/>
      <c r="DB137" s="710"/>
      <c r="DC137" s="710"/>
      <c r="DD137" s="711"/>
      <c r="DE137" s="708"/>
      <c r="DF137" s="710"/>
      <c r="DG137" s="710"/>
      <c r="DH137" s="710"/>
      <c r="DI137" s="711"/>
      <c r="DJ137" s="708"/>
      <c r="DK137" s="470"/>
      <c r="DL137" s="471"/>
      <c r="DM137" s="864"/>
      <c r="DN137" s="864"/>
      <c r="DO137" s="864"/>
      <c r="DP137" s="1087"/>
      <c r="DQ137" s="1087"/>
      <c r="DR137" s="1087"/>
      <c r="DS137" s="864"/>
      <c r="DT137" s="864"/>
      <c r="DU137" s="864"/>
      <c r="DV137" s="864"/>
      <c r="DW137" s="864"/>
      <c r="DX137" s="864"/>
      <c r="DY137" s="472"/>
      <c r="DZ137" s="464"/>
      <c r="EA137" s="464"/>
      <c r="EB137"/>
      <c r="EC137"/>
      <c r="ED137"/>
      <c r="EE137"/>
      <c r="EF137"/>
      <c r="EG137"/>
    </row>
    <row r="138" spans="1:137" s="398" customFormat="1">
      <c r="A138" s="97" t="s">
        <v>53</v>
      </c>
      <c r="B138" s="80"/>
      <c r="C138" s="80"/>
      <c r="D138" s="80"/>
      <c r="E138" s="80"/>
      <c r="F138" s="80"/>
      <c r="G138" s="80"/>
      <c r="H138" s="82"/>
      <c r="I138" s="82"/>
      <c r="J138" s="82"/>
      <c r="K138" s="82"/>
      <c r="L138" s="80"/>
      <c r="M138" s="82"/>
      <c r="N138" s="82"/>
      <c r="O138" s="82"/>
      <c r="P138" s="82"/>
      <c r="Q138" s="80"/>
      <c r="R138" s="82"/>
      <c r="S138" s="82"/>
      <c r="T138" s="82"/>
      <c r="U138" s="82"/>
      <c r="V138" s="80"/>
      <c r="W138" s="83"/>
      <c r="X138" s="82"/>
      <c r="Y138" s="83"/>
      <c r="Z138" s="83"/>
      <c r="AA138" s="84"/>
      <c r="AB138" s="83"/>
      <c r="AC138" s="82"/>
      <c r="AD138" s="82"/>
      <c r="AE138" s="82"/>
      <c r="AF138" s="84"/>
      <c r="AG138" s="83"/>
      <c r="AH138" s="82"/>
      <c r="AI138" s="82"/>
      <c r="AJ138" s="82"/>
      <c r="AK138" s="80">
        <f t="shared" ref="AK138:AP138" si="514">AK137/AF137-1</f>
        <v>1.9083969465648831E-2</v>
      </c>
      <c r="AL138" s="82">
        <f t="shared" si="514"/>
        <v>0.13247863247863245</v>
      </c>
      <c r="AM138" s="82">
        <f t="shared" si="514"/>
        <v>0.1924528301886792</v>
      </c>
      <c r="AN138" s="82">
        <f t="shared" si="514"/>
        <v>-0.24223602484472051</v>
      </c>
      <c r="AO138" s="82">
        <f t="shared" si="514"/>
        <v>-4.8582995951417018E-2</v>
      </c>
      <c r="AP138" s="80">
        <f t="shared" si="514"/>
        <v>-7.4906367041198685E-3</v>
      </c>
      <c r="AQ138" s="82">
        <f t="shared" ref="AQ138:AZ138" si="515">AQ137/AL137-1</f>
        <v>-4.1509433962264142E-2</v>
      </c>
      <c r="AR138" s="82">
        <f t="shared" si="515"/>
        <v>-0.129746835443038</v>
      </c>
      <c r="AS138" s="82">
        <f t="shared" si="515"/>
        <v>0.25409836065573765</v>
      </c>
      <c r="AT138" s="82">
        <f t="shared" si="515"/>
        <v>-8.9361702127659592E-2</v>
      </c>
      <c r="AU138" s="80">
        <f t="shared" si="515"/>
        <v>-1.0377358490566091E-2</v>
      </c>
      <c r="AV138" s="82">
        <f t="shared" si="515"/>
        <v>-6.2992125984251968E-2</v>
      </c>
      <c r="AW138" s="82">
        <f t="shared" si="515"/>
        <v>-0.33090909090909093</v>
      </c>
      <c r="AX138" s="82">
        <f t="shared" si="515"/>
        <v>-0.24183006535947715</v>
      </c>
      <c r="AY138" s="82">
        <f t="shared" si="515"/>
        <v>0.33644859813084116</v>
      </c>
      <c r="AZ138" s="80">
        <f t="shared" si="515"/>
        <v>-0.10390848427073407</v>
      </c>
      <c r="BA138" s="80"/>
      <c r="BB138" s="82"/>
      <c r="BC138" s="82"/>
      <c r="BD138" s="82"/>
      <c r="BE138" s="82"/>
      <c r="BF138" s="80"/>
      <c r="BG138" s="82">
        <f>BG137/BB137-1</f>
        <v>0.12295081967213117</v>
      </c>
      <c r="BH138" s="82">
        <f t="shared" ref="BH138:BJ138" si="516">BH137/BC137-1</f>
        <v>-4.5454545454545192E-3</v>
      </c>
      <c r="BI138" s="82">
        <f t="shared" si="516"/>
        <v>-0.20895522388059706</v>
      </c>
      <c r="BJ138" s="82">
        <f t="shared" si="516"/>
        <v>0.25203252032520318</v>
      </c>
      <c r="BK138" s="80">
        <f>BK137/BF137-1</f>
        <v>-0.10944026733500423</v>
      </c>
      <c r="BL138" s="82">
        <f t="shared" ref="BL138:BM138" si="517">BL137/BG137-1</f>
        <v>0.10948905109489049</v>
      </c>
      <c r="BM138" s="82">
        <f t="shared" si="517"/>
        <v>0.89497716894977164</v>
      </c>
      <c r="BN138" s="82"/>
      <c r="BO138" s="82"/>
      <c r="BP138" s="80"/>
      <c r="BQ138" s="80"/>
      <c r="BR138" s="82">
        <f>+BR137/BB137-1</f>
        <v>0.12295081967213117</v>
      </c>
      <c r="BS138" s="82">
        <f t="shared" ref="BS138" si="518">+BS137/BC137-1</f>
        <v>-4.5454545454545192E-3</v>
      </c>
      <c r="BT138" s="82">
        <f t="shared" ref="BT138" si="519">+BT137/BD137-1</f>
        <v>-0.20895522388059706</v>
      </c>
      <c r="BU138" s="82">
        <f t="shared" ref="BU138" si="520">+BU137/BE137-1</f>
        <v>0.25203252032520318</v>
      </c>
      <c r="BV138" s="80">
        <f t="shared" ref="BV138" si="521">+BV137/BF137-1</f>
        <v>-0.10944026733500423</v>
      </c>
      <c r="BW138" s="82">
        <f t="shared" ref="BW138" si="522">BW137/BR137-1</f>
        <v>0.10948905109489049</v>
      </c>
      <c r="BX138" s="82">
        <f t="shared" ref="BX138" si="523">BX137/BS137-1</f>
        <v>0.89497716894977164</v>
      </c>
      <c r="BY138" s="82">
        <f t="shared" ref="BY138" si="524">BY137/BT137-1</f>
        <v>0.60377358490566047</v>
      </c>
      <c r="BZ138" s="82">
        <f>BZ137/BU137-1</f>
        <v>7.1428571428571397E-2</v>
      </c>
      <c r="CA138" s="80">
        <f>+CA137/BV137-1</f>
        <v>0.3827392120075046</v>
      </c>
      <c r="CB138" s="82">
        <f t="shared" ref="CB138" si="525">CB137/BW137-1</f>
        <v>-0.13486842105263153</v>
      </c>
      <c r="CC138" s="82">
        <f t="shared" ref="CC138:CD138" si="526">CC137/BX137-1</f>
        <v>-0.40722891566265063</v>
      </c>
      <c r="CD138" s="82">
        <f t="shared" si="526"/>
        <v>-0.34588235294117642</v>
      </c>
      <c r="CE138" s="82">
        <f>CE137/BZ137-1</f>
        <v>-0.4363636363636364</v>
      </c>
      <c r="CF138" s="80">
        <f>+CF137/CA137-1</f>
        <v>-0.33989145183175029</v>
      </c>
      <c r="CG138" s="82"/>
      <c r="CH138" s="82"/>
      <c r="CI138" s="82"/>
      <c r="CJ138" s="82"/>
      <c r="CK138" s="80"/>
      <c r="CL138" s="82"/>
      <c r="CM138" s="82"/>
      <c r="CN138" s="82"/>
      <c r="CO138" s="82"/>
      <c r="CP138" s="80">
        <f>+CP137/CK137-1</f>
        <v>-0.34826883910386963</v>
      </c>
      <c r="CQ138" s="82"/>
      <c r="CR138" s="82"/>
      <c r="CS138" s="82"/>
      <c r="CT138" s="82"/>
      <c r="CU138" s="80">
        <f>+CU137/CP137-1</f>
        <v>2.1875000000000089E-2</v>
      </c>
      <c r="CV138" s="103"/>
      <c r="CW138" s="103"/>
      <c r="CX138" s="103"/>
      <c r="CY138" s="105"/>
      <c r="CZ138" s="80"/>
      <c r="DA138" s="103"/>
      <c r="DB138" s="103"/>
      <c r="DC138" s="103"/>
      <c r="DD138" s="105"/>
      <c r="DE138" s="80"/>
      <c r="DF138" s="103"/>
      <c r="DG138" s="103"/>
      <c r="DH138" s="103"/>
      <c r="DI138" s="105"/>
      <c r="DJ138" s="80"/>
      <c r="DK138" s="401"/>
      <c r="DL138" s="74"/>
      <c r="DM138" s="867"/>
      <c r="DN138" s="809"/>
      <c r="DO138" s="809"/>
      <c r="DP138" s="1054"/>
      <c r="DQ138" s="1054"/>
      <c r="DR138" s="1054"/>
      <c r="DS138" s="809"/>
      <c r="DT138" s="809"/>
      <c r="DU138" s="809"/>
      <c r="DV138" s="809"/>
      <c r="DW138" s="809"/>
      <c r="DX138" s="809"/>
      <c r="DY138" s="360"/>
      <c r="DZ138" s="167"/>
      <c r="EA138" s="167"/>
      <c r="EB138"/>
      <c r="EC138"/>
      <c r="ED138"/>
      <c r="EE138"/>
      <c r="EF138"/>
      <c r="EG138"/>
    </row>
    <row r="139" spans="1:137" s="473" customFormat="1">
      <c r="A139" s="734" t="s">
        <v>189</v>
      </c>
      <c r="B139" s="462"/>
      <c r="C139" s="462"/>
      <c r="D139" s="462"/>
      <c r="E139" s="462"/>
      <c r="F139" s="462"/>
      <c r="G139" s="462"/>
      <c r="H139" s="463"/>
      <c r="I139" s="463"/>
      <c r="J139" s="463"/>
      <c r="K139" s="463"/>
      <c r="L139" s="462"/>
      <c r="M139" s="463"/>
      <c r="N139" s="463"/>
      <c r="O139" s="463"/>
      <c r="P139" s="463"/>
      <c r="Q139" s="462"/>
      <c r="R139" s="463"/>
      <c r="S139" s="463"/>
      <c r="T139" s="463"/>
      <c r="U139" s="463"/>
      <c r="V139" s="462"/>
      <c r="W139" s="464"/>
      <c r="X139" s="463"/>
      <c r="Y139" s="464"/>
      <c r="Z139" s="464"/>
      <c r="AA139" s="465"/>
      <c r="AB139" s="464"/>
      <c r="AC139" s="463"/>
      <c r="AD139" s="463"/>
      <c r="AE139" s="463"/>
      <c r="AF139" s="465">
        <v>15</v>
      </c>
      <c r="AG139" s="464">
        <v>5</v>
      </c>
      <c r="AH139" s="463">
        <v>35</v>
      </c>
      <c r="AI139" s="463">
        <v>-10</v>
      </c>
      <c r="AJ139" s="463">
        <v>-15</v>
      </c>
      <c r="AK139" s="462">
        <v>15</v>
      </c>
      <c r="AL139" s="463">
        <v>-35</v>
      </c>
      <c r="AM139" s="463">
        <v>-40</v>
      </c>
      <c r="AN139" s="463">
        <v>40</v>
      </c>
      <c r="AO139" s="463">
        <v>20</v>
      </c>
      <c r="AP139" s="462">
        <v>-15</v>
      </c>
      <c r="AQ139" s="463">
        <v>0</v>
      </c>
      <c r="AR139" s="794">
        <v>-27</v>
      </c>
      <c r="AS139" s="794">
        <v>-25</v>
      </c>
      <c r="AT139" s="794">
        <v>42</v>
      </c>
      <c r="AU139" s="838">
        <v>-10</v>
      </c>
      <c r="AV139" s="794">
        <v>50</v>
      </c>
      <c r="AW139" s="794">
        <v>75</v>
      </c>
      <c r="AX139" s="794">
        <v>0</v>
      </c>
      <c r="AY139" s="794">
        <f>+AZ139-SUM(AV139:AX139)</f>
        <v>-20</v>
      </c>
      <c r="AZ139" s="838">
        <v>105</v>
      </c>
      <c r="BA139" s="838"/>
      <c r="BB139" s="794">
        <v>50</v>
      </c>
      <c r="BC139" s="794">
        <v>75</v>
      </c>
      <c r="BD139" s="794">
        <v>-25</v>
      </c>
      <c r="BE139" s="794">
        <v>42</v>
      </c>
      <c r="BF139" s="838">
        <v>-10</v>
      </c>
      <c r="BG139" s="794">
        <v>50</v>
      </c>
      <c r="BH139" s="794">
        <v>75</v>
      </c>
      <c r="BI139" s="794">
        <v>0</v>
      </c>
      <c r="BJ139" s="794">
        <f>+BK139-SUM(BG139:BI139)</f>
        <v>-20</v>
      </c>
      <c r="BK139" s="838">
        <v>105</v>
      </c>
      <c r="BL139" s="794">
        <v>-60</v>
      </c>
      <c r="BM139" s="794">
        <f>-135-BL139</f>
        <v>-75</v>
      </c>
      <c r="BN139" s="794"/>
      <c r="BO139" s="82"/>
      <c r="BP139" s="462"/>
      <c r="BQ139" s="838"/>
      <c r="BR139" s="794">
        <v>50</v>
      </c>
      <c r="BS139" s="794">
        <v>75</v>
      </c>
      <c r="BT139" s="794">
        <v>0</v>
      </c>
      <c r="BU139" s="794">
        <f>+BV139-SUM(BR139:BT139)</f>
        <v>-20</v>
      </c>
      <c r="BV139" s="838">
        <v>105</v>
      </c>
      <c r="BW139" s="794">
        <v>-60</v>
      </c>
      <c r="BX139" s="794">
        <f>-135-BW139</f>
        <v>-75</v>
      </c>
      <c r="BY139" s="794">
        <f>-110-BX139-BW139</f>
        <v>25</v>
      </c>
      <c r="BZ139" s="794">
        <f>-185-SUM(BW139:BY139)</f>
        <v>-75</v>
      </c>
      <c r="CA139" s="838">
        <f>+SUM(BW139:BZ139)</f>
        <v>-185</v>
      </c>
      <c r="CB139" s="794">
        <v>25</v>
      </c>
      <c r="CC139" s="1064">
        <v>10</v>
      </c>
      <c r="CD139" s="584">
        <v>-60</v>
      </c>
      <c r="CE139" s="584">
        <f>20-CD139-CC139-CB139</f>
        <v>45</v>
      </c>
      <c r="CF139" s="585">
        <f>+SUM(CB139:CE139)</f>
        <v>20</v>
      </c>
      <c r="CG139" s="794"/>
      <c r="CH139" s="794"/>
      <c r="CI139" s="794"/>
      <c r="CJ139" s="794"/>
      <c r="CK139" s="585">
        <v>-185</v>
      </c>
      <c r="CL139" s="794"/>
      <c r="CM139" s="1064"/>
      <c r="CN139" s="584"/>
      <c r="CO139" s="584"/>
      <c r="CP139" s="838">
        <v>20</v>
      </c>
      <c r="CQ139" s="1024">
        <v>0</v>
      </c>
      <c r="CR139" s="1024">
        <v>0</v>
      </c>
      <c r="CS139" s="1024">
        <v>0</v>
      </c>
      <c r="CT139" s="1024">
        <v>0</v>
      </c>
      <c r="CU139" s="838">
        <f>+SUM(CQ139:CT139)</f>
        <v>0</v>
      </c>
      <c r="CV139" s="468"/>
      <c r="CW139" s="468"/>
      <c r="CX139" s="468"/>
      <c r="CY139" s="469"/>
      <c r="CZ139" s="462"/>
      <c r="DA139" s="468"/>
      <c r="DB139" s="468"/>
      <c r="DC139" s="468"/>
      <c r="DD139" s="469"/>
      <c r="DE139" s="462"/>
      <c r="DF139" s="468"/>
      <c r="DG139" s="468"/>
      <c r="DH139" s="468"/>
      <c r="DI139" s="469"/>
      <c r="DJ139" s="462"/>
      <c r="DK139" s="470"/>
      <c r="DL139" s="471"/>
      <c r="DM139" s="864"/>
      <c r="DN139" s="864"/>
      <c r="DO139" s="864"/>
      <c r="DP139" s="1087"/>
      <c r="DQ139" s="1087"/>
      <c r="DR139" s="1087"/>
      <c r="DS139" s="864"/>
      <c r="DT139" s="864"/>
      <c r="DU139" s="864"/>
      <c r="DV139" s="864"/>
      <c r="DW139" s="864"/>
      <c r="DX139" s="864"/>
      <c r="DY139" s="472"/>
      <c r="DZ139" s="464"/>
      <c r="EA139" s="464"/>
      <c r="EB139"/>
      <c r="EC139"/>
      <c r="ED139"/>
      <c r="EE139"/>
      <c r="EF139"/>
      <c r="EG139"/>
    </row>
    <row r="140" spans="1:137" s="429" customFormat="1">
      <c r="A140" s="784" t="s">
        <v>198</v>
      </c>
      <c r="B140" s="562"/>
      <c r="C140" s="562"/>
      <c r="D140" s="562"/>
      <c r="E140" s="562"/>
      <c r="F140" s="562"/>
      <c r="G140" s="562"/>
      <c r="H140" s="543"/>
      <c r="I140" s="543"/>
      <c r="J140" s="543"/>
      <c r="K140" s="543"/>
      <c r="L140" s="562"/>
      <c r="M140" s="543"/>
      <c r="N140" s="543"/>
      <c r="O140" s="543"/>
      <c r="P140" s="543"/>
      <c r="Q140" s="562"/>
      <c r="R140" s="543"/>
      <c r="S140" s="543"/>
      <c r="T140" s="543"/>
      <c r="U140" s="543"/>
      <c r="V140" s="562"/>
      <c r="W140" s="428"/>
      <c r="X140" s="543"/>
      <c r="Y140" s="428"/>
      <c r="Z140" s="428"/>
      <c r="AA140" s="522"/>
      <c r="AB140" s="428"/>
      <c r="AC140" s="543"/>
      <c r="AD140" s="543"/>
      <c r="AE140" s="543"/>
      <c r="AF140" s="522">
        <f t="shared" ref="AF140:AR140" si="527">AF139/AF131</f>
        <v>1.4111006585136407E-2</v>
      </c>
      <c r="AG140" s="428">
        <f t="shared" si="527"/>
        <v>2.0920502092050208E-2</v>
      </c>
      <c r="AH140" s="543">
        <f t="shared" si="527"/>
        <v>0.11666666666666667</v>
      </c>
      <c r="AI140" s="543">
        <f t="shared" si="527"/>
        <v>-3.2051282051282048E-2</v>
      </c>
      <c r="AJ140" s="543">
        <f t="shared" si="527"/>
        <v>-6.4655172413793108E-2</v>
      </c>
      <c r="AK140" s="562">
        <f t="shared" si="527"/>
        <v>1.3850415512465374E-2</v>
      </c>
      <c r="AL140" s="543">
        <f t="shared" si="527"/>
        <v>-0.15217391304347827</v>
      </c>
      <c r="AM140" s="543">
        <f t="shared" si="527"/>
        <v>-0.14492753623188406</v>
      </c>
      <c r="AN140" s="543">
        <f t="shared" si="527"/>
        <v>0.14084507042253522</v>
      </c>
      <c r="AO140" s="543">
        <f t="shared" si="527"/>
        <v>7.8431372549019607E-2</v>
      </c>
      <c r="AP140" s="562">
        <f t="shared" si="527"/>
        <v>-1.4354066985645933E-2</v>
      </c>
      <c r="AQ140" s="543">
        <f t="shared" si="527"/>
        <v>0</v>
      </c>
      <c r="AR140" s="543">
        <f t="shared" si="527"/>
        <v>-0.10887096774193548</v>
      </c>
      <c r="AS140" s="543">
        <f t="shared" ref="AS140:BF140" si="528">AS139/AS131</f>
        <v>-8.8967971530249115E-2</v>
      </c>
      <c r="AT140" s="543">
        <f t="shared" si="528"/>
        <v>0.1640625</v>
      </c>
      <c r="AU140" s="562">
        <f t="shared" si="528"/>
        <v>-9.6246390760346481E-3</v>
      </c>
      <c r="AV140" s="543">
        <f>AV139/AV131</f>
        <v>0.1736111111111111</v>
      </c>
      <c r="AW140" s="543">
        <f>AW139/AW131</f>
        <v>0.28957528957528955</v>
      </c>
      <c r="AX140" s="543">
        <f>AX139/AX131</f>
        <v>0</v>
      </c>
      <c r="AY140" s="543">
        <f>AY139/AY131</f>
        <v>-7.5187969924812026E-2</v>
      </c>
      <c r="AZ140" s="562">
        <f>AZ139/AZ131</f>
        <v>0.10047846889952153</v>
      </c>
      <c r="BA140" s="562"/>
      <c r="BB140" s="543">
        <f t="shared" si="528"/>
        <v>0.17006802721088435</v>
      </c>
      <c r="BC140" s="543">
        <f t="shared" si="528"/>
        <v>0.25423728813559321</v>
      </c>
      <c r="BD140" s="543">
        <f t="shared" si="528"/>
        <v>-8.0645161290322578E-2</v>
      </c>
      <c r="BE140" s="543">
        <f>BE139/BE131</f>
        <v>0.14583333333333334</v>
      </c>
      <c r="BF140" s="562">
        <f t="shared" si="528"/>
        <v>-8.4245998315080027E-3</v>
      </c>
      <c r="BG140" s="543">
        <f t="shared" ref="BG140:BI140" si="529">BG139/BG131</f>
        <v>0.15432098765432098</v>
      </c>
      <c r="BH140" s="543">
        <f t="shared" si="529"/>
        <v>0.25510204081632654</v>
      </c>
      <c r="BI140" s="543">
        <f t="shared" si="529"/>
        <v>0</v>
      </c>
      <c r="BJ140" s="543">
        <f>BJ139/BJ131</f>
        <v>-6.9444444444444448E-2</v>
      </c>
      <c r="BK140" s="562">
        <f t="shared" ref="BK140:BM140" si="530">BK139/BK131</f>
        <v>8.9666951323655E-2</v>
      </c>
      <c r="BL140" s="543">
        <f t="shared" si="530"/>
        <v>-0.24590163934426229</v>
      </c>
      <c r="BM140" s="543">
        <f t="shared" si="530"/>
        <v>-0.22058823529411764</v>
      </c>
      <c r="BN140" s="543"/>
      <c r="BO140" s="543"/>
      <c r="BP140" s="562"/>
      <c r="BQ140" s="562"/>
      <c r="BR140" s="543">
        <f t="shared" ref="BR140:BT140" si="531">BR139/BR131</f>
        <v>0.15432098765432098</v>
      </c>
      <c r="BS140" s="543">
        <f t="shared" si="531"/>
        <v>0.25510204081632654</v>
      </c>
      <c r="BT140" s="543">
        <f t="shared" si="531"/>
        <v>0</v>
      </c>
      <c r="BU140" s="543">
        <f>BU139/BU131</f>
        <v>-6.9444444444444448E-2</v>
      </c>
      <c r="BV140" s="562">
        <f t="shared" ref="BV140:BY140" si="532">BV139/BV131</f>
        <v>8.9666951323655E-2</v>
      </c>
      <c r="BW140" s="543">
        <f t="shared" si="532"/>
        <v>-0.24590163934426229</v>
      </c>
      <c r="BX140" s="543">
        <f t="shared" si="532"/>
        <v>-0.22058823529411764</v>
      </c>
      <c r="BY140" s="543">
        <f t="shared" si="532"/>
        <v>5.5555555555555552E-2</v>
      </c>
      <c r="BZ140" s="543">
        <f>BZ139/BZ131</f>
        <v>-0.29411764705882354</v>
      </c>
      <c r="CA140" s="562">
        <f>CA139/CA131</f>
        <v>-0.14352211016291699</v>
      </c>
      <c r="CB140" s="543">
        <f t="shared" ref="CB140:CD140" si="533">CB139/CB131</f>
        <v>8.6805555555555552E-2</v>
      </c>
      <c r="CC140" s="543">
        <f t="shared" si="533"/>
        <v>3.90625E-2</v>
      </c>
      <c r="CD140" s="543">
        <f t="shared" si="533"/>
        <v>-0.27522935779816515</v>
      </c>
      <c r="CE140" s="543">
        <f>CE139/CE131</f>
        <v>0.19480519480519481</v>
      </c>
      <c r="CF140" s="562">
        <f>CF139/CF131</f>
        <v>2.014098690835851E-2</v>
      </c>
      <c r="CG140" s="543"/>
      <c r="CH140" s="543"/>
      <c r="CI140" s="543"/>
      <c r="CJ140" s="543"/>
      <c r="CK140" s="562">
        <f>CK139/CK131</f>
        <v>-0.14363354037267081</v>
      </c>
      <c r="CL140" s="543"/>
      <c r="CM140" s="543"/>
      <c r="CN140" s="543"/>
      <c r="CO140" s="543"/>
      <c r="CP140" s="562">
        <f>CP139/CP131</f>
        <v>2.0408163265306121E-2</v>
      </c>
      <c r="CQ140" s="543">
        <f t="shared" ref="CQ140:CT140" si="534">CQ139/CQ131</f>
        <v>0</v>
      </c>
      <c r="CR140" s="543">
        <f t="shared" si="534"/>
        <v>0</v>
      </c>
      <c r="CS140" s="543">
        <f t="shared" si="534"/>
        <v>0</v>
      </c>
      <c r="CT140" s="543">
        <f t="shared" si="534"/>
        <v>0</v>
      </c>
      <c r="CU140" s="562">
        <f t="shared" ref="CU140" si="535">CU139/CU131</f>
        <v>0</v>
      </c>
      <c r="CV140" s="524"/>
      <c r="CW140" s="524"/>
      <c r="CX140" s="524"/>
      <c r="CY140" s="525"/>
      <c r="CZ140" s="562"/>
      <c r="DA140" s="524"/>
      <c r="DB140" s="524"/>
      <c r="DC140" s="524"/>
      <c r="DD140" s="525"/>
      <c r="DE140" s="562"/>
      <c r="DF140" s="524"/>
      <c r="DG140" s="524"/>
      <c r="DH140" s="524"/>
      <c r="DI140" s="525"/>
      <c r="DJ140" s="562"/>
      <c r="DK140" s="523"/>
      <c r="DL140" s="598"/>
      <c r="DM140" s="830"/>
      <c r="DN140" s="830"/>
      <c r="DO140" s="830"/>
      <c r="DP140" s="1056"/>
      <c r="DQ140" s="1056"/>
      <c r="DR140" s="1056"/>
      <c r="DS140" s="830"/>
      <c r="DT140" s="830"/>
      <c r="DU140" s="830"/>
      <c r="DV140" s="830"/>
      <c r="DW140" s="830"/>
      <c r="DX140" s="830"/>
      <c r="DY140" s="427"/>
      <c r="DZ140" s="428"/>
      <c r="EA140" s="428"/>
      <c r="EB140"/>
      <c r="EC140"/>
      <c r="ED140"/>
      <c r="EE140"/>
      <c r="EF140"/>
      <c r="EG140"/>
    </row>
    <row r="141" spans="1:137" s="166" customFormat="1" ht="11.25" hidden="1" customHeight="1" outlineLevel="1">
      <c r="A141" s="59" t="s">
        <v>64</v>
      </c>
      <c r="B141" s="108">
        <f t="shared" ref="B141:AA141" si="536">B143/B48</f>
        <v>0.10100259933160044</v>
      </c>
      <c r="C141" s="108">
        <f t="shared" si="536"/>
        <v>0.10074841681059298</v>
      </c>
      <c r="D141" s="108">
        <f t="shared" si="536"/>
        <v>9.5428762095428762E-2</v>
      </c>
      <c r="E141" s="108">
        <f t="shared" si="536"/>
        <v>9.9599136601911817E-2</v>
      </c>
      <c r="F141" s="108">
        <f t="shared" si="536"/>
        <v>0.10987666904494954</v>
      </c>
      <c r="G141" s="108">
        <f t="shared" si="536"/>
        <v>0.12016351364198118</v>
      </c>
      <c r="H141" s="107">
        <f t="shared" si="536"/>
        <v>0.12604373757455267</v>
      </c>
      <c r="I141" s="107">
        <f t="shared" si="536"/>
        <v>0.13221728732490604</v>
      </c>
      <c r="J141" s="107">
        <f t="shared" si="536"/>
        <v>0.12239122744959322</v>
      </c>
      <c r="K141" s="107">
        <f t="shared" si="536"/>
        <v>0.12526096033402923</v>
      </c>
      <c r="L141" s="108">
        <f t="shared" si="536"/>
        <v>0.12653683927129139</v>
      </c>
      <c r="M141" s="107">
        <f t="shared" si="536"/>
        <v>0.13122983148081749</v>
      </c>
      <c r="N141" s="107">
        <f t="shared" si="536"/>
        <v>0.13214862681744749</v>
      </c>
      <c r="O141" s="107">
        <f t="shared" si="536"/>
        <v>0.12990720913633119</v>
      </c>
      <c r="P141" s="107">
        <f t="shared" si="536"/>
        <v>0.12576687116564417</v>
      </c>
      <c r="Q141" s="108">
        <f t="shared" si="536"/>
        <v>0.129776247848537</v>
      </c>
      <c r="R141" s="107">
        <f t="shared" si="536"/>
        <v>0.13388259526261587</v>
      </c>
      <c r="S141" s="107">
        <f t="shared" si="536"/>
        <v>0.1251840942562592</v>
      </c>
      <c r="T141" s="107">
        <f t="shared" si="536"/>
        <v>0.12415488629379226</v>
      </c>
      <c r="U141" s="107">
        <f t="shared" si="536"/>
        <v>0.11604738826063543</v>
      </c>
      <c r="V141" s="108">
        <f t="shared" si="536"/>
        <v>0.12428442301898163</v>
      </c>
      <c r="W141" s="107">
        <f t="shared" si="536"/>
        <v>0.11661538461538462</v>
      </c>
      <c r="X141" s="107">
        <f t="shared" si="536"/>
        <v>0.12478777589134125</v>
      </c>
      <c r="Y141" s="107">
        <f t="shared" si="536"/>
        <v>0.1203599550056243</v>
      </c>
      <c r="Z141" s="107">
        <f t="shared" si="536"/>
        <v>0.12216404886561955</v>
      </c>
      <c r="AA141" s="108">
        <f t="shared" si="536"/>
        <v>0.12110654309804195</v>
      </c>
      <c r="AB141" s="107"/>
      <c r="AC141" s="107"/>
      <c r="AD141" s="107"/>
      <c r="AE141" s="107"/>
      <c r="AF141" s="108"/>
      <c r="AG141" s="107"/>
      <c r="AH141" s="107"/>
      <c r="AI141" s="107"/>
      <c r="AJ141" s="107"/>
      <c r="AK141" s="108"/>
      <c r="AL141" s="107"/>
      <c r="AM141" s="107"/>
      <c r="AN141" s="109"/>
      <c r="AO141" s="109"/>
      <c r="AP141" s="108"/>
      <c r="AQ141" s="113"/>
      <c r="AR141" s="107"/>
      <c r="AS141" s="109"/>
      <c r="AT141" s="109"/>
      <c r="AU141" s="108"/>
      <c r="AV141" s="113"/>
      <c r="AW141" s="107"/>
      <c r="AX141" s="109"/>
      <c r="AY141" s="109"/>
      <c r="AZ141" s="108"/>
      <c r="BA141" s="108"/>
      <c r="BB141" s="113"/>
      <c r="BC141" s="107"/>
      <c r="BD141" s="109"/>
      <c r="BE141" s="109"/>
      <c r="BF141" s="108"/>
      <c r="BG141" s="113"/>
      <c r="BH141" s="107"/>
      <c r="BI141" s="109"/>
      <c r="BJ141" s="109"/>
      <c r="BK141" s="108"/>
      <c r="BL141" s="113"/>
      <c r="BM141" s="107"/>
      <c r="BN141" s="109"/>
      <c r="BO141" s="109"/>
      <c r="BP141" s="110"/>
      <c r="BQ141" s="108"/>
      <c r="BR141" s="113"/>
      <c r="BS141" s="107"/>
      <c r="BT141" s="109"/>
      <c r="BU141" s="109"/>
      <c r="BV141" s="108"/>
      <c r="BW141" s="113"/>
      <c r="BX141" s="107"/>
      <c r="BY141" s="109"/>
      <c r="BZ141" s="109"/>
      <c r="CA141" s="110"/>
      <c r="CB141" s="113"/>
      <c r="CC141" s="107"/>
      <c r="CD141" s="109"/>
      <c r="CE141" s="109"/>
      <c r="CF141" s="110"/>
      <c r="CG141" s="113"/>
      <c r="CH141" s="107"/>
      <c r="CI141" s="109"/>
      <c r="CJ141" s="109"/>
      <c r="CK141" s="110"/>
      <c r="CL141" s="113"/>
      <c r="CM141" s="107"/>
      <c r="CN141" s="109"/>
      <c r="CO141" s="109"/>
      <c r="CP141" s="110"/>
      <c r="CQ141" s="109"/>
      <c r="CR141" s="109"/>
      <c r="CS141" s="109"/>
      <c r="CT141" s="111"/>
      <c r="CU141" s="110"/>
      <c r="CV141" s="109"/>
      <c r="CW141" s="109"/>
      <c r="CX141" s="109"/>
      <c r="CY141" s="111"/>
      <c r="CZ141" s="110"/>
      <c r="DA141" s="109"/>
      <c r="DB141" s="109"/>
      <c r="DC141" s="109"/>
      <c r="DD141" s="111"/>
      <c r="DE141" s="110"/>
      <c r="DF141" s="109"/>
      <c r="DG141" s="109"/>
      <c r="DH141" s="109"/>
      <c r="DI141" s="111"/>
      <c r="DJ141" s="110"/>
      <c r="DK141" s="403"/>
      <c r="DL141" s="404"/>
      <c r="DM141" s="809"/>
      <c r="DN141" s="809"/>
      <c r="DO141" s="809"/>
      <c r="DP141" s="1054"/>
      <c r="DQ141" s="1054"/>
      <c r="DR141" s="1054"/>
      <c r="DS141" s="809"/>
      <c r="DT141" s="809"/>
      <c r="DU141" s="809"/>
      <c r="DV141" s="809"/>
      <c r="DW141" s="809"/>
      <c r="DX141" s="809"/>
      <c r="DY141" s="404"/>
      <c r="DZ141" s="405"/>
      <c r="EA141" s="405"/>
      <c r="EB141"/>
      <c r="EC141"/>
      <c r="ED141"/>
      <c r="EE141"/>
      <c r="EF141"/>
      <c r="EG141"/>
    </row>
    <row r="142" spans="1:137" s="398" customFormat="1" ht="11.25" hidden="1" customHeight="1" outlineLevel="1">
      <c r="A142" s="106" t="s">
        <v>57</v>
      </c>
      <c r="B142" s="80"/>
      <c r="C142" s="253">
        <f>(C141-B141)*100</f>
        <v>-2.5418252100746497E-2</v>
      </c>
      <c r="D142" s="253">
        <f>(D141-C141)*100</f>
        <v>-0.53196547151642126</v>
      </c>
      <c r="E142" s="253">
        <f>(E141-D141)*100</f>
        <v>0.41703745064830544</v>
      </c>
      <c r="F142" s="253">
        <f>(F141-E141)*100</f>
        <v>1.0277532443037725</v>
      </c>
      <c r="G142" s="253">
        <f>(G141-F141)*100</f>
        <v>1.0286844597031637</v>
      </c>
      <c r="H142" s="268"/>
      <c r="I142" s="268"/>
      <c r="J142" s="268"/>
      <c r="K142" s="268"/>
      <c r="L142" s="253">
        <f t="shared" ref="L142:AA142" si="537">(L141-G141)*100</f>
        <v>0.63733256293102136</v>
      </c>
      <c r="M142" s="268">
        <f t="shared" si="537"/>
        <v>0.51860939062648159</v>
      </c>
      <c r="N142" s="268">
        <f t="shared" si="537"/>
        <v>-6.8660507458545572E-3</v>
      </c>
      <c r="O142" s="268">
        <f t="shared" si="537"/>
        <v>0.7515981686737977</v>
      </c>
      <c r="P142" s="268">
        <f t="shared" si="537"/>
        <v>5.0591083161494188E-2</v>
      </c>
      <c r="Q142" s="253">
        <f t="shared" si="537"/>
        <v>0.32394085772456116</v>
      </c>
      <c r="R142" s="268">
        <f t="shared" si="537"/>
        <v>0.26527637817983785</v>
      </c>
      <c r="S142" s="268">
        <f t="shared" si="537"/>
        <v>-0.69645325611882858</v>
      </c>
      <c r="T142" s="268">
        <f t="shared" si="537"/>
        <v>-0.57523228425389317</v>
      </c>
      <c r="U142" s="268">
        <f t="shared" si="537"/>
        <v>-0.97194829050087361</v>
      </c>
      <c r="V142" s="253">
        <f t="shared" si="537"/>
        <v>-0.54918248295553751</v>
      </c>
      <c r="W142" s="268">
        <f t="shared" si="537"/>
        <v>-1.7267210647231246</v>
      </c>
      <c r="X142" s="268">
        <f t="shared" si="537"/>
        <v>-3.9631836491794969E-2</v>
      </c>
      <c r="Y142" s="268">
        <f t="shared" si="537"/>
        <v>-0.37949312881679631</v>
      </c>
      <c r="Z142" s="268">
        <f t="shared" si="537"/>
        <v>0.61166606049841143</v>
      </c>
      <c r="AA142" s="253">
        <f t="shared" si="537"/>
        <v>-0.31778799209396802</v>
      </c>
      <c r="AB142" s="268"/>
      <c r="AC142" s="268"/>
      <c r="AD142" s="268"/>
      <c r="AE142" s="268"/>
      <c r="AF142" s="253"/>
      <c r="AG142" s="268"/>
      <c r="AH142" s="268"/>
      <c r="AI142" s="268"/>
      <c r="AJ142" s="268"/>
      <c r="AK142" s="253"/>
      <c r="AL142" s="268"/>
      <c r="AM142" s="268"/>
      <c r="AN142" s="268"/>
      <c r="AO142" s="268"/>
      <c r="AP142" s="253"/>
      <c r="AQ142" s="491"/>
      <c r="AR142" s="268"/>
      <c r="AS142" s="268"/>
      <c r="AT142" s="268"/>
      <c r="AU142" s="253"/>
      <c r="AV142" s="491"/>
      <c r="AW142" s="268"/>
      <c r="AX142" s="268"/>
      <c r="AY142" s="268"/>
      <c r="AZ142" s="253"/>
      <c r="BA142" s="253"/>
      <c r="BB142" s="491"/>
      <c r="BC142" s="268"/>
      <c r="BD142" s="268"/>
      <c r="BE142" s="268"/>
      <c r="BF142" s="253"/>
      <c r="BG142" s="491"/>
      <c r="BH142" s="268"/>
      <c r="BI142" s="268"/>
      <c r="BJ142" s="268"/>
      <c r="BK142" s="253"/>
      <c r="BL142" s="491"/>
      <c r="BM142" s="268"/>
      <c r="BN142" s="268"/>
      <c r="BO142" s="268"/>
      <c r="BP142" s="253"/>
      <c r="BQ142" s="253"/>
      <c r="BR142" s="491"/>
      <c r="BS142" s="268"/>
      <c r="BT142" s="268"/>
      <c r="BU142" s="268"/>
      <c r="BV142" s="253"/>
      <c r="BW142" s="491"/>
      <c r="BX142" s="268"/>
      <c r="BY142" s="268"/>
      <c r="BZ142" s="268"/>
      <c r="CA142" s="253"/>
      <c r="CB142" s="491"/>
      <c r="CC142" s="268"/>
      <c r="CD142" s="268"/>
      <c r="CE142" s="268"/>
      <c r="CF142" s="253"/>
      <c r="CG142" s="491"/>
      <c r="CH142" s="268"/>
      <c r="CI142" s="268"/>
      <c r="CJ142" s="268"/>
      <c r="CK142" s="253"/>
      <c r="CL142" s="491"/>
      <c r="CM142" s="268"/>
      <c r="CN142" s="268"/>
      <c r="CO142" s="268"/>
      <c r="CP142" s="253"/>
      <c r="CQ142" s="103"/>
      <c r="CR142" s="103"/>
      <c r="CS142" s="103"/>
      <c r="CT142" s="105"/>
      <c r="CU142" s="253"/>
      <c r="CV142" s="103"/>
      <c r="CW142" s="103"/>
      <c r="CX142" s="103"/>
      <c r="CY142" s="105"/>
      <c r="CZ142" s="253"/>
      <c r="DA142" s="103"/>
      <c r="DB142" s="103"/>
      <c r="DC142" s="103"/>
      <c r="DD142" s="105"/>
      <c r="DE142" s="253"/>
      <c r="DF142" s="103"/>
      <c r="DG142" s="103"/>
      <c r="DH142" s="103"/>
      <c r="DI142" s="105"/>
      <c r="DJ142" s="253"/>
      <c r="DK142" s="397"/>
      <c r="DL142" s="74"/>
      <c r="DM142" s="809"/>
      <c r="DN142" s="809"/>
      <c r="DO142" s="809"/>
      <c r="DP142" s="1054"/>
      <c r="DQ142" s="1054"/>
      <c r="DR142" s="1054"/>
      <c r="DS142" s="809"/>
      <c r="DT142" s="809"/>
      <c r="DU142" s="809"/>
      <c r="DV142" s="809"/>
      <c r="DW142" s="809"/>
      <c r="DX142" s="809"/>
      <c r="DY142" s="360"/>
      <c r="DZ142" s="167"/>
      <c r="EA142" s="167"/>
      <c r="EB142"/>
      <c r="EC142"/>
      <c r="ED142"/>
      <c r="EE142"/>
      <c r="EF142"/>
      <c r="EG142"/>
    </row>
    <row r="143" spans="1:137" s="166" customFormat="1" ht="11.25" hidden="1" customHeight="1" outlineLevel="1">
      <c r="A143" s="405" t="s">
        <v>65</v>
      </c>
      <c r="B143" s="501">
        <v>816</v>
      </c>
      <c r="C143" s="501">
        <v>875</v>
      </c>
      <c r="D143" s="501">
        <v>858</v>
      </c>
      <c r="E143" s="501">
        <v>969</v>
      </c>
      <c r="F143" s="501">
        <v>1078</v>
      </c>
      <c r="G143" s="501">
        <v>1264</v>
      </c>
      <c r="H143" s="500">
        <v>317</v>
      </c>
      <c r="I143" s="499">
        <v>387</v>
      </c>
      <c r="J143" s="499">
        <v>346</v>
      </c>
      <c r="K143" s="500">
        <v>360</v>
      </c>
      <c r="L143" s="501">
        <f>SUM(H143:K143)</f>
        <v>1410</v>
      </c>
      <c r="M143" s="499">
        <v>366</v>
      </c>
      <c r="N143" s="499">
        <v>409</v>
      </c>
      <c r="O143" s="499">
        <v>364</v>
      </c>
      <c r="P143" s="500">
        <v>369</v>
      </c>
      <c r="Q143" s="501">
        <f>SUM(M143:P143)</f>
        <v>1508</v>
      </c>
      <c r="R143" s="499">
        <v>390</v>
      </c>
      <c r="S143" s="499">
        <v>425</v>
      </c>
      <c r="T143" s="499">
        <v>404</v>
      </c>
      <c r="U143" s="500">
        <v>431</v>
      </c>
      <c r="V143" s="42">
        <f>SUM(R143:U143)</f>
        <v>1650</v>
      </c>
      <c r="W143" s="499">
        <v>379</v>
      </c>
      <c r="X143" s="499">
        <v>441</v>
      </c>
      <c r="Y143" s="499">
        <v>428</v>
      </c>
      <c r="Z143" s="500">
        <v>490</v>
      </c>
      <c r="AA143" s="42">
        <f>SUM(W143:Z143)</f>
        <v>1738</v>
      </c>
      <c r="AB143" s="499"/>
      <c r="AC143" s="499"/>
      <c r="AD143" s="499"/>
      <c r="AE143" s="500"/>
      <c r="AF143" s="501"/>
      <c r="AG143" s="500"/>
      <c r="AH143" s="499"/>
      <c r="AI143" s="499"/>
      <c r="AJ143" s="500"/>
      <c r="AK143" s="501"/>
      <c r="AL143" s="499"/>
      <c r="AM143" s="499"/>
      <c r="AN143" s="499"/>
      <c r="AO143" s="499"/>
      <c r="AP143" s="501"/>
      <c r="AQ143" s="502"/>
      <c r="AR143" s="499"/>
      <c r="AS143" s="499"/>
      <c r="AT143" s="499"/>
      <c r="AU143" s="501"/>
      <c r="AV143" s="502"/>
      <c r="AW143" s="499"/>
      <c r="AX143" s="499"/>
      <c r="AY143" s="499"/>
      <c r="AZ143" s="501"/>
      <c r="BA143" s="501"/>
      <c r="BB143" s="502"/>
      <c r="BC143" s="499"/>
      <c r="BD143" s="499"/>
      <c r="BE143" s="499"/>
      <c r="BF143" s="501"/>
      <c r="BG143" s="502"/>
      <c r="BH143" s="499"/>
      <c r="BI143" s="499"/>
      <c r="BJ143" s="499"/>
      <c r="BK143" s="501"/>
      <c r="BL143" s="502"/>
      <c r="BM143" s="499"/>
      <c r="BN143" s="499"/>
      <c r="BO143" s="499"/>
      <c r="BP143" s="501"/>
      <c r="BQ143" s="501"/>
      <c r="BR143" s="502"/>
      <c r="BS143" s="499"/>
      <c r="BT143" s="499"/>
      <c r="BU143" s="499"/>
      <c r="BV143" s="501"/>
      <c r="BW143" s="502"/>
      <c r="BX143" s="499"/>
      <c r="BY143" s="499"/>
      <c r="BZ143" s="499"/>
      <c r="CA143" s="501"/>
      <c r="CB143" s="502"/>
      <c r="CC143" s="499"/>
      <c r="CD143" s="499"/>
      <c r="CE143" s="499"/>
      <c r="CF143" s="501"/>
      <c r="CG143" s="502"/>
      <c r="CH143" s="499"/>
      <c r="CI143" s="499"/>
      <c r="CJ143" s="499"/>
      <c r="CK143" s="501"/>
      <c r="CL143" s="502"/>
      <c r="CM143" s="499"/>
      <c r="CN143" s="499"/>
      <c r="CO143" s="499"/>
      <c r="CP143" s="501"/>
      <c r="CQ143" s="500"/>
      <c r="CR143" s="500"/>
      <c r="CS143" s="500"/>
      <c r="CT143" s="503"/>
      <c r="CU143" s="501"/>
      <c r="CV143" s="500"/>
      <c r="CW143" s="500"/>
      <c r="CX143" s="500"/>
      <c r="CY143" s="503"/>
      <c r="CZ143" s="501"/>
      <c r="DA143" s="500"/>
      <c r="DB143" s="500"/>
      <c r="DC143" s="500"/>
      <c r="DD143" s="503"/>
      <c r="DE143" s="501"/>
      <c r="DF143" s="500"/>
      <c r="DG143" s="500"/>
      <c r="DH143" s="500"/>
      <c r="DI143" s="503"/>
      <c r="DJ143" s="501"/>
      <c r="DK143" s="403"/>
      <c r="DL143" s="404"/>
      <c r="DM143" s="867"/>
      <c r="DN143" s="867"/>
      <c r="DO143" s="1123"/>
      <c r="DP143" s="1054"/>
      <c r="DQ143" s="1054"/>
      <c r="DR143" s="1054"/>
      <c r="DS143" s="809"/>
      <c r="DT143" s="809"/>
      <c r="DU143" s="809"/>
      <c r="DV143" s="809"/>
      <c r="DW143" s="809"/>
      <c r="DX143" s="809"/>
      <c r="DY143" s="404"/>
      <c r="DZ143" s="405"/>
      <c r="EA143" s="405"/>
      <c r="EB143"/>
      <c r="EC143"/>
      <c r="ED143"/>
      <c r="EE143"/>
      <c r="EF143"/>
      <c r="EG143"/>
    </row>
    <row r="144" spans="1:137" s="398" customFormat="1" ht="11.25" hidden="1" customHeight="1" outlineLevel="1">
      <c r="A144" s="97" t="s">
        <v>53</v>
      </c>
      <c r="B144" s="80"/>
      <c r="C144" s="80">
        <f>C143/B143-1</f>
        <v>7.2303921568627416E-2</v>
      </c>
      <c r="D144" s="80">
        <f>D143/C143-1</f>
        <v>-1.9428571428571462E-2</v>
      </c>
      <c r="E144" s="80">
        <f>E143/D143-1</f>
        <v>0.12937062937062938</v>
      </c>
      <c r="F144" s="80">
        <f>F143/E143-1</f>
        <v>0.11248710010319907</v>
      </c>
      <c r="G144" s="80">
        <f>G143/F143-1</f>
        <v>0.17254174397031541</v>
      </c>
      <c r="H144" s="82"/>
      <c r="I144" s="82"/>
      <c r="J144" s="82"/>
      <c r="K144" s="82"/>
      <c r="L144" s="80">
        <f t="shared" ref="L144:AA144" si="538">L143/G143-1</f>
        <v>0.115506329113924</v>
      </c>
      <c r="M144" s="82">
        <f t="shared" si="538"/>
        <v>0.15457413249211349</v>
      </c>
      <c r="N144" s="82">
        <f t="shared" si="538"/>
        <v>5.6847545219638196E-2</v>
      </c>
      <c r="O144" s="82">
        <f t="shared" si="538"/>
        <v>5.2023121387283267E-2</v>
      </c>
      <c r="P144" s="82">
        <f t="shared" si="538"/>
        <v>2.4999999999999911E-2</v>
      </c>
      <c r="Q144" s="80">
        <f t="shared" si="538"/>
        <v>6.9503546099290769E-2</v>
      </c>
      <c r="R144" s="82">
        <f t="shared" si="538"/>
        <v>6.5573770491803351E-2</v>
      </c>
      <c r="S144" s="82">
        <f t="shared" si="538"/>
        <v>3.9119804400977953E-2</v>
      </c>
      <c r="T144" s="82">
        <f t="shared" si="538"/>
        <v>0.10989010989010994</v>
      </c>
      <c r="U144" s="82">
        <f t="shared" si="538"/>
        <v>0.16802168021680219</v>
      </c>
      <c r="V144" s="80">
        <f t="shared" si="538"/>
        <v>9.4164456233421845E-2</v>
      </c>
      <c r="W144" s="83">
        <f t="shared" si="538"/>
        <v>-2.8205128205128216E-2</v>
      </c>
      <c r="X144" s="82">
        <f t="shared" si="538"/>
        <v>3.7647058823529367E-2</v>
      </c>
      <c r="Y144" s="83">
        <f t="shared" si="538"/>
        <v>5.9405940594059459E-2</v>
      </c>
      <c r="Z144" s="83">
        <f t="shared" si="538"/>
        <v>0.13689095127610207</v>
      </c>
      <c r="AA144" s="84">
        <f t="shared" si="538"/>
        <v>5.3333333333333233E-2</v>
      </c>
      <c r="AB144" s="83"/>
      <c r="AC144" s="82"/>
      <c r="AD144" s="82"/>
      <c r="AE144" s="82"/>
      <c r="AF144" s="84"/>
      <c r="AG144" s="83"/>
      <c r="AH144" s="82"/>
      <c r="AI144" s="82"/>
      <c r="AJ144" s="82"/>
      <c r="AK144" s="80"/>
      <c r="AL144" s="82"/>
      <c r="AM144" s="82"/>
      <c r="AN144" s="82"/>
      <c r="AO144" s="82"/>
      <c r="AP144" s="80"/>
      <c r="AQ144" s="85"/>
      <c r="AR144" s="82"/>
      <c r="AS144" s="82"/>
      <c r="AT144" s="82"/>
      <c r="AU144" s="80"/>
      <c r="AV144" s="85"/>
      <c r="AW144" s="82"/>
      <c r="AX144" s="82"/>
      <c r="AY144" s="82"/>
      <c r="AZ144" s="80"/>
      <c r="BA144" s="80"/>
      <c r="BB144" s="85"/>
      <c r="BC144" s="82"/>
      <c r="BD144" s="82"/>
      <c r="BE144" s="82"/>
      <c r="BF144" s="80"/>
      <c r="BG144" s="85"/>
      <c r="BH144" s="82"/>
      <c r="BI144" s="82"/>
      <c r="BJ144" s="82"/>
      <c r="BK144" s="80"/>
      <c r="BL144" s="85"/>
      <c r="BM144" s="82"/>
      <c r="BN144" s="82"/>
      <c r="BO144" s="82"/>
      <c r="BP144" s="80"/>
      <c r="BQ144" s="80"/>
      <c r="BR144" s="85"/>
      <c r="BS144" s="82"/>
      <c r="BT144" s="82"/>
      <c r="BU144" s="82"/>
      <c r="BV144" s="80"/>
      <c r="BW144" s="85"/>
      <c r="BX144" s="82"/>
      <c r="BY144" s="82"/>
      <c r="BZ144" s="82"/>
      <c r="CA144" s="80"/>
      <c r="CB144" s="85"/>
      <c r="CC144" s="82"/>
      <c r="CD144" s="82"/>
      <c r="CE144" s="82"/>
      <c r="CF144" s="80"/>
      <c r="CG144" s="85"/>
      <c r="CH144" s="82"/>
      <c r="CI144" s="82"/>
      <c r="CJ144" s="82"/>
      <c r="CK144" s="80"/>
      <c r="CL144" s="85"/>
      <c r="CM144" s="82"/>
      <c r="CN144" s="82"/>
      <c r="CO144" s="82"/>
      <c r="CP144" s="80"/>
      <c r="CQ144" s="103"/>
      <c r="CR144" s="103"/>
      <c r="CS144" s="103"/>
      <c r="CT144" s="105"/>
      <c r="CU144" s="80"/>
      <c r="CV144" s="103"/>
      <c r="CW144" s="103"/>
      <c r="CX144" s="103"/>
      <c r="CY144" s="105"/>
      <c r="CZ144" s="80"/>
      <c r="DA144" s="103"/>
      <c r="DB144" s="103"/>
      <c r="DC144" s="103"/>
      <c r="DD144" s="105"/>
      <c r="DE144" s="80"/>
      <c r="DF144" s="103"/>
      <c r="DG144" s="103"/>
      <c r="DH144" s="103"/>
      <c r="DI144" s="105"/>
      <c r="DJ144" s="80"/>
      <c r="DK144" s="401"/>
      <c r="DL144" s="74"/>
      <c r="DM144" s="809"/>
      <c r="DN144" s="809"/>
      <c r="DO144" s="809"/>
      <c r="DP144" s="1054"/>
      <c r="DQ144" s="1054"/>
      <c r="DR144" s="1054"/>
      <c r="DS144" s="809"/>
      <c r="DT144" s="809"/>
      <c r="DU144" s="809"/>
      <c r="DV144" s="809"/>
      <c r="DW144" s="809"/>
      <c r="DX144" s="809"/>
      <c r="DY144" s="360"/>
      <c r="DZ144" s="167"/>
      <c r="EA144" s="167"/>
      <c r="EB144"/>
      <c r="EC144"/>
      <c r="ED144"/>
      <c r="EE144"/>
      <c r="EF144"/>
      <c r="EG144"/>
    </row>
    <row r="145" spans="1:186" s="166" customFormat="1" ht="11.25" hidden="1" customHeight="1" outlineLevel="1">
      <c r="A145" s="22" t="s">
        <v>68</v>
      </c>
      <c r="B145" s="42">
        <f t="shared" ref="B145:AA145" si="539">B48-B143</f>
        <v>7263</v>
      </c>
      <c r="C145" s="42">
        <f t="shared" si="539"/>
        <v>7810</v>
      </c>
      <c r="D145" s="42">
        <f t="shared" si="539"/>
        <v>8133</v>
      </c>
      <c r="E145" s="42">
        <f t="shared" si="539"/>
        <v>8760</v>
      </c>
      <c r="F145" s="42">
        <f t="shared" si="539"/>
        <v>8733</v>
      </c>
      <c r="G145" s="42">
        <f t="shared" si="539"/>
        <v>9255</v>
      </c>
      <c r="H145" s="40">
        <f t="shared" si="539"/>
        <v>2198</v>
      </c>
      <c r="I145" s="41">
        <f t="shared" si="539"/>
        <v>2540</v>
      </c>
      <c r="J145" s="41">
        <f t="shared" si="539"/>
        <v>2481</v>
      </c>
      <c r="K145" s="40">
        <f t="shared" si="539"/>
        <v>2514</v>
      </c>
      <c r="L145" s="42">
        <f t="shared" si="539"/>
        <v>9733</v>
      </c>
      <c r="M145" s="41">
        <f t="shared" si="539"/>
        <v>2423</v>
      </c>
      <c r="N145" s="41">
        <f t="shared" si="539"/>
        <v>2686</v>
      </c>
      <c r="O145" s="41">
        <f t="shared" si="539"/>
        <v>2438</v>
      </c>
      <c r="P145" s="40">
        <f t="shared" si="539"/>
        <v>2565</v>
      </c>
      <c r="Q145" s="42">
        <f t="shared" si="539"/>
        <v>10112</v>
      </c>
      <c r="R145" s="41">
        <f t="shared" si="539"/>
        <v>2523</v>
      </c>
      <c r="S145" s="41">
        <f t="shared" si="539"/>
        <v>2970</v>
      </c>
      <c r="T145" s="41">
        <f t="shared" si="539"/>
        <v>2850</v>
      </c>
      <c r="U145" s="40">
        <f t="shared" si="539"/>
        <v>3283</v>
      </c>
      <c r="V145" s="42">
        <f t="shared" si="539"/>
        <v>11626</v>
      </c>
      <c r="W145" s="41">
        <f t="shared" si="539"/>
        <v>2871</v>
      </c>
      <c r="X145" s="41">
        <f t="shared" si="539"/>
        <v>3093</v>
      </c>
      <c r="Y145" s="41">
        <f t="shared" si="539"/>
        <v>3128</v>
      </c>
      <c r="Z145" s="40">
        <f t="shared" si="539"/>
        <v>3521</v>
      </c>
      <c r="AA145" s="42">
        <f t="shared" si="539"/>
        <v>12613</v>
      </c>
      <c r="AB145" s="41"/>
      <c r="AC145" s="41"/>
      <c r="AD145" s="41"/>
      <c r="AE145" s="40"/>
      <c r="AF145" s="42"/>
      <c r="AG145" s="40"/>
      <c r="AH145" s="41"/>
      <c r="AI145" s="41"/>
      <c r="AJ145" s="40"/>
      <c r="AK145" s="47"/>
      <c r="AL145" s="41"/>
      <c r="AM145" s="41"/>
      <c r="AN145" s="41"/>
      <c r="AO145" s="40"/>
      <c r="AP145" s="47"/>
      <c r="AQ145" s="48"/>
      <c r="AR145" s="41"/>
      <c r="AS145" s="41"/>
      <c r="AT145" s="40"/>
      <c r="AU145" s="47"/>
      <c r="AV145" s="48"/>
      <c r="AW145" s="41"/>
      <c r="AX145" s="41"/>
      <c r="AY145" s="40"/>
      <c r="AZ145" s="47"/>
      <c r="BA145" s="47"/>
      <c r="BB145" s="48"/>
      <c r="BC145" s="41"/>
      <c r="BD145" s="41"/>
      <c r="BE145" s="40"/>
      <c r="BF145" s="47"/>
      <c r="BG145" s="48"/>
      <c r="BH145" s="41"/>
      <c r="BI145" s="41"/>
      <c r="BJ145" s="40"/>
      <c r="BK145" s="47"/>
      <c r="BL145" s="48"/>
      <c r="BM145" s="41"/>
      <c r="BN145" s="41"/>
      <c r="BO145" s="40"/>
      <c r="BP145" s="47"/>
      <c r="BQ145" s="47"/>
      <c r="BR145" s="48"/>
      <c r="BS145" s="41"/>
      <c r="BT145" s="41"/>
      <c r="BU145" s="40"/>
      <c r="BV145" s="47"/>
      <c r="BW145" s="48"/>
      <c r="BX145" s="41"/>
      <c r="BY145" s="41"/>
      <c r="BZ145" s="40"/>
      <c r="CA145" s="47"/>
      <c r="CB145" s="48"/>
      <c r="CC145" s="41"/>
      <c r="CD145" s="41"/>
      <c r="CE145" s="40"/>
      <c r="CF145" s="47"/>
      <c r="CG145" s="48"/>
      <c r="CH145" s="41"/>
      <c r="CI145" s="41"/>
      <c r="CJ145" s="40"/>
      <c r="CK145" s="47"/>
      <c r="CL145" s="48"/>
      <c r="CM145" s="41"/>
      <c r="CN145" s="41"/>
      <c r="CO145" s="40"/>
      <c r="CP145" s="47"/>
      <c r="CQ145" s="49"/>
      <c r="CR145" s="49"/>
      <c r="CS145" s="49"/>
      <c r="CT145" s="50"/>
      <c r="CU145" s="47"/>
      <c r="CV145" s="49"/>
      <c r="CW145" s="49"/>
      <c r="CX145" s="49"/>
      <c r="CY145" s="50"/>
      <c r="CZ145" s="47"/>
      <c r="DA145" s="49"/>
      <c r="DB145" s="49"/>
      <c r="DC145" s="49"/>
      <c r="DD145" s="50"/>
      <c r="DE145" s="47"/>
      <c r="DF145" s="49"/>
      <c r="DG145" s="49"/>
      <c r="DH145" s="49"/>
      <c r="DI145" s="50"/>
      <c r="DJ145" s="47"/>
      <c r="DK145" s="403"/>
      <c r="DL145" s="404"/>
      <c r="DM145" s="867"/>
      <c r="DN145" s="867"/>
      <c r="DO145" s="1123"/>
      <c r="DP145" s="1054"/>
      <c r="DQ145" s="1054"/>
      <c r="DR145" s="1054"/>
      <c r="DS145" s="809"/>
      <c r="DT145" s="809"/>
      <c r="DU145" s="809"/>
      <c r="DV145" s="809"/>
      <c r="DW145" s="809"/>
      <c r="DX145" s="809"/>
      <c r="DY145" s="404"/>
      <c r="DZ145" s="405"/>
      <c r="EA145" s="405"/>
      <c r="EB145"/>
      <c r="EC145"/>
      <c r="ED145"/>
      <c r="EE145"/>
      <c r="EF145"/>
      <c r="EG145"/>
    </row>
    <row r="146" spans="1:186" s="398" customFormat="1" ht="11.25" hidden="1" customHeight="1" outlineLevel="1">
      <c r="A146" s="97" t="s">
        <v>53</v>
      </c>
      <c r="B146" s="80"/>
      <c r="C146" s="80">
        <f>C145/B145-1</f>
        <v>7.5313231447060369E-2</v>
      </c>
      <c r="D146" s="80">
        <f>D145/C145-1</f>
        <v>4.135723431498084E-2</v>
      </c>
      <c r="E146" s="80">
        <f>E145/D145-1</f>
        <v>7.7093323496864707E-2</v>
      </c>
      <c r="F146" s="80">
        <f>F145/E145-1</f>
        <v>-3.082191780821919E-3</v>
      </c>
      <c r="G146" s="80">
        <f>G145/F145-1</f>
        <v>5.9773273789075931E-2</v>
      </c>
      <c r="H146" s="82"/>
      <c r="I146" s="82"/>
      <c r="J146" s="82"/>
      <c r="K146" s="82"/>
      <c r="L146" s="80">
        <f t="shared" ref="L146:V146" si="540">L145/G145-1</f>
        <v>5.1647757968665609E-2</v>
      </c>
      <c r="M146" s="82">
        <f t="shared" si="540"/>
        <v>0.10236578707916277</v>
      </c>
      <c r="N146" s="82">
        <f t="shared" si="540"/>
        <v>5.7480314960629997E-2</v>
      </c>
      <c r="O146" s="82">
        <f t="shared" si="540"/>
        <v>-1.7331721080209639E-2</v>
      </c>
      <c r="P146" s="82">
        <f t="shared" si="540"/>
        <v>2.028639618138417E-2</v>
      </c>
      <c r="Q146" s="80">
        <f t="shared" si="540"/>
        <v>3.8939689715401293E-2</v>
      </c>
      <c r="R146" s="82">
        <f t="shared" si="540"/>
        <v>4.1271151465125833E-2</v>
      </c>
      <c r="S146" s="82">
        <f t="shared" si="540"/>
        <v>0.10573343261355173</v>
      </c>
      <c r="T146" s="82">
        <f t="shared" si="540"/>
        <v>0.16899097621000814</v>
      </c>
      <c r="U146" s="82">
        <f t="shared" si="540"/>
        <v>0.27992202729044835</v>
      </c>
      <c r="V146" s="80">
        <f t="shared" si="540"/>
        <v>0.14972310126582289</v>
      </c>
      <c r="W146" s="83"/>
      <c r="X146" s="82"/>
      <c r="Y146" s="83"/>
      <c r="Z146" s="83"/>
      <c r="AA146" s="84"/>
      <c r="AB146" s="83"/>
      <c r="AC146" s="82"/>
      <c r="AD146" s="82"/>
      <c r="AE146" s="82"/>
      <c r="AF146" s="84"/>
      <c r="AG146" s="83"/>
      <c r="AH146" s="82"/>
      <c r="AI146" s="82"/>
      <c r="AJ146" s="82"/>
      <c r="AK146" s="80"/>
      <c r="AL146" s="82"/>
      <c r="AM146" s="82"/>
      <c r="AN146" s="82"/>
      <c r="AO146" s="82"/>
      <c r="AP146" s="80"/>
      <c r="AQ146" s="85"/>
      <c r="AR146" s="82"/>
      <c r="AS146" s="82"/>
      <c r="AT146" s="82"/>
      <c r="AU146" s="80"/>
      <c r="AV146" s="85"/>
      <c r="AW146" s="82"/>
      <c r="AX146" s="82"/>
      <c r="AY146" s="82"/>
      <c r="AZ146" s="80"/>
      <c r="BA146" s="80"/>
      <c r="BB146" s="85"/>
      <c r="BC146" s="82"/>
      <c r="BD146" s="82"/>
      <c r="BE146" s="82"/>
      <c r="BF146" s="80"/>
      <c r="BG146" s="85"/>
      <c r="BH146" s="82"/>
      <c r="BI146" s="82"/>
      <c r="BJ146" s="82"/>
      <c r="BK146" s="80"/>
      <c r="BL146" s="85"/>
      <c r="BM146" s="82"/>
      <c r="BN146" s="82"/>
      <c r="BO146" s="82"/>
      <c r="BP146" s="80"/>
      <c r="BQ146" s="80"/>
      <c r="BR146" s="85"/>
      <c r="BS146" s="82"/>
      <c r="BT146" s="82"/>
      <c r="BU146" s="82"/>
      <c r="BV146" s="80"/>
      <c r="BW146" s="85"/>
      <c r="BX146" s="82"/>
      <c r="BY146" s="82"/>
      <c r="BZ146" s="82"/>
      <c r="CA146" s="80"/>
      <c r="CB146" s="85"/>
      <c r="CC146" s="82"/>
      <c r="CD146" s="82"/>
      <c r="CE146" s="82"/>
      <c r="CF146" s="80"/>
      <c r="CG146" s="85"/>
      <c r="CH146" s="82"/>
      <c r="CI146" s="82"/>
      <c r="CJ146" s="82"/>
      <c r="CK146" s="80"/>
      <c r="CL146" s="85"/>
      <c r="CM146" s="82"/>
      <c r="CN146" s="82"/>
      <c r="CO146" s="82"/>
      <c r="CP146" s="80"/>
      <c r="CQ146" s="103"/>
      <c r="CR146" s="103"/>
      <c r="CS146" s="103"/>
      <c r="CT146" s="105"/>
      <c r="CU146" s="80"/>
      <c r="CV146" s="103"/>
      <c r="CW146" s="103"/>
      <c r="CX146" s="103"/>
      <c r="CY146" s="105"/>
      <c r="CZ146" s="80"/>
      <c r="DA146" s="103"/>
      <c r="DB146" s="103"/>
      <c r="DC146" s="103"/>
      <c r="DD146" s="105"/>
      <c r="DE146" s="80"/>
      <c r="DF146" s="103"/>
      <c r="DG146" s="103"/>
      <c r="DH146" s="103"/>
      <c r="DI146" s="105"/>
      <c r="DJ146" s="80"/>
      <c r="DK146" s="397"/>
      <c r="DL146" s="74"/>
      <c r="DM146" s="809"/>
      <c r="DN146" s="809"/>
      <c r="DO146" s="809"/>
      <c r="DP146" s="1054"/>
      <c r="DQ146" s="1054"/>
      <c r="DR146" s="1054"/>
      <c r="DS146" s="809"/>
      <c r="DT146" s="809"/>
      <c r="DU146" s="809"/>
      <c r="DV146" s="809"/>
      <c r="DW146" s="809"/>
      <c r="DX146" s="809"/>
      <c r="DY146" s="360"/>
      <c r="DZ146" s="167"/>
      <c r="EA146" s="167"/>
      <c r="EB146"/>
      <c r="EC146"/>
      <c r="ED146"/>
      <c r="EE146"/>
      <c r="EF146"/>
      <c r="EG146"/>
    </row>
    <row r="147" spans="1:186" s="363" customFormat="1" collapsed="1">
      <c r="A147" s="489" t="s">
        <v>269</v>
      </c>
      <c r="B147" s="91">
        <f>SUM(B148:B150)</f>
        <v>-962</v>
      </c>
      <c r="C147" s="91">
        <f>SUM(C148:C150)</f>
        <v>-1105</v>
      </c>
      <c r="D147" s="91">
        <f>-149</f>
        <v>-149</v>
      </c>
      <c r="E147" s="91">
        <f>-887-E180</f>
        <v>-292</v>
      </c>
      <c r="F147" s="91">
        <f t="shared" ref="F147:AJ147" si="541">SUM(F148:F150)</f>
        <v>58</v>
      </c>
      <c r="G147" s="91">
        <f t="shared" si="541"/>
        <v>14</v>
      </c>
      <c r="H147" s="90">
        <f t="shared" si="541"/>
        <v>0</v>
      </c>
      <c r="I147" s="90">
        <f t="shared" si="541"/>
        <v>-32</v>
      </c>
      <c r="J147" s="90">
        <f t="shared" si="541"/>
        <v>-45</v>
      </c>
      <c r="K147" s="90">
        <f t="shared" si="541"/>
        <v>-29</v>
      </c>
      <c r="L147" s="91">
        <f t="shared" si="541"/>
        <v>-106</v>
      </c>
      <c r="M147" s="90">
        <f t="shared" si="541"/>
        <v>-4</v>
      </c>
      <c r="N147" s="90">
        <f t="shared" si="541"/>
        <v>16</v>
      </c>
      <c r="O147" s="90">
        <f t="shared" si="541"/>
        <v>-40</v>
      </c>
      <c r="P147" s="90">
        <f t="shared" si="541"/>
        <v>61</v>
      </c>
      <c r="Q147" s="91">
        <f t="shared" si="541"/>
        <v>33</v>
      </c>
      <c r="R147" s="90">
        <f t="shared" si="541"/>
        <v>-28</v>
      </c>
      <c r="S147" s="90">
        <f t="shared" si="541"/>
        <v>-79</v>
      </c>
      <c r="T147" s="90">
        <f t="shared" si="541"/>
        <v>-68</v>
      </c>
      <c r="U147" s="90">
        <f t="shared" si="541"/>
        <v>-58</v>
      </c>
      <c r="V147" s="89">
        <f t="shared" si="541"/>
        <v>-233</v>
      </c>
      <c r="W147" s="90">
        <f t="shared" si="541"/>
        <v>-66</v>
      </c>
      <c r="X147" s="90">
        <f t="shared" si="541"/>
        <v>-42</v>
      </c>
      <c r="Y147" s="90">
        <f t="shared" si="541"/>
        <v>-273</v>
      </c>
      <c r="Z147" s="90">
        <f t="shared" si="541"/>
        <v>-144</v>
      </c>
      <c r="AA147" s="89">
        <f t="shared" si="541"/>
        <v>-525</v>
      </c>
      <c r="AB147" s="90">
        <f t="shared" si="541"/>
        <v>-60</v>
      </c>
      <c r="AC147" s="90">
        <f t="shared" si="541"/>
        <v>-122</v>
      </c>
      <c r="AD147" s="90">
        <f t="shared" si="541"/>
        <v>-89</v>
      </c>
      <c r="AE147" s="90">
        <f t="shared" si="541"/>
        <v>-67.75</v>
      </c>
      <c r="AF147" s="89">
        <f t="shared" si="541"/>
        <v>-338.75</v>
      </c>
      <c r="AG147" s="90">
        <f t="shared" si="541"/>
        <v>-89</v>
      </c>
      <c r="AH147" s="90">
        <f t="shared" si="541"/>
        <v>-70</v>
      </c>
      <c r="AI147" s="90">
        <f t="shared" si="541"/>
        <v>-90</v>
      </c>
      <c r="AJ147" s="90">
        <f t="shared" si="541"/>
        <v>-70</v>
      </c>
      <c r="AK147" s="89">
        <f>SUM(AG147:AJ147)</f>
        <v>-319</v>
      </c>
      <c r="AL147" s="90">
        <f t="shared" ref="AL147:AQ147" si="542">SUM(AL148:AL150)</f>
        <v>-103</v>
      </c>
      <c r="AM147" s="90">
        <f t="shared" si="542"/>
        <v>-115</v>
      </c>
      <c r="AN147" s="90">
        <f t="shared" si="542"/>
        <v>-80</v>
      </c>
      <c r="AO147" s="90">
        <f t="shared" si="542"/>
        <v>-272</v>
      </c>
      <c r="AP147" s="89">
        <f t="shared" si="542"/>
        <v>-570</v>
      </c>
      <c r="AQ147" s="88">
        <f t="shared" si="542"/>
        <v>-83</v>
      </c>
      <c r="AR147" s="90">
        <f t="shared" ref="AR147:BB147" si="543">SUM(AR148:AR150)</f>
        <v>-65</v>
      </c>
      <c r="AS147" s="90">
        <f t="shared" si="543"/>
        <v>-38</v>
      </c>
      <c r="AT147" s="90">
        <f t="shared" si="543"/>
        <v>-67</v>
      </c>
      <c r="AU147" s="89">
        <f t="shared" si="543"/>
        <v>-253</v>
      </c>
      <c r="AV147" s="88">
        <f>SUM(AV148:AV150)</f>
        <v>-69</v>
      </c>
      <c r="AW147" s="90">
        <f>SUM(AW148:AW150)</f>
        <v>-75</v>
      </c>
      <c r="AX147" s="90">
        <f>SUM(AX148:AX150)</f>
        <v>-134</v>
      </c>
      <c r="AY147" s="90">
        <f>SUM(AY148:AY150)</f>
        <v>-243</v>
      </c>
      <c r="AZ147" s="89">
        <f>SUM(AZ148:AZ150)</f>
        <v>-521</v>
      </c>
      <c r="BA147" s="89">
        <f t="shared" ref="BA147" si="544">SUM(BA148:BA150)</f>
        <v>-570</v>
      </c>
      <c r="BB147" s="88">
        <f t="shared" si="543"/>
        <v>-83</v>
      </c>
      <c r="BC147" s="90">
        <f t="shared" ref="BC147:BF147" si="545">SUM(BC148:BC150)</f>
        <v>-65</v>
      </c>
      <c r="BD147" s="90">
        <f t="shared" si="545"/>
        <v>-38</v>
      </c>
      <c r="BE147" s="90">
        <f t="shared" si="545"/>
        <v>-67</v>
      </c>
      <c r="BF147" s="89">
        <f t="shared" si="545"/>
        <v>-253</v>
      </c>
      <c r="BG147" s="88">
        <f t="shared" ref="BG147:BH147" si="546">SUM(BG148:BG150)</f>
        <v>-69</v>
      </c>
      <c r="BH147" s="90">
        <f t="shared" si="546"/>
        <v>-75</v>
      </c>
      <c r="BI147" s="90">
        <f>SUM(BI148:BI150)</f>
        <v>-134</v>
      </c>
      <c r="BJ147" s="90">
        <f>SUM(BJ148:BJ150)</f>
        <v>-243</v>
      </c>
      <c r="BK147" s="89">
        <f t="shared" ref="BK147:BM147" si="547">SUM(BK148:BK150)</f>
        <v>-521</v>
      </c>
      <c r="BL147" s="88">
        <f t="shared" si="547"/>
        <v>-172</v>
      </c>
      <c r="BM147" s="90">
        <f t="shared" si="547"/>
        <v>-101</v>
      </c>
      <c r="BN147" s="90"/>
      <c r="BO147" s="90"/>
      <c r="BP147" s="89"/>
      <c r="BQ147" s="89">
        <f t="shared" ref="BQ147" si="548">SUM(BQ148:BQ150)</f>
        <v>-421</v>
      </c>
      <c r="BR147" s="88">
        <f>-14-BR180</f>
        <v>-133</v>
      </c>
      <c r="BS147" s="90">
        <f>-20-BS180</f>
        <v>-140</v>
      </c>
      <c r="BT147" s="90">
        <f>-52-BT180</f>
        <v>-171</v>
      </c>
      <c r="BU147" s="90">
        <f>-180-BU180</f>
        <v>-222</v>
      </c>
      <c r="BV147" s="89">
        <f>+SUM(BR147:BU147)</f>
        <v>-666</v>
      </c>
      <c r="BW147" s="88">
        <f>SUM(BW148:BW150)</f>
        <v>-180</v>
      </c>
      <c r="BX147" s="90">
        <f>SUM(BX148:BX150)</f>
        <v>-120</v>
      </c>
      <c r="BY147" s="90">
        <f>SUM(BY148:BY150)</f>
        <v>-61</v>
      </c>
      <c r="BZ147" s="90">
        <f>SUM(BZ148:BZ150)</f>
        <v>-92</v>
      </c>
      <c r="CA147" s="89">
        <f>+SUM(BW147:BZ147)</f>
        <v>-453</v>
      </c>
      <c r="CB147" s="88">
        <f>+SUM(CB148:CB150)</f>
        <v>-119</v>
      </c>
      <c r="CC147" s="90">
        <f t="shared" ref="CC147:CT147" si="549">+SUM(CC148:CC150)</f>
        <v>-62</v>
      </c>
      <c r="CD147" s="90">
        <f t="shared" si="549"/>
        <v>-41</v>
      </c>
      <c r="CE147" s="90">
        <f t="shared" si="549"/>
        <v>152</v>
      </c>
      <c r="CF147" s="89">
        <f>+SUM(CB147:CE147)</f>
        <v>-70</v>
      </c>
      <c r="CG147" s="88"/>
      <c r="CH147" s="90"/>
      <c r="CI147" s="90"/>
      <c r="CJ147" s="90"/>
      <c r="CK147" s="89">
        <f>SUM(CK148:CK150)</f>
        <v>-468</v>
      </c>
      <c r="CL147" s="88"/>
      <c r="CM147" s="90"/>
      <c r="CN147" s="90"/>
      <c r="CO147" s="90"/>
      <c r="CP147" s="89">
        <f>SUM(CP148:CP150)</f>
        <v>-70</v>
      </c>
      <c r="CQ147" s="88">
        <f t="shared" si="549"/>
        <v>-61.5</v>
      </c>
      <c r="CR147" s="88">
        <f t="shared" si="549"/>
        <v>-61.5</v>
      </c>
      <c r="CS147" s="88">
        <f t="shared" si="549"/>
        <v>-61.5</v>
      </c>
      <c r="CT147" s="93">
        <f t="shared" si="549"/>
        <v>-65</v>
      </c>
      <c r="CU147" s="89">
        <f>SUM(CU148:CU150)</f>
        <v>-249.5</v>
      </c>
      <c r="CV147" s="88"/>
      <c r="CW147" s="88"/>
      <c r="CX147" s="88"/>
      <c r="CY147" s="93"/>
      <c r="CZ147" s="89">
        <f>SUM(CZ148:CZ150)</f>
        <v>-249.75</v>
      </c>
      <c r="DA147" s="88"/>
      <c r="DB147" s="88"/>
      <c r="DC147" s="88"/>
      <c r="DD147" s="93"/>
      <c r="DE147" s="89">
        <f>SUM(DE148:DE150)</f>
        <v>-249.75</v>
      </c>
      <c r="DF147" s="88"/>
      <c r="DG147" s="88"/>
      <c r="DH147" s="88"/>
      <c r="DI147" s="93"/>
      <c r="DJ147" s="89">
        <f>SUM(DJ148:DJ150)</f>
        <v>-249.75</v>
      </c>
      <c r="DK147" s="136"/>
      <c r="DL147" s="356"/>
      <c r="DM147" s="809" t="s">
        <v>398</v>
      </c>
      <c r="DN147" s="810"/>
      <c r="DO147" s="810"/>
      <c r="DP147" s="1053"/>
      <c r="DQ147" s="1053"/>
      <c r="DR147" s="1053"/>
      <c r="DS147" s="809"/>
      <c r="DT147" s="809"/>
      <c r="DU147" s="810"/>
      <c r="DV147" s="810"/>
      <c r="DW147" s="810"/>
      <c r="DX147" s="810"/>
      <c r="DY147" s="356"/>
      <c r="DZ147" s="137"/>
      <c r="EA147" s="137"/>
      <c r="EB147"/>
      <c r="EC147"/>
      <c r="ED147"/>
      <c r="EE147"/>
      <c r="EF147"/>
      <c r="EG147"/>
    </row>
    <row r="148" spans="1:186" s="144" customFormat="1">
      <c r="A148" s="488" t="s">
        <v>99</v>
      </c>
      <c r="B148" s="504"/>
      <c r="C148" s="504"/>
      <c r="D148" s="504"/>
      <c r="E148" s="504"/>
      <c r="F148" s="504">
        <v>0</v>
      </c>
      <c r="G148" s="504">
        <v>-111</v>
      </c>
      <c r="H148" s="505">
        <v>46</v>
      </c>
      <c r="I148" s="506">
        <v>25</v>
      </c>
      <c r="J148" s="506">
        <v>-34</v>
      </c>
      <c r="K148" s="505">
        <f>L148-SUM(H148:J148)</f>
        <v>-186</v>
      </c>
      <c r="L148" s="171">
        <v>-149</v>
      </c>
      <c r="M148" s="169">
        <v>16</v>
      </c>
      <c r="N148" s="169">
        <v>85</v>
      </c>
      <c r="O148" s="169">
        <v>-40</v>
      </c>
      <c r="P148" s="168">
        <f>Q148-SUM(M148:O148)</f>
        <v>-216</v>
      </c>
      <c r="Q148" s="171">
        <v>-155</v>
      </c>
      <c r="R148" s="169">
        <f>-72-S148</f>
        <v>-30</v>
      </c>
      <c r="S148" s="169">
        <v>-42</v>
      </c>
      <c r="T148" s="170">
        <v>-40</v>
      </c>
      <c r="U148" s="168">
        <v>-42</v>
      </c>
      <c r="V148" s="171">
        <v>-154</v>
      </c>
      <c r="W148" s="170">
        <v>-41</v>
      </c>
      <c r="X148" s="170">
        <v>-41</v>
      </c>
      <c r="Y148" s="170">
        <v>-95</v>
      </c>
      <c r="Z148" s="168">
        <v>0</v>
      </c>
      <c r="AA148" s="171">
        <f>SUM(W148:Z148)</f>
        <v>-177</v>
      </c>
      <c r="AB148" s="170">
        <v>-39</v>
      </c>
      <c r="AC148" s="170">
        <v>-31</v>
      </c>
      <c r="AD148" s="169">
        <v>-44</v>
      </c>
      <c r="AE148" s="168">
        <v>-41</v>
      </c>
      <c r="AF148" s="171">
        <f>SUM(AB148:AE148)</f>
        <v>-155</v>
      </c>
      <c r="AG148" s="149">
        <v>-41</v>
      </c>
      <c r="AH148" s="169">
        <v>-45</v>
      </c>
      <c r="AI148" s="169">
        <v>-42</v>
      </c>
      <c r="AJ148" s="173">
        <v>-38</v>
      </c>
      <c r="AK148" s="171">
        <f>SUM(AG148:AJ148)</f>
        <v>-166</v>
      </c>
      <c r="AL148" s="169">
        <v>-53</v>
      </c>
      <c r="AM148" s="169">
        <f>-59</f>
        <v>-59</v>
      </c>
      <c r="AN148" s="169">
        <v>-38</v>
      </c>
      <c r="AO148" s="168">
        <v>-39</v>
      </c>
      <c r="AP148" s="171">
        <f>SUM(AL148:AO148)</f>
        <v>-189</v>
      </c>
      <c r="AQ148" s="743">
        <v>-48</v>
      </c>
      <c r="AR148" s="795">
        <v>-49</v>
      </c>
      <c r="AS148" s="169">
        <v>-31</v>
      </c>
      <c r="AT148" s="839">
        <v>-36</v>
      </c>
      <c r="AU148" s="171">
        <f>SUM(AQ148:AT148)</f>
        <v>-164</v>
      </c>
      <c r="AV148" s="846">
        <v>-40</v>
      </c>
      <c r="AW148" s="795">
        <v>-49</v>
      </c>
      <c r="AX148" s="795">
        <v>-29</v>
      </c>
      <c r="AY148" s="839">
        <v>-20</v>
      </c>
      <c r="AZ148" s="171">
        <f>SUM(AV148:AY148)</f>
        <v>-138</v>
      </c>
      <c r="BA148" s="171">
        <v>-189</v>
      </c>
      <c r="BB148" s="743">
        <v>-48</v>
      </c>
      <c r="BC148" s="795">
        <v>-49</v>
      </c>
      <c r="BD148" s="169">
        <v>-31</v>
      </c>
      <c r="BE148" s="839">
        <v>-36</v>
      </c>
      <c r="BF148" s="171">
        <f>SUM(BB148:BE148)</f>
        <v>-164</v>
      </c>
      <c r="BG148" s="846">
        <v>-40</v>
      </c>
      <c r="BH148" s="795">
        <v>-49</v>
      </c>
      <c r="BI148" s="795">
        <v>-29</v>
      </c>
      <c r="BJ148" s="839">
        <v>-20</v>
      </c>
      <c r="BK148" s="171">
        <f>+AZ148</f>
        <v>-138</v>
      </c>
      <c r="BL148" s="846">
        <v>-44</v>
      </c>
      <c r="BM148" s="795">
        <v>-53</v>
      </c>
      <c r="BN148" s="795"/>
      <c r="BO148" s="839"/>
      <c r="BP148" s="320"/>
      <c r="BQ148" s="171">
        <v>-154</v>
      </c>
      <c r="BR148" s="846"/>
      <c r="BS148" s="795"/>
      <c r="BT148" s="795"/>
      <c r="BU148" s="839"/>
      <c r="BV148" s="171">
        <v>-133</v>
      </c>
      <c r="BW148" s="743">
        <v>-44</v>
      </c>
      <c r="BX148" s="169">
        <v>-52</v>
      </c>
      <c r="BY148" s="169">
        <v>-28</v>
      </c>
      <c r="BZ148" s="168">
        <f>-149-BY148-BX148-BW148</f>
        <v>-25</v>
      </c>
      <c r="CA148" s="171">
        <v>-149</v>
      </c>
      <c r="CB148" s="743">
        <v>-44</v>
      </c>
      <c r="CC148" s="1217">
        <v>-57</v>
      </c>
      <c r="CD148" s="169">
        <v>-32</v>
      </c>
      <c r="CE148" s="168">
        <f>-158-CD148-CC148-CB148</f>
        <v>-25</v>
      </c>
      <c r="CF148" s="171">
        <f>+SUM(CB148:CE148)</f>
        <v>-158</v>
      </c>
      <c r="CG148" s="743"/>
      <c r="CH148" s="169"/>
      <c r="CI148" s="169"/>
      <c r="CJ148" s="168"/>
      <c r="CK148" s="171">
        <v>-149</v>
      </c>
      <c r="CL148" s="743"/>
      <c r="CM148" s="1217"/>
      <c r="CN148" s="169"/>
      <c r="CO148" s="168"/>
      <c r="CP148" s="171">
        <v>-158</v>
      </c>
      <c r="CQ148" s="151">
        <f>-158/4</f>
        <v>-39.5</v>
      </c>
      <c r="CR148" s="151">
        <f>-158/4</f>
        <v>-39.5</v>
      </c>
      <c r="CS148" s="151">
        <f>-158/4</f>
        <v>-39.5</v>
      </c>
      <c r="CT148" s="172">
        <f>-165/4</f>
        <v>-41.25</v>
      </c>
      <c r="CU148" s="604">
        <f>+SUM(CQ148:CT148)</f>
        <v>-159.75</v>
      </c>
      <c r="CV148" s="151"/>
      <c r="CW148" s="151"/>
      <c r="CX148" s="151"/>
      <c r="CY148" s="172"/>
      <c r="CZ148" s="320">
        <v>-160</v>
      </c>
      <c r="DA148" s="151"/>
      <c r="DB148" s="151"/>
      <c r="DC148" s="151"/>
      <c r="DD148" s="172"/>
      <c r="DE148" s="320">
        <v>-160</v>
      </c>
      <c r="DF148" s="151"/>
      <c r="DG148" s="151"/>
      <c r="DH148" s="151"/>
      <c r="DI148" s="172"/>
      <c r="DJ148" s="320">
        <v>-160</v>
      </c>
      <c r="DK148" s="399"/>
      <c r="DL148" s="1282"/>
      <c r="DM148" s="809"/>
      <c r="DN148" s="1092"/>
      <c r="DO148" s="810"/>
      <c r="DP148" s="1053"/>
      <c r="DQ148" s="1053"/>
      <c r="DR148" s="1053"/>
      <c r="DS148" s="810"/>
      <c r="DT148" s="810"/>
      <c r="DU148" s="810"/>
      <c r="DV148" s="810"/>
      <c r="DW148" s="810"/>
      <c r="DX148" s="810"/>
      <c r="DY148" s="357"/>
      <c r="DZ148" s="143"/>
      <c r="EA148" s="143"/>
      <c r="EB148"/>
      <c r="EC148"/>
      <c r="ED148"/>
      <c r="EE148"/>
      <c r="EF148"/>
      <c r="EG148"/>
    </row>
    <row r="149" spans="1:186" s="144" customFormat="1">
      <c r="A149" s="488" t="s">
        <v>114</v>
      </c>
      <c r="B149" s="171">
        <v>-973</v>
      </c>
      <c r="C149" s="171">
        <v>-1112</v>
      </c>
      <c r="D149" s="171"/>
      <c r="E149" s="171"/>
      <c r="F149" s="171">
        <v>173</v>
      </c>
      <c r="G149" s="171">
        <v>230</v>
      </c>
      <c r="H149" s="168">
        <v>-49</v>
      </c>
      <c r="I149" s="169">
        <v>-33</v>
      </c>
      <c r="J149" s="169">
        <v>0</v>
      </c>
      <c r="K149" s="168">
        <f>L149-SUM(H149:J149)</f>
        <v>153</v>
      </c>
      <c r="L149" s="171">
        <v>71</v>
      </c>
      <c r="M149" s="169">
        <v>-35</v>
      </c>
      <c r="N149" s="169">
        <v>-40</v>
      </c>
      <c r="O149" s="169">
        <v>44</v>
      </c>
      <c r="P149" s="168">
        <f>Q149-SUM(M149:O149)</f>
        <v>224</v>
      </c>
      <c r="Q149" s="171">
        <v>193</v>
      </c>
      <c r="R149" s="169">
        <v>0</v>
      </c>
      <c r="S149" s="169">
        <v>0</v>
      </c>
      <c r="T149" s="170">
        <v>0</v>
      </c>
      <c r="U149" s="168">
        <f>V149-SUM(R149:T149)</f>
        <v>0</v>
      </c>
      <c r="V149" s="171">
        <v>0</v>
      </c>
      <c r="W149" s="170">
        <v>0</v>
      </c>
      <c r="X149" s="170">
        <v>0</v>
      </c>
      <c r="Y149" s="169">
        <v>-178</v>
      </c>
      <c r="Z149" s="168">
        <v>-42</v>
      </c>
      <c r="AA149" s="171">
        <f>SUM(W149:Z149)</f>
        <v>-220</v>
      </c>
      <c r="AB149" s="170">
        <v>0</v>
      </c>
      <c r="AC149" s="170">
        <v>-97</v>
      </c>
      <c r="AD149" s="169">
        <v>0</v>
      </c>
      <c r="AE149" s="168">
        <v>0</v>
      </c>
      <c r="AF149" s="171">
        <f>SUM(AB149:AE149)</f>
        <v>-97</v>
      </c>
      <c r="AG149" s="168">
        <v>0</v>
      </c>
      <c r="AH149" s="170">
        <v>0</v>
      </c>
      <c r="AI149" s="169">
        <v>-23</v>
      </c>
      <c r="AJ149" s="168">
        <v>-25</v>
      </c>
      <c r="AK149" s="171">
        <f>SUM(AG149:AJ149)</f>
        <v>-48</v>
      </c>
      <c r="AL149" s="169">
        <v>-30</v>
      </c>
      <c r="AM149" s="169">
        <v>0</v>
      </c>
      <c r="AN149" s="169">
        <v>0</v>
      </c>
      <c r="AO149" s="168">
        <f>-171</f>
        <v>-171</v>
      </c>
      <c r="AP149" s="171">
        <f>SUM(AL149:AO149)</f>
        <v>-201</v>
      </c>
      <c r="AQ149" s="743">
        <v>0</v>
      </c>
      <c r="AR149" s="795">
        <v>0</v>
      </c>
      <c r="AS149" s="795">
        <v>0</v>
      </c>
      <c r="AT149" s="839">
        <v>0</v>
      </c>
      <c r="AU149" s="171">
        <f>SUM(AQ149:AT149)</f>
        <v>0</v>
      </c>
      <c r="AV149" s="846">
        <v>0</v>
      </c>
      <c r="AW149" s="795">
        <v>0</v>
      </c>
      <c r="AX149" s="795">
        <v>-35</v>
      </c>
      <c r="AY149" s="839">
        <v>-67</v>
      </c>
      <c r="AZ149" s="171">
        <f>SUM(AV149:AY149)</f>
        <v>-102</v>
      </c>
      <c r="BA149" s="171">
        <f>-201</f>
        <v>-201</v>
      </c>
      <c r="BB149" s="743">
        <v>0</v>
      </c>
      <c r="BC149" s="795">
        <v>0</v>
      </c>
      <c r="BD149" s="795">
        <v>0</v>
      </c>
      <c r="BE149" s="839">
        <v>0</v>
      </c>
      <c r="BF149" s="171">
        <f>SUM(BB149:BE149)</f>
        <v>0</v>
      </c>
      <c r="BG149" s="846">
        <v>0</v>
      </c>
      <c r="BH149" s="795">
        <v>0</v>
      </c>
      <c r="BI149" s="795">
        <v>-35</v>
      </c>
      <c r="BJ149" s="839">
        <v>-67</v>
      </c>
      <c r="BK149" s="171">
        <f>+AZ149</f>
        <v>-102</v>
      </c>
      <c r="BL149" s="846">
        <v>-99</v>
      </c>
      <c r="BM149" s="795">
        <v>0</v>
      </c>
      <c r="BN149" s="795"/>
      <c r="BO149" s="839"/>
      <c r="BP149" s="320"/>
      <c r="BQ149" s="171">
        <v>0</v>
      </c>
      <c r="BR149" s="846"/>
      <c r="BS149" s="795"/>
      <c r="BT149" s="795"/>
      <c r="BU149" s="839"/>
      <c r="BV149" s="171">
        <v>-82</v>
      </c>
      <c r="BW149" s="743">
        <v>-80</v>
      </c>
      <c r="BX149" s="169">
        <v>0</v>
      </c>
      <c r="BY149" s="169">
        <v>0</v>
      </c>
      <c r="BZ149" s="168">
        <v>0</v>
      </c>
      <c r="CA149" s="171">
        <v>-80</v>
      </c>
      <c r="CB149" s="743">
        <v>0</v>
      </c>
      <c r="CC149" s="1217">
        <v>0</v>
      </c>
      <c r="CD149" s="169">
        <v>0</v>
      </c>
      <c r="CE149" s="168">
        <v>0</v>
      </c>
      <c r="CF149" s="171">
        <f t="shared" ref="CF149:CF150" si="550">+SUM(CB149:CE149)</f>
        <v>0</v>
      </c>
      <c r="CG149" s="743"/>
      <c r="CH149" s="169"/>
      <c r="CI149" s="169"/>
      <c r="CJ149" s="168"/>
      <c r="CK149" s="171">
        <f>-80+-15</f>
        <v>-95</v>
      </c>
      <c r="CL149" s="743"/>
      <c r="CM149" s="1217"/>
      <c r="CN149" s="169"/>
      <c r="CO149" s="168"/>
      <c r="CP149" s="171">
        <v>198</v>
      </c>
      <c r="CQ149" s="151">
        <v>0</v>
      </c>
      <c r="CR149" s="151">
        <v>0</v>
      </c>
      <c r="CS149" s="151">
        <v>0</v>
      </c>
      <c r="CT149" s="172">
        <v>0</v>
      </c>
      <c r="CU149" s="604">
        <f t="shared" ref="CU149:CU150" si="551">+SUM(CQ149:CT149)</f>
        <v>0</v>
      </c>
      <c r="CV149" s="151"/>
      <c r="CW149" s="151"/>
      <c r="CX149" s="151"/>
      <c r="CY149" s="172"/>
      <c r="CZ149" s="320">
        <f>CU149</f>
        <v>0</v>
      </c>
      <c r="DA149" s="151"/>
      <c r="DB149" s="151"/>
      <c r="DC149" s="151"/>
      <c r="DD149" s="172"/>
      <c r="DE149" s="320">
        <f>CZ149</f>
        <v>0</v>
      </c>
      <c r="DF149" s="151"/>
      <c r="DG149" s="151"/>
      <c r="DH149" s="151"/>
      <c r="DI149" s="172"/>
      <c r="DJ149" s="320">
        <f>DE149</f>
        <v>0</v>
      </c>
      <c r="DK149" s="399"/>
      <c r="DL149" s="1282"/>
      <c r="DM149" s="810"/>
      <c r="DN149" s="810"/>
      <c r="DO149" s="810"/>
      <c r="DP149" s="1232"/>
      <c r="DQ149" s="1053"/>
      <c r="DR149" s="1053"/>
      <c r="DS149" s="1096"/>
      <c r="DT149" s="810"/>
      <c r="DU149" s="810"/>
      <c r="DV149" s="810"/>
      <c r="DW149" s="810"/>
      <c r="DX149" s="810"/>
      <c r="DY149" s="357"/>
      <c r="DZ149" s="143"/>
      <c r="EA149" s="143"/>
      <c r="EB149"/>
      <c r="EC149"/>
      <c r="ED149"/>
      <c r="EE149"/>
      <c r="EF149"/>
      <c r="EG149"/>
    </row>
    <row r="150" spans="1:186" s="144" customFormat="1">
      <c r="A150" s="488" t="s">
        <v>156</v>
      </c>
      <c r="B150" s="171">
        <v>11</v>
      </c>
      <c r="C150" s="171">
        <v>7</v>
      </c>
      <c r="D150" s="171"/>
      <c r="E150" s="171"/>
      <c r="F150" s="171">
        <v>-115</v>
      </c>
      <c r="G150" s="171">
        <v>-105</v>
      </c>
      <c r="H150" s="168">
        <v>3</v>
      </c>
      <c r="I150" s="169">
        <v>-24</v>
      </c>
      <c r="J150" s="169">
        <v>-11</v>
      </c>
      <c r="K150" s="168">
        <f>L150-SUM(H150:J150)</f>
        <v>4</v>
      </c>
      <c r="L150" s="171">
        <v>-28</v>
      </c>
      <c r="M150" s="169">
        <v>15</v>
      </c>
      <c r="N150" s="169">
        <v>-29</v>
      </c>
      <c r="O150" s="169">
        <v>-44</v>
      </c>
      <c r="P150" s="168">
        <f>Q150-SUM(M150:O150)</f>
        <v>53</v>
      </c>
      <c r="Q150" s="171">
        <v>-5</v>
      </c>
      <c r="R150" s="169">
        <f>-35-S150</f>
        <v>2</v>
      </c>
      <c r="S150" s="169">
        <v>-37</v>
      </c>
      <c r="T150" s="168">
        <v>-28</v>
      </c>
      <c r="U150" s="168">
        <f>V150-SUM(R150:T150)</f>
        <v>-16</v>
      </c>
      <c r="V150" s="171">
        <v>-79</v>
      </c>
      <c r="W150" s="170">
        <v>-25</v>
      </c>
      <c r="X150" s="170">
        <v>-1</v>
      </c>
      <c r="Y150" s="170">
        <v>0</v>
      </c>
      <c r="Z150" s="168">
        <v>-102</v>
      </c>
      <c r="AA150" s="171">
        <f>SUM(W150:Z150)</f>
        <v>-128</v>
      </c>
      <c r="AB150" s="170">
        <f>-37+16</f>
        <v>-21</v>
      </c>
      <c r="AC150" s="170">
        <f>0+6</f>
        <v>6</v>
      </c>
      <c r="AD150" s="169">
        <f>-39-6</f>
        <v>-45</v>
      </c>
      <c r="AE150" s="168">
        <v>-26.75</v>
      </c>
      <c r="AF150" s="171">
        <f>SUM(AB150:AE150)</f>
        <v>-86.75</v>
      </c>
      <c r="AG150" s="168">
        <v>-48</v>
      </c>
      <c r="AH150" s="170">
        <v>-25</v>
      </c>
      <c r="AI150" s="169">
        <v>-25</v>
      </c>
      <c r="AJ150" s="168">
        <v>-7</v>
      </c>
      <c r="AK150" s="171">
        <f>SUM(AG150:AJ150)</f>
        <v>-105</v>
      </c>
      <c r="AL150" s="169">
        <v>-20</v>
      </c>
      <c r="AM150" s="169">
        <v>-56</v>
      </c>
      <c r="AN150" s="169">
        <v>-42</v>
      </c>
      <c r="AO150" s="168">
        <v>-62</v>
      </c>
      <c r="AP150" s="171">
        <f>SUM(AL150:AO150)</f>
        <v>-180</v>
      </c>
      <c r="AQ150" s="743">
        <v>-35</v>
      </c>
      <c r="AR150" s="795">
        <v>-16</v>
      </c>
      <c r="AS150" s="795">
        <v>-7</v>
      </c>
      <c r="AT150" s="839">
        <v>-31</v>
      </c>
      <c r="AU150" s="171">
        <f>SUM(AQ150:AT150)</f>
        <v>-89</v>
      </c>
      <c r="AV150" s="846">
        <v>-29</v>
      </c>
      <c r="AW150" s="795">
        <v>-26</v>
      </c>
      <c r="AX150" s="795">
        <v>-70</v>
      </c>
      <c r="AY150" s="839">
        <v>-156</v>
      </c>
      <c r="AZ150" s="171">
        <f>SUM(AV150:AY150)</f>
        <v>-281</v>
      </c>
      <c r="BA150" s="171">
        <v>-180</v>
      </c>
      <c r="BB150" s="743">
        <v>-35</v>
      </c>
      <c r="BC150" s="795">
        <v>-16</v>
      </c>
      <c r="BD150" s="795">
        <v>-7</v>
      </c>
      <c r="BE150" s="839">
        <v>-31</v>
      </c>
      <c r="BF150" s="171">
        <f>SUM(BB150:BE150)</f>
        <v>-89</v>
      </c>
      <c r="BG150" s="846">
        <v>-29</v>
      </c>
      <c r="BH150" s="795">
        <v>-26</v>
      </c>
      <c r="BI150" s="795">
        <v>-70</v>
      </c>
      <c r="BJ150" s="839">
        <v>-156</v>
      </c>
      <c r="BK150" s="171">
        <v>-281</v>
      </c>
      <c r="BL150" s="846">
        <v>-29</v>
      </c>
      <c r="BM150" s="795">
        <v>-48</v>
      </c>
      <c r="BN150" s="795"/>
      <c r="BO150" s="839"/>
      <c r="BP150" s="320"/>
      <c r="BQ150" s="171">
        <v>-267</v>
      </c>
      <c r="BR150" s="846"/>
      <c r="BS150" s="795"/>
      <c r="BT150" s="795"/>
      <c r="BU150" s="839"/>
      <c r="BV150" s="171">
        <v>-451</v>
      </c>
      <c r="BW150" s="743">
        <v>-56</v>
      </c>
      <c r="BX150" s="169">
        <v>-68</v>
      </c>
      <c r="BY150" s="169">
        <v>-33</v>
      </c>
      <c r="BZ150" s="168">
        <f>-92-BZ149-BZ148</f>
        <v>-67</v>
      </c>
      <c r="CA150" s="171">
        <v>-224</v>
      </c>
      <c r="CB150" s="743">
        <v>-75</v>
      </c>
      <c r="CC150" s="1217">
        <v>-5</v>
      </c>
      <c r="CD150" s="169">
        <v>-9</v>
      </c>
      <c r="CE150" s="168">
        <f>88-CD150-CC150-CB150</f>
        <v>177</v>
      </c>
      <c r="CF150" s="171">
        <f t="shared" si="550"/>
        <v>88</v>
      </c>
      <c r="CG150" s="743"/>
      <c r="CH150" s="169"/>
      <c r="CI150" s="169"/>
      <c r="CJ150" s="168"/>
      <c r="CK150" s="171">
        <v>-224</v>
      </c>
      <c r="CL150" s="743"/>
      <c r="CM150" s="1217"/>
      <c r="CN150" s="169"/>
      <c r="CO150" s="168"/>
      <c r="CP150" s="171">
        <v>-110</v>
      </c>
      <c r="CQ150" s="151">
        <f>-88/4</f>
        <v>-22</v>
      </c>
      <c r="CR150" s="151">
        <f>-88/4</f>
        <v>-22</v>
      </c>
      <c r="CS150" s="151">
        <f>-88/4</f>
        <v>-22</v>
      </c>
      <c r="CT150" s="172">
        <f>-95/4</f>
        <v>-23.75</v>
      </c>
      <c r="CU150" s="604">
        <f t="shared" si="551"/>
        <v>-89.75</v>
      </c>
      <c r="CV150" s="151"/>
      <c r="CW150" s="151"/>
      <c r="CX150" s="151"/>
      <c r="CY150" s="172"/>
      <c r="CZ150" s="320">
        <f>CU150</f>
        <v>-89.75</v>
      </c>
      <c r="DA150" s="151"/>
      <c r="DB150" s="151"/>
      <c r="DC150" s="151"/>
      <c r="DD150" s="172"/>
      <c r="DE150" s="320">
        <f>CZ150</f>
        <v>-89.75</v>
      </c>
      <c r="DF150" s="151"/>
      <c r="DG150" s="151"/>
      <c r="DH150" s="151"/>
      <c r="DI150" s="172"/>
      <c r="DJ150" s="320">
        <f>DE150</f>
        <v>-89.75</v>
      </c>
      <c r="DK150" s="399"/>
      <c r="DL150" s="1282"/>
      <c r="DM150" s="810"/>
      <c r="DN150" s="810"/>
      <c r="DO150" s="810"/>
      <c r="DP150" s="1053"/>
      <c r="DQ150" s="1053"/>
      <c r="DR150" s="1053"/>
      <c r="DS150" s="810"/>
      <c r="DT150" s="810"/>
      <c r="DU150" s="810"/>
      <c r="DV150" s="810"/>
      <c r="DW150" s="810"/>
      <c r="DX150" s="810"/>
      <c r="DY150" s="357"/>
      <c r="DZ150" s="143"/>
      <c r="EA150" s="143"/>
      <c r="EB150"/>
      <c r="EC150"/>
      <c r="ED150"/>
      <c r="EE150"/>
      <c r="EF150"/>
      <c r="EG150"/>
    </row>
    <row r="151" spans="1:186" s="166" customFormat="1">
      <c r="A151" s="59" t="s">
        <v>272</v>
      </c>
      <c r="B151" s="108">
        <f t="shared" ref="B151:AG151" si="552">B153/B55</f>
        <v>7.1303404539385842E-2</v>
      </c>
      <c r="C151" s="108">
        <f t="shared" si="552"/>
        <v>7.6048490324523751E-2</v>
      </c>
      <c r="D151" s="108">
        <f t="shared" si="552"/>
        <v>7.7590543259557346E-2</v>
      </c>
      <c r="E151" s="108">
        <f t="shared" si="552"/>
        <v>8.3769633507853408E-2</v>
      </c>
      <c r="F151" s="108">
        <f t="shared" si="552"/>
        <v>9.1930239432456401E-2</v>
      </c>
      <c r="G151" s="108">
        <f t="shared" si="552"/>
        <v>0.10174154467440687</v>
      </c>
      <c r="H151" s="107">
        <f t="shared" si="552"/>
        <v>0.1077088948787062</v>
      </c>
      <c r="I151" s="107">
        <f t="shared" si="552"/>
        <v>0.11360435639846024</v>
      </c>
      <c r="J151" s="107">
        <f t="shared" si="552"/>
        <v>0.11050022532672375</v>
      </c>
      <c r="K151" s="107">
        <f t="shared" si="552"/>
        <v>0.11585647080527627</v>
      </c>
      <c r="L151" s="108">
        <f t="shared" si="552"/>
        <v>0.11205866895991591</v>
      </c>
      <c r="M151" s="107">
        <f t="shared" si="552"/>
        <v>0.11519583291595713</v>
      </c>
      <c r="N151" s="107">
        <f t="shared" si="552"/>
        <v>0.11912310897726243</v>
      </c>
      <c r="O151" s="107">
        <f t="shared" si="552"/>
        <v>0.11818095868393684</v>
      </c>
      <c r="P151" s="107">
        <f t="shared" si="552"/>
        <v>0.11273805246137263</v>
      </c>
      <c r="Q151" s="108">
        <f t="shared" si="552"/>
        <v>0.11630900283166788</v>
      </c>
      <c r="R151" s="107">
        <f t="shared" si="552"/>
        <v>0.11558854718981973</v>
      </c>
      <c r="S151" s="107">
        <f t="shared" si="552"/>
        <v>0.11488439306358382</v>
      </c>
      <c r="T151" s="107">
        <f t="shared" si="552"/>
        <v>0.11600260053868301</v>
      </c>
      <c r="U151" s="107">
        <f t="shared" si="552"/>
        <v>0.11603704007211342</v>
      </c>
      <c r="V151" s="108">
        <f t="shared" si="552"/>
        <v>0.11563660925363053</v>
      </c>
      <c r="W151" s="107">
        <f t="shared" si="552"/>
        <v>0.10776821127986844</v>
      </c>
      <c r="X151" s="107">
        <f t="shared" si="552"/>
        <v>0.112322695035461</v>
      </c>
      <c r="Y151" s="107">
        <f t="shared" si="552"/>
        <v>0.11116988451027066</v>
      </c>
      <c r="Z151" s="107">
        <f t="shared" si="552"/>
        <v>0.1082987226706371</v>
      </c>
      <c r="AA151" s="108">
        <f t="shared" si="552"/>
        <v>0.10988386080794384</v>
      </c>
      <c r="AB151" s="107">
        <f t="shared" si="552"/>
        <v>0.11020139281008846</v>
      </c>
      <c r="AC151" s="107">
        <f t="shared" si="552"/>
        <v>0.1170406306852638</v>
      </c>
      <c r="AD151" s="107">
        <f t="shared" si="552"/>
        <v>0.11180790494265204</v>
      </c>
      <c r="AE151" s="107">
        <f t="shared" si="552"/>
        <v>0.11497829825567112</v>
      </c>
      <c r="AF151" s="108">
        <f t="shared" si="552"/>
        <v>0.11357233488892234</v>
      </c>
      <c r="AG151" s="107">
        <f t="shared" si="552"/>
        <v>0.11865757548924112</v>
      </c>
      <c r="AH151" s="107">
        <f t="shared" ref="AH151:BM151" si="553">AH153/AH55</f>
        <v>0.12331180270111568</v>
      </c>
      <c r="AI151" s="107">
        <f t="shared" si="553"/>
        <v>0.12081894009604853</v>
      </c>
      <c r="AJ151" s="107">
        <f t="shared" si="553"/>
        <v>0.11067030333085379</v>
      </c>
      <c r="AK151" s="108">
        <f t="shared" si="553"/>
        <v>0.11832902378025519</v>
      </c>
      <c r="AL151" s="107">
        <f t="shared" si="553"/>
        <v>0.12131887985546522</v>
      </c>
      <c r="AM151" s="107">
        <f t="shared" si="553"/>
        <v>0.13437938288920057</v>
      </c>
      <c r="AN151" s="107">
        <f t="shared" si="553"/>
        <v>0.12822772538997093</v>
      </c>
      <c r="AO151" s="107">
        <f t="shared" si="553"/>
        <v>0.12321165351599757</v>
      </c>
      <c r="AP151" s="108">
        <f t="shared" si="553"/>
        <v>0.12681335155871071</v>
      </c>
      <c r="AQ151" s="107">
        <f t="shared" si="553"/>
        <v>0.13417840375586854</v>
      </c>
      <c r="AR151" s="107">
        <f t="shared" si="553"/>
        <v>0.12435874756766319</v>
      </c>
      <c r="AS151" s="107">
        <f t="shared" si="553"/>
        <v>0.12110851178693539</v>
      </c>
      <c r="AT151" s="107">
        <f t="shared" si="553"/>
        <v>0.1122905027932961</v>
      </c>
      <c r="AU151" s="108">
        <f t="shared" si="553"/>
        <v>0.1225438596491228</v>
      </c>
      <c r="AV151" s="107">
        <f t="shared" si="553"/>
        <v>0.12916625457422609</v>
      </c>
      <c r="AW151" s="107">
        <f t="shared" si="553"/>
        <v>0.12024392338744309</v>
      </c>
      <c r="AX151" s="107">
        <f t="shared" si="553"/>
        <v>0.11944856469767036</v>
      </c>
      <c r="AY151" s="107">
        <f t="shared" si="553"/>
        <v>0.10923589068669196</v>
      </c>
      <c r="AZ151" s="108">
        <f t="shared" si="553"/>
        <v>0.11891962195439175</v>
      </c>
      <c r="BA151" s="108">
        <f t="shared" si="553"/>
        <v>0.12681335155871071</v>
      </c>
      <c r="BB151" s="107">
        <f t="shared" si="553"/>
        <v>0.13417840375586854</v>
      </c>
      <c r="BC151" s="107">
        <f t="shared" si="553"/>
        <v>0.12435874756766319</v>
      </c>
      <c r="BD151" s="107">
        <f t="shared" si="553"/>
        <v>0.12110851178693539</v>
      </c>
      <c r="BE151" s="107">
        <f t="shared" si="553"/>
        <v>0.1122905027932961</v>
      </c>
      <c r="BF151" s="108">
        <f t="shared" si="553"/>
        <v>0.1225438596491228</v>
      </c>
      <c r="BG151" s="107">
        <f t="shared" si="553"/>
        <v>0.12916625457422609</v>
      </c>
      <c r="BH151" s="107">
        <f t="shared" si="553"/>
        <v>0.12024392338744309</v>
      </c>
      <c r="BI151" s="107">
        <f t="shared" si="553"/>
        <v>0.11944856469767036</v>
      </c>
      <c r="BJ151" s="107">
        <f t="shared" si="553"/>
        <v>0.10923589068669196</v>
      </c>
      <c r="BK151" s="108">
        <f t="shared" si="553"/>
        <v>0.11891962195439175</v>
      </c>
      <c r="BL151" s="107">
        <f t="shared" si="553"/>
        <v>0.10451204922235516</v>
      </c>
      <c r="BM151" s="107">
        <f t="shared" si="553"/>
        <v>0.11026792628155491</v>
      </c>
      <c r="BN151" s="107"/>
      <c r="BO151" s="107"/>
      <c r="BP151" s="108"/>
      <c r="BQ151" s="108">
        <f t="shared" ref="BQ151:CT151" si="554">BQ153/BQ55</f>
        <v>0.12807289841285735</v>
      </c>
      <c r="BR151" s="107">
        <f t="shared" si="554"/>
        <v>0.13312693498452013</v>
      </c>
      <c r="BS151" s="107">
        <f t="shared" si="554"/>
        <v>0.12633121641426479</v>
      </c>
      <c r="BT151" s="107">
        <f t="shared" si="554"/>
        <v>0.12365805168986084</v>
      </c>
      <c r="BU151" s="107">
        <f t="shared" si="554"/>
        <v>0.1111111111111111</v>
      </c>
      <c r="BV151" s="108">
        <f t="shared" si="554"/>
        <v>0.12280442076179199</v>
      </c>
      <c r="BW151" s="107">
        <f t="shared" si="554"/>
        <v>0.10744598765432099</v>
      </c>
      <c r="BX151" s="107">
        <f t="shared" si="554"/>
        <v>0.10995940226310788</v>
      </c>
      <c r="BY151" s="107">
        <f t="shared" si="554"/>
        <v>0.12319279716041902</v>
      </c>
      <c r="BZ151" s="107">
        <f>BZ153/BZ55</f>
        <v>9.3804537521815015E-2</v>
      </c>
      <c r="CA151" s="108">
        <f>CA153/CA55</f>
        <v>0.10794107687097866</v>
      </c>
      <c r="CB151" s="107">
        <f t="shared" si="554"/>
        <v>9.5052907660305691E-2</v>
      </c>
      <c r="CC151" s="107">
        <f t="shared" si="554"/>
        <v>0.10469057942451715</v>
      </c>
      <c r="CD151" s="107">
        <f t="shared" ref="CD151" si="555">CD153/CD55</f>
        <v>0.10263785027528967</v>
      </c>
      <c r="CE151" s="107">
        <f>CE153/CE55</f>
        <v>9.8236110193565429E-2</v>
      </c>
      <c r="CF151" s="108">
        <f>CF153/CF55</f>
        <v>0.10019981194170192</v>
      </c>
      <c r="CG151" s="107"/>
      <c r="CH151" s="107"/>
      <c r="CI151" s="107"/>
      <c r="CJ151" s="107"/>
      <c r="CK151" s="108">
        <f>CK153/CK55</f>
        <v>0.10576923076923077</v>
      </c>
      <c r="CL151" s="107"/>
      <c r="CM151" s="107"/>
      <c r="CN151" s="107"/>
      <c r="CO151" s="107"/>
      <c r="CP151" s="108">
        <f>CP153/CP55</f>
        <v>0.10218905074435729</v>
      </c>
      <c r="CQ151" s="107">
        <f t="shared" si="554"/>
        <v>0.10352252252252252</v>
      </c>
      <c r="CR151" s="107">
        <f t="shared" si="554"/>
        <v>0.10376264591439689</v>
      </c>
      <c r="CS151" s="107">
        <f t="shared" si="554"/>
        <v>0.10395901639344264</v>
      </c>
      <c r="CT151" s="112">
        <f t="shared" si="554"/>
        <v>0.10398349834983499</v>
      </c>
      <c r="CU151" s="108">
        <f t="shared" ref="CU151" si="556">CU153/CU55</f>
        <v>0.10382261208576998</v>
      </c>
      <c r="CV151" s="107"/>
      <c r="CW151" s="107"/>
      <c r="CX151" s="107"/>
      <c r="CY151" s="112"/>
      <c r="CZ151" s="108">
        <f>CZ153/CZ55</f>
        <v>0.10744339121028217</v>
      </c>
      <c r="DA151" s="107"/>
      <c r="DB151" s="107"/>
      <c r="DC151" s="107"/>
      <c r="DD151" s="112"/>
      <c r="DE151" s="108">
        <f>DE153/DE55</f>
        <v>0.10886078739296987</v>
      </c>
      <c r="DF151" s="107"/>
      <c r="DG151" s="107"/>
      <c r="DH151" s="107"/>
      <c r="DI151" s="112"/>
      <c r="DJ151" s="108">
        <f>DJ153/DJ55</f>
        <v>0.11029244917089856</v>
      </c>
      <c r="DK151" s="403"/>
      <c r="DL151" s="404"/>
      <c r="DM151" s="809"/>
      <c r="DN151" s="809"/>
      <c r="DO151" s="809"/>
      <c r="DP151" s="1054"/>
      <c r="DQ151" s="1054"/>
      <c r="DR151" s="809"/>
      <c r="DS151" s="809"/>
      <c r="DT151" s="809"/>
      <c r="DU151" s="809"/>
      <c r="DV151" s="809"/>
      <c r="DW151" s="809"/>
      <c r="DX151" s="809"/>
      <c r="DY151" s="404"/>
      <c r="DZ151" s="405"/>
      <c r="EA151" s="405"/>
      <c r="EB151"/>
      <c r="EC151"/>
      <c r="ED151"/>
      <c r="EE151"/>
      <c r="EF151"/>
      <c r="EG151"/>
    </row>
    <row r="152" spans="1:186" s="398" customFormat="1">
      <c r="A152" s="106" t="s">
        <v>57</v>
      </c>
      <c r="B152" s="80"/>
      <c r="C152" s="253">
        <f>(C151-B151)*100</f>
        <v>0.47450857851379091</v>
      </c>
      <c r="D152" s="253">
        <f>(D151-C151)*100</f>
        <v>0.15420529350335943</v>
      </c>
      <c r="E152" s="253">
        <f>(E151-D151)*100</f>
        <v>0.61790902482960619</v>
      </c>
      <c r="F152" s="253">
        <f>(F151-E151)*100</f>
        <v>0.81606059246029927</v>
      </c>
      <c r="G152" s="253">
        <f>(G151-F151)*100</f>
        <v>0.98113052419504654</v>
      </c>
      <c r="H152" s="268"/>
      <c r="I152" s="254"/>
      <c r="J152" s="254"/>
      <c r="K152" s="254"/>
      <c r="L152" s="253">
        <f t="shared" ref="L152:AP152" si="557">(L151-G151)*100</f>
        <v>1.0317124285509043</v>
      </c>
      <c r="M152" s="254">
        <f t="shared" si="557"/>
        <v>0.74869380372509231</v>
      </c>
      <c r="N152" s="254">
        <f t="shared" si="557"/>
        <v>0.55187525788021885</v>
      </c>
      <c r="O152" s="254">
        <f t="shared" si="557"/>
        <v>0.76807333572130876</v>
      </c>
      <c r="P152" s="255">
        <f t="shared" si="557"/>
        <v>-0.31184183439036395</v>
      </c>
      <c r="Q152" s="256">
        <f t="shared" si="557"/>
        <v>0.42503338717519712</v>
      </c>
      <c r="R152" s="254">
        <f t="shared" si="557"/>
        <v>3.927142738626016E-2</v>
      </c>
      <c r="S152" s="254">
        <f t="shared" si="557"/>
        <v>-0.4238715913678609</v>
      </c>
      <c r="T152" s="254">
        <f t="shared" si="557"/>
        <v>-0.21783581452538281</v>
      </c>
      <c r="U152" s="254">
        <f t="shared" si="557"/>
        <v>0.32989876107407945</v>
      </c>
      <c r="V152" s="256">
        <f t="shared" si="557"/>
        <v>-6.7239357803734745E-2</v>
      </c>
      <c r="W152" s="254">
        <f t="shared" si="557"/>
        <v>-0.78203359099512926</v>
      </c>
      <c r="X152" s="254">
        <f t="shared" si="557"/>
        <v>-0.25616980281228247</v>
      </c>
      <c r="Y152" s="254">
        <f t="shared" si="557"/>
        <v>-0.48327160284123566</v>
      </c>
      <c r="Z152" s="254">
        <f t="shared" si="557"/>
        <v>-0.7738317401476319</v>
      </c>
      <c r="AA152" s="257">
        <f t="shared" si="557"/>
        <v>-0.57527484456866973</v>
      </c>
      <c r="AB152" s="254">
        <f t="shared" si="557"/>
        <v>0.24331815302200271</v>
      </c>
      <c r="AC152" s="254">
        <f t="shared" si="557"/>
        <v>0.47179356498028013</v>
      </c>
      <c r="AD152" s="254">
        <f t="shared" si="557"/>
        <v>6.3802043238138373E-2</v>
      </c>
      <c r="AE152" s="254">
        <f t="shared" si="557"/>
        <v>0.66795755850340144</v>
      </c>
      <c r="AF152" s="257">
        <f t="shared" si="557"/>
        <v>0.36884740809784988</v>
      </c>
      <c r="AG152" s="254">
        <f t="shared" si="557"/>
        <v>0.84561826791526573</v>
      </c>
      <c r="AH152" s="255">
        <f t="shared" si="557"/>
        <v>0.62711720158518802</v>
      </c>
      <c r="AI152" s="255">
        <f t="shared" si="557"/>
        <v>0.90110351533964905</v>
      </c>
      <c r="AJ152" s="254">
        <f t="shared" si="557"/>
        <v>-0.43079949248173294</v>
      </c>
      <c r="AK152" s="257">
        <f t="shared" si="557"/>
        <v>0.47566888913328498</v>
      </c>
      <c r="AL152" s="254">
        <f t="shared" si="557"/>
        <v>0.26613043662240959</v>
      </c>
      <c r="AM152" s="254">
        <f>(AM151-AH151)*100</f>
        <v>1.1067580188084889</v>
      </c>
      <c r="AN152" s="254">
        <f>(AN151-AI151)*100</f>
        <v>0.74087852939224019</v>
      </c>
      <c r="AO152" s="254">
        <f t="shared" si="557"/>
        <v>1.2541350185143783</v>
      </c>
      <c r="AP152" s="257">
        <f t="shared" si="557"/>
        <v>0.84843277784555227</v>
      </c>
      <c r="AQ152" s="254">
        <f t="shared" ref="AQ152:AZ152" si="558">(AQ151-AL151)*100</f>
        <v>1.285952390040332</v>
      </c>
      <c r="AR152" s="254">
        <f t="shared" si="558"/>
        <v>-1.0020635321537381</v>
      </c>
      <c r="AS152" s="254">
        <f t="shared" si="558"/>
        <v>-0.71192136030355369</v>
      </c>
      <c r="AT152" s="254">
        <f t="shared" si="558"/>
        <v>-1.0921150722701474</v>
      </c>
      <c r="AU152" s="257">
        <f t="shared" si="558"/>
        <v>-0.42694919095879053</v>
      </c>
      <c r="AV152" s="254">
        <f t="shared" si="558"/>
        <v>-0.50121491816424446</v>
      </c>
      <c r="AW152" s="254">
        <f t="shared" si="558"/>
        <v>-0.41148241802200919</v>
      </c>
      <c r="AX152" s="254">
        <f t="shared" si="558"/>
        <v>-0.16599470892650348</v>
      </c>
      <c r="AY152" s="254">
        <f t="shared" si="558"/>
        <v>-0.30546121066041404</v>
      </c>
      <c r="AZ152" s="257">
        <f t="shared" si="558"/>
        <v>-0.36242376947310528</v>
      </c>
      <c r="BA152" s="257"/>
      <c r="BB152" s="254">
        <f>(BB151-BA151)*100</f>
        <v>0.73650521971578287</v>
      </c>
      <c r="BC152" s="254">
        <f>(BC151-AQ151)*100</f>
        <v>-0.98196561882053501</v>
      </c>
      <c r="BD152" s="254">
        <f>(BD151-AR151)*100</f>
        <v>-0.32502357807277921</v>
      </c>
      <c r="BE152" s="254">
        <f>(BE151-AS151)*100</f>
        <v>-0.8818008993639298</v>
      </c>
      <c r="BF152" s="257"/>
      <c r="BG152" s="254">
        <f t="shared" ref="BG152:BM152" si="559">(BG151-BB151)*100</f>
        <v>-0.50121491816424446</v>
      </c>
      <c r="BH152" s="254">
        <f t="shared" si="559"/>
        <v>-0.41148241802200919</v>
      </c>
      <c r="BI152" s="254">
        <f t="shared" si="559"/>
        <v>-0.16599470892650348</v>
      </c>
      <c r="BJ152" s="254">
        <f t="shared" si="559"/>
        <v>-0.30546121066041404</v>
      </c>
      <c r="BK152" s="257">
        <f t="shared" si="559"/>
        <v>-0.36242376947310528</v>
      </c>
      <c r="BL152" s="254">
        <f t="shared" si="559"/>
        <v>-2.4654205351870933</v>
      </c>
      <c r="BM152" s="254">
        <f t="shared" si="559"/>
        <v>-0.9975997105888188</v>
      </c>
      <c r="BN152" s="254"/>
      <c r="BO152" s="254"/>
      <c r="BP152" s="257"/>
      <c r="BQ152" s="257"/>
      <c r="BR152" s="254"/>
      <c r="BS152" s="254"/>
      <c r="BT152" s="826"/>
      <c r="BU152" s="254"/>
      <c r="BV152" s="257"/>
      <c r="BW152" s="254">
        <f t="shared" ref="BW152:CD152" si="560">(BW151-BR151)*100</f>
        <v>-2.568094733019914</v>
      </c>
      <c r="BX152" s="254">
        <f t="shared" si="560"/>
        <v>-1.6371814151156905</v>
      </c>
      <c r="BY152" s="254">
        <f t="shared" si="560"/>
        <v>-4.65254529441822E-2</v>
      </c>
      <c r="BZ152" s="254">
        <f>(BZ151-BU151)*100</f>
        <v>-1.730657358929609</v>
      </c>
      <c r="CA152" s="257">
        <f>(CA151-BV151)*100</f>
        <v>-1.4863343890813328</v>
      </c>
      <c r="CB152" s="254">
        <f t="shared" si="560"/>
        <v>-1.2393079994015301</v>
      </c>
      <c r="CC152" s="254">
        <f t="shared" si="560"/>
        <v>-0.5268822838590731</v>
      </c>
      <c r="CD152" s="254">
        <f t="shared" si="560"/>
        <v>-2.055494688512935</v>
      </c>
      <c r="CE152" s="254">
        <f>(CE151-BZ151)*100</f>
        <v>0.44315726717504139</v>
      </c>
      <c r="CF152" s="257">
        <f>(CF151-CA151)*100</f>
        <v>-0.77412649292767366</v>
      </c>
      <c r="CG152" s="254"/>
      <c r="CH152" s="254"/>
      <c r="CI152" s="254"/>
      <c r="CJ152" s="254"/>
      <c r="CK152" s="257"/>
      <c r="CL152" s="254"/>
      <c r="CM152" s="254"/>
      <c r="CN152" s="254"/>
      <c r="CO152" s="254"/>
      <c r="CP152" s="257">
        <f>(CP151-CK151)*100</f>
        <v>-0.35801800248734805</v>
      </c>
      <c r="CQ152" s="1163"/>
      <c r="CR152" s="254"/>
      <c r="CS152" s="254"/>
      <c r="CT152" s="1155"/>
      <c r="CU152" s="257">
        <f>(CU151-CP151)*100</f>
        <v>0.16335613414126954</v>
      </c>
      <c r="CV152" s="30"/>
      <c r="CW152" s="30"/>
      <c r="CX152" s="30"/>
      <c r="CY152" s="31"/>
      <c r="CZ152" s="257">
        <f>(CZ151-CU151)*100</f>
        <v>0.36207791245121829</v>
      </c>
      <c r="DA152" s="30"/>
      <c r="DB152" s="30"/>
      <c r="DC152" s="30"/>
      <c r="DD152" s="31"/>
      <c r="DE152" s="257">
        <f>(DE151-CZ151)*100</f>
        <v>0.14173961826876996</v>
      </c>
      <c r="DF152" s="30"/>
      <c r="DG152" s="30"/>
      <c r="DH152" s="30"/>
      <c r="DI152" s="31"/>
      <c r="DJ152" s="257">
        <f>(DJ151-DE151)*100</f>
        <v>0.14316617779286944</v>
      </c>
      <c r="DK152" s="397"/>
      <c r="DL152" s="74"/>
      <c r="DM152" s="809"/>
      <c r="DN152" s="809"/>
      <c r="DO152" s="809"/>
      <c r="DP152" s="1054"/>
      <c r="DQ152" s="1054"/>
      <c r="DR152" s="1054"/>
      <c r="DS152" s="1242" t="s">
        <v>402</v>
      </c>
      <c r="DT152" s="1242" t="s">
        <v>403</v>
      </c>
      <c r="DU152" s="1242" t="s">
        <v>404</v>
      </c>
      <c r="DV152" s="809"/>
      <c r="DW152" s="809"/>
      <c r="DX152" s="809"/>
      <c r="DY152" s="360"/>
      <c r="DZ152" s="167"/>
      <c r="EA152" s="167"/>
      <c r="EB152"/>
      <c r="EC152"/>
      <c r="ED152"/>
      <c r="EE152"/>
      <c r="EF152"/>
      <c r="EG152"/>
    </row>
    <row r="153" spans="1:186" s="166" customFormat="1">
      <c r="A153" s="405" t="s">
        <v>160</v>
      </c>
      <c r="B153" s="42">
        <f t="shared" ref="B153:AG153" si="561">B83+B107+B119+B143+B95+B131</f>
        <v>1709</v>
      </c>
      <c r="C153" s="42">
        <f t="shared" si="561"/>
        <v>2020</v>
      </c>
      <c r="D153" s="42">
        <f t="shared" si="561"/>
        <v>2468</v>
      </c>
      <c r="E153" s="42">
        <f t="shared" si="561"/>
        <v>2976</v>
      </c>
      <c r="F153" s="42">
        <f t="shared" si="561"/>
        <v>3421</v>
      </c>
      <c r="G153" s="42">
        <f t="shared" si="561"/>
        <v>4031</v>
      </c>
      <c r="H153" s="40">
        <f t="shared" si="561"/>
        <v>999</v>
      </c>
      <c r="I153" s="41">
        <f t="shared" si="561"/>
        <v>1210</v>
      </c>
      <c r="J153" s="41">
        <f t="shared" si="561"/>
        <v>1226</v>
      </c>
      <c r="K153" s="40">
        <f t="shared" si="561"/>
        <v>1256</v>
      </c>
      <c r="L153" s="42">
        <f t="shared" si="561"/>
        <v>4691</v>
      </c>
      <c r="M153" s="41">
        <f t="shared" si="561"/>
        <v>1150</v>
      </c>
      <c r="N153" s="41">
        <f t="shared" si="561"/>
        <v>1315</v>
      </c>
      <c r="O153" s="41">
        <f t="shared" si="561"/>
        <v>1250</v>
      </c>
      <c r="P153" s="40">
        <f t="shared" si="561"/>
        <v>1255</v>
      </c>
      <c r="Q153" s="42">
        <f t="shared" si="561"/>
        <v>4970</v>
      </c>
      <c r="R153" s="41">
        <f t="shared" si="561"/>
        <v>1199</v>
      </c>
      <c r="S153" s="41">
        <f t="shared" si="561"/>
        <v>1272</v>
      </c>
      <c r="T153" s="41">
        <f t="shared" si="561"/>
        <v>1249</v>
      </c>
      <c r="U153" s="40">
        <f t="shared" si="561"/>
        <v>1416</v>
      </c>
      <c r="V153" s="42">
        <f t="shared" si="561"/>
        <v>5136</v>
      </c>
      <c r="W153" s="41">
        <f t="shared" si="561"/>
        <v>1114</v>
      </c>
      <c r="X153" s="41">
        <f t="shared" si="561"/>
        <v>1267</v>
      </c>
      <c r="Y153" s="41">
        <f t="shared" si="561"/>
        <v>1261</v>
      </c>
      <c r="Z153" s="40">
        <f t="shared" si="561"/>
        <v>1382</v>
      </c>
      <c r="AA153" s="42">
        <f t="shared" si="561"/>
        <v>5024</v>
      </c>
      <c r="AB153" s="41">
        <f t="shared" si="561"/>
        <v>1171</v>
      </c>
      <c r="AC153" s="41">
        <f t="shared" si="561"/>
        <v>1351</v>
      </c>
      <c r="AD153" s="41">
        <f t="shared" si="561"/>
        <v>1355</v>
      </c>
      <c r="AE153" s="40">
        <f t="shared" si="561"/>
        <v>1404</v>
      </c>
      <c r="AF153" s="42">
        <f t="shared" si="561"/>
        <v>5281</v>
      </c>
      <c r="AG153" s="40">
        <f t="shared" si="561"/>
        <v>1340</v>
      </c>
      <c r="AH153" s="41">
        <f t="shared" ref="AH153:BM153" si="562">AH83+AH107+AH119+AH143+AH95+AH131</f>
        <v>1470</v>
      </c>
      <c r="AI153" s="41">
        <f t="shared" si="562"/>
        <v>1434</v>
      </c>
      <c r="AJ153" s="40">
        <f t="shared" si="562"/>
        <v>1339</v>
      </c>
      <c r="AK153" s="47">
        <f t="shared" si="562"/>
        <v>5583</v>
      </c>
      <c r="AL153" s="41">
        <f t="shared" si="562"/>
        <v>1343</v>
      </c>
      <c r="AM153" s="41">
        <f t="shared" si="562"/>
        <v>1533</v>
      </c>
      <c r="AN153" s="41">
        <f t="shared" si="562"/>
        <v>1455</v>
      </c>
      <c r="AO153" s="41">
        <f t="shared" si="562"/>
        <v>1421</v>
      </c>
      <c r="AP153" s="479">
        <f t="shared" si="562"/>
        <v>5752</v>
      </c>
      <c r="AQ153" s="48">
        <f t="shared" si="562"/>
        <v>1429</v>
      </c>
      <c r="AR153" s="41">
        <f t="shared" si="562"/>
        <v>1406</v>
      </c>
      <c r="AS153" s="41">
        <f t="shared" si="562"/>
        <v>1346</v>
      </c>
      <c r="AT153" s="41">
        <f t="shared" si="562"/>
        <v>1407</v>
      </c>
      <c r="AU153" s="479">
        <f t="shared" si="562"/>
        <v>5588</v>
      </c>
      <c r="AV153" s="48">
        <f t="shared" si="562"/>
        <v>1306</v>
      </c>
      <c r="AW153" s="41">
        <f t="shared" si="562"/>
        <v>1400</v>
      </c>
      <c r="AX153" s="41">
        <f t="shared" si="562"/>
        <v>1369</v>
      </c>
      <c r="AY153" s="41">
        <f t="shared" si="562"/>
        <v>1411</v>
      </c>
      <c r="AZ153" s="479">
        <f t="shared" si="562"/>
        <v>5486</v>
      </c>
      <c r="BA153" s="479">
        <f t="shared" si="562"/>
        <v>5752</v>
      </c>
      <c r="BB153" s="48">
        <f t="shared" si="562"/>
        <v>1429</v>
      </c>
      <c r="BC153" s="41">
        <f t="shared" si="562"/>
        <v>1406</v>
      </c>
      <c r="BD153" s="41">
        <f t="shared" si="562"/>
        <v>1346</v>
      </c>
      <c r="BE153" s="41">
        <f t="shared" si="562"/>
        <v>1407</v>
      </c>
      <c r="BF153" s="479">
        <f t="shared" si="562"/>
        <v>5588</v>
      </c>
      <c r="BG153" s="48">
        <f t="shared" si="562"/>
        <v>1306</v>
      </c>
      <c r="BH153" s="41">
        <f t="shared" si="562"/>
        <v>1400</v>
      </c>
      <c r="BI153" s="41">
        <f t="shared" si="562"/>
        <v>1369</v>
      </c>
      <c r="BJ153" s="41">
        <f t="shared" si="562"/>
        <v>1411</v>
      </c>
      <c r="BK153" s="479">
        <f t="shared" si="562"/>
        <v>5486</v>
      </c>
      <c r="BL153" s="48">
        <f t="shared" si="562"/>
        <v>1223</v>
      </c>
      <c r="BM153" s="41">
        <f t="shared" si="562"/>
        <v>1424</v>
      </c>
      <c r="BN153" s="41"/>
      <c r="BO153" s="41"/>
      <c r="BP153" s="479"/>
      <c r="BQ153" s="479">
        <f t="shared" ref="BQ153:CC153" si="563">BQ83+BQ107+BQ119+BQ143+BQ95+BQ131</f>
        <v>5116</v>
      </c>
      <c r="BR153" s="48">
        <f t="shared" si="563"/>
        <v>1161</v>
      </c>
      <c r="BS153" s="41">
        <f t="shared" si="563"/>
        <v>1293</v>
      </c>
      <c r="BT153" s="41">
        <f t="shared" si="563"/>
        <v>1244</v>
      </c>
      <c r="BU153" s="41">
        <f t="shared" si="563"/>
        <v>1280</v>
      </c>
      <c r="BV153" s="479">
        <f t="shared" si="563"/>
        <v>4978</v>
      </c>
      <c r="BW153" s="48">
        <f t="shared" si="563"/>
        <v>1114</v>
      </c>
      <c r="BX153" s="41">
        <f t="shared" si="563"/>
        <v>1273</v>
      </c>
      <c r="BY153" s="41">
        <f t="shared" si="563"/>
        <v>1423</v>
      </c>
      <c r="BZ153" s="41">
        <f>BZ83+BZ107+BZ119+BZ143+BZ95+BZ131</f>
        <v>1290</v>
      </c>
      <c r="CA153" s="479">
        <f>CA83+CA107+CA119+CA143+CA95+CA131</f>
        <v>5100</v>
      </c>
      <c r="CB153" s="48">
        <f t="shared" si="563"/>
        <v>1051</v>
      </c>
      <c r="CC153" s="41">
        <f t="shared" si="563"/>
        <v>1328</v>
      </c>
      <c r="CD153" s="41">
        <f t="shared" ref="CD153" si="564">CD83+CD107+CD119+CD143+CD95+CD131</f>
        <v>1249</v>
      </c>
      <c r="CE153" s="41">
        <f>CE83+CE107+CE119+CE143+CE95+CE131</f>
        <v>1487</v>
      </c>
      <c r="CF153" s="479">
        <f>CF83+CF107+CF119+CF143+CF95+CF131</f>
        <v>5115</v>
      </c>
      <c r="CG153" s="479"/>
      <c r="CH153" s="41"/>
      <c r="CI153" s="41"/>
      <c r="CJ153" s="41"/>
      <c r="CK153" s="479">
        <f>CK83+CK107+CK119+CK143+CK95+CK131</f>
        <v>5005</v>
      </c>
      <c r="CL153" s="479"/>
      <c r="CM153" s="41"/>
      <c r="CN153" s="41"/>
      <c r="CO153" s="41"/>
      <c r="CP153" s="479">
        <f>CP83+CP107+CP119+CP143+CP95+CP131</f>
        <v>5107</v>
      </c>
      <c r="CQ153" s="479">
        <f t="shared" ref="CQ153:CU153" si="565">CQ83+CQ107+CQ119+CQ143+CQ95+CQ131</f>
        <v>1149.0999999999999</v>
      </c>
      <c r="CR153" s="40">
        <f t="shared" si="565"/>
        <v>1333.3500000000001</v>
      </c>
      <c r="CS153" s="40">
        <f>CS83+CS107+CS119+CS143+CS95+CS131</f>
        <v>1268.3000000000002</v>
      </c>
      <c r="CT153" s="1156">
        <f t="shared" si="565"/>
        <v>1575.3500000000001</v>
      </c>
      <c r="CU153" s="479">
        <f t="shared" si="565"/>
        <v>5326.1</v>
      </c>
      <c r="CV153" s="48"/>
      <c r="CW153" s="49"/>
      <c r="CX153" s="49"/>
      <c r="CY153" s="49"/>
      <c r="CZ153" s="479">
        <f>CZ83+CZ107+CZ119+CZ143+CZ95+CZ131</f>
        <v>5860.07</v>
      </c>
      <c r="DA153" s="48"/>
      <c r="DB153" s="49"/>
      <c r="DC153" s="49"/>
      <c r="DD153" s="49"/>
      <c r="DE153" s="479">
        <f>DE83+DE107+DE119+DE143+DE95+DE131</f>
        <v>6215.9041500000003</v>
      </c>
      <c r="DF153" s="48"/>
      <c r="DG153" s="49"/>
      <c r="DH153" s="49"/>
      <c r="DI153" s="49"/>
      <c r="DJ153" s="479">
        <f>DJ83+DJ107+DJ119+DJ143+DJ95+DJ131</f>
        <v>6504.6100079999997</v>
      </c>
      <c r="DK153" s="403"/>
      <c r="DL153" s="404"/>
      <c r="DM153" s="809" t="s">
        <v>390</v>
      </c>
      <c r="DN153" s="809"/>
      <c r="DO153" s="1124"/>
      <c r="DP153" s="1093"/>
      <c r="DQ153" s="1093"/>
      <c r="DR153" s="809"/>
      <c r="DS153" s="1150">
        <v>5.2</v>
      </c>
      <c r="DT153" s="1150">
        <f>(DS153+DU153)/2</f>
        <v>5.2750000000000004</v>
      </c>
      <c r="DU153" s="1150">
        <v>5.35</v>
      </c>
      <c r="DV153" s="809"/>
      <c r="DW153" s="809"/>
      <c r="DX153" s="809"/>
      <c r="DY153" s="404"/>
      <c r="DZ153" s="405"/>
      <c r="EA153" s="405"/>
      <c r="EB153"/>
      <c r="EC153"/>
      <c r="ED153"/>
      <c r="EE153"/>
      <c r="EF153"/>
      <c r="EG153"/>
    </row>
    <row r="154" spans="1:186" s="398" customFormat="1">
      <c r="A154" s="97" t="s">
        <v>53</v>
      </c>
      <c r="B154" s="80"/>
      <c r="C154" s="80">
        <f>C153/B153-1</f>
        <v>0.18197776477472205</v>
      </c>
      <c r="D154" s="80">
        <f>D153/C153-1</f>
        <v>0.22178217821782176</v>
      </c>
      <c r="E154" s="80">
        <f>E153/D153-1</f>
        <v>0.20583468395461924</v>
      </c>
      <c r="F154" s="80">
        <f>F153/E153-1</f>
        <v>0.14952956989247301</v>
      </c>
      <c r="G154" s="80">
        <f>G153/F153-1</f>
        <v>0.17831043554516213</v>
      </c>
      <c r="H154" s="82"/>
      <c r="I154" s="82"/>
      <c r="J154" s="82"/>
      <c r="K154" s="82"/>
      <c r="L154" s="80">
        <f>L153/G153-1</f>
        <v>0.16373108409823867</v>
      </c>
      <c r="M154" s="82">
        <f t="shared" ref="M154:AL154" si="566">M153/H153-1</f>
        <v>0.15115115115115119</v>
      </c>
      <c r="N154" s="82">
        <f t="shared" si="566"/>
        <v>8.6776859504132275E-2</v>
      </c>
      <c r="O154" s="82">
        <f t="shared" si="566"/>
        <v>1.9575856443719397E-2</v>
      </c>
      <c r="P154" s="82">
        <f t="shared" si="566"/>
        <v>-7.9617834394907216E-4</v>
      </c>
      <c r="Q154" s="80">
        <f t="shared" si="566"/>
        <v>5.9475591558303176E-2</v>
      </c>
      <c r="R154" s="82">
        <f t="shared" si="566"/>
        <v>4.2608695652173845E-2</v>
      </c>
      <c r="S154" s="82">
        <f t="shared" si="566"/>
        <v>-3.2699619771863087E-2</v>
      </c>
      <c r="T154" s="82">
        <f t="shared" si="566"/>
        <v>-8.0000000000002292E-4</v>
      </c>
      <c r="U154" s="82">
        <f t="shared" si="566"/>
        <v>0.12828685258964145</v>
      </c>
      <c r="V154" s="80">
        <f t="shared" si="566"/>
        <v>3.340040241448694E-2</v>
      </c>
      <c r="W154" s="83">
        <f t="shared" si="566"/>
        <v>-7.0892410341951595E-2</v>
      </c>
      <c r="X154" s="82">
        <f t="shared" si="566"/>
        <v>-3.9308176100628645E-3</v>
      </c>
      <c r="Y154" s="83">
        <f t="shared" si="566"/>
        <v>9.607686148919159E-3</v>
      </c>
      <c r="Z154" s="83">
        <f t="shared" si="566"/>
        <v>-2.4011299435028222E-2</v>
      </c>
      <c r="AA154" s="84">
        <f t="shared" si="566"/>
        <v>-2.180685358255452E-2</v>
      </c>
      <c r="AB154" s="83">
        <f t="shared" si="566"/>
        <v>5.1166965888689298E-2</v>
      </c>
      <c r="AC154" s="82">
        <f t="shared" si="566"/>
        <v>6.6298342541436517E-2</v>
      </c>
      <c r="AD154" s="82">
        <f t="shared" si="566"/>
        <v>7.4544012688342542E-2</v>
      </c>
      <c r="AE154" s="82">
        <f t="shared" si="566"/>
        <v>1.591895803183796E-2</v>
      </c>
      <c r="AF154" s="84">
        <f t="shared" si="566"/>
        <v>5.1154458598726027E-2</v>
      </c>
      <c r="AG154" s="83">
        <f t="shared" si="566"/>
        <v>0.14432109308283514</v>
      </c>
      <c r="AH154" s="82">
        <f t="shared" si="566"/>
        <v>8.8082901554404236E-2</v>
      </c>
      <c r="AI154" s="82">
        <f t="shared" si="566"/>
        <v>5.8302583025830357E-2</v>
      </c>
      <c r="AJ154" s="82">
        <f t="shared" si="566"/>
        <v>-4.629629629629628E-2</v>
      </c>
      <c r="AK154" s="80">
        <f t="shared" si="566"/>
        <v>5.7186138988827961E-2</v>
      </c>
      <c r="AL154" s="82">
        <f t="shared" si="566"/>
        <v>2.2388059701492491E-3</v>
      </c>
      <c r="AM154" s="82">
        <f>AM153/AH153-1</f>
        <v>4.2857142857142927E-2</v>
      </c>
      <c r="AN154" s="82">
        <f>AN153/AI153-1</f>
        <v>1.4644351464435212E-2</v>
      </c>
      <c r="AO154" s="82">
        <f>AO153/AJ153-1</f>
        <v>6.1239731142643805E-2</v>
      </c>
      <c r="AP154" s="80">
        <f t="shared" ref="AP154" si="567">AP153/AK153-1</f>
        <v>3.0270463908293133E-2</v>
      </c>
      <c r="AQ154" s="85">
        <f t="shared" ref="AQ154:AZ154" si="568">AQ153/AL153-1</f>
        <v>6.4035740878629843E-2</v>
      </c>
      <c r="AR154" s="82">
        <f t="shared" si="568"/>
        <v>-8.2844096542726731E-2</v>
      </c>
      <c r="AS154" s="82">
        <f t="shared" si="568"/>
        <v>-7.4914089347078994E-2</v>
      </c>
      <c r="AT154" s="82">
        <f t="shared" si="568"/>
        <v>-9.8522167487684609E-3</v>
      </c>
      <c r="AU154" s="80">
        <f t="shared" si="568"/>
        <v>-2.8511821974965268E-2</v>
      </c>
      <c r="AV154" s="85">
        <f t="shared" si="568"/>
        <v>-8.6074177746676028E-2</v>
      </c>
      <c r="AW154" s="82">
        <f t="shared" si="568"/>
        <v>-4.2674253200568613E-3</v>
      </c>
      <c r="AX154" s="82">
        <f t="shared" si="568"/>
        <v>1.7087667161961306E-2</v>
      </c>
      <c r="AY154" s="82">
        <f t="shared" si="568"/>
        <v>2.842928216062468E-3</v>
      </c>
      <c r="AZ154" s="80">
        <f t="shared" si="568"/>
        <v>-1.82534001431639E-2</v>
      </c>
      <c r="BA154" s="80"/>
      <c r="BB154" s="85">
        <f>BB153/BA153-1</f>
        <v>-0.75156467315716269</v>
      </c>
      <c r="BC154" s="82">
        <f>BC153/AQ153-1</f>
        <v>-1.6095171448565426E-2</v>
      </c>
      <c r="BD154" s="82">
        <f>BD153/AR153-1</f>
        <v>-4.2674253200568946E-2</v>
      </c>
      <c r="BE154" s="82">
        <f>BE153/AS153-1</f>
        <v>4.5319465081723687E-2</v>
      </c>
      <c r="BF154" s="80"/>
      <c r="BG154" s="85">
        <f t="shared" ref="BG154:BM154" si="569">BG153/BB153-1</f>
        <v>-8.6074177746676028E-2</v>
      </c>
      <c r="BH154" s="82">
        <f t="shared" si="569"/>
        <v>-4.2674253200568613E-3</v>
      </c>
      <c r="BI154" s="82">
        <f t="shared" si="569"/>
        <v>1.7087667161961306E-2</v>
      </c>
      <c r="BJ154" s="82">
        <f t="shared" si="569"/>
        <v>2.842928216062468E-3</v>
      </c>
      <c r="BK154" s="80">
        <f t="shared" si="569"/>
        <v>-1.82534001431639E-2</v>
      </c>
      <c r="BL154" s="85">
        <f t="shared" si="569"/>
        <v>-6.3552833078101112E-2</v>
      </c>
      <c r="BM154" s="82">
        <f t="shared" si="569"/>
        <v>1.7142857142857126E-2</v>
      </c>
      <c r="BN154" s="82"/>
      <c r="BO154" s="82"/>
      <c r="BP154" s="80"/>
      <c r="BQ154" s="80"/>
      <c r="BR154" s="82"/>
      <c r="BS154" s="82"/>
      <c r="BT154" s="82"/>
      <c r="BU154" s="82"/>
      <c r="BV154" s="80"/>
      <c r="BW154" s="85">
        <f>BW153/BR153-1</f>
        <v>-4.0482342807924176E-2</v>
      </c>
      <c r="BX154" s="82">
        <f t="shared" ref="BX154:BY154" si="570">BX153/BS153-1</f>
        <v>-1.5467904098994567E-2</v>
      </c>
      <c r="BY154" s="82">
        <f t="shared" si="570"/>
        <v>0.14389067524115751</v>
      </c>
      <c r="BZ154" s="82">
        <f>BZ153/BU153-1</f>
        <v>7.8125E-3</v>
      </c>
      <c r="CA154" s="80">
        <f>CA153/BV153-1</f>
        <v>2.4507834471675372E-2</v>
      </c>
      <c r="CB154" s="85">
        <f>CB153/BW153-1</f>
        <v>-5.6552962298025089E-2</v>
      </c>
      <c r="CC154" s="82">
        <f t="shared" ref="CC154:CD154" si="571">CC153/BX153-1</f>
        <v>4.3205027494108483E-2</v>
      </c>
      <c r="CD154" s="82">
        <f t="shared" si="571"/>
        <v>-0.12227687983134228</v>
      </c>
      <c r="CE154" s="82">
        <f>CE153/BZ153-1</f>
        <v>0.15271317829457365</v>
      </c>
      <c r="CF154" s="80">
        <f>CF153/CA153-1</f>
        <v>2.9411764705882248E-3</v>
      </c>
      <c r="CG154" s="85"/>
      <c r="CH154" s="82"/>
      <c r="CI154" s="82"/>
      <c r="CJ154" s="82"/>
      <c r="CK154" s="80"/>
      <c r="CL154" s="85"/>
      <c r="CM154" s="82"/>
      <c r="CN154" s="82"/>
      <c r="CO154" s="82"/>
      <c r="CP154" s="80">
        <f>CP153/CK153-1</f>
        <v>2.0379620379620489E-2</v>
      </c>
      <c r="CQ154" s="85"/>
      <c r="CR154" s="82"/>
      <c r="CS154" s="82"/>
      <c r="CT154" s="81"/>
      <c r="CU154" s="80">
        <f>CU153/CP153-1</f>
        <v>4.2901899353828155E-2</v>
      </c>
      <c r="CV154" s="103"/>
      <c r="CW154" s="103"/>
      <c r="CX154" s="103"/>
      <c r="CY154" s="105"/>
      <c r="CZ154" s="80">
        <f>CZ153/CU153-1</f>
        <v>0.10025534631343747</v>
      </c>
      <c r="DA154" s="103"/>
      <c r="DB154" s="103"/>
      <c r="DC154" s="103"/>
      <c r="DD154" s="105"/>
      <c r="DE154" s="80">
        <f>DE153/CZ153-1</f>
        <v>6.0721825848496724E-2</v>
      </c>
      <c r="DF154" s="103"/>
      <c r="DG154" s="103"/>
      <c r="DH154" s="103"/>
      <c r="DI154" s="105"/>
      <c r="DJ154" s="80">
        <f>DJ153/DE153-1</f>
        <v>4.6446317548187954E-2</v>
      </c>
      <c r="DK154" s="401"/>
      <c r="DL154" s="74"/>
      <c r="DM154" s="809"/>
      <c r="DN154" s="809"/>
      <c r="DO154" s="809"/>
      <c r="DP154" s="1059"/>
      <c r="DQ154" s="1059"/>
      <c r="DR154" s="1059"/>
      <c r="DS154" s="809"/>
      <c r="DT154" s="809"/>
      <c r="DU154" s="809"/>
      <c r="DV154" s="809"/>
      <c r="DW154" s="809"/>
      <c r="DX154" s="809"/>
      <c r="DY154" s="360"/>
      <c r="DZ154" s="167"/>
      <c r="EA154" s="167"/>
      <c r="EB154"/>
      <c r="EC154"/>
      <c r="ED154"/>
      <c r="EE154"/>
      <c r="EF154"/>
      <c r="EG154"/>
    </row>
    <row r="155" spans="1:186" s="398" customFormat="1">
      <c r="A155" s="519" t="s">
        <v>12</v>
      </c>
      <c r="B155" s="84"/>
      <c r="C155" s="84"/>
      <c r="D155" s="84"/>
      <c r="E155" s="84"/>
      <c r="F155" s="84"/>
      <c r="G155" s="84"/>
      <c r="H155" s="518"/>
      <c r="I155" s="83"/>
      <c r="J155" s="83"/>
      <c r="K155" s="83"/>
      <c r="L155" s="84"/>
      <c r="M155" s="83"/>
      <c r="N155" s="83"/>
      <c r="O155" s="83"/>
      <c r="P155" s="83"/>
      <c r="Q155" s="84"/>
      <c r="R155" s="83"/>
      <c r="S155" s="83"/>
      <c r="T155" s="83"/>
      <c r="U155" s="83"/>
      <c r="V155" s="501"/>
      <c r="W155" s="500"/>
      <c r="X155" s="500"/>
      <c r="Y155" s="500"/>
      <c r="Z155" s="500"/>
      <c r="AA155" s="501">
        <v>1400</v>
      </c>
      <c r="AB155" s="500"/>
      <c r="AC155" s="500"/>
      <c r="AD155" s="500"/>
      <c r="AE155" s="500"/>
      <c r="AF155" s="501">
        <v>1600</v>
      </c>
      <c r="AG155" s="500">
        <v>485</v>
      </c>
      <c r="AH155" s="500">
        <v>685</v>
      </c>
      <c r="AI155" s="500">
        <v>430</v>
      </c>
      <c r="AJ155" s="500">
        <f>AK155-SUM(AG155:AI155)</f>
        <v>300</v>
      </c>
      <c r="AK155" s="501">
        <v>1900</v>
      </c>
      <c r="AL155" s="500">
        <v>470</v>
      </c>
      <c r="AM155" s="500">
        <v>380</v>
      </c>
      <c r="AN155" s="500">
        <v>510</v>
      </c>
      <c r="AO155" s="500">
        <v>740</v>
      </c>
      <c r="AP155" s="501">
        <f>SUM(AL155:AO155)</f>
        <v>2100</v>
      </c>
      <c r="AQ155" s="500">
        <v>525</v>
      </c>
      <c r="AR155" s="500">
        <v>440</v>
      </c>
      <c r="AS155" s="500">
        <v>400</v>
      </c>
      <c r="AT155" s="500">
        <v>435</v>
      </c>
      <c r="AU155" s="501">
        <f>SUM(AQ155:AT155)</f>
        <v>1800</v>
      </c>
      <c r="AV155" s="40">
        <f>1000-AW155</f>
        <v>450</v>
      </c>
      <c r="AW155" s="49">
        <v>550</v>
      </c>
      <c r="AX155" s="49">
        <v>435</v>
      </c>
      <c r="AY155" s="49">
        <v>465</v>
      </c>
      <c r="AZ155" s="42">
        <f>+SUM(AV155:AY155)</f>
        <v>1900</v>
      </c>
      <c r="BA155" s="501">
        <f>+AP155</f>
        <v>2100</v>
      </c>
      <c r="BB155" s="500">
        <v>525</v>
      </c>
      <c r="BC155" s="500">
        <v>440</v>
      </c>
      <c r="BD155" s="500">
        <v>400</v>
      </c>
      <c r="BE155" s="500">
        <v>435</v>
      </c>
      <c r="BF155" s="501">
        <f>+AU155</f>
        <v>1800</v>
      </c>
      <c r="BG155" s="500">
        <v>450</v>
      </c>
      <c r="BH155" s="500">
        <v>550</v>
      </c>
      <c r="BI155" s="500">
        <v>435</v>
      </c>
      <c r="BJ155" s="500">
        <v>465</v>
      </c>
      <c r="BK155" s="501">
        <f>+SUM(BG155:BJ155)</f>
        <v>1900</v>
      </c>
      <c r="BL155" s="500">
        <v>450</v>
      </c>
      <c r="BM155" s="500">
        <v>550</v>
      </c>
      <c r="BN155" s="500"/>
      <c r="BO155" s="500"/>
      <c r="BP155" s="501"/>
      <c r="BQ155" s="501">
        <v>1600</v>
      </c>
      <c r="BR155" s="500">
        <v>450</v>
      </c>
      <c r="BS155" s="500">
        <v>550</v>
      </c>
      <c r="BT155" s="500">
        <v>435</v>
      </c>
      <c r="BU155" s="500">
        <v>465</v>
      </c>
      <c r="BV155" s="42">
        <v>1700</v>
      </c>
      <c r="BW155" s="40">
        <v>360</v>
      </c>
      <c r="BX155" s="40">
        <v>435</v>
      </c>
      <c r="BY155" s="40">
        <v>265</v>
      </c>
      <c r="BZ155" s="40">
        <f>1500-SUM(BW155:BY155)</f>
        <v>440</v>
      </c>
      <c r="CA155" s="42">
        <f>+SUM(BW155:BZ155)</f>
        <v>1500</v>
      </c>
      <c r="CB155" s="500">
        <v>290</v>
      </c>
      <c r="CC155" s="1013">
        <v>485</v>
      </c>
      <c r="CD155" s="40">
        <v>330</v>
      </c>
      <c r="CE155" s="40">
        <f>1500-CD155-CC155-CB155</f>
        <v>395</v>
      </c>
      <c r="CF155" s="42">
        <f>+SUM(CB155:CE155)</f>
        <v>1500</v>
      </c>
      <c r="CG155" s="500"/>
      <c r="CH155" s="500"/>
      <c r="CI155" s="500"/>
      <c r="CJ155" s="500"/>
      <c r="CK155" s="501">
        <v>1500</v>
      </c>
      <c r="CL155" s="500"/>
      <c r="CM155" s="1013"/>
      <c r="CN155" s="40"/>
      <c r="CO155" s="40"/>
      <c r="CP155" s="501">
        <f>CF155</f>
        <v>1500</v>
      </c>
      <c r="CQ155" s="1164">
        <f t="shared" ref="CQ155:CT155" si="572">+CQ153*CQ157</f>
        <v>344.72999999999996</v>
      </c>
      <c r="CR155" s="1013">
        <f t="shared" si="572"/>
        <v>400.00500000000005</v>
      </c>
      <c r="CS155" s="1013">
        <f t="shared" si="572"/>
        <v>380.49000000000007</v>
      </c>
      <c r="CT155" s="1157">
        <f t="shared" si="572"/>
        <v>472.60500000000002</v>
      </c>
      <c r="CU155" s="501">
        <f>+SUM(CQ155:CT155)</f>
        <v>1597.8300000000002</v>
      </c>
      <c r="CV155" s="502"/>
      <c r="CW155" s="500"/>
      <c r="CX155" s="500"/>
      <c r="CY155" s="503"/>
      <c r="CZ155" s="501">
        <f>CZ157*CZ153</f>
        <v>1758.021</v>
      </c>
      <c r="DA155" s="502"/>
      <c r="DB155" s="500"/>
      <c r="DC155" s="500"/>
      <c r="DD155" s="503"/>
      <c r="DE155" s="501">
        <f>DE157*DE153</f>
        <v>1864.7712449999999</v>
      </c>
      <c r="DF155" s="502"/>
      <c r="DG155" s="500"/>
      <c r="DH155" s="500"/>
      <c r="DI155" s="503"/>
      <c r="DJ155" s="501">
        <f>DJ157*DJ153</f>
        <v>1951.3830023999999</v>
      </c>
      <c r="DK155" s="494"/>
      <c r="DL155" s="1285"/>
      <c r="DM155" s="809"/>
      <c r="DN155" s="809"/>
      <c r="DO155" s="809"/>
      <c r="DP155" s="1105"/>
      <c r="DQ155" s="1059"/>
      <c r="DR155" s="1059"/>
      <c r="DS155" s="809"/>
      <c r="DT155" s="809"/>
      <c r="DU155" s="809"/>
      <c r="DV155" s="809"/>
      <c r="DW155" s="809"/>
      <c r="DX155" s="809"/>
      <c r="DY155" s="521"/>
      <c r="DZ155" s="167"/>
      <c r="EA155" s="167"/>
      <c r="EB155"/>
      <c r="EC155"/>
      <c r="ED155"/>
      <c r="EE155"/>
      <c r="EF155"/>
      <c r="EG155"/>
      <c r="EH155" s="167"/>
    </row>
    <row r="156" spans="1:186" s="429" customFormat="1">
      <c r="A156" s="447" t="s">
        <v>66</v>
      </c>
      <c r="B156" s="522"/>
      <c r="C156" s="522"/>
      <c r="D156" s="522"/>
      <c r="E156" s="522"/>
      <c r="F156" s="522"/>
      <c r="G156" s="522"/>
      <c r="H156" s="428"/>
      <c r="I156" s="428"/>
      <c r="J156" s="428"/>
      <c r="K156" s="428"/>
      <c r="L156" s="522"/>
      <c r="M156" s="428"/>
      <c r="N156" s="428"/>
      <c r="O156" s="428"/>
      <c r="P156" s="428"/>
      <c r="Q156" s="522"/>
      <c r="R156" s="428"/>
      <c r="S156" s="428"/>
      <c r="T156" s="428"/>
      <c r="U156" s="428"/>
      <c r="V156" s="522"/>
      <c r="W156" s="428"/>
      <c r="X156" s="428"/>
      <c r="Y156" s="428"/>
      <c r="Z156" s="428"/>
      <c r="AA156" s="522">
        <f>AA155/AA55</f>
        <v>3.0620502613678616E-2</v>
      </c>
      <c r="AB156" s="428"/>
      <c r="AC156" s="428"/>
      <c r="AD156" s="428"/>
      <c r="AE156" s="428"/>
      <c r="AF156" s="522">
        <f t="shared" ref="AF156:BM156" si="573">AF155/AF55</f>
        <v>3.4409342136390027E-2</v>
      </c>
      <c r="AG156" s="428">
        <f t="shared" si="573"/>
        <v>4.2946958292747722E-2</v>
      </c>
      <c r="AH156" s="428">
        <f t="shared" si="573"/>
        <v>5.7461622347118532E-2</v>
      </c>
      <c r="AI156" s="428">
        <f t="shared" si="573"/>
        <v>3.6228831409554303E-2</v>
      </c>
      <c r="AJ156" s="428">
        <f t="shared" si="573"/>
        <v>2.4795437639474338E-2</v>
      </c>
      <c r="AK156" s="522">
        <f t="shared" si="573"/>
        <v>4.0269594336823367E-2</v>
      </c>
      <c r="AL156" s="428">
        <f t="shared" si="573"/>
        <v>4.2457091237579042E-2</v>
      </c>
      <c r="AM156" s="428">
        <f t="shared" si="573"/>
        <v>3.3309957924263674E-2</v>
      </c>
      <c r="AN156" s="428">
        <f t="shared" si="573"/>
        <v>4.4945800652154755E-2</v>
      </c>
      <c r="AO156" s="428">
        <f t="shared" si="573"/>
        <v>6.4163704153299222E-2</v>
      </c>
      <c r="AP156" s="522">
        <f t="shared" si="573"/>
        <v>4.6298337669209398E-2</v>
      </c>
      <c r="AQ156" s="428">
        <f t="shared" si="573"/>
        <v>4.9295774647887321E-2</v>
      </c>
      <c r="AR156" s="428">
        <f t="shared" si="573"/>
        <v>3.8917388996992749E-2</v>
      </c>
      <c r="AS156" s="428">
        <f t="shared" si="573"/>
        <v>3.5990642432967429E-2</v>
      </c>
      <c r="AT156" s="428">
        <f t="shared" si="573"/>
        <v>3.4716679968076619E-2</v>
      </c>
      <c r="AU156" s="522">
        <f t="shared" si="573"/>
        <v>3.9473684210526314E-2</v>
      </c>
      <c r="AV156" s="428">
        <f t="shared" si="573"/>
        <v>4.4505983582237167E-2</v>
      </c>
      <c r="AW156" s="428">
        <f t="shared" si="573"/>
        <v>4.7238684187924075E-2</v>
      </c>
      <c r="AX156" s="428">
        <f t="shared" si="573"/>
        <v>3.7954803245790071E-2</v>
      </c>
      <c r="AY156" s="428">
        <f t="shared" si="573"/>
        <v>3.5999070991716342E-2</v>
      </c>
      <c r="AZ156" s="522">
        <f t="shared" si="573"/>
        <v>4.118616144975288E-2</v>
      </c>
      <c r="BA156" s="522">
        <f t="shared" si="573"/>
        <v>4.6298337669209398E-2</v>
      </c>
      <c r="BB156" s="428">
        <f t="shared" si="573"/>
        <v>4.9295774647887321E-2</v>
      </c>
      <c r="BC156" s="428">
        <f t="shared" si="573"/>
        <v>3.8917388996992749E-2</v>
      </c>
      <c r="BD156" s="428">
        <f t="shared" si="573"/>
        <v>3.5990642432967429E-2</v>
      </c>
      <c r="BE156" s="428">
        <f t="shared" si="573"/>
        <v>3.4716679968076619E-2</v>
      </c>
      <c r="BF156" s="522">
        <f t="shared" si="573"/>
        <v>3.9473684210526314E-2</v>
      </c>
      <c r="BG156" s="428">
        <f t="shared" si="573"/>
        <v>4.4505983582237167E-2</v>
      </c>
      <c r="BH156" s="428">
        <f t="shared" si="573"/>
        <v>4.7238684187924075E-2</v>
      </c>
      <c r="BI156" s="428">
        <f t="shared" si="573"/>
        <v>3.7954803245790071E-2</v>
      </c>
      <c r="BJ156" s="428">
        <f t="shared" si="573"/>
        <v>3.5999070991716342E-2</v>
      </c>
      <c r="BK156" s="522">
        <f t="shared" si="573"/>
        <v>4.118616144975288E-2</v>
      </c>
      <c r="BL156" s="428">
        <f t="shared" si="573"/>
        <v>3.8454964963254144E-2</v>
      </c>
      <c r="BM156" s="428">
        <f t="shared" si="573"/>
        <v>4.2589437819420782E-2</v>
      </c>
      <c r="BN156" s="428"/>
      <c r="BO156" s="428"/>
      <c r="BP156" s="522"/>
      <c r="BQ156" s="522">
        <f t="shared" ref="BQ156:CC156" si="574">BQ155/BQ55</f>
        <v>4.0054072998548039E-2</v>
      </c>
      <c r="BR156" s="428">
        <f t="shared" si="574"/>
        <v>5.159958720330237E-2</v>
      </c>
      <c r="BS156" s="428">
        <f t="shared" si="574"/>
        <v>5.3737176355642402E-2</v>
      </c>
      <c r="BT156" s="428">
        <f t="shared" si="574"/>
        <v>4.3240556660039758E-2</v>
      </c>
      <c r="BU156" s="428">
        <f t="shared" si="574"/>
        <v>4.0364583333333336E-2</v>
      </c>
      <c r="BV156" s="522">
        <f t="shared" si="574"/>
        <v>4.1938030392737323E-2</v>
      </c>
      <c r="BW156" s="428">
        <f t="shared" si="574"/>
        <v>3.4722222222222224E-2</v>
      </c>
      <c r="BX156" s="428">
        <f t="shared" si="574"/>
        <v>3.7574501166105209E-2</v>
      </c>
      <c r="BY156" s="428">
        <f t="shared" si="574"/>
        <v>2.294173664617782E-2</v>
      </c>
      <c r="BZ156" s="428">
        <f>BZ155/BZ55</f>
        <v>3.1995346131471786E-2</v>
      </c>
      <c r="CA156" s="522">
        <f>CA155/CA55</f>
        <v>3.1747375550287844E-2</v>
      </c>
      <c r="CB156" s="428">
        <f t="shared" si="574"/>
        <v>2.6227729040426879E-2</v>
      </c>
      <c r="CC156" s="428">
        <f t="shared" si="574"/>
        <v>3.8234134804887659E-2</v>
      </c>
      <c r="CD156" s="428">
        <f t="shared" ref="CD156" si="575">CD155/CD55</f>
        <v>2.7118086942230259E-2</v>
      </c>
      <c r="CE156" s="428">
        <f>CE155/CE55</f>
        <v>2.6094999009050671E-2</v>
      </c>
      <c r="CF156" s="522">
        <f>CF155/CF55</f>
        <v>2.9384109073812881E-2</v>
      </c>
      <c r="CG156" s="428"/>
      <c r="CH156" s="428"/>
      <c r="CI156" s="428"/>
      <c r="CJ156" s="428"/>
      <c r="CK156" s="522">
        <f>CK155/CK55</f>
        <v>3.1699070160608619E-2</v>
      </c>
      <c r="CL156" s="428"/>
      <c r="CM156" s="428"/>
      <c r="CN156" s="428"/>
      <c r="CO156" s="428"/>
      <c r="CP156" s="522">
        <f>CP155/CP55</f>
        <v>3.0014406915319352E-2</v>
      </c>
      <c r="CQ156" s="426"/>
      <c r="CR156" s="428"/>
      <c r="CS156" s="428"/>
      <c r="CT156" s="528"/>
      <c r="CU156" s="522">
        <f>CU155/CU55</f>
        <v>3.1146783625730996E-2</v>
      </c>
      <c r="CV156" s="523"/>
      <c r="CW156" s="524"/>
      <c r="CX156" s="524"/>
      <c r="CY156" s="525"/>
      <c r="CZ156" s="522">
        <f>CZ155/CZ55</f>
        <v>3.2233017363084648E-2</v>
      </c>
      <c r="DA156" s="523"/>
      <c r="DB156" s="524"/>
      <c r="DC156" s="524"/>
      <c r="DD156" s="525"/>
      <c r="DE156" s="522">
        <f>DE155/DE55</f>
        <v>3.2658236217890955E-2</v>
      </c>
      <c r="DF156" s="523"/>
      <c r="DG156" s="524"/>
      <c r="DH156" s="524"/>
      <c r="DI156" s="525"/>
      <c r="DJ156" s="522">
        <f>DJ155/DJ55</f>
        <v>3.3087734751269568E-2</v>
      </c>
      <c r="DK156" s="526"/>
      <c r="DL156" s="1283"/>
      <c r="DM156" s="830"/>
      <c r="DN156" s="830"/>
      <c r="DO156" s="830"/>
      <c r="DP156" s="1105"/>
      <c r="DQ156" s="1179"/>
      <c r="DR156" s="1084"/>
      <c r="DS156" s="830"/>
      <c r="DT156" s="830"/>
      <c r="DU156" s="830"/>
      <c r="DV156" s="830"/>
      <c r="DW156" s="830"/>
      <c r="DX156" s="830"/>
      <c r="DY156" s="527"/>
      <c r="DZ156" s="428"/>
      <c r="EA156" s="428"/>
      <c r="EB156"/>
      <c r="EC156"/>
      <c r="ED156"/>
      <c r="EE156"/>
      <c r="EF156"/>
      <c r="EG156"/>
      <c r="EH156" s="428"/>
    </row>
    <row r="157" spans="1:186" s="429" customFormat="1">
      <c r="A157" s="447" t="s">
        <v>67</v>
      </c>
      <c r="B157" s="522"/>
      <c r="C157" s="522"/>
      <c r="D157" s="522"/>
      <c r="E157" s="522"/>
      <c r="F157" s="522"/>
      <c r="G157" s="522"/>
      <c r="H157" s="428"/>
      <c r="I157" s="428"/>
      <c r="J157" s="428"/>
      <c r="K157" s="428"/>
      <c r="L157" s="522"/>
      <c r="M157" s="428"/>
      <c r="N157" s="428"/>
      <c r="O157" s="428"/>
      <c r="P157" s="428"/>
      <c r="Q157" s="522"/>
      <c r="R157" s="428"/>
      <c r="S157" s="428"/>
      <c r="T157" s="428"/>
      <c r="U157" s="428"/>
      <c r="V157" s="522"/>
      <c r="W157" s="426"/>
      <c r="X157" s="428"/>
      <c r="Y157" s="428"/>
      <c r="Z157" s="528"/>
      <c r="AA157" s="522">
        <f>AA155/AA153</f>
        <v>0.2786624203821656</v>
      </c>
      <c r="AB157" s="426"/>
      <c r="AC157" s="428"/>
      <c r="AD157" s="428"/>
      <c r="AE157" s="528"/>
      <c r="AF157" s="522">
        <f>AF155/AF153</f>
        <v>0.30297292179511454</v>
      </c>
      <c r="AG157" s="426">
        <f>AG155/AG153</f>
        <v>0.36194029850746268</v>
      </c>
      <c r="AH157" s="428">
        <f t="shared" ref="AH157:AO157" si="576">AH155/AH153</f>
        <v>0.46598639455782315</v>
      </c>
      <c r="AI157" s="428">
        <f t="shared" si="576"/>
        <v>0.299860529986053</v>
      </c>
      <c r="AJ157" s="528">
        <f t="shared" si="576"/>
        <v>0.22404779686333084</v>
      </c>
      <c r="AK157" s="522">
        <f t="shared" si="576"/>
        <v>0.34031882500447785</v>
      </c>
      <c r="AL157" s="426">
        <f t="shared" si="576"/>
        <v>0.34996276991809383</v>
      </c>
      <c r="AM157" s="428">
        <f t="shared" si="576"/>
        <v>0.24787997390737115</v>
      </c>
      <c r="AN157" s="428">
        <f t="shared" si="576"/>
        <v>0.35051546391752575</v>
      </c>
      <c r="AO157" s="428">
        <f t="shared" si="576"/>
        <v>0.52076002814919076</v>
      </c>
      <c r="AP157" s="522">
        <f>AP155/AP153</f>
        <v>0.36509040333796938</v>
      </c>
      <c r="AQ157" s="570">
        <f>+AQ155/AQ153</f>
        <v>0.36738978306508047</v>
      </c>
      <c r="AR157" s="570">
        <f t="shared" ref="AR157:AT157" si="577">+AR155/AR153</f>
        <v>0.31294452347083929</v>
      </c>
      <c r="AS157" s="570">
        <f t="shared" si="577"/>
        <v>0.29717682020802377</v>
      </c>
      <c r="AT157" s="570">
        <f t="shared" si="577"/>
        <v>0.30916844349680173</v>
      </c>
      <c r="AU157" s="522">
        <f>AU155/AU153</f>
        <v>0.32211882605583392</v>
      </c>
      <c r="AV157" s="570">
        <f t="shared" ref="AV157:AY157" si="578">+AV155/AV153</f>
        <v>0.3445635528330781</v>
      </c>
      <c r="AW157" s="570">
        <f t="shared" si="578"/>
        <v>0.39285714285714285</v>
      </c>
      <c r="AX157" s="570">
        <f t="shared" si="578"/>
        <v>0.31775018261504751</v>
      </c>
      <c r="AY157" s="570">
        <f t="shared" si="578"/>
        <v>0.32955350815024803</v>
      </c>
      <c r="AZ157" s="522">
        <f>AZ155/AZ153</f>
        <v>0.34633612832664967</v>
      </c>
      <c r="BA157" s="522">
        <f>BA155/BA153</f>
        <v>0.36509040333796938</v>
      </c>
      <c r="BB157" s="570">
        <f>+BB155/BB153</f>
        <v>0.36738978306508047</v>
      </c>
      <c r="BC157" s="570">
        <f t="shared" ref="BC157:BE157" si="579">+BC155/BC153</f>
        <v>0.31294452347083929</v>
      </c>
      <c r="BD157" s="570">
        <f t="shared" si="579"/>
        <v>0.29717682020802377</v>
      </c>
      <c r="BE157" s="570">
        <f t="shared" si="579"/>
        <v>0.30916844349680173</v>
      </c>
      <c r="BF157" s="522">
        <f>BF155/BF153</f>
        <v>0.32211882605583392</v>
      </c>
      <c r="BG157" s="570">
        <f t="shared" ref="BG157:BJ157" si="580">+BG155/BG153</f>
        <v>0.3445635528330781</v>
      </c>
      <c r="BH157" s="570">
        <f t="shared" si="580"/>
        <v>0.39285714285714285</v>
      </c>
      <c r="BI157" s="570">
        <f t="shared" si="580"/>
        <v>0.31775018261504751</v>
      </c>
      <c r="BJ157" s="570">
        <f t="shared" si="580"/>
        <v>0.32955350815024803</v>
      </c>
      <c r="BK157" s="522">
        <f>BK155/BK153</f>
        <v>0.34633612832664967</v>
      </c>
      <c r="BL157" s="570">
        <f t="shared" ref="BL157:BM157" si="581">+BL155/BL153</f>
        <v>0.36794766966475878</v>
      </c>
      <c r="BM157" s="570">
        <f t="shared" si="581"/>
        <v>0.3862359550561798</v>
      </c>
      <c r="BN157" s="570"/>
      <c r="BO157" s="570"/>
      <c r="BP157" s="529"/>
      <c r="BQ157" s="522">
        <f>BQ155/BQ153</f>
        <v>0.31274433150899139</v>
      </c>
      <c r="BR157" s="570">
        <f t="shared" ref="BR157:BU157" si="582">+BR155/BR153</f>
        <v>0.38759689922480622</v>
      </c>
      <c r="BS157" s="570">
        <f t="shared" si="582"/>
        <v>0.42536736272235109</v>
      </c>
      <c r="BT157" s="570">
        <f t="shared" si="582"/>
        <v>0.34967845659163987</v>
      </c>
      <c r="BU157" s="570">
        <f t="shared" si="582"/>
        <v>0.36328125</v>
      </c>
      <c r="BV157" s="522">
        <f>BV155/BV153</f>
        <v>0.34150261149055844</v>
      </c>
      <c r="BW157" s="570">
        <f t="shared" ref="BW157:BY157" si="583">+BW155/BW153</f>
        <v>0.3231597845601436</v>
      </c>
      <c r="BX157" s="570">
        <f t="shared" si="583"/>
        <v>0.34171249018067557</v>
      </c>
      <c r="BY157" s="570">
        <f t="shared" si="583"/>
        <v>0.18622628250175685</v>
      </c>
      <c r="BZ157" s="570">
        <f>+BZ155/BZ153</f>
        <v>0.34108527131782945</v>
      </c>
      <c r="CA157" s="1016">
        <f>+CA155/CA153</f>
        <v>0.29411764705882354</v>
      </c>
      <c r="CB157" s="570">
        <f t="shared" ref="CB157:CD157" si="584">+CB155/CB153</f>
        <v>0.2759276879162702</v>
      </c>
      <c r="CC157" s="607">
        <f t="shared" si="584"/>
        <v>0.36521084337349397</v>
      </c>
      <c r="CD157" s="570">
        <f t="shared" si="584"/>
        <v>0.26421136909527621</v>
      </c>
      <c r="CE157" s="570">
        <f>+CE155/CE153</f>
        <v>0.26563550773369199</v>
      </c>
      <c r="CF157" s="1016">
        <f>+CF155/CF153</f>
        <v>0.2932551319648094</v>
      </c>
      <c r="CG157" s="570"/>
      <c r="CH157" s="570"/>
      <c r="CI157" s="570"/>
      <c r="CJ157" s="570"/>
      <c r="CK157" s="1016">
        <f>+CK155/CK153</f>
        <v>0.29970029970029971</v>
      </c>
      <c r="CL157" s="570"/>
      <c r="CM157" s="607"/>
      <c r="CN157" s="570"/>
      <c r="CO157" s="570"/>
      <c r="CP157" s="1016">
        <f>+CP155/CP153</f>
        <v>0.29371450949676914</v>
      </c>
      <c r="CQ157" s="1165">
        <v>0.3</v>
      </c>
      <c r="CR157" s="1025">
        <v>0.3</v>
      </c>
      <c r="CS157" s="1025">
        <v>0.3</v>
      </c>
      <c r="CT157" s="1158">
        <v>0.3</v>
      </c>
      <c r="CU157" s="1167">
        <f t="shared" ref="CU157" si="585">+CU155/CU153</f>
        <v>0.3</v>
      </c>
      <c r="CV157" s="523"/>
      <c r="CW157" s="524"/>
      <c r="CX157" s="524"/>
      <c r="CY157" s="525"/>
      <c r="CZ157" s="529">
        <v>0.3</v>
      </c>
      <c r="DA157" s="523"/>
      <c r="DB157" s="524"/>
      <c r="DC157" s="524"/>
      <c r="DD157" s="525"/>
      <c r="DE157" s="529">
        <v>0.3</v>
      </c>
      <c r="DF157" s="523"/>
      <c r="DG157" s="524"/>
      <c r="DH157" s="524"/>
      <c r="DI157" s="525"/>
      <c r="DJ157" s="529">
        <v>0.3</v>
      </c>
      <c r="DK157" s="526"/>
      <c r="DL157" s="1283"/>
      <c r="DM157" s="830"/>
      <c r="DN157" s="830"/>
      <c r="DO157" s="830"/>
      <c r="DP157" s="1237"/>
      <c r="DQ157" s="1179"/>
      <c r="DR157" s="1084"/>
      <c r="DS157" s="830"/>
      <c r="DT157" s="830"/>
      <c r="DU157" s="830"/>
      <c r="DV157" s="830"/>
      <c r="DW157" s="830"/>
      <c r="DX157" s="830"/>
      <c r="DY157" s="527"/>
      <c r="DZ157" s="428"/>
      <c r="EA157" s="428"/>
      <c r="EB157"/>
      <c r="EC157"/>
      <c r="ED157"/>
      <c r="EE157"/>
      <c r="EF157"/>
      <c r="EG157"/>
      <c r="EH157" s="428"/>
    </row>
    <row r="158" spans="1:186" s="429" customFormat="1">
      <c r="A158" s="785" t="s">
        <v>276</v>
      </c>
      <c r="B158" s="789"/>
      <c r="C158" s="789"/>
      <c r="D158" s="789"/>
      <c r="E158" s="789"/>
      <c r="F158" s="789"/>
      <c r="G158" s="789"/>
      <c r="H158" s="788"/>
      <c r="I158" s="788"/>
      <c r="J158" s="788"/>
      <c r="K158" s="788"/>
      <c r="L158" s="789"/>
      <c r="M158" s="788"/>
      <c r="N158" s="788"/>
      <c r="O158" s="788"/>
      <c r="P158" s="788"/>
      <c r="Q158" s="789"/>
      <c r="R158" s="788"/>
      <c r="S158" s="788"/>
      <c r="T158" s="788"/>
      <c r="U158" s="788"/>
      <c r="V158" s="789"/>
      <c r="W158" s="788"/>
      <c r="X158" s="788"/>
      <c r="Y158" s="788"/>
      <c r="Z158" s="788"/>
      <c r="AA158" s="789">
        <f>(AA153-AA155)/AA55</f>
        <v>7.9263358194265221E-2</v>
      </c>
      <c r="AB158" s="788"/>
      <c r="AC158" s="788"/>
      <c r="AD158" s="788"/>
      <c r="AE158" s="788"/>
      <c r="AF158" s="789">
        <f t="shared" ref="AF158:BM158" si="586">(AF153-AF155)/AF55</f>
        <v>7.9162992752532316E-2</v>
      </c>
      <c r="AG158" s="792">
        <f t="shared" si="586"/>
        <v>7.5710617196493399E-2</v>
      </c>
      <c r="AH158" s="788">
        <f t="shared" si="586"/>
        <v>6.5850180353997145E-2</v>
      </c>
      <c r="AI158" s="788">
        <f t="shared" si="586"/>
        <v>8.4590108686494234E-2</v>
      </c>
      <c r="AJ158" s="793">
        <f t="shared" si="586"/>
        <v>8.5874865691379448E-2</v>
      </c>
      <c r="AK158" s="789">
        <f t="shared" si="586"/>
        <v>7.8059429443431819E-2</v>
      </c>
      <c r="AL158" s="792">
        <f t="shared" si="586"/>
        <v>7.8861788617886175E-2</v>
      </c>
      <c r="AM158" s="788">
        <f t="shared" si="586"/>
        <v>0.10106942496493689</v>
      </c>
      <c r="AN158" s="788">
        <f t="shared" si="586"/>
        <v>8.3281924737816163E-2</v>
      </c>
      <c r="AO158" s="793">
        <f t="shared" si="586"/>
        <v>5.9047949362698346E-2</v>
      </c>
      <c r="AP158" s="789">
        <f t="shared" si="586"/>
        <v>8.0515013889501302E-2</v>
      </c>
      <c r="AQ158" s="788">
        <f t="shared" si="586"/>
        <v>8.4882629107981222E-2</v>
      </c>
      <c r="AR158" s="788">
        <f t="shared" si="586"/>
        <v>8.5441358570670436E-2</v>
      </c>
      <c r="AS158" s="788">
        <f t="shared" si="586"/>
        <v>8.5117869353967965E-2</v>
      </c>
      <c r="AT158" s="793">
        <f t="shared" si="586"/>
        <v>7.7573822825219477E-2</v>
      </c>
      <c r="AU158" s="789">
        <f t="shared" si="586"/>
        <v>8.3070175438596489E-2</v>
      </c>
      <c r="AV158" s="788">
        <f t="shared" si="586"/>
        <v>8.4660270991988917E-2</v>
      </c>
      <c r="AW158" s="788">
        <f t="shared" si="586"/>
        <v>7.3005239199519026E-2</v>
      </c>
      <c r="AX158" s="788">
        <f t="shared" si="586"/>
        <v>8.1493761451880295E-2</v>
      </c>
      <c r="AY158" s="793">
        <f t="shared" si="586"/>
        <v>7.3236819694975613E-2</v>
      </c>
      <c r="AZ158" s="789">
        <f t="shared" si="586"/>
        <v>7.7733460504638863E-2</v>
      </c>
      <c r="BA158" s="789">
        <f t="shared" si="586"/>
        <v>8.0515013889501302E-2</v>
      </c>
      <c r="BB158" s="788">
        <f t="shared" si="586"/>
        <v>8.4882629107981222E-2</v>
      </c>
      <c r="BC158" s="788">
        <f t="shared" si="586"/>
        <v>8.5441358570670436E-2</v>
      </c>
      <c r="BD158" s="788">
        <f t="shared" si="586"/>
        <v>8.5117869353967965E-2</v>
      </c>
      <c r="BE158" s="793">
        <f t="shared" si="586"/>
        <v>7.7573822825219477E-2</v>
      </c>
      <c r="BF158" s="789">
        <f t="shared" si="586"/>
        <v>8.3070175438596489E-2</v>
      </c>
      <c r="BG158" s="788">
        <f t="shared" si="586"/>
        <v>8.4660270991988917E-2</v>
      </c>
      <c r="BH158" s="788">
        <f t="shared" si="586"/>
        <v>7.3005239199519026E-2</v>
      </c>
      <c r="BI158" s="788">
        <f t="shared" si="586"/>
        <v>8.1493761451880295E-2</v>
      </c>
      <c r="BJ158" s="793">
        <f t="shared" si="586"/>
        <v>7.3236819694975613E-2</v>
      </c>
      <c r="BK158" s="789">
        <f t="shared" si="586"/>
        <v>7.7733460504638863E-2</v>
      </c>
      <c r="BL158" s="788">
        <f t="shared" si="586"/>
        <v>6.6057084259101007E-2</v>
      </c>
      <c r="BM158" s="788">
        <f t="shared" si="586"/>
        <v>6.7678488462134118E-2</v>
      </c>
      <c r="BN158" s="788"/>
      <c r="BO158" s="793"/>
      <c r="BP158" s="789"/>
      <c r="BQ158" s="789">
        <f t="shared" ref="BQ158:CC158" si="587">(BQ153-BQ155)/BQ55</f>
        <v>8.8018825414309318E-2</v>
      </c>
      <c r="BR158" s="788">
        <f t="shared" si="587"/>
        <v>8.1527347781217757E-2</v>
      </c>
      <c r="BS158" s="788">
        <f t="shared" si="587"/>
        <v>7.2594040058622369E-2</v>
      </c>
      <c r="BT158" s="788">
        <f t="shared" si="587"/>
        <v>8.0417495029821068E-2</v>
      </c>
      <c r="BU158" s="793">
        <f t="shared" si="587"/>
        <v>7.0746527777777776E-2</v>
      </c>
      <c r="BV158" s="789">
        <f t="shared" si="587"/>
        <v>8.0866390369054672E-2</v>
      </c>
      <c r="BW158" s="788">
        <f t="shared" si="587"/>
        <v>7.2723765432098769E-2</v>
      </c>
      <c r="BX158" s="788">
        <f t="shared" si="587"/>
        <v>7.2384901097002671E-2</v>
      </c>
      <c r="BY158" s="788">
        <f t="shared" si="587"/>
        <v>0.10025106051424119</v>
      </c>
      <c r="BZ158" s="793">
        <f>(BZ153-BZ155)/BZ55</f>
        <v>6.1809191390343222E-2</v>
      </c>
      <c r="CA158" s="789">
        <f>(CA153-CA155)/CA55</f>
        <v>7.6193701320690824E-2</v>
      </c>
      <c r="CB158" s="788">
        <f t="shared" si="587"/>
        <v>6.8825178619878816E-2</v>
      </c>
      <c r="CC158" s="788">
        <f t="shared" si="587"/>
        <v>6.645644461962949E-2</v>
      </c>
      <c r="CD158" s="788">
        <f t="shared" ref="CD158" si="588">(CD153-CD155)/CD55</f>
        <v>7.5519763333059417E-2</v>
      </c>
      <c r="CE158" s="793">
        <f>(CE153-CE155)/CE55</f>
        <v>7.2141111184514758E-2</v>
      </c>
      <c r="CF158" s="789">
        <f>(CF153-CF155)/CF55</f>
        <v>7.0815702867889047E-2</v>
      </c>
      <c r="CG158" s="788"/>
      <c r="CH158" s="788"/>
      <c r="CI158" s="788"/>
      <c r="CJ158" s="793"/>
      <c r="CK158" s="789">
        <f>(CK153-CK155)/CK55</f>
        <v>7.4070160608622149E-2</v>
      </c>
      <c r="CL158" s="788"/>
      <c r="CM158" s="788"/>
      <c r="CN158" s="788"/>
      <c r="CO158" s="793"/>
      <c r="CP158" s="789">
        <f>(CP153-CP155)/CP55</f>
        <v>7.2174643829037932E-2</v>
      </c>
      <c r="CQ158" s="792">
        <f t="shared" ref="CQ158:CU158" si="589">(CQ153-CQ155)/CQ55</f>
        <v>7.2465765765765758E-2</v>
      </c>
      <c r="CR158" s="788">
        <f t="shared" si="589"/>
        <v>7.2633852140077823E-2</v>
      </c>
      <c r="CS158" s="788">
        <f>(CS153-CS155)/CS55</f>
        <v>7.2771311475409856E-2</v>
      </c>
      <c r="CT158" s="793">
        <f t="shared" si="589"/>
        <v>7.2788448844884501E-2</v>
      </c>
      <c r="CU158" s="789">
        <f t="shared" si="589"/>
        <v>7.2675828460038991E-2</v>
      </c>
      <c r="CV158" s="790"/>
      <c r="CW158" s="790"/>
      <c r="CX158" s="790"/>
      <c r="CY158" s="791"/>
      <c r="CZ158" s="789">
        <f>(CZ153-CZ155)/CZ55</f>
        <v>7.5210373847197518E-2</v>
      </c>
      <c r="DA158" s="790"/>
      <c r="DB158" s="790"/>
      <c r="DC158" s="790"/>
      <c r="DD158" s="791"/>
      <c r="DE158" s="789">
        <f>(DE153-DE155)/DE55</f>
        <v>7.6202551175078903E-2</v>
      </c>
      <c r="DF158" s="790"/>
      <c r="DG158" s="790"/>
      <c r="DH158" s="790"/>
      <c r="DI158" s="791"/>
      <c r="DJ158" s="789">
        <f>(DJ153-DJ155)/DJ55</f>
        <v>7.7204714419628992E-2</v>
      </c>
      <c r="DK158" s="526"/>
      <c r="DL158" s="1283"/>
      <c r="DM158" s="830"/>
      <c r="DN158" s="830"/>
      <c r="DO158" s="830"/>
      <c r="DP158" s="1084"/>
      <c r="DQ158" s="1084"/>
      <c r="DR158" s="1084"/>
      <c r="DS158" s="830"/>
      <c r="DT158" s="830"/>
      <c r="DU158" s="830"/>
      <c r="DV158" s="830"/>
      <c r="DW158" s="830"/>
      <c r="DX158" s="830"/>
      <c r="DY158" s="527"/>
      <c r="DZ158" s="428"/>
      <c r="EA158" s="428"/>
      <c r="EB158"/>
      <c r="EC158"/>
      <c r="ED158"/>
      <c r="EE158"/>
      <c r="EF158"/>
      <c r="EG158"/>
      <c r="EH158" s="428"/>
    </row>
    <row r="159" spans="1:186" s="706" customFormat="1">
      <c r="A159" s="106" t="s">
        <v>57</v>
      </c>
      <c r="B159" s="697"/>
      <c r="C159" s="698"/>
      <c r="D159" s="698"/>
      <c r="E159" s="698"/>
      <c r="F159" s="698"/>
      <c r="G159" s="698"/>
      <c r="H159" s="422"/>
      <c r="I159" s="699"/>
      <c r="J159" s="699"/>
      <c r="K159" s="699"/>
      <c r="L159" s="698"/>
      <c r="M159" s="699"/>
      <c r="N159" s="699"/>
      <c r="O159" s="699"/>
      <c r="P159" s="533"/>
      <c r="Q159" s="700"/>
      <c r="R159" s="699"/>
      <c r="S159" s="699"/>
      <c r="T159" s="699"/>
      <c r="U159" s="699"/>
      <c r="V159" s="700"/>
      <c r="W159" s="699"/>
      <c r="X159" s="699"/>
      <c r="Y159" s="699"/>
      <c r="Z159" s="699"/>
      <c r="AA159" s="701"/>
      <c r="AB159" s="699"/>
      <c r="AC159" s="699"/>
      <c r="AD159" s="699"/>
      <c r="AE159" s="699"/>
      <c r="AF159" s="701">
        <f t="shared" ref="AF159:AP159" si="590">(AF158-AA158)*100</f>
        <v>-1.0036544173290529E-2</v>
      </c>
      <c r="AG159" s="699">
        <f t="shared" si="590"/>
        <v>7.5710617196493395</v>
      </c>
      <c r="AH159" s="533">
        <f t="shared" si="590"/>
        <v>6.585018035399715</v>
      </c>
      <c r="AI159" s="533">
        <f t="shared" si="590"/>
        <v>8.4590108686494236</v>
      </c>
      <c r="AJ159" s="699">
        <f t="shared" si="590"/>
        <v>8.5874865691379441</v>
      </c>
      <c r="AK159" s="701">
        <f t="shared" si="590"/>
        <v>-0.1103563309100497</v>
      </c>
      <c r="AL159" s="699">
        <f t="shared" si="590"/>
        <v>0.31511714213927761</v>
      </c>
      <c r="AM159" s="699">
        <f t="shared" si="590"/>
        <v>3.5219244610939739</v>
      </c>
      <c r="AN159" s="699">
        <f t="shared" si="590"/>
        <v>-0.13081839486780711</v>
      </c>
      <c r="AO159" s="699">
        <f t="shared" si="590"/>
        <v>-2.6826916328681101</v>
      </c>
      <c r="AP159" s="701">
        <f t="shared" si="590"/>
        <v>0.24555844460694837</v>
      </c>
      <c r="AQ159" s="532">
        <f t="shared" ref="AQ159:AZ159" si="591">(AQ158-AL158)*100</f>
        <v>0.60208404900950474</v>
      </c>
      <c r="AR159" s="699">
        <f t="shared" si="591"/>
        <v>-1.5628066394266449</v>
      </c>
      <c r="AS159" s="699">
        <f t="shared" si="591"/>
        <v>0.18359446161518023</v>
      </c>
      <c r="AT159" s="699">
        <f t="shared" si="591"/>
        <v>1.852587346252113</v>
      </c>
      <c r="AU159" s="701">
        <f t="shared" si="591"/>
        <v>0.25551615490951862</v>
      </c>
      <c r="AV159" s="532">
        <f t="shared" si="591"/>
        <v>-2.2235811599230493E-2</v>
      </c>
      <c r="AW159" s="699">
        <f t="shared" si="591"/>
        <v>-1.2436119371151411</v>
      </c>
      <c r="AX159" s="699">
        <f t="shared" si="591"/>
        <v>-0.36241079020876699</v>
      </c>
      <c r="AY159" s="699">
        <f t="shared" si="591"/>
        <v>-0.43370031302438633</v>
      </c>
      <c r="AZ159" s="701">
        <f t="shared" si="591"/>
        <v>-0.53367149339576259</v>
      </c>
      <c r="BA159" s="701"/>
      <c r="BB159" s="532">
        <f>(BB158-BA158)*100</f>
        <v>0.436761521847992</v>
      </c>
      <c r="BC159" s="699">
        <f>(BC158-AQ158)*100</f>
        <v>5.587294626892142E-2</v>
      </c>
      <c r="BD159" s="699">
        <f>(BD158-AR158)*100</f>
        <v>-3.2348921670247166E-2</v>
      </c>
      <c r="BE159" s="699">
        <f>(BE158-AS158)*100</f>
        <v>-0.75440465287484881</v>
      </c>
      <c r="BF159" s="701"/>
      <c r="BG159" s="532">
        <f t="shared" ref="BG159:BM159" si="592">(BG158-BB158)*100</f>
        <v>-2.2235811599230493E-2</v>
      </c>
      <c r="BH159" s="699">
        <f t="shared" si="592"/>
        <v>-1.2436119371151411</v>
      </c>
      <c r="BI159" s="699">
        <f t="shared" si="592"/>
        <v>-0.36241079020876699</v>
      </c>
      <c r="BJ159" s="699">
        <f t="shared" si="592"/>
        <v>-0.43370031302438633</v>
      </c>
      <c r="BK159" s="701">
        <f t="shared" si="592"/>
        <v>-0.53367149339576259</v>
      </c>
      <c r="BL159" s="532">
        <f t="shared" si="592"/>
        <v>-1.8603186732887911</v>
      </c>
      <c r="BM159" s="699">
        <f t="shared" si="592"/>
        <v>-0.53267507373849088</v>
      </c>
      <c r="BN159" s="699"/>
      <c r="BO159" s="699"/>
      <c r="BP159" s="701"/>
      <c r="BQ159" s="701"/>
      <c r="BR159" s="532"/>
      <c r="BS159" s="699"/>
      <c r="BT159" s="699"/>
      <c r="BU159" s="699"/>
      <c r="BV159" s="701"/>
      <c r="BW159" s="532">
        <f>(BW158-BR158)*100</f>
        <v>-0.8803582349118988</v>
      </c>
      <c r="BX159" s="699">
        <f>(BX158-BS158)*100</f>
        <v>-2.0913896161969814E-2</v>
      </c>
      <c r="BY159" s="699">
        <f>(BY158-BT158)*100</f>
        <v>1.9833565484420126</v>
      </c>
      <c r="BZ159" s="699">
        <f>(BZ158-BU158)*100</f>
        <v>-0.89373363874345535</v>
      </c>
      <c r="CA159" s="701">
        <f>(CA158-BN158)*100</f>
        <v>7.6193701320690828</v>
      </c>
      <c r="CB159" s="532">
        <f>(CB158-BW158)*100</f>
        <v>-0.38985868122199535</v>
      </c>
      <c r="CC159" s="699">
        <f>(CC158-BX158)*100</f>
        <v>-0.59284564773731807</v>
      </c>
      <c r="CD159" s="699">
        <f>(CD158-BY158)*100</f>
        <v>-2.4731297181181775</v>
      </c>
      <c r="CE159" s="699">
        <f>(CE158-BZ158)*100</f>
        <v>1.0331919794171536</v>
      </c>
      <c r="CF159" s="701">
        <f>(CF158-BS158)*100</f>
        <v>-0.17783371907333229</v>
      </c>
      <c r="CG159" s="532"/>
      <c r="CH159" s="699"/>
      <c r="CI159" s="699"/>
      <c r="CJ159" s="699"/>
      <c r="CK159" s="701"/>
      <c r="CL159" s="532"/>
      <c r="CM159" s="699"/>
      <c r="CN159" s="699"/>
      <c r="CO159" s="699"/>
      <c r="CP159" s="701">
        <f>(CP158-CC158)*100</f>
        <v>0.57181992094084422</v>
      </c>
      <c r="CQ159" s="1166"/>
      <c r="CR159" s="699"/>
      <c r="CS159" s="699"/>
      <c r="CT159" s="1159"/>
      <c r="CU159" s="701">
        <f>(CU158-CP158)*100</f>
        <v>5.011846310010587E-2</v>
      </c>
      <c r="CV159" s="702"/>
      <c r="CW159" s="702"/>
      <c r="CX159" s="702"/>
      <c r="CY159" s="703"/>
      <c r="CZ159" s="701">
        <f>(CZ158-CU158)*100</f>
        <v>0.25345453871585266</v>
      </c>
      <c r="DA159" s="702"/>
      <c r="DB159" s="702"/>
      <c r="DC159" s="702"/>
      <c r="DD159" s="703"/>
      <c r="DE159" s="701">
        <f>(DE158-CZ158)*100</f>
        <v>9.9217732788138557E-2</v>
      </c>
      <c r="DF159" s="702"/>
      <c r="DG159" s="702"/>
      <c r="DH159" s="702"/>
      <c r="DI159" s="703"/>
      <c r="DJ159" s="701">
        <f>(DJ158-DE158)*100</f>
        <v>0.10021632445500889</v>
      </c>
      <c r="DK159" s="421"/>
      <c r="DL159" s="704"/>
      <c r="DM159" s="842"/>
      <c r="DN159" s="842"/>
      <c r="DO159" s="842"/>
      <c r="DP159" s="1094"/>
      <c r="DQ159" s="1094"/>
      <c r="DR159" s="1094"/>
      <c r="DS159" s="842"/>
      <c r="DT159" s="842"/>
      <c r="DU159" s="842"/>
      <c r="DV159" s="842"/>
      <c r="DW159" s="842"/>
      <c r="DX159" s="842"/>
      <c r="DY159" s="705"/>
      <c r="DZ159" s="422"/>
      <c r="EA159" s="422"/>
      <c r="EB159"/>
      <c r="EC159"/>
      <c r="ED159"/>
      <c r="EE159"/>
      <c r="EF159"/>
      <c r="EG159"/>
    </row>
    <row r="160" spans="1:186" s="690" customFormat="1" outlineLevel="1">
      <c r="A160" s="683" t="s">
        <v>199</v>
      </c>
      <c r="B160" s="684">
        <f t="shared" ref="B160:AG160" si="593">B162/B55</f>
        <v>3.1166555407209612E-2</v>
      </c>
      <c r="C160" s="684">
        <f t="shared" si="593"/>
        <v>3.4447707250960018E-2</v>
      </c>
      <c r="D160" s="684">
        <f t="shared" si="593"/>
        <v>7.2906187122736416E-2</v>
      </c>
      <c r="E160" s="684">
        <f t="shared" si="593"/>
        <v>7.5550301187862406E-2</v>
      </c>
      <c r="F160" s="684">
        <f t="shared" si="593"/>
        <v>9.3488834547066885E-2</v>
      </c>
      <c r="G160" s="684">
        <f t="shared" si="593"/>
        <v>0.10209490156486623</v>
      </c>
      <c r="H160" s="685">
        <f t="shared" si="593"/>
        <v>0.1077088948787062</v>
      </c>
      <c r="I160" s="685">
        <f t="shared" si="593"/>
        <v>0.11059994366726129</v>
      </c>
      <c r="J160" s="685">
        <f t="shared" si="593"/>
        <v>0.10644434429923388</v>
      </c>
      <c r="K160" s="685">
        <f t="shared" si="593"/>
        <v>0.11318144082649202</v>
      </c>
      <c r="L160" s="684">
        <f t="shared" si="593"/>
        <v>0.10952653958243753</v>
      </c>
      <c r="M160" s="685">
        <f t="shared" si="593"/>
        <v>0.11479515175798859</v>
      </c>
      <c r="N160" s="685">
        <f t="shared" si="593"/>
        <v>0.12057251562641544</v>
      </c>
      <c r="O160" s="685">
        <f t="shared" si="593"/>
        <v>0.11439916800605086</v>
      </c>
      <c r="P160" s="685">
        <f t="shared" si="593"/>
        <v>0.11821775062881783</v>
      </c>
      <c r="Q160" s="684">
        <f t="shared" si="593"/>
        <v>0.11708127588869907</v>
      </c>
      <c r="R160" s="685">
        <f t="shared" si="593"/>
        <v>0.11288923165911501</v>
      </c>
      <c r="S160" s="685">
        <f t="shared" si="593"/>
        <v>0.1077492774566474</v>
      </c>
      <c r="T160" s="685">
        <f t="shared" si="593"/>
        <v>0.10968700659422309</v>
      </c>
      <c r="U160" s="685">
        <f t="shared" si="593"/>
        <v>0.11128411046463985</v>
      </c>
      <c r="V160" s="684">
        <f t="shared" si="593"/>
        <v>0.11039063379488911</v>
      </c>
      <c r="W160" s="686">
        <f t="shared" si="593"/>
        <v>0.10138338009093548</v>
      </c>
      <c r="X160" s="685">
        <f t="shared" si="593"/>
        <v>0.10859929078014184</v>
      </c>
      <c r="Y160" s="686">
        <f t="shared" si="593"/>
        <v>8.7102177554438859E-2</v>
      </c>
      <c r="Z160" s="686">
        <f t="shared" si="593"/>
        <v>9.7014340568920929E-2</v>
      </c>
      <c r="AA160" s="687">
        <f t="shared" si="593"/>
        <v>9.8401172327814354E-2</v>
      </c>
      <c r="AB160" s="686">
        <f t="shared" si="593"/>
        <v>0.10455486542443064</v>
      </c>
      <c r="AC160" s="685">
        <f t="shared" si="593"/>
        <v>0.10647145456120592</v>
      </c>
      <c r="AD160" s="685">
        <f t="shared" si="593"/>
        <v>0.10446406469180626</v>
      </c>
      <c r="AE160" s="685">
        <f t="shared" si="593"/>
        <v>0.10943002211121121</v>
      </c>
      <c r="AF160" s="687">
        <f t="shared" si="593"/>
        <v>0.10628723198348351</v>
      </c>
      <c r="AG160" s="686">
        <f t="shared" si="593"/>
        <v>0.11077658726644825</v>
      </c>
      <c r="AH160" s="685">
        <f t="shared" ref="AH160:BM160" si="594">AH162/AH55</f>
        <v>0.11743981209630065</v>
      </c>
      <c r="AI160" s="685">
        <f t="shared" si="594"/>
        <v>0.11323616142893252</v>
      </c>
      <c r="AJ160" s="685">
        <f t="shared" si="594"/>
        <v>0.10488470121497645</v>
      </c>
      <c r="AK160" s="684">
        <f t="shared" si="594"/>
        <v>0.11156797083633589</v>
      </c>
      <c r="AL160" s="685">
        <f t="shared" si="594"/>
        <v>0.11201445347786811</v>
      </c>
      <c r="AM160" s="685">
        <f t="shared" si="594"/>
        <v>0.12429873772791024</v>
      </c>
      <c r="AN160" s="685">
        <f t="shared" si="594"/>
        <v>0.12117740371904469</v>
      </c>
      <c r="AO160" s="685">
        <f t="shared" si="594"/>
        <v>9.9627156854244336E-2</v>
      </c>
      <c r="AP160" s="684">
        <f t="shared" si="594"/>
        <v>0.11424665990563958</v>
      </c>
      <c r="AQ160" s="685">
        <f t="shared" si="594"/>
        <v>0.12638497652582159</v>
      </c>
      <c r="AR160" s="685">
        <f t="shared" si="594"/>
        <v>0.11860958782947108</v>
      </c>
      <c r="AS160" s="685">
        <f t="shared" si="594"/>
        <v>0.11768940075580349</v>
      </c>
      <c r="AT160" s="685">
        <f t="shared" si="594"/>
        <v>0.10694333599361533</v>
      </c>
      <c r="AU160" s="684">
        <f t="shared" si="594"/>
        <v>0.11699561403508772</v>
      </c>
      <c r="AV160" s="685">
        <f t="shared" si="594"/>
        <v>0.12234200375828305</v>
      </c>
      <c r="AW160" s="685">
        <f t="shared" si="594"/>
        <v>0.11380228463454437</v>
      </c>
      <c r="AX160" s="685">
        <f t="shared" si="594"/>
        <v>0.10775674024954192</v>
      </c>
      <c r="AY160" s="685">
        <f t="shared" si="594"/>
        <v>9.042347294263374E-2</v>
      </c>
      <c r="AZ160" s="684">
        <f t="shared" si="594"/>
        <v>0.10762594294632793</v>
      </c>
      <c r="BA160" s="684">
        <f t="shared" si="594"/>
        <v>0.11424665990563958</v>
      </c>
      <c r="BB160" s="685">
        <f t="shared" si="594"/>
        <v>0.12638497652582159</v>
      </c>
      <c r="BC160" s="685">
        <f t="shared" si="594"/>
        <v>0.11860958782947108</v>
      </c>
      <c r="BD160" s="685">
        <f t="shared" si="594"/>
        <v>0.11768940075580349</v>
      </c>
      <c r="BE160" s="685">
        <f t="shared" si="594"/>
        <v>0.10694333599361533</v>
      </c>
      <c r="BF160" s="684">
        <f t="shared" si="594"/>
        <v>0.11699561403508772</v>
      </c>
      <c r="BG160" s="685">
        <f t="shared" si="594"/>
        <v>0.12234200375828305</v>
      </c>
      <c r="BH160" s="685">
        <f t="shared" si="594"/>
        <v>0.11380228463454437</v>
      </c>
      <c r="BI160" s="685">
        <f t="shared" si="594"/>
        <v>0.10775674024954192</v>
      </c>
      <c r="BJ160" s="685">
        <f t="shared" si="594"/>
        <v>9.042347294263374E-2</v>
      </c>
      <c r="BK160" s="684">
        <f t="shared" si="594"/>
        <v>0.10762594294632793</v>
      </c>
      <c r="BL160" s="685">
        <f t="shared" si="594"/>
        <v>8.9813707058622461E-2</v>
      </c>
      <c r="BM160" s="685">
        <f t="shared" si="594"/>
        <v>0.10244695679107944</v>
      </c>
      <c r="BN160" s="685"/>
      <c r="BO160" s="685"/>
      <c r="BP160" s="684"/>
      <c r="BQ160" s="684">
        <f t="shared" ref="BQ160:CC160" si="595">BQ162/BQ55</f>
        <v>0.11753367045511441</v>
      </c>
      <c r="BR160" s="685">
        <f t="shared" si="595"/>
        <v>0.11787639032221076</v>
      </c>
      <c r="BS160" s="685">
        <f t="shared" si="595"/>
        <v>0.11265266243282852</v>
      </c>
      <c r="BT160" s="685">
        <f t="shared" si="595"/>
        <v>0.10666003976143142</v>
      </c>
      <c r="BU160" s="685">
        <f t="shared" si="595"/>
        <v>9.1840277777777785E-2</v>
      </c>
      <c r="BV160" s="684">
        <f t="shared" si="595"/>
        <v>0.10637458061969607</v>
      </c>
      <c r="BW160" s="685">
        <f t="shared" si="595"/>
        <v>9.0084876543209874E-2</v>
      </c>
      <c r="BX160" s="685">
        <f t="shared" si="595"/>
        <v>9.959402263107886E-2</v>
      </c>
      <c r="BY160" s="685">
        <f t="shared" si="595"/>
        <v>0.11791186910224223</v>
      </c>
      <c r="BZ160" s="685">
        <f>BZ162/BZ55</f>
        <v>8.7114601512507273E-2</v>
      </c>
      <c r="CA160" s="684">
        <f>CA162/CA55</f>
        <v>9.8353369454791742E-2</v>
      </c>
      <c r="CB160" s="685">
        <f t="shared" si="595"/>
        <v>8.4290494709233971E-2</v>
      </c>
      <c r="CC160" s="685">
        <f t="shared" si="595"/>
        <v>9.9802916830902644E-2</v>
      </c>
      <c r="CD160" s="685">
        <f t="shared" ref="CD160" si="596">CD162/CD55</f>
        <v>9.926863341277016E-2</v>
      </c>
      <c r="CE160" s="685">
        <f>CE162/CE55</f>
        <v>0.10827773006540266</v>
      </c>
      <c r="CF160" s="684">
        <f>CF162/CF55</f>
        <v>9.8828553518257325E-2</v>
      </c>
      <c r="CG160" s="685"/>
      <c r="CH160" s="685"/>
      <c r="CI160" s="685"/>
      <c r="CJ160" s="685"/>
      <c r="CK160" s="684">
        <f>CK162/CK55</f>
        <v>9.5879120879120885E-2</v>
      </c>
      <c r="CL160" s="685"/>
      <c r="CM160" s="685"/>
      <c r="CN160" s="685"/>
      <c r="CO160" s="685"/>
      <c r="CP160" s="684">
        <f>CP162/CP55</f>
        <v>0.10078837842164239</v>
      </c>
      <c r="CQ160" s="718">
        <f t="shared" ref="CQ160:CU160" si="597">CQ162/CQ55</f>
        <v>9.7981981981981978E-2</v>
      </c>
      <c r="CR160" s="685">
        <f t="shared" si="597"/>
        <v>9.8976653696498065E-2</v>
      </c>
      <c r="CS160" s="685">
        <f>CS162/CS55</f>
        <v>9.8918032786885254E-2</v>
      </c>
      <c r="CT160" s="1160">
        <f t="shared" si="597"/>
        <v>9.9693069306930698E-2</v>
      </c>
      <c r="CU160" s="718">
        <f t="shared" si="597"/>
        <v>9.8959064327485385E-2</v>
      </c>
      <c r="CV160" s="688"/>
      <c r="CW160" s="688"/>
      <c r="CX160" s="688"/>
      <c r="CY160" s="689"/>
      <c r="CZ160" s="718">
        <f>CZ162/CZ55</f>
        <v>0.10286426724849196</v>
      </c>
      <c r="DA160" s="688"/>
      <c r="DB160" s="688"/>
      <c r="DC160" s="688"/>
      <c r="DD160" s="689"/>
      <c r="DE160" s="718">
        <f>DE162/DE55</f>
        <v>0.1044868490253079</v>
      </c>
      <c r="DF160" s="688"/>
      <c r="DG160" s="688"/>
      <c r="DH160" s="688"/>
      <c r="DI160" s="689"/>
      <c r="DJ160" s="718">
        <f>DJ162/DJ55</f>
        <v>0.10605767734806003</v>
      </c>
      <c r="DK160" s="723"/>
      <c r="DL160" s="719"/>
      <c r="DM160" s="408"/>
      <c r="DN160" s="408"/>
      <c r="DO160" s="408"/>
      <c r="DP160" s="1125"/>
      <c r="DQ160" s="1125"/>
      <c r="DR160" s="1125"/>
      <c r="DS160" s="408"/>
      <c r="DT160" s="408"/>
      <c r="DU160" s="408"/>
      <c r="DV160" s="408"/>
      <c r="DW160" s="408"/>
      <c r="DX160" s="408"/>
      <c r="DY160" s="720"/>
      <c r="DZ160" s="721"/>
      <c r="EA160" s="721"/>
      <c r="EB160"/>
      <c r="EC160"/>
      <c r="ED160"/>
      <c r="EE160"/>
      <c r="EF160"/>
      <c r="EG160"/>
      <c r="EH160" s="722"/>
      <c r="EI160" s="722"/>
      <c r="EJ160" s="722"/>
      <c r="EK160" s="722"/>
      <c r="EL160" s="722"/>
      <c r="EM160" s="722"/>
      <c r="EN160" s="722"/>
      <c r="EO160" s="722"/>
      <c r="EP160" s="722"/>
      <c r="EQ160" s="722"/>
      <c r="ER160" s="722"/>
      <c r="ES160" s="722"/>
      <c r="ET160" s="722"/>
      <c r="EU160" s="722"/>
      <c r="EV160" s="722"/>
      <c r="EW160" s="722"/>
      <c r="EX160" s="722"/>
      <c r="EY160" s="722"/>
      <c r="EZ160" s="722"/>
      <c r="FA160" s="722"/>
      <c r="FB160" s="722"/>
      <c r="FC160" s="722"/>
      <c r="FD160" s="722"/>
      <c r="FE160" s="722"/>
      <c r="FF160" s="722"/>
      <c r="FG160" s="722"/>
      <c r="FH160" s="722"/>
      <c r="FI160" s="722"/>
      <c r="FJ160" s="722"/>
      <c r="FK160" s="722"/>
      <c r="FL160" s="722"/>
      <c r="FM160" s="722"/>
      <c r="FN160" s="722"/>
      <c r="FO160" s="722"/>
      <c r="FP160" s="722"/>
      <c r="FQ160" s="722"/>
      <c r="FR160" s="722"/>
      <c r="FS160" s="722"/>
      <c r="FT160" s="722"/>
      <c r="FU160" s="722"/>
      <c r="FV160" s="722"/>
      <c r="FW160" s="722"/>
      <c r="FX160" s="722"/>
      <c r="FY160" s="722"/>
      <c r="FZ160" s="722"/>
      <c r="GA160" s="722"/>
      <c r="GB160" s="722"/>
      <c r="GC160" s="722"/>
      <c r="GD160" s="722"/>
    </row>
    <row r="161" spans="1:138" s="398" customFormat="1" outlineLevel="1">
      <c r="A161" s="106" t="s">
        <v>57</v>
      </c>
      <c r="B161" s="80"/>
      <c r="C161" s="253">
        <f>(C160-B160)*100</f>
        <v>0.32811518437504061</v>
      </c>
      <c r="D161" s="253">
        <f>(D160-C160)*100</f>
        <v>3.8458479871776396</v>
      </c>
      <c r="E161" s="253">
        <f>(E160-D160)*100</f>
        <v>0.26441140651259909</v>
      </c>
      <c r="F161" s="253">
        <f>(F160-E160)*100</f>
        <v>1.7938533359204478</v>
      </c>
      <c r="G161" s="253">
        <f>(G160-F160)*100</f>
        <v>0.86060670177993404</v>
      </c>
      <c r="H161" s="268"/>
      <c r="I161" s="254"/>
      <c r="J161" s="254"/>
      <c r="K161" s="254"/>
      <c r="L161" s="253">
        <f>(L160-G160)*100</f>
        <v>0.74316380175713093</v>
      </c>
      <c r="M161" s="254">
        <f>(M160-H160)*100</f>
        <v>0.70862568792823821</v>
      </c>
      <c r="N161" s="254">
        <f>(N160-I160)*100</f>
        <v>0.9972571959154144</v>
      </c>
      <c r="O161" s="254">
        <f>(O160-J160)*100</f>
        <v>0.79548237068169803</v>
      </c>
      <c r="P161" s="255">
        <f>(P160-K160)*100</f>
        <v>0.50363098023258057</v>
      </c>
      <c r="Q161" s="256">
        <f t="shared" ref="Q161:AP161" si="598">(Q160-L160)*100</f>
        <v>0.75547363062615358</v>
      </c>
      <c r="R161" s="254">
        <f t="shared" si="598"/>
        <v>-0.19059200988735814</v>
      </c>
      <c r="S161" s="254">
        <f t="shared" si="598"/>
        <v>-1.2823238169768034</v>
      </c>
      <c r="T161" s="254">
        <f t="shared" si="598"/>
        <v>-0.47121614118277727</v>
      </c>
      <c r="U161" s="254">
        <f t="shared" si="598"/>
        <v>-0.6933640164177981</v>
      </c>
      <c r="V161" s="256">
        <f t="shared" si="598"/>
        <v>-0.66906420938099564</v>
      </c>
      <c r="W161" s="254">
        <f t="shared" si="598"/>
        <v>-1.1505851568179528</v>
      </c>
      <c r="X161" s="254">
        <f t="shared" si="598"/>
        <v>8.5001332349443626E-2</v>
      </c>
      <c r="Y161" s="254">
        <f t="shared" si="598"/>
        <v>-2.2584829039784231</v>
      </c>
      <c r="Z161" s="254">
        <f t="shared" si="598"/>
        <v>-1.4269769895718918</v>
      </c>
      <c r="AA161" s="257">
        <f t="shared" si="598"/>
        <v>-1.198946146707476</v>
      </c>
      <c r="AB161" s="254">
        <f t="shared" si="598"/>
        <v>0.31714853334951637</v>
      </c>
      <c r="AC161" s="254">
        <f t="shared" si="598"/>
        <v>-0.2127836218935919</v>
      </c>
      <c r="AD161" s="254">
        <f t="shared" si="598"/>
        <v>1.7361887137367402</v>
      </c>
      <c r="AE161" s="254">
        <f t="shared" si="598"/>
        <v>1.241568154229028</v>
      </c>
      <c r="AF161" s="257">
        <f t="shared" si="598"/>
        <v>0.78860596556691587</v>
      </c>
      <c r="AG161" s="254">
        <f t="shared" si="598"/>
        <v>0.62217218420176079</v>
      </c>
      <c r="AH161" s="255">
        <f t="shared" si="598"/>
        <v>1.096835753509473</v>
      </c>
      <c r="AI161" s="255">
        <f t="shared" si="598"/>
        <v>0.87720967371262559</v>
      </c>
      <c r="AJ161" s="254">
        <f t="shared" si="598"/>
        <v>-0.45453208962347585</v>
      </c>
      <c r="AK161" s="257">
        <f t="shared" si="598"/>
        <v>0.52807388528523791</v>
      </c>
      <c r="AL161" s="254">
        <f t="shared" si="598"/>
        <v>0.1237866211419858</v>
      </c>
      <c r="AM161" s="254">
        <f t="shared" si="598"/>
        <v>0.68589256316095859</v>
      </c>
      <c r="AN161" s="254">
        <f t="shared" si="598"/>
        <v>0.79412422901121715</v>
      </c>
      <c r="AO161" s="254">
        <f t="shared" si="598"/>
        <v>-0.52575443607321137</v>
      </c>
      <c r="AP161" s="257">
        <f t="shared" si="598"/>
        <v>0.26786890693036858</v>
      </c>
      <c r="AQ161" s="43">
        <f t="shared" ref="AQ161:AZ161" si="599">(AQ160-AL160)*100</f>
        <v>1.4370523047953485</v>
      </c>
      <c r="AR161" s="254">
        <f t="shared" si="599"/>
        <v>-0.56891498984391609</v>
      </c>
      <c r="AS161" s="254">
        <f t="shared" si="599"/>
        <v>-0.34880029632411991</v>
      </c>
      <c r="AT161" s="254">
        <f t="shared" si="599"/>
        <v>0.7316179139370993</v>
      </c>
      <c r="AU161" s="257">
        <f t="shared" si="599"/>
        <v>0.27489541294481445</v>
      </c>
      <c r="AV161" s="43">
        <f t="shared" si="599"/>
        <v>-0.40429727675385385</v>
      </c>
      <c r="AW161" s="254">
        <f t="shared" si="599"/>
        <v>-0.48073031949267125</v>
      </c>
      <c r="AX161" s="254">
        <f t="shared" si="599"/>
        <v>-0.99326605062615703</v>
      </c>
      <c r="AY161" s="254">
        <f t="shared" si="599"/>
        <v>-1.6519863050981589</v>
      </c>
      <c r="AZ161" s="257">
        <f t="shared" si="599"/>
        <v>-0.93696710887597878</v>
      </c>
      <c r="BA161" s="257"/>
      <c r="BB161" s="43">
        <f>(BB160-BA160)*100</f>
        <v>1.2138316620182013</v>
      </c>
      <c r="BC161" s="254">
        <f>(BC160-AQ160)*100</f>
        <v>-0.77753886963505137</v>
      </c>
      <c r="BD161" s="254">
        <f>(BD160-AR160)*100</f>
        <v>-9.2018707366758878E-2</v>
      </c>
      <c r="BE161" s="254">
        <f>(BE160-AS160)*100</f>
        <v>-1.0746064762188159</v>
      </c>
      <c r="BF161" s="257"/>
      <c r="BG161" s="43">
        <f t="shared" ref="BG161:BM161" si="600">(BG160-BB160)*100</f>
        <v>-0.40429727675385385</v>
      </c>
      <c r="BH161" s="254">
        <f t="shared" si="600"/>
        <v>-0.48073031949267125</v>
      </c>
      <c r="BI161" s="254">
        <f t="shared" si="600"/>
        <v>-0.99326605062615703</v>
      </c>
      <c r="BJ161" s="254">
        <f t="shared" si="600"/>
        <v>-1.6519863050981589</v>
      </c>
      <c r="BK161" s="257">
        <f t="shared" si="600"/>
        <v>-0.93696710887597878</v>
      </c>
      <c r="BL161" s="43">
        <f t="shared" si="600"/>
        <v>-3.2528296699660593</v>
      </c>
      <c r="BM161" s="254">
        <f t="shared" si="600"/>
        <v>-1.1355327843464922</v>
      </c>
      <c r="BN161" s="254"/>
      <c r="BO161" s="254"/>
      <c r="BP161" s="257"/>
      <c r="BQ161" s="257"/>
      <c r="BR161" s="254"/>
      <c r="BS161" s="254"/>
      <c r="BT161" s="826"/>
      <c r="BU161" s="254"/>
      <c r="BV161" s="257"/>
      <c r="BW161" s="43">
        <f>(BW160-BR160)*100</f>
        <v>-2.7791513779000883</v>
      </c>
      <c r="BX161" s="254">
        <f>(BX160-BS160)*100</f>
        <v>-1.3058639801749663</v>
      </c>
      <c r="BY161" s="254">
        <f>(BY160-BT160)*100</f>
        <v>1.1251829340810815</v>
      </c>
      <c r="BZ161" s="254">
        <f>(BZ160-BU160)*100</f>
        <v>-0.4725676265270512</v>
      </c>
      <c r="CA161" s="257">
        <f>(CA160-BN160)*100</f>
        <v>9.8353369454791739</v>
      </c>
      <c r="CB161" s="43">
        <f>(CB160-BW160)*100</f>
        <v>-0.57943818339759035</v>
      </c>
      <c r="CC161" s="254">
        <f>(CC160-BX160)*100</f>
        <v>2.0889419982378366E-2</v>
      </c>
      <c r="CD161" s="254">
        <f>(CD160-BY160)*100</f>
        <v>-1.8643235689472071</v>
      </c>
      <c r="CE161" s="254">
        <f>(CE160-BZ160)*100</f>
        <v>2.1163128552895385</v>
      </c>
      <c r="CF161" s="257">
        <f>(CF160-BS160)*100</f>
        <v>-1.3824108914571198</v>
      </c>
      <c r="CG161" s="43"/>
      <c r="CH161" s="254"/>
      <c r="CI161" s="254"/>
      <c r="CJ161" s="254"/>
      <c r="CK161" s="257"/>
      <c r="CL161" s="43"/>
      <c r="CM161" s="254"/>
      <c r="CN161" s="254"/>
      <c r="CO161" s="254"/>
      <c r="CP161" s="257">
        <f>(CP160-CC160)*100</f>
        <v>9.8546159073974182E-2</v>
      </c>
      <c r="CQ161" s="1163"/>
      <c r="CR161" s="254"/>
      <c r="CS161" s="254"/>
      <c r="CT161" s="1155"/>
      <c r="CU161" s="257">
        <f>(CU160-CP160)*100</f>
        <v>-0.18293140941570002</v>
      </c>
      <c r="CV161" s="30"/>
      <c r="CW161" s="30"/>
      <c r="CX161" s="30"/>
      <c r="CY161" s="31"/>
      <c r="CZ161" s="257">
        <f>(CZ160-CU160)*100</f>
        <v>0.39052029210065731</v>
      </c>
      <c r="DA161" s="30"/>
      <c r="DB161" s="30"/>
      <c r="DC161" s="30"/>
      <c r="DD161" s="31"/>
      <c r="DE161" s="257">
        <f>(DE160-CZ160)*100</f>
        <v>0.16225817768159428</v>
      </c>
      <c r="DF161" s="30"/>
      <c r="DG161" s="30"/>
      <c r="DH161" s="30"/>
      <c r="DI161" s="31"/>
      <c r="DJ161" s="257">
        <f>(DJ160-DE160)*100</f>
        <v>0.15708283227521269</v>
      </c>
      <c r="DK161" s="397"/>
      <c r="DL161" s="74"/>
      <c r="DM161" s="809"/>
      <c r="DN161" s="809"/>
      <c r="DO161" s="809"/>
      <c r="DP161" s="1054"/>
      <c r="DQ161" s="1054"/>
      <c r="DR161" s="1054"/>
      <c r="DS161" s="809"/>
      <c r="DT161" s="809"/>
      <c r="DU161" s="809"/>
      <c r="DV161" s="809"/>
      <c r="DW161" s="809"/>
      <c r="DX161" s="809"/>
      <c r="DY161" s="360"/>
      <c r="DZ161" s="167"/>
      <c r="EA161" s="167"/>
      <c r="EB161"/>
      <c r="EC161"/>
      <c r="ED161"/>
      <c r="EE161"/>
      <c r="EF161"/>
      <c r="EG161"/>
    </row>
    <row r="162" spans="1:138" s="473" customFormat="1" outlineLevel="1">
      <c r="A162" s="707" t="s">
        <v>1</v>
      </c>
      <c r="B162" s="708">
        <f t="shared" ref="B162:AG162" si="601">B83+B107+B119+B143+B95+B131+B147</f>
        <v>747</v>
      </c>
      <c r="C162" s="708">
        <f t="shared" si="601"/>
        <v>915</v>
      </c>
      <c r="D162" s="708">
        <f t="shared" si="601"/>
        <v>2319</v>
      </c>
      <c r="E162" s="708">
        <f t="shared" si="601"/>
        <v>2684</v>
      </c>
      <c r="F162" s="708">
        <f t="shared" si="601"/>
        <v>3479</v>
      </c>
      <c r="G162" s="708">
        <f t="shared" si="601"/>
        <v>4045</v>
      </c>
      <c r="H162" s="709">
        <f t="shared" si="601"/>
        <v>999</v>
      </c>
      <c r="I162" s="709">
        <f t="shared" si="601"/>
        <v>1178</v>
      </c>
      <c r="J162" s="709">
        <f t="shared" si="601"/>
        <v>1181</v>
      </c>
      <c r="K162" s="709">
        <f t="shared" si="601"/>
        <v>1227</v>
      </c>
      <c r="L162" s="708">
        <f t="shared" si="601"/>
        <v>4585</v>
      </c>
      <c r="M162" s="709">
        <f t="shared" si="601"/>
        <v>1146</v>
      </c>
      <c r="N162" s="709">
        <f t="shared" si="601"/>
        <v>1331</v>
      </c>
      <c r="O162" s="709">
        <f t="shared" si="601"/>
        <v>1210</v>
      </c>
      <c r="P162" s="709">
        <f t="shared" si="601"/>
        <v>1316</v>
      </c>
      <c r="Q162" s="708">
        <f t="shared" si="601"/>
        <v>5003</v>
      </c>
      <c r="R162" s="709">
        <f t="shared" si="601"/>
        <v>1171</v>
      </c>
      <c r="S162" s="709">
        <f t="shared" si="601"/>
        <v>1193</v>
      </c>
      <c r="T162" s="709">
        <f t="shared" si="601"/>
        <v>1181</v>
      </c>
      <c r="U162" s="709">
        <f t="shared" si="601"/>
        <v>1358</v>
      </c>
      <c r="V162" s="708">
        <f t="shared" si="601"/>
        <v>4903</v>
      </c>
      <c r="W162" s="500">
        <f t="shared" si="601"/>
        <v>1048</v>
      </c>
      <c r="X162" s="709">
        <f t="shared" si="601"/>
        <v>1225</v>
      </c>
      <c r="Y162" s="500">
        <f t="shared" si="601"/>
        <v>988</v>
      </c>
      <c r="Z162" s="500">
        <f t="shared" si="601"/>
        <v>1238</v>
      </c>
      <c r="AA162" s="501">
        <f t="shared" si="601"/>
        <v>4499</v>
      </c>
      <c r="AB162" s="500">
        <f t="shared" si="601"/>
        <v>1111</v>
      </c>
      <c r="AC162" s="709">
        <f t="shared" si="601"/>
        <v>1229</v>
      </c>
      <c r="AD162" s="709">
        <f t="shared" si="601"/>
        <v>1266</v>
      </c>
      <c r="AE162" s="709">
        <f t="shared" si="601"/>
        <v>1336.25</v>
      </c>
      <c r="AF162" s="501">
        <f t="shared" si="601"/>
        <v>4942.25</v>
      </c>
      <c r="AG162" s="500">
        <f t="shared" si="601"/>
        <v>1251</v>
      </c>
      <c r="AH162" s="709">
        <f t="shared" ref="AH162:BM162" si="602">AH83+AH107+AH119+AH143+AH95+AH131+AH147</f>
        <v>1400</v>
      </c>
      <c r="AI162" s="709">
        <f t="shared" si="602"/>
        <v>1344</v>
      </c>
      <c r="AJ162" s="709">
        <f t="shared" si="602"/>
        <v>1269</v>
      </c>
      <c r="AK162" s="708">
        <f t="shared" si="602"/>
        <v>5264</v>
      </c>
      <c r="AL162" s="709">
        <f t="shared" si="602"/>
        <v>1240</v>
      </c>
      <c r="AM162" s="709">
        <f t="shared" si="602"/>
        <v>1418</v>
      </c>
      <c r="AN162" s="709">
        <f t="shared" si="602"/>
        <v>1375</v>
      </c>
      <c r="AO162" s="709">
        <f t="shared" si="602"/>
        <v>1149</v>
      </c>
      <c r="AP162" s="708">
        <f t="shared" si="602"/>
        <v>5182</v>
      </c>
      <c r="AQ162" s="709">
        <f t="shared" si="602"/>
        <v>1346</v>
      </c>
      <c r="AR162" s="709">
        <f t="shared" si="602"/>
        <v>1341</v>
      </c>
      <c r="AS162" s="709">
        <f t="shared" si="602"/>
        <v>1308</v>
      </c>
      <c r="AT162" s="709">
        <f t="shared" si="602"/>
        <v>1340</v>
      </c>
      <c r="AU162" s="708">
        <f t="shared" si="602"/>
        <v>5335</v>
      </c>
      <c r="AV162" s="709">
        <f t="shared" si="602"/>
        <v>1237</v>
      </c>
      <c r="AW162" s="709">
        <f t="shared" si="602"/>
        <v>1325</v>
      </c>
      <c r="AX162" s="709">
        <f t="shared" si="602"/>
        <v>1235</v>
      </c>
      <c r="AY162" s="709">
        <f t="shared" si="602"/>
        <v>1168</v>
      </c>
      <c r="AZ162" s="708">
        <f t="shared" si="602"/>
        <v>4965</v>
      </c>
      <c r="BA162" s="708">
        <f t="shared" si="602"/>
        <v>5182</v>
      </c>
      <c r="BB162" s="709">
        <f t="shared" si="602"/>
        <v>1346</v>
      </c>
      <c r="BC162" s="709">
        <f t="shared" si="602"/>
        <v>1341</v>
      </c>
      <c r="BD162" s="709">
        <f t="shared" si="602"/>
        <v>1308</v>
      </c>
      <c r="BE162" s="709">
        <f t="shared" si="602"/>
        <v>1340</v>
      </c>
      <c r="BF162" s="708">
        <f t="shared" si="602"/>
        <v>5335</v>
      </c>
      <c r="BG162" s="709">
        <f t="shared" si="602"/>
        <v>1237</v>
      </c>
      <c r="BH162" s="709">
        <f t="shared" si="602"/>
        <v>1325</v>
      </c>
      <c r="BI162" s="709">
        <f t="shared" si="602"/>
        <v>1235</v>
      </c>
      <c r="BJ162" s="709">
        <f t="shared" si="602"/>
        <v>1168</v>
      </c>
      <c r="BK162" s="708">
        <f t="shared" si="602"/>
        <v>4965</v>
      </c>
      <c r="BL162" s="709">
        <f t="shared" si="602"/>
        <v>1051</v>
      </c>
      <c r="BM162" s="709">
        <f t="shared" si="602"/>
        <v>1323</v>
      </c>
      <c r="BN162" s="709"/>
      <c r="BO162" s="709"/>
      <c r="BP162" s="708"/>
      <c r="BQ162" s="708">
        <f t="shared" ref="BQ162:CC162" si="603">BQ83+BQ107+BQ119+BQ143+BQ95+BQ131+BQ147</f>
        <v>4695</v>
      </c>
      <c r="BR162" s="709">
        <f t="shared" si="603"/>
        <v>1028</v>
      </c>
      <c r="BS162" s="709">
        <f t="shared" si="603"/>
        <v>1153</v>
      </c>
      <c r="BT162" s="709">
        <f t="shared" si="603"/>
        <v>1073</v>
      </c>
      <c r="BU162" s="709">
        <f t="shared" si="603"/>
        <v>1058</v>
      </c>
      <c r="BV162" s="708">
        <f t="shared" si="603"/>
        <v>4312</v>
      </c>
      <c r="BW162" s="709">
        <f t="shared" si="603"/>
        <v>934</v>
      </c>
      <c r="BX162" s="709">
        <f t="shared" si="603"/>
        <v>1153</v>
      </c>
      <c r="BY162" s="709">
        <f t="shared" si="603"/>
        <v>1362</v>
      </c>
      <c r="BZ162" s="709">
        <f>BZ83+BZ107+BZ119+BZ143+BZ95+BZ131+BZ147</f>
        <v>1198</v>
      </c>
      <c r="CA162" s="708">
        <f>CA83+CA107+CA119+CA143+CA95+CA131+CA147</f>
        <v>4647</v>
      </c>
      <c r="CB162" s="709">
        <f t="shared" si="603"/>
        <v>932</v>
      </c>
      <c r="CC162" s="709">
        <f t="shared" si="603"/>
        <v>1266</v>
      </c>
      <c r="CD162" s="709">
        <f t="shared" ref="CD162" si="604">CD83+CD107+CD119+CD143+CD95+CD131+CD147</f>
        <v>1208</v>
      </c>
      <c r="CE162" s="709">
        <f>CE83+CE107+CE119+CE143+CE95+CE131+CE147</f>
        <v>1639</v>
      </c>
      <c r="CF162" s="708">
        <f>CF83+CF107+CF119+CF143+CF95+CF131+CF147</f>
        <v>5045</v>
      </c>
      <c r="CG162" s="709"/>
      <c r="CH162" s="709"/>
      <c r="CI162" s="709"/>
      <c r="CJ162" s="709"/>
      <c r="CK162" s="708">
        <f>CK83+CK107+CK119+CK143+CK95+CK131+CK147</f>
        <v>4537</v>
      </c>
      <c r="CL162" s="709"/>
      <c r="CM162" s="709"/>
      <c r="CN162" s="709"/>
      <c r="CO162" s="709"/>
      <c r="CP162" s="708">
        <f>CP83+CP107+CP119+CP143+CP95+CP131+CP147</f>
        <v>5037</v>
      </c>
      <c r="CQ162" s="1162">
        <f t="shared" ref="CQ162:CU162" si="605">CQ83+CQ107+CQ119+CQ143+CQ95+CQ131+CQ147</f>
        <v>1087.5999999999999</v>
      </c>
      <c r="CR162" s="709">
        <f t="shared" si="605"/>
        <v>1271.8500000000001</v>
      </c>
      <c r="CS162" s="709">
        <f>CS83+CS107+CS119+CS143+CS95+CS131+CS147</f>
        <v>1206.8000000000002</v>
      </c>
      <c r="CT162" s="1161">
        <f t="shared" si="605"/>
        <v>1510.3500000000001</v>
      </c>
      <c r="CU162" s="708">
        <f t="shared" si="605"/>
        <v>5076.6000000000004</v>
      </c>
      <c r="CV162" s="710"/>
      <c r="CW162" s="710"/>
      <c r="CX162" s="710"/>
      <c r="CY162" s="711"/>
      <c r="CZ162" s="708">
        <f>CZ83+CZ107+CZ119+CZ143+CZ95+CZ131+CZ147</f>
        <v>5610.32</v>
      </c>
      <c r="DA162" s="710"/>
      <c r="DB162" s="710"/>
      <c r="DC162" s="710"/>
      <c r="DD162" s="711"/>
      <c r="DE162" s="708">
        <f>DE83+DE107+DE119+DE143+DE95+DE131+DE147</f>
        <v>5966.1541500000003</v>
      </c>
      <c r="DF162" s="710"/>
      <c r="DG162" s="710"/>
      <c r="DH162" s="710"/>
      <c r="DI162" s="711"/>
      <c r="DJ162" s="708">
        <f>DJ83+DJ107+DJ119+DJ143+DJ95+DJ131+DJ147</f>
        <v>6254.8600079999997</v>
      </c>
      <c r="DK162" s="468"/>
      <c r="DL162" s="471"/>
      <c r="DM162" s="864"/>
      <c r="DN162" s="864"/>
      <c r="DO162" s="864"/>
      <c r="DP162" s="1059"/>
      <c r="DQ162" s="1059"/>
      <c r="DR162" s="1059"/>
      <c r="DS162" s="864"/>
      <c r="DT162" s="864"/>
      <c r="DU162" s="864"/>
      <c r="DV162" s="864"/>
      <c r="DW162" s="864"/>
      <c r="DX162" s="864"/>
      <c r="DY162" s="472"/>
      <c r="DZ162" s="464"/>
      <c r="EA162" s="464"/>
      <c r="EB162"/>
      <c r="EC162"/>
      <c r="ED162"/>
      <c r="EE162"/>
      <c r="EF162"/>
      <c r="EG162"/>
    </row>
    <row r="163" spans="1:138" s="398" customFormat="1" outlineLevel="1">
      <c r="A163" s="97" t="s">
        <v>53</v>
      </c>
      <c r="B163" s="80"/>
      <c r="C163" s="80">
        <f>C162/B162-1</f>
        <v>0.22489959839357421</v>
      </c>
      <c r="D163" s="80">
        <f>D162/C162-1</f>
        <v>1.5344262295081967</v>
      </c>
      <c r="E163" s="80">
        <f>E162/D162-1</f>
        <v>0.15739542906425186</v>
      </c>
      <c r="F163" s="80">
        <f>F162/E162-1</f>
        <v>0.29619970193740675</v>
      </c>
      <c r="G163" s="80">
        <f>G162/F162-1</f>
        <v>0.16269042828398961</v>
      </c>
      <c r="H163" s="82"/>
      <c r="I163" s="82"/>
      <c r="J163" s="82"/>
      <c r="K163" s="82"/>
      <c r="L163" s="80">
        <f t="shared" ref="L163:AP163" si="606">L162/G162-1</f>
        <v>0.13349814585908537</v>
      </c>
      <c r="M163" s="82">
        <f t="shared" si="606"/>
        <v>0.14714714714714705</v>
      </c>
      <c r="N163" s="82">
        <f t="shared" si="606"/>
        <v>0.12988115449915116</v>
      </c>
      <c r="O163" s="82">
        <f t="shared" si="606"/>
        <v>2.4555461473327655E-2</v>
      </c>
      <c r="P163" s="82">
        <f t="shared" si="606"/>
        <v>7.2534637326813423E-2</v>
      </c>
      <c r="Q163" s="80">
        <f t="shared" si="606"/>
        <v>9.1166848418756885E-2</v>
      </c>
      <c r="R163" s="82">
        <f t="shared" si="606"/>
        <v>2.1815008726003393E-2</v>
      </c>
      <c r="S163" s="82">
        <f t="shared" si="606"/>
        <v>-0.10368144252441769</v>
      </c>
      <c r="T163" s="82">
        <f t="shared" si="606"/>
        <v>-2.3966942148760384E-2</v>
      </c>
      <c r="U163" s="82">
        <f t="shared" si="606"/>
        <v>3.1914893617021267E-2</v>
      </c>
      <c r="V163" s="80">
        <f t="shared" si="606"/>
        <v>-1.9988007195682611E-2</v>
      </c>
      <c r="W163" s="83">
        <f t="shared" si="606"/>
        <v>-0.10503842869342439</v>
      </c>
      <c r="X163" s="82">
        <f t="shared" si="606"/>
        <v>2.6823134953897654E-2</v>
      </c>
      <c r="Y163" s="83">
        <f t="shared" si="606"/>
        <v>-0.16342082980524975</v>
      </c>
      <c r="Z163" s="83">
        <f t="shared" si="606"/>
        <v>-8.8365243004418281E-2</v>
      </c>
      <c r="AA163" s="84">
        <f t="shared" si="606"/>
        <v>-8.2398531511319595E-2</v>
      </c>
      <c r="AB163" s="83">
        <f t="shared" si="606"/>
        <v>6.0114503816793841E-2</v>
      </c>
      <c r="AC163" s="82">
        <f t="shared" si="606"/>
        <v>3.2653061224490187E-3</v>
      </c>
      <c r="AD163" s="82">
        <f t="shared" si="606"/>
        <v>0.28137651821862342</v>
      </c>
      <c r="AE163" s="82">
        <f t="shared" si="606"/>
        <v>7.936187399030703E-2</v>
      </c>
      <c r="AF163" s="84">
        <f t="shared" si="606"/>
        <v>9.8521893754167644E-2</v>
      </c>
      <c r="AG163" s="83">
        <f t="shared" si="606"/>
        <v>0.12601260126012592</v>
      </c>
      <c r="AH163" s="82">
        <f t="shared" si="606"/>
        <v>0.13913751017087073</v>
      </c>
      <c r="AI163" s="82">
        <f t="shared" si="606"/>
        <v>6.1611374407583019E-2</v>
      </c>
      <c r="AJ163" s="82">
        <f t="shared" si="606"/>
        <v>-5.0327408793264694E-2</v>
      </c>
      <c r="AK163" s="80">
        <f t="shared" si="606"/>
        <v>6.51019272598512E-2</v>
      </c>
      <c r="AL163" s="82">
        <f t="shared" si="606"/>
        <v>-8.7929656274979839E-3</v>
      </c>
      <c r="AM163" s="82">
        <f t="shared" si="606"/>
        <v>1.28571428571429E-2</v>
      </c>
      <c r="AN163" s="82">
        <f t="shared" si="606"/>
        <v>2.3065476190476275E-2</v>
      </c>
      <c r="AO163" s="82">
        <f t="shared" si="606"/>
        <v>-9.4562647754137141E-2</v>
      </c>
      <c r="AP163" s="80">
        <f t="shared" si="606"/>
        <v>-1.5577507598784179E-2</v>
      </c>
      <c r="AQ163" s="85">
        <f t="shared" ref="AQ163:AZ163" si="607">AQ162/AL162-1</f>
        <v>8.5483870967741904E-2</v>
      </c>
      <c r="AR163" s="82">
        <f t="shared" si="607"/>
        <v>-5.4301833568406233E-2</v>
      </c>
      <c r="AS163" s="82">
        <f t="shared" si="607"/>
        <v>-4.872727272727273E-2</v>
      </c>
      <c r="AT163" s="82">
        <f t="shared" si="607"/>
        <v>0.1662315056570931</v>
      </c>
      <c r="AU163" s="80">
        <f t="shared" si="607"/>
        <v>2.9525279814743399E-2</v>
      </c>
      <c r="AV163" s="85">
        <f t="shared" si="607"/>
        <v>-8.0980683506686524E-2</v>
      </c>
      <c r="AW163" s="82">
        <f t="shared" si="607"/>
        <v>-1.1931394481730084E-2</v>
      </c>
      <c r="AX163" s="82">
        <f t="shared" si="607"/>
        <v>-5.58103975535168E-2</v>
      </c>
      <c r="AY163" s="82">
        <f t="shared" si="607"/>
        <v>-0.12835820895522387</v>
      </c>
      <c r="AZ163" s="80">
        <f t="shared" si="607"/>
        <v>-6.9353327085285854E-2</v>
      </c>
      <c r="BA163" s="80"/>
      <c r="BB163" s="85">
        <f>BB162/BA162-1</f>
        <v>-0.74025472790428404</v>
      </c>
      <c r="BC163" s="82">
        <f>BC162/AQ162-1</f>
        <v>-3.714710252600284E-3</v>
      </c>
      <c r="BD163" s="82">
        <f>BD162/AR162-1</f>
        <v>-2.4608501118568271E-2</v>
      </c>
      <c r="BE163" s="82">
        <f>BE162/AS162-1</f>
        <v>2.4464831804281273E-2</v>
      </c>
      <c r="BF163" s="80"/>
      <c r="BG163" s="85">
        <f t="shared" ref="BG163:BM163" si="608">BG162/BB162-1</f>
        <v>-8.0980683506686524E-2</v>
      </c>
      <c r="BH163" s="82">
        <f t="shared" si="608"/>
        <v>-1.1931394481730084E-2</v>
      </c>
      <c r="BI163" s="82">
        <f t="shared" si="608"/>
        <v>-5.58103975535168E-2</v>
      </c>
      <c r="BJ163" s="82">
        <f t="shared" si="608"/>
        <v>-0.12835820895522387</v>
      </c>
      <c r="BK163" s="80">
        <f t="shared" si="608"/>
        <v>-6.9353327085285854E-2</v>
      </c>
      <c r="BL163" s="85">
        <f t="shared" si="608"/>
        <v>-0.15036378334680678</v>
      </c>
      <c r="BM163" s="82">
        <f t="shared" si="608"/>
        <v>-1.5094339622641062E-3</v>
      </c>
      <c r="BN163" s="82"/>
      <c r="BO163" s="82"/>
      <c r="BP163" s="80"/>
      <c r="BQ163" s="80"/>
      <c r="BR163" s="82">
        <f>+BR162/BB162-1</f>
        <v>-0.23625557206537895</v>
      </c>
      <c r="BS163" s="82">
        <f t="shared" ref="BS163" si="609">+BS162/BC162-1</f>
        <v>-0.14019388516032816</v>
      </c>
      <c r="BT163" s="82">
        <f t="shared" ref="BT163" si="610">+BT162/BD162-1</f>
        <v>-0.17966360856269115</v>
      </c>
      <c r="BU163" s="82">
        <f t="shared" ref="BU163" si="611">+BU162/BE162-1</f>
        <v>-0.21044776119402986</v>
      </c>
      <c r="BV163" s="80">
        <f t="shared" ref="BV163" si="612">+BV162/BF162-1</f>
        <v>-0.19175257731958761</v>
      </c>
      <c r="BW163" s="85">
        <f t="shared" ref="BW163:CD163" si="613">BW162/BR162-1</f>
        <v>-9.1439688715953316E-2</v>
      </c>
      <c r="BX163" s="82">
        <f t="shared" si="613"/>
        <v>0</v>
      </c>
      <c r="BY163" s="82">
        <f t="shared" si="613"/>
        <v>0.26933830382106239</v>
      </c>
      <c r="BZ163" s="82">
        <f>BZ162/BU162-1</f>
        <v>0.13232514177693755</v>
      </c>
      <c r="CA163" s="80">
        <f>CA162/BV162-1</f>
        <v>7.7690166975881159E-2</v>
      </c>
      <c r="CB163" s="85">
        <f t="shared" si="613"/>
        <v>-2.1413276231263545E-3</v>
      </c>
      <c r="CC163" s="82">
        <f t="shared" si="613"/>
        <v>9.8005203816131869E-2</v>
      </c>
      <c r="CD163" s="82">
        <f t="shared" si="613"/>
        <v>-0.11306901615271658</v>
      </c>
      <c r="CE163" s="82">
        <f>CE162/BZ162-1</f>
        <v>0.36811352253756269</v>
      </c>
      <c r="CF163" s="80">
        <f>CF162/CA162-1</f>
        <v>8.5646653755110824E-2</v>
      </c>
      <c r="CG163" s="85"/>
      <c r="CH163" s="82"/>
      <c r="CI163" s="82"/>
      <c r="CJ163" s="82"/>
      <c r="CK163" s="80"/>
      <c r="CL163" s="85"/>
      <c r="CM163" s="82"/>
      <c r="CN163" s="82"/>
      <c r="CO163" s="82"/>
      <c r="CP163" s="80">
        <f>CP162/CK162-1</f>
        <v>0.1102049812651531</v>
      </c>
      <c r="CQ163" s="85"/>
      <c r="CR163" s="82"/>
      <c r="CS163" s="82"/>
      <c r="CT163" s="81"/>
      <c r="CU163" s="80">
        <f>CU162/CP162-1</f>
        <v>7.8618225134008402E-3</v>
      </c>
      <c r="CV163" s="103"/>
      <c r="CW163" s="103"/>
      <c r="CX163" s="103"/>
      <c r="CY163" s="105"/>
      <c r="CZ163" s="80">
        <f>CZ162/CU162-1</f>
        <v>0.10513335697120096</v>
      </c>
      <c r="DA163" s="103"/>
      <c r="DB163" s="103"/>
      <c r="DC163" s="103"/>
      <c r="DD163" s="105"/>
      <c r="DE163" s="80">
        <f>DE162/CZ162-1</f>
        <v>6.342492941579092E-2</v>
      </c>
      <c r="DF163" s="103"/>
      <c r="DG163" s="103"/>
      <c r="DH163" s="103"/>
      <c r="DI163" s="105"/>
      <c r="DJ163" s="80">
        <f>DJ162/DE162-1</f>
        <v>4.8390613239518654E-2</v>
      </c>
      <c r="DK163" s="401"/>
      <c r="DL163" s="74"/>
      <c r="DM163" s="809"/>
      <c r="DN163" s="809"/>
      <c r="DO163" s="809"/>
      <c r="DP163" s="1059"/>
      <c r="DQ163" s="1059"/>
      <c r="DR163" s="1059"/>
      <c r="DS163" s="809"/>
      <c r="DT163" s="809"/>
      <c r="DU163" s="809"/>
      <c r="DV163" s="809"/>
      <c r="DW163" s="809"/>
      <c r="DX163" s="809"/>
      <c r="DY163" s="360"/>
      <c r="DZ163" s="167"/>
      <c r="EA163" s="167"/>
      <c r="EB163"/>
      <c r="EC163"/>
      <c r="ED163"/>
      <c r="EE163"/>
      <c r="EF163"/>
      <c r="EG163"/>
    </row>
    <row r="164" spans="1:138" s="473" customFormat="1" outlineLevel="1">
      <c r="A164" s="707" t="s">
        <v>12</v>
      </c>
      <c r="B164" s="712"/>
      <c r="C164" s="712"/>
      <c r="D164" s="712"/>
      <c r="E164" s="712"/>
      <c r="F164" s="712"/>
      <c r="G164" s="712"/>
      <c r="H164" s="49"/>
      <c r="I164" s="49"/>
      <c r="J164" s="49"/>
      <c r="K164" s="49"/>
      <c r="L164" s="712"/>
      <c r="M164" s="713"/>
      <c r="N164" s="713"/>
      <c r="O164" s="713"/>
      <c r="P164" s="714"/>
      <c r="Q164" s="712"/>
      <c r="R164" s="713"/>
      <c r="S164" s="713"/>
      <c r="T164" s="713"/>
      <c r="U164" s="49"/>
      <c r="V164" s="712"/>
      <c r="W164" s="49"/>
      <c r="X164" s="713"/>
      <c r="Y164" s="49"/>
      <c r="Z164" s="49"/>
      <c r="AA164" s="42">
        <f>AA155</f>
        <v>1400</v>
      </c>
      <c r="AB164" s="49"/>
      <c r="AC164" s="713"/>
      <c r="AD164" s="713"/>
      <c r="AE164" s="713"/>
      <c r="AF164" s="42">
        <f t="shared" ref="AF164:AN164" si="614">AF155</f>
        <v>1600</v>
      </c>
      <c r="AG164" s="713">
        <f t="shared" si="614"/>
        <v>485</v>
      </c>
      <c r="AH164" s="714">
        <f t="shared" si="614"/>
        <v>685</v>
      </c>
      <c r="AI164" s="714">
        <f t="shared" si="614"/>
        <v>430</v>
      </c>
      <c r="AJ164" s="713">
        <f t="shared" si="614"/>
        <v>300</v>
      </c>
      <c r="AK164" s="42">
        <f t="shared" si="614"/>
        <v>1900</v>
      </c>
      <c r="AL164" s="49">
        <f t="shared" si="614"/>
        <v>470</v>
      </c>
      <c r="AM164" s="49">
        <f t="shared" si="614"/>
        <v>380</v>
      </c>
      <c r="AN164" s="49">
        <f t="shared" si="614"/>
        <v>510</v>
      </c>
      <c r="AO164" s="49">
        <f>2100-SUM(AL164:AN164)</f>
        <v>740</v>
      </c>
      <c r="AP164" s="42">
        <f>+SUM(AL164:AO164)</f>
        <v>2100</v>
      </c>
      <c r="AQ164" s="40">
        <f>965-AR164</f>
        <v>525</v>
      </c>
      <c r="AR164" s="49">
        <v>440</v>
      </c>
      <c r="AS164" s="49">
        <v>400</v>
      </c>
      <c r="AT164" s="49">
        <f>1800-SUM(AQ164:AS164)</f>
        <v>435</v>
      </c>
      <c r="AU164" s="42">
        <f>AU155</f>
        <v>1800</v>
      </c>
      <c r="AV164" s="40">
        <f>1000-AW164</f>
        <v>450</v>
      </c>
      <c r="AW164" s="49">
        <v>550</v>
      </c>
      <c r="AX164" s="49">
        <v>435</v>
      </c>
      <c r="AY164" s="49">
        <f>1900-SUM(AV164:AX164)</f>
        <v>465</v>
      </c>
      <c r="AZ164" s="42">
        <f>+SUM(AV164:AY164)</f>
        <v>1900</v>
      </c>
      <c r="BA164" s="42">
        <v>2100</v>
      </c>
      <c r="BB164" s="40">
        <f>965-BC164</f>
        <v>525</v>
      </c>
      <c r="BC164" s="49">
        <v>440</v>
      </c>
      <c r="BD164" s="49">
        <v>400</v>
      </c>
      <c r="BE164" s="49">
        <f>1800-SUM(BB164:BD164)</f>
        <v>435</v>
      </c>
      <c r="BF164" s="42">
        <f>+SUM(BB164:BE164)</f>
        <v>1800</v>
      </c>
      <c r="BG164" s="40">
        <f>1000-BH164</f>
        <v>450</v>
      </c>
      <c r="BH164" s="49">
        <v>550</v>
      </c>
      <c r="BI164" s="49">
        <f>BI155</f>
        <v>435</v>
      </c>
      <c r="BJ164" s="49">
        <v>465</v>
      </c>
      <c r="BK164" s="42">
        <f>+SUM(BG164:BJ164)</f>
        <v>1900</v>
      </c>
      <c r="BL164" s="1013">
        <f>840-BM164</f>
        <v>405</v>
      </c>
      <c r="BM164" s="49">
        <v>435</v>
      </c>
      <c r="BN164" s="49"/>
      <c r="BO164" s="49"/>
      <c r="BP164" s="42"/>
      <c r="BQ164" s="42">
        <v>2100</v>
      </c>
      <c r="BR164" s="40">
        <f>1000-BS164</f>
        <v>450</v>
      </c>
      <c r="BS164" s="49">
        <v>550</v>
      </c>
      <c r="BT164" s="49">
        <f>BT155</f>
        <v>435</v>
      </c>
      <c r="BU164" s="49">
        <v>465</v>
      </c>
      <c r="BV164" s="42">
        <f>+SUM(BR164:BU164)</f>
        <v>1900</v>
      </c>
      <c r="BW164" s="1013">
        <v>360</v>
      </c>
      <c r="BX164" s="49">
        <v>435</v>
      </c>
      <c r="BY164" s="49">
        <v>265</v>
      </c>
      <c r="BZ164" s="500">
        <f>1500-SUM(BW164:BY164)</f>
        <v>440</v>
      </c>
      <c r="CA164" s="501">
        <f>+SUM(BW164:BZ164)</f>
        <v>1500</v>
      </c>
      <c r="CB164" s="1013">
        <v>290</v>
      </c>
      <c r="CC164" s="1013">
        <f>+CC155</f>
        <v>485</v>
      </c>
      <c r="CD164" s="49">
        <f>+CD155</f>
        <v>330</v>
      </c>
      <c r="CE164" s="40">
        <f>+CE155</f>
        <v>395</v>
      </c>
      <c r="CF164" s="501">
        <f>+SUM(CB164:CE164)</f>
        <v>1500</v>
      </c>
      <c r="CG164" s="1013"/>
      <c r="CH164" s="49"/>
      <c r="CI164" s="49"/>
      <c r="CJ164" s="500"/>
      <c r="CK164" s="501">
        <v>1500</v>
      </c>
      <c r="CL164" s="1013"/>
      <c r="CM164" s="1013"/>
      <c r="CN164" s="49"/>
      <c r="CO164" s="40"/>
      <c r="CP164" s="501">
        <f>+SUM(CL164:CO164)</f>
        <v>0</v>
      </c>
      <c r="CQ164" s="1164">
        <f t="shared" ref="CQ164:CT164" si="615">+CQ155</f>
        <v>344.72999999999996</v>
      </c>
      <c r="CR164" s="1013">
        <f t="shared" si="615"/>
        <v>400.00500000000005</v>
      </c>
      <c r="CS164" s="1013">
        <f>+CS155</f>
        <v>380.49000000000007</v>
      </c>
      <c r="CT164" s="1157">
        <f t="shared" si="615"/>
        <v>472.60500000000002</v>
      </c>
      <c r="CU164" s="42">
        <f>CU155</f>
        <v>1597.8300000000002</v>
      </c>
      <c r="CV164" s="715"/>
      <c r="CW164" s="715"/>
      <c r="CX164" s="715"/>
      <c r="CY164" s="716"/>
      <c r="CZ164" s="42">
        <f>CZ155</f>
        <v>1758.021</v>
      </c>
      <c r="DA164" s="715"/>
      <c r="DB164" s="715"/>
      <c r="DC164" s="715"/>
      <c r="DD164" s="716"/>
      <c r="DE164" s="42">
        <f>DE155</f>
        <v>1864.7712449999999</v>
      </c>
      <c r="DF164" s="715"/>
      <c r="DG164" s="715"/>
      <c r="DH164" s="715"/>
      <c r="DI164" s="716"/>
      <c r="DJ164" s="42">
        <f>DJ155</f>
        <v>1951.3830023999999</v>
      </c>
      <c r="DK164" s="464"/>
      <c r="DL164" s="471"/>
      <c r="DM164" s="864"/>
      <c r="DN164" s="864"/>
      <c r="DO164" s="864"/>
      <c r="DP164" s="1059"/>
      <c r="DQ164" s="1059"/>
      <c r="DR164" s="1059"/>
      <c r="DS164" s="864"/>
      <c r="DT164" s="864"/>
      <c r="DU164" s="864"/>
      <c r="DV164" s="864"/>
      <c r="DW164" s="864"/>
      <c r="DX164" s="864"/>
      <c r="DY164" s="472"/>
      <c r="DZ164" s="464"/>
      <c r="EA164" s="464"/>
      <c r="EB164"/>
      <c r="EC164"/>
      <c r="ED164"/>
      <c r="EE164"/>
      <c r="EF164"/>
      <c r="EG164"/>
    </row>
    <row r="165" spans="1:138" s="398" customFormat="1" outlineLevel="1">
      <c r="A165" s="447" t="s">
        <v>66</v>
      </c>
      <c r="B165" s="522"/>
      <c r="C165" s="522"/>
      <c r="D165" s="522"/>
      <c r="E165" s="522"/>
      <c r="F165" s="522"/>
      <c r="G165" s="522"/>
      <c r="H165" s="428"/>
      <c r="I165" s="428"/>
      <c r="J165" s="428"/>
      <c r="K165" s="428"/>
      <c r="L165" s="522"/>
      <c r="M165" s="428"/>
      <c r="N165" s="428"/>
      <c r="O165" s="428"/>
      <c r="P165" s="428"/>
      <c r="Q165" s="522"/>
      <c r="R165" s="428"/>
      <c r="S165" s="428"/>
      <c r="T165" s="428"/>
      <c r="U165" s="428"/>
      <c r="V165" s="522"/>
      <c r="W165" s="428"/>
      <c r="X165" s="428"/>
      <c r="Y165" s="428"/>
      <c r="Z165" s="428"/>
      <c r="AA165" s="522">
        <f>AA164/AA55</f>
        <v>3.0620502613678616E-2</v>
      </c>
      <c r="AB165" s="428"/>
      <c r="AC165" s="428"/>
      <c r="AD165" s="428"/>
      <c r="AE165" s="428"/>
      <c r="AF165" s="522">
        <f t="shared" ref="AF165:BM165" si="616">AF164/AF55</f>
        <v>3.4409342136390027E-2</v>
      </c>
      <c r="AG165" s="428">
        <f t="shared" si="616"/>
        <v>4.2946958292747722E-2</v>
      </c>
      <c r="AH165" s="428">
        <f t="shared" si="616"/>
        <v>5.7461622347118532E-2</v>
      </c>
      <c r="AI165" s="428">
        <f t="shared" si="616"/>
        <v>3.6228831409554303E-2</v>
      </c>
      <c r="AJ165" s="428">
        <f t="shared" si="616"/>
        <v>2.4795437639474338E-2</v>
      </c>
      <c r="AK165" s="522">
        <f t="shared" si="616"/>
        <v>4.0269594336823367E-2</v>
      </c>
      <c r="AL165" s="428">
        <f t="shared" si="616"/>
        <v>4.2457091237579042E-2</v>
      </c>
      <c r="AM165" s="428">
        <f t="shared" si="616"/>
        <v>3.3309957924263674E-2</v>
      </c>
      <c r="AN165" s="428">
        <f t="shared" si="616"/>
        <v>4.4945800652154755E-2</v>
      </c>
      <c r="AO165" s="428">
        <f t="shared" si="616"/>
        <v>6.4163704153299222E-2</v>
      </c>
      <c r="AP165" s="522">
        <f t="shared" si="616"/>
        <v>4.6298337669209398E-2</v>
      </c>
      <c r="AQ165" s="428">
        <f t="shared" si="616"/>
        <v>4.9295774647887321E-2</v>
      </c>
      <c r="AR165" s="428">
        <f t="shared" si="616"/>
        <v>3.8917388996992749E-2</v>
      </c>
      <c r="AS165" s="428">
        <f t="shared" si="616"/>
        <v>3.5990642432967429E-2</v>
      </c>
      <c r="AT165" s="428">
        <f t="shared" si="616"/>
        <v>3.4716679968076619E-2</v>
      </c>
      <c r="AU165" s="522">
        <f t="shared" si="616"/>
        <v>3.9473684210526314E-2</v>
      </c>
      <c r="AV165" s="428">
        <f t="shared" si="616"/>
        <v>4.4505983582237167E-2</v>
      </c>
      <c r="AW165" s="428">
        <f t="shared" si="616"/>
        <v>4.7238684187924075E-2</v>
      </c>
      <c r="AX165" s="428">
        <f t="shared" si="616"/>
        <v>3.7954803245790071E-2</v>
      </c>
      <c r="AY165" s="428">
        <f t="shared" si="616"/>
        <v>3.5999070991716342E-2</v>
      </c>
      <c r="AZ165" s="522">
        <f t="shared" si="616"/>
        <v>4.118616144975288E-2</v>
      </c>
      <c r="BA165" s="522">
        <f t="shared" si="616"/>
        <v>4.6298337669209398E-2</v>
      </c>
      <c r="BB165" s="428">
        <f t="shared" si="616"/>
        <v>4.9295774647887321E-2</v>
      </c>
      <c r="BC165" s="428">
        <f t="shared" si="616"/>
        <v>3.8917388996992749E-2</v>
      </c>
      <c r="BD165" s="428">
        <f t="shared" si="616"/>
        <v>3.5990642432967429E-2</v>
      </c>
      <c r="BE165" s="428">
        <f t="shared" si="616"/>
        <v>3.4716679968076619E-2</v>
      </c>
      <c r="BF165" s="522">
        <f t="shared" si="616"/>
        <v>3.9473684210526314E-2</v>
      </c>
      <c r="BG165" s="428">
        <f t="shared" si="616"/>
        <v>4.4505983582237167E-2</v>
      </c>
      <c r="BH165" s="428">
        <f t="shared" si="616"/>
        <v>4.7238684187924075E-2</v>
      </c>
      <c r="BI165" s="428">
        <f t="shared" si="616"/>
        <v>3.7954803245790071E-2</v>
      </c>
      <c r="BJ165" s="428">
        <f t="shared" si="616"/>
        <v>3.5999070991716342E-2</v>
      </c>
      <c r="BK165" s="522">
        <f t="shared" si="616"/>
        <v>4.118616144975288E-2</v>
      </c>
      <c r="BL165" s="428">
        <f t="shared" si="616"/>
        <v>3.4609468466928729E-2</v>
      </c>
      <c r="BM165" s="428">
        <f t="shared" si="616"/>
        <v>3.368437354808735E-2</v>
      </c>
      <c r="BN165" s="428"/>
      <c r="BO165" s="428"/>
      <c r="BP165" s="522"/>
      <c r="BQ165" s="522">
        <f t="shared" ref="BQ165:CC165" si="617">BQ164/BQ55</f>
        <v>5.2570970810594302E-2</v>
      </c>
      <c r="BR165" s="428">
        <f t="shared" si="617"/>
        <v>5.159958720330237E-2</v>
      </c>
      <c r="BS165" s="428">
        <f t="shared" si="617"/>
        <v>5.3737176355642402E-2</v>
      </c>
      <c r="BT165" s="428">
        <f t="shared" si="617"/>
        <v>4.3240556660039758E-2</v>
      </c>
      <c r="BU165" s="428">
        <f t="shared" si="617"/>
        <v>4.0364583333333336E-2</v>
      </c>
      <c r="BV165" s="522">
        <f t="shared" si="617"/>
        <v>4.687191632129465E-2</v>
      </c>
      <c r="BW165" s="428">
        <f t="shared" si="617"/>
        <v>3.4722222222222224E-2</v>
      </c>
      <c r="BX165" s="428">
        <f t="shared" si="617"/>
        <v>3.7574501166105209E-2</v>
      </c>
      <c r="BY165" s="428">
        <f t="shared" si="617"/>
        <v>2.294173664617782E-2</v>
      </c>
      <c r="BZ165" s="428">
        <f>BZ164/BZ55</f>
        <v>3.1995346131471786E-2</v>
      </c>
      <c r="CA165" s="522">
        <f>CA164/CA55</f>
        <v>3.1747375550287844E-2</v>
      </c>
      <c r="CB165" s="428">
        <f t="shared" si="617"/>
        <v>2.6227729040426879E-2</v>
      </c>
      <c r="CC165" s="428">
        <f t="shared" si="617"/>
        <v>3.8234134804887659E-2</v>
      </c>
      <c r="CD165" s="428">
        <f t="shared" ref="CD165" si="618">CD164/CD55</f>
        <v>2.7118086942230259E-2</v>
      </c>
      <c r="CE165" s="428">
        <f>CE164/CE55</f>
        <v>2.6094999009050671E-2</v>
      </c>
      <c r="CF165" s="522">
        <f>CF164/CF55</f>
        <v>2.9384109073812881E-2</v>
      </c>
      <c r="CG165" s="428"/>
      <c r="CH165" s="428"/>
      <c r="CI165" s="428"/>
      <c r="CJ165" s="428"/>
      <c r="CK165" s="522">
        <f>CK164/CK55</f>
        <v>3.1699070160608619E-2</v>
      </c>
      <c r="CL165" s="428"/>
      <c r="CM165" s="428"/>
      <c r="CN165" s="428"/>
      <c r="CO165" s="428"/>
      <c r="CP165" s="522">
        <f>CP164/CP55</f>
        <v>0</v>
      </c>
      <c r="CQ165" s="426">
        <f t="shared" ref="CQ165:CT165" si="619">CQ164/CQ55</f>
        <v>3.1056756756756752E-2</v>
      </c>
      <c r="CR165" s="428">
        <f t="shared" si="619"/>
        <v>3.1128793774319069E-2</v>
      </c>
      <c r="CS165" s="428">
        <f>CS164/CS55</f>
        <v>3.1187704918032792E-2</v>
      </c>
      <c r="CT165" s="528">
        <f t="shared" si="619"/>
        <v>3.1195049504950497E-2</v>
      </c>
      <c r="CU165" s="522">
        <f>CU164/CF164-1</f>
        <v>6.5220000000000056E-2</v>
      </c>
      <c r="CV165" s="523"/>
      <c r="CW165" s="524"/>
      <c r="CX165" s="524"/>
      <c r="CY165" s="525"/>
      <c r="CZ165" s="522">
        <f>CZ164/CZ55</f>
        <v>3.2233017363084648E-2</v>
      </c>
      <c r="DA165" s="523"/>
      <c r="DB165" s="524"/>
      <c r="DC165" s="524"/>
      <c r="DD165" s="525"/>
      <c r="DE165" s="522">
        <f>DE164/DE55</f>
        <v>3.2658236217890955E-2</v>
      </c>
      <c r="DF165" s="523"/>
      <c r="DG165" s="524"/>
      <c r="DH165" s="524"/>
      <c r="DI165" s="525"/>
      <c r="DJ165" s="522">
        <f>DJ164/DJ55</f>
        <v>3.3087734751269568E-2</v>
      </c>
      <c r="DK165" s="397"/>
      <c r="DL165" s="74"/>
      <c r="DM165" s="809"/>
      <c r="DN165" s="809"/>
      <c r="DO165" s="809"/>
      <c r="DP165" s="1054"/>
      <c r="DQ165" s="1054"/>
      <c r="DR165" s="1054"/>
      <c r="DS165" s="809"/>
      <c r="DT165" s="809"/>
      <c r="DU165" s="809"/>
      <c r="DV165" s="809"/>
      <c r="DW165" s="809"/>
      <c r="DX165" s="809"/>
      <c r="DY165" s="360"/>
      <c r="DZ165" s="167"/>
      <c r="EA165" s="167"/>
      <c r="EB165"/>
      <c r="EC165"/>
      <c r="ED165"/>
      <c r="EE165"/>
      <c r="EF165"/>
      <c r="EG165"/>
    </row>
    <row r="166" spans="1:138" s="411" customFormat="1" outlineLevel="1">
      <c r="A166" s="447" t="s">
        <v>67</v>
      </c>
      <c r="B166" s="522"/>
      <c r="C166" s="522"/>
      <c r="D166" s="522"/>
      <c r="E166" s="522"/>
      <c r="F166" s="522"/>
      <c r="G166" s="522"/>
      <c r="H166" s="428"/>
      <c r="I166" s="428"/>
      <c r="J166" s="428"/>
      <c r="K166" s="428"/>
      <c r="L166" s="522"/>
      <c r="M166" s="428"/>
      <c r="N166" s="428"/>
      <c r="O166" s="428"/>
      <c r="P166" s="428"/>
      <c r="Q166" s="522"/>
      <c r="R166" s="428"/>
      <c r="S166" s="428"/>
      <c r="T166" s="428"/>
      <c r="U166" s="428"/>
      <c r="V166" s="522"/>
      <c r="W166" s="426"/>
      <c r="X166" s="428"/>
      <c r="Y166" s="428"/>
      <c r="Z166" s="528"/>
      <c r="AA166" s="522">
        <f>AA164/AA162</f>
        <v>0.31118026228050677</v>
      </c>
      <c r="AB166" s="426"/>
      <c r="AC166" s="428"/>
      <c r="AD166" s="428"/>
      <c r="AE166" s="528"/>
      <c r="AF166" s="522">
        <f t="shared" ref="AF166:AO166" si="620">AF164/AF162</f>
        <v>0.32373918761697607</v>
      </c>
      <c r="AG166" s="426">
        <f>AG164/AG162</f>
        <v>0.38768984812150281</v>
      </c>
      <c r="AH166" s="428">
        <f t="shared" si="620"/>
        <v>0.48928571428571427</v>
      </c>
      <c r="AI166" s="428">
        <f t="shared" si="620"/>
        <v>0.31994047619047616</v>
      </c>
      <c r="AJ166" s="528">
        <f t="shared" si="620"/>
        <v>0.2364066193853428</v>
      </c>
      <c r="AK166" s="522">
        <f t="shared" si="620"/>
        <v>0.36094224924012158</v>
      </c>
      <c r="AL166" s="426">
        <f t="shared" si="620"/>
        <v>0.37903225806451613</v>
      </c>
      <c r="AM166" s="428">
        <f t="shared" si="620"/>
        <v>0.26798307475317351</v>
      </c>
      <c r="AN166" s="428">
        <f t="shared" si="620"/>
        <v>0.37090909090909091</v>
      </c>
      <c r="AO166" s="428">
        <f t="shared" si="620"/>
        <v>0.64403829416884251</v>
      </c>
      <c r="AP166" s="522">
        <f>AP164/AP162</f>
        <v>0.40524893863373213</v>
      </c>
      <c r="AQ166" s="426">
        <f>AQ164/AQ162</f>
        <v>0.39004457652303121</v>
      </c>
      <c r="AR166" s="428">
        <f>AR164/AR162</f>
        <v>0.32811334824757643</v>
      </c>
      <c r="AS166" s="428">
        <f>AS164/AS162</f>
        <v>0.3058103975535168</v>
      </c>
      <c r="AT166" s="428">
        <f>AT164/AT162</f>
        <v>0.32462686567164178</v>
      </c>
      <c r="AU166" s="522">
        <f t="shared" ref="AU166" si="621">AU164/AU162</f>
        <v>0.33739456419868791</v>
      </c>
      <c r="AV166" s="426">
        <f t="shared" ref="AV166:BF166" si="622">AV164/AV162</f>
        <v>0.36378334680679064</v>
      </c>
      <c r="AW166" s="428">
        <f t="shared" si="622"/>
        <v>0.41509433962264153</v>
      </c>
      <c r="AX166" s="428">
        <f t="shared" si="622"/>
        <v>0.35222672064777327</v>
      </c>
      <c r="AY166" s="428">
        <f t="shared" si="622"/>
        <v>0.39811643835616439</v>
      </c>
      <c r="AZ166" s="522">
        <f t="shared" si="622"/>
        <v>0.38267875125881168</v>
      </c>
      <c r="BA166" s="522">
        <f t="shared" si="622"/>
        <v>0.40524893863373213</v>
      </c>
      <c r="BB166" s="426">
        <f t="shared" si="622"/>
        <v>0.39004457652303121</v>
      </c>
      <c r="BC166" s="428">
        <f t="shared" si="622"/>
        <v>0.32811334824757643</v>
      </c>
      <c r="BD166" s="428">
        <f t="shared" si="622"/>
        <v>0.3058103975535168</v>
      </c>
      <c r="BE166" s="428">
        <f t="shared" si="622"/>
        <v>0.32462686567164178</v>
      </c>
      <c r="BF166" s="522">
        <f t="shared" si="622"/>
        <v>0.33739456419868791</v>
      </c>
      <c r="BG166" s="426">
        <f t="shared" ref="BG166:BJ166" si="623">BG164/BG162</f>
        <v>0.36378334680679064</v>
      </c>
      <c r="BH166" s="428">
        <f t="shared" si="623"/>
        <v>0.41509433962264153</v>
      </c>
      <c r="BI166" s="428">
        <f>BI164/BI162</f>
        <v>0.35222672064777327</v>
      </c>
      <c r="BJ166" s="428">
        <f t="shared" si="623"/>
        <v>0.39811643835616439</v>
      </c>
      <c r="BK166" s="522">
        <f>BK164/BK162</f>
        <v>0.38267875125881168</v>
      </c>
      <c r="BL166" s="426">
        <f t="shared" ref="BL166:BM166" si="624">BL164/BL162</f>
        <v>0.38534728829686016</v>
      </c>
      <c r="BM166" s="428">
        <f t="shared" si="624"/>
        <v>0.3287981859410431</v>
      </c>
      <c r="BN166" s="428"/>
      <c r="BO166" s="428"/>
      <c r="BP166" s="529"/>
      <c r="BQ166" s="522">
        <f>BQ164/BQ162</f>
        <v>0.4472843450479233</v>
      </c>
      <c r="BR166" s="426">
        <f t="shared" ref="BR166:BS166" si="625">BR164/BR162</f>
        <v>0.4377431906614786</v>
      </c>
      <c r="BS166" s="428">
        <f t="shared" si="625"/>
        <v>0.47701647875108411</v>
      </c>
      <c r="BT166" s="428">
        <f>BT164/BT162</f>
        <v>0.40540540540540543</v>
      </c>
      <c r="BU166" s="428">
        <f t="shared" ref="BU166" si="626">BU164/BU162</f>
        <v>0.43950850661625707</v>
      </c>
      <c r="BV166" s="522">
        <f>BV164/BV162</f>
        <v>0.44063079777365494</v>
      </c>
      <c r="BW166" s="426">
        <f t="shared" ref="BW166:BX166" si="627">BW164/BW162</f>
        <v>0.38543897216274092</v>
      </c>
      <c r="BX166" s="428">
        <f t="shared" si="627"/>
        <v>0.37727666955767564</v>
      </c>
      <c r="BY166" s="428">
        <f>BY164/BY162</f>
        <v>0.1945668135095448</v>
      </c>
      <c r="BZ166" s="428">
        <f>BZ164/BZ162</f>
        <v>0.36727879799666108</v>
      </c>
      <c r="CA166" s="522">
        <f>CA164/CA162</f>
        <v>0.32278889606197547</v>
      </c>
      <c r="CB166" s="426">
        <f t="shared" ref="CB166:CC166" si="628">CB164/CB162</f>
        <v>0.31115879828326182</v>
      </c>
      <c r="CC166" s="428">
        <f t="shared" si="628"/>
        <v>0.38309636650868878</v>
      </c>
      <c r="CD166" s="428">
        <f>CD164/CD162</f>
        <v>0.27317880794701987</v>
      </c>
      <c r="CE166" s="428">
        <f>CE164/CE162</f>
        <v>0.2410006101281269</v>
      </c>
      <c r="CF166" s="522">
        <f>CF164/CF162</f>
        <v>0.29732408325074333</v>
      </c>
      <c r="CG166" s="426"/>
      <c r="CH166" s="428"/>
      <c r="CI166" s="428"/>
      <c r="CJ166" s="428"/>
      <c r="CK166" s="522">
        <f>CK164/CK162</f>
        <v>0.33061494379545958</v>
      </c>
      <c r="CL166" s="426"/>
      <c r="CM166" s="428"/>
      <c r="CN166" s="428"/>
      <c r="CO166" s="428"/>
      <c r="CP166" s="522">
        <f>CP164/CP162</f>
        <v>0</v>
      </c>
      <c r="CQ166" s="426">
        <f t="shared" ref="CQ166:CT166" si="629">CQ164/CQ162</f>
        <v>0.31696395733725635</v>
      </c>
      <c r="CR166" s="428">
        <f t="shared" si="629"/>
        <v>0.31450642764476944</v>
      </c>
      <c r="CS166" s="428">
        <f t="shared" si="629"/>
        <v>0.31528836592641696</v>
      </c>
      <c r="CT166" s="528">
        <f t="shared" si="629"/>
        <v>0.31291091468864829</v>
      </c>
      <c r="CU166" s="529">
        <f>CU164/CU162</f>
        <v>0.31474412008036878</v>
      </c>
      <c r="CV166" s="523"/>
      <c r="CW166" s="524"/>
      <c r="CX166" s="524"/>
      <c r="CY166" s="525"/>
      <c r="CZ166" s="529">
        <f>CU166</f>
        <v>0.31474412008036878</v>
      </c>
      <c r="DA166" s="523"/>
      <c r="DB166" s="524"/>
      <c r="DC166" s="524"/>
      <c r="DD166" s="525"/>
      <c r="DE166" s="529">
        <f>CZ166</f>
        <v>0.31474412008036878</v>
      </c>
      <c r="DF166" s="523"/>
      <c r="DG166" s="524"/>
      <c r="DH166" s="524"/>
      <c r="DI166" s="525"/>
      <c r="DJ166" s="529">
        <f>DE166</f>
        <v>0.31474412008036878</v>
      </c>
      <c r="DK166" s="406"/>
      <c r="DL166" s="407"/>
      <c r="DM166" s="408"/>
      <c r="DN166" s="408"/>
      <c r="DO166" s="408"/>
      <c r="DP166" s="1058"/>
      <c r="DQ166" s="1058"/>
      <c r="DR166" s="1058"/>
      <c r="DS166" s="408"/>
      <c r="DT166" s="408"/>
      <c r="DU166" s="408"/>
      <c r="DV166" s="408"/>
      <c r="DW166" s="408"/>
      <c r="DX166" s="408"/>
      <c r="DY166" s="409"/>
      <c r="DZ166" s="410"/>
      <c r="EA166" s="410"/>
      <c r="EB166"/>
      <c r="EC166"/>
      <c r="ED166"/>
      <c r="EE166"/>
      <c r="EF166"/>
      <c r="EG166"/>
    </row>
    <row r="167" spans="1:138" s="429" customFormat="1" outlineLevel="1">
      <c r="A167" s="530" t="s">
        <v>0</v>
      </c>
      <c r="B167" s="691"/>
      <c r="C167" s="691"/>
      <c r="D167" s="691"/>
      <c r="E167" s="691"/>
      <c r="F167" s="691"/>
      <c r="G167" s="691"/>
      <c r="H167" s="692"/>
      <c r="I167" s="692"/>
      <c r="J167" s="692"/>
      <c r="K167" s="692"/>
      <c r="L167" s="691"/>
      <c r="M167" s="692"/>
      <c r="N167" s="692"/>
      <c r="O167" s="692"/>
      <c r="P167" s="692"/>
      <c r="Q167" s="691"/>
      <c r="R167" s="692"/>
      <c r="S167" s="692"/>
      <c r="T167" s="692"/>
      <c r="U167" s="692"/>
      <c r="V167" s="691"/>
      <c r="W167" s="692"/>
      <c r="X167" s="692"/>
      <c r="Y167" s="692"/>
      <c r="Z167" s="692"/>
      <c r="AA167" s="691">
        <f>(AA162-AA164)/AA55</f>
        <v>6.7780669714135738E-2</v>
      </c>
      <c r="AB167" s="692"/>
      <c r="AC167" s="692"/>
      <c r="AD167" s="692"/>
      <c r="AE167" s="692"/>
      <c r="AF167" s="691">
        <f t="shared" ref="AF167:BM167" si="630">(AF162-AF164)/AF55</f>
        <v>7.1877889847093479E-2</v>
      </c>
      <c r="AG167" s="693">
        <f t="shared" si="630"/>
        <v>6.7829628973700526E-2</v>
      </c>
      <c r="AH167" s="692">
        <f t="shared" si="630"/>
        <v>5.9978189749182113E-2</v>
      </c>
      <c r="AI167" s="692">
        <f t="shared" si="630"/>
        <v>7.7007330019378206E-2</v>
      </c>
      <c r="AJ167" s="694">
        <f t="shared" si="630"/>
        <v>8.0089263575502112E-2</v>
      </c>
      <c r="AK167" s="691">
        <f t="shared" si="630"/>
        <v>7.1298376499512525E-2</v>
      </c>
      <c r="AL167" s="693">
        <f t="shared" si="630"/>
        <v>6.9557362240289064E-2</v>
      </c>
      <c r="AM167" s="692">
        <f t="shared" si="630"/>
        <v>9.0988779803646558E-2</v>
      </c>
      <c r="AN167" s="692">
        <f t="shared" si="630"/>
        <v>7.6231603066889933E-2</v>
      </c>
      <c r="AO167" s="694">
        <f t="shared" si="630"/>
        <v>3.5463452700945114E-2</v>
      </c>
      <c r="AP167" s="691">
        <f t="shared" si="630"/>
        <v>6.7948322236430173E-2</v>
      </c>
      <c r="AQ167" s="692">
        <f t="shared" si="630"/>
        <v>7.7089201877934277E-2</v>
      </c>
      <c r="AR167" s="692">
        <f t="shared" si="630"/>
        <v>7.9692198832478328E-2</v>
      </c>
      <c r="AS167" s="692">
        <f t="shared" si="630"/>
        <v>8.169875832283606E-2</v>
      </c>
      <c r="AT167" s="694">
        <f t="shared" si="630"/>
        <v>7.222665602553871E-2</v>
      </c>
      <c r="AU167" s="691">
        <f t="shared" si="630"/>
        <v>7.7521929824561409E-2</v>
      </c>
      <c r="AV167" s="692">
        <f t="shared" si="630"/>
        <v>7.7836020176045892E-2</v>
      </c>
      <c r="AW167" s="692">
        <f t="shared" si="630"/>
        <v>6.6563600446620283E-2</v>
      </c>
      <c r="AX167" s="692">
        <f t="shared" si="630"/>
        <v>6.9801937003751854E-2</v>
      </c>
      <c r="AY167" s="694">
        <f t="shared" si="630"/>
        <v>5.4424401950917398E-2</v>
      </c>
      <c r="AZ167" s="691">
        <f t="shared" si="630"/>
        <v>6.6439781496575048E-2</v>
      </c>
      <c r="BA167" s="691">
        <f t="shared" si="630"/>
        <v>6.7948322236430173E-2</v>
      </c>
      <c r="BB167" s="692">
        <f t="shared" si="630"/>
        <v>7.7089201877934277E-2</v>
      </c>
      <c r="BC167" s="692">
        <f t="shared" si="630"/>
        <v>7.9692198832478328E-2</v>
      </c>
      <c r="BD167" s="692">
        <f t="shared" si="630"/>
        <v>8.169875832283606E-2</v>
      </c>
      <c r="BE167" s="694">
        <f t="shared" si="630"/>
        <v>7.222665602553871E-2</v>
      </c>
      <c r="BF167" s="691">
        <f t="shared" si="630"/>
        <v>7.7521929824561409E-2</v>
      </c>
      <c r="BG167" s="692">
        <f t="shared" si="630"/>
        <v>7.7836020176045892E-2</v>
      </c>
      <c r="BH167" s="692">
        <f t="shared" si="630"/>
        <v>6.6563600446620283E-2</v>
      </c>
      <c r="BI167" s="692">
        <f t="shared" si="630"/>
        <v>6.9801937003751854E-2</v>
      </c>
      <c r="BJ167" s="694">
        <f t="shared" si="630"/>
        <v>5.4424401950917398E-2</v>
      </c>
      <c r="BK167" s="691">
        <f t="shared" si="630"/>
        <v>6.6439781496575048E-2</v>
      </c>
      <c r="BL167" s="692">
        <f t="shared" si="630"/>
        <v>5.5204238591693724E-2</v>
      </c>
      <c r="BM167" s="692">
        <f t="shared" si="630"/>
        <v>6.8762583242992101E-2</v>
      </c>
      <c r="BN167" s="692"/>
      <c r="BO167" s="694"/>
      <c r="BP167" s="691"/>
      <c r="BQ167" s="691">
        <f t="shared" ref="BQ167:CC167" si="631">(BQ162-BQ164)/BQ55</f>
        <v>6.4962699644520103E-2</v>
      </c>
      <c r="BR167" s="692">
        <f t="shared" si="631"/>
        <v>6.6276803118908378E-2</v>
      </c>
      <c r="BS167" s="692">
        <f t="shared" si="631"/>
        <v>5.8915486077186129E-2</v>
      </c>
      <c r="BT167" s="692">
        <f t="shared" si="631"/>
        <v>6.3419483101391644E-2</v>
      </c>
      <c r="BU167" s="694">
        <f t="shared" si="631"/>
        <v>5.1475694444444442E-2</v>
      </c>
      <c r="BV167" s="691">
        <f t="shared" si="631"/>
        <v>5.9502664298401418E-2</v>
      </c>
      <c r="BW167" s="692">
        <f t="shared" si="631"/>
        <v>5.5362654320987657E-2</v>
      </c>
      <c r="BX167" s="692">
        <f t="shared" si="631"/>
        <v>6.2019521464973658E-2</v>
      </c>
      <c r="BY167" s="692">
        <f t="shared" si="631"/>
        <v>9.4970132456064407E-2</v>
      </c>
      <c r="BZ167" s="694">
        <f>(BZ162-BZ164)/BZ55</f>
        <v>5.5119255381035487E-2</v>
      </c>
      <c r="CA167" s="691">
        <f>(CA162-CA164)/CA55</f>
        <v>6.6605993904503891E-2</v>
      </c>
      <c r="CB167" s="692">
        <f t="shared" si="631"/>
        <v>5.8062765668807088E-2</v>
      </c>
      <c r="CC167" s="692">
        <f t="shared" si="631"/>
        <v>6.1568782026014977E-2</v>
      </c>
      <c r="CD167" s="692">
        <f t="shared" ref="CD167" si="632">(CD162-CD164)/CD55</f>
        <v>7.2150546470539895E-2</v>
      </c>
      <c r="CE167" s="694">
        <f>(CE162-CE164)/CE55</f>
        <v>8.2182731056351987E-2</v>
      </c>
      <c r="CF167" s="691">
        <f>(CF162-CF164)/CF55</f>
        <v>6.9444444444444448E-2</v>
      </c>
      <c r="CG167" s="692"/>
      <c r="CH167" s="692"/>
      <c r="CI167" s="692"/>
      <c r="CJ167" s="694"/>
      <c r="CK167" s="691">
        <f>(CK162-CK164)/CK55</f>
        <v>6.4180050718512252E-2</v>
      </c>
      <c r="CL167" s="692"/>
      <c r="CM167" s="692"/>
      <c r="CN167" s="692"/>
      <c r="CO167" s="694"/>
      <c r="CP167" s="691">
        <f>(CP162-CP164)/CP55</f>
        <v>0.10078837842164239</v>
      </c>
      <c r="CQ167" s="693">
        <f t="shared" ref="CQ167:CU167" si="633">(CQ162-CQ164)/CQ55</f>
        <v>6.6925225225225218E-2</v>
      </c>
      <c r="CR167" s="692">
        <f t="shared" si="633"/>
        <v>6.7847859922178996E-2</v>
      </c>
      <c r="CS167" s="692">
        <f>(CS162-CS164)/CS55</f>
        <v>6.7730327868852469E-2</v>
      </c>
      <c r="CT167" s="694">
        <f t="shared" si="633"/>
        <v>6.8498019801980212E-2</v>
      </c>
      <c r="CU167" s="691">
        <f t="shared" si="633"/>
        <v>6.7812280701754393E-2</v>
      </c>
      <c r="CV167" s="695"/>
      <c r="CW167" s="695"/>
      <c r="CX167" s="695"/>
      <c r="CY167" s="696"/>
      <c r="CZ167" s="691">
        <f>(CZ162-CZ164)/CZ55</f>
        <v>7.063124988540731E-2</v>
      </c>
      <c r="DA167" s="695"/>
      <c r="DB167" s="695"/>
      <c r="DC167" s="695"/>
      <c r="DD167" s="696"/>
      <c r="DE167" s="691">
        <f>(DE162-DE164)/DE55</f>
        <v>7.1828612807416939E-2</v>
      </c>
      <c r="DF167" s="695"/>
      <c r="DG167" s="695"/>
      <c r="DH167" s="695"/>
      <c r="DI167" s="696"/>
      <c r="DJ167" s="691">
        <f>(DJ162-DJ164)/DJ55</f>
        <v>7.296994259679046E-2</v>
      </c>
      <c r="DK167" s="526"/>
      <c r="DL167" s="1283"/>
      <c r="DM167" s="830"/>
      <c r="DN167" s="830"/>
      <c r="DO167" s="830"/>
      <c r="DP167" s="1084"/>
      <c r="DQ167" s="1084"/>
      <c r="DR167" s="1084"/>
      <c r="DS167" s="830"/>
      <c r="DT167" s="830"/>
      <c r="DU167" s="830"/>
      <c r="DV167" s="830"/>
      <c r="DW167" s="830"/>
      <c r="DX167" s="830"/>
      <c r="DY167" s="527"/>
      <c r="DZ167" s="428"/>
      <c r="EA167" s="428"/>
      <c r="EB167"/>
      <c r="EC167"/>
      <c r="ED167"/>
      <c r="EE167"/>
      <c r="EF167"/>
      <c r="EG167"/>
      <c r="EH167" s="428"/>
    </row>
    <row r="168" spans="1:138" s="706" customFormat="1" outlineLevel="1">
      <c r="A168" s="106" t="s">
        <v>57</v>
      </c>
      <c r="B168" s="697"/>
      <c r="C168" s="698"/>
      <c r="D168" s="698"/>
      <c r="E168" s="698"/>
      <c r="F168" s="698"/>
      <c r="G168" s="698"/>
      <c r="H168" s="422"/>
      <c r="I168" s="699"/>
      <c r="J168" s="699"/>
      <c r="K168" s="699"/>
      <c r="L168" s="698"/>
      <c r="M168" s="699"/>
      <c r="N168" s="699"/>
      <c r="O168" s="699"/>
      <c r="P168" s="533"/>
      <c r="Q168" s="700"/>
      <c r="R168" s="699"/>
      <c r="S168" s="699"/>
      <c r="T168" s="699"/>
      <c r="U168" s="699"/>
      <c r="V168" s="700"/>
      <c r="W168" s="699"/>
      <c r="X168" s="699"/>
      <c r="Y168" s="699"/>
      <c r="Z168" s="699"/>
      <c r="AA168" s="701"/>
      <c r="AB168" s="699"/>
      <c r="AC168" s="699"/>
      <c r="AD168" s="699"/>
      <c r="AE168" s="699"/>
      <c r="AF168" s="701">
        <f t="shared" ref="AF168:AP168" si="634">(AF167-AA167)*100</f>
        <v>0.40972201329577407</v>
      </c>
      <c r="AG168" s="699">
        <f t="shared" si="634"/>
        <v>6.7829628973700524</v>
      </c>
      <c r="AH168" s="533">
        <f t="shared" si="634"/>
        <v>5.9978189749182116</v>
      </c>
      <c r="AI168" s="533">
        <f t="shared" si="634"/>
        <v>7.7007330019378202</v>
      </c>
      <c r="AJ168" s="699">
        <f t="shared" si="634"/>
        <v>8.0089263575502105</v>
      </c>
      <c r="AK168" s="701">
        <f t="shared" si="634"/>
        <v>-5.7951334758095385E-2</v>
      </c>
      <c r="AL168" s="699">
        <f t="shared" si="634"/>
        <v>0.17277332665885381</v>
      </c>
      <c r="AM168" s="699">
        <f t="shared" si="634"/>
        <v>3.1010590054464444</v>
      </c>
      <c r="AN168" s="699">
        <f t="shared" si="634"/>
        <v>-7.7572695248827317E-2</v>
      </c>
      <c r="AO168" s="699">
        <f t="shared" si="634"/>
        <v>-4.4625810874556997</v>
      </c>
      <c r="AP168" s="701">
        <f t="shared" si="634"/>
        <v>-0.33500542630823527</v>
      </c>
      <c r="AQ168" s="532">
        <f t="shared" ref="AQ168:AZ168" si="635">(AQ167-AL167)*100</f>
        <v>0.75318396376452124</v>
      </c>
      <c r="AR168" s="699">
        <f t="shared" si="635"/>
        <v>-1.1296580971168231</v>
      </c>
      <c r="AS168" s="699">
        <f t="shared" si="635"/>
        <v>0.54671552559461267</v>
      </c>
      <c r="AT168" s="699">
        <f t="shared" si="635"/>
        <v>3.6763203324593596</v>
      </c>
      <c r="AU168" s="701">
        <f t="shared" si="635"/>
        <v>0.95736075881312366</v>
      </c>
      <c r="AV168" s="532">
        <f t="shared" si="635"/>
        <v>7.4681829811161504E-2</v>
      </c>
      <c r="AW168" s="699">
        <f t="shared" si="635"/>
        <v>-1.3128598385858046</v>
      </c>
      <c r="AX168" s="699">
        <f t="shared" si="635"/>
        <v>-1.1896821319084205</v>
      </c>
      <c r="AY168" s="699">
        <f t="shared" si="635"/>
        <v>-1.7802254074621313</v>
      </c>
      <c r="AZ168" s="701">
        <f t="shared" si="635"/>
        <v>-1.1082148327986361</v>
      </c>
      <c r="BA168" s="701"/>
      <c r="BB168" s="532">
        <f>(BB167-BA167)*100</f>
        <v>0.91408796415041049</v>
      </c>
      <c r="BC168" s="699">
        <f>(BC167-AQ167)*100</f>
        <v>0.26029969545440512</v>
      </c>
      <c r="BD168" s="699">
        <f>(BD167-AR167)*100</f>
        <v>0.20065594903577316</v>
      </c>
      <c r="BE168" s="699">
        <f>(BE167-AS167)*100</f>
        <v>-0.9472102297297349</v>
      </c>
      <c r="BF168" s="701"/>
      <c r="BG168" s="532">
        <f t="shared" ref="BG168:BM168" si="636">(BG167-BB167)*100</f>
        <v>7.4681829811161504E-2</v>
      </c>
      <c r="BH168" s="699">
        <f t="shared" si="636"/>
        <v>-1.3128598385858046</v>
      </c>
      <c r="BI168" s="699">
        <f t="shared" si="636"/>
        <v>-1.1896821319084205</v>
      </c>
      <c r="BJ168" s="699">
        <f t="shared" si="636"/>
        <v>-1.7802254074621313</v>
      </c>
      <c r="BK168" s="701">
        <f t="shared" si="636"/>
        <v>-1.1082148327986361</v>
      </c>
      <c r="BL168" s="532">
        <f t="shared" si="636"/>
        <v>-2.2631781584352169</v>
      </c>
      <c r="BM168" s="699">
        <f t="shared" si="636"/>
        <v>0.21989827963718178</v>
      </c>
      <c r="BN168" s="699"/>
      <c r="BO168" s="699"/>
      <c r="BP168" s="701"/>
      <c r="BQ168" s="701"/>
      <c r="BR168" s="254">
        <f>(BR167-BB167)*100</f>
        <v>-1.0812398759025899</v>
      </c>
      <c r="BS168" s="254">
        <f t="shared" ref="BS168" si="637">(BS167-BC167)*100</f>
        <v>-2.0776712755292199</v>
      </c>
      <c r="BT168" s="826">
        <f t="shared" ref="BT168" si="638">(BT167-BD167)*100</f>
        <v>-1.8279275221444415</v>
      </c>
      <c r="BU168" s="254">
        <f t="shared" ref="BU168" si="639">(BU167-BE167)*100</f>
        <v>-2.0750961581094267</v>
      </c>
      <c r="BV168" s="257">
        <f>(BV167-BF167)*100</f>
        <v>-1.8019265526159991</v>
      </c>
      <c r="BW168" s="532">
        <f t="shared" ref="BW168:CD168" si="640">(BW167-BR167)*100</f>
        <v>-1.0914148797920722</v>
      </c>
      <c r="BX168" s="699">
        <f t="shared" si="640"/>
        <v>0.31040353877875293</v>
      </c>
      <c r="BY168" s="699">
        <f t="shared" si="640"/>
        <v>3.1550649354672764</v>
      </c>
      <c r="BZ168" s="699">
        <f>(BZ167-BU167)*100</f>
        <v>0.36435609365910449</v>
      </c>
      <c r="CA168" s="701">
        <f>(CA167-BV167)*100</f>
        <v>0.7103329606102472</v>
      </c>
      <c r="CB168" s="532">
        <f t="shared" si="640"/>
        <v>0.27001113478194311</v>
      </c>
      <c r="CC168" s="699">
        <f t="shared" si="640"/>
        <v>-4.5073943895868052E-2</v>
      </c>
      <c r="CD168" s="699">
        <f t="shared" si="640"/>
        <v>-2.2819585985524511</v>
      </c>
      <c r="CE168" s="699">
        <f>(CE167-BZ167)*100</f>
        <v>2.7063475675316502</v>
      </c>
      <c r="CF168" s="701">
        <f>(CF167-CA167)*100</f>
        <v>0.28384505399405568</v>
      </c>
      <c r="CG168" s="532"/>
      <c r="CH168" s="699"/>
      <c r="CI168" s="699"/>
      <c r="CJ168" s="699"/>
      <c r="CK168" s="701"/>
      <c r="CL168" s="532"/>
      <c r="CM168" s="699"/>
      <c r="CN168" s="699"/>
      <c r="CO168" s="699"/>
      <c r="CP168" s="701">
        <f>(CP167-CK167)*100</f>
        <v>3.6608327703130135</v>
      </c>
      <c r="CQ168" s="1166"/>
      <c r="CR168" s="699"/>
      <c r="CS168" s="699"/>
      <c r="CT168" s="1159"/>
      <c r="CU168" s="701">
        <f>(CU167-CP167)*100</f>
        <v>-3.2976097719887991</v>
      </c>
      <c r="CV168" s="702"/>
      <c r="CW168" s="702"/>
      <c r="CX168" s="702"/>
      <c r="CY168" s="703"/>
      <c r="CZ168" s="701">
        <f>(CZ167-CU167)*100</f>
        <v>0.28189691836529168</v>
      </c>
      <c r="DA168" s="702"/>
      <c r="DB168" s="702"/>
      <c r="DC168" s="702"/>
      <c r="DD168" s="703"/>
      <c r="DE168" s="701">
        <f>(DE167-CZ167)*100</f>
        <v>0.11973629220096288</v>
      </c>
      <c r="DF168" s="702"/>
      <c r="DG168" s="702"/>
      <c r="DH168" s="702"/>
      <c r="DI168" s="703"/>
      <c r="DJ168" s="701">
        <f>(DJ167-DE167)*100</f>
        <v>0.11413297893735214</v>
      </c>
      <c r="DK168" s="421"/>
      <c r="DL168" s="704"/>
      <c r="DM168" s="842"/>
      <c r="DN168" s="842"/>
      <c r="DO168" s="842"/>
      <c r="DP168" s="1094"/>
      <c r="DQ168" s="1094"/>
      <c r="DR168" s="1094"/>
      <c r="DS168" s="842"/>
      <c r="DT168" s="842"/>
      <c r="DU168" s="842"/>
      <c r="DV168" s="842"/>
      <c r="DW168" s="842"/>
      <c r="DX168" s="842"/>
      <c r="DY168" s="705"/>
      <c r="DZ168" s="422"/>
      <c r="EA168" s="422"/>
      <c r="EB168"/>
      <c r="EC168"/>
      <c r="ED168"/>
      <c r="EE168"/>
      <c r="EF168"/>
      <c r="EG168"/>
    </row>
    <row r="169" spans="1:138" s="166" customFormat="1">
      <c r="A169" s="59" t="s">
        <v>214</v>
      </c>
      <c r="B169" s="108">
        <f t="shared" ref="B169:AG169" si="641">B171/B55</f>
        <v>3.4754672897196262E-2</v>
      </c>
      <c r="C169" s="108">
        <f t="shared" si="641"/>
        <v>4.35961147503953E-2</v>
      </c>
      <c r="D169" s="108">
        <f t="shared" si="641"/>
        <v>6.3474597585513076E-2</v>
      </c>
      <c r="E169" s="108">
        <f t="shared" si="641"/>
        <v>5.8802004165962957E-2</v>
      </c>
      <c r="F169" s="108">
        <f t="shared" si="641"/>
        <v>7.6666756241098546E-2</v>
      </c>
      <c r="G169" s="108">
        <f t="shared" si="641"/>
        <v>9.5153962645128723E-2</v>
      </c>
      <c r="H169" s="107">
        <f t="shared" si="641"/>
        <v>0.10619946091644204</v>
      </c>
      <c r="I169" s="107">
        <f t="shared" si="641"/>
        <v>0.10928551309736174</v>
      </c>
      <c r="J169" s="107">
        <f t="shared" si="641"/>
        <v>0.10482199188823794</v>
      </c>
      <c r="K169" s="107">
        <f t="shared" si="641"/>
        <v>0.11207453186975372</v>
      </c>
      <c r="L169" s="108">
        <f t="shared" si="641"/>
        <v>0.10814103482872295</v>
      </c>
      <c r="M169" s="107">
        <f t="shared" si="641"/>
        <v>0.11800060102173696</v>
      </c>
      <c r="N169" s="107">
        <f t="shared" si="641"/>
        <v>0.12347132892472144</v>
      </c>
      <c r="O169" s="107">
        <f t="shared" si="641"/>
        <v>0.11742460054835965</v>
      </c>
      <c r="P169" s="107">
        <f t="shared" si="641"/>
        <v>0.12109234638878907</v>
      </c>
      <c r="Q169" s="108">
        <f t="shared" si="641"/>
        <v>0.12007675926142614</v>
      </c>
      <c r="R169" s="107">
        <f t="shared" si="641"/>
        <v>0.10189916128410297</v>
      </c>
      <c r="S169" s="107">
        <f t="shared" si="641"/>
        <v>9.7362716763005785E-2</v>
      </c>
      <c r="T169" s="107">
        <f t="shared" si="641"/>
        <v>9.9191975480635269E-2</v>
      </c>
      <c r="U169" s="107">
        <f t="shared" si="641"/>
        <v>0.10194214537408834</v>
      </c>
      <c r="V169" s="108">
        <f t="shared" si="641"/>
        <v>0.10012383203872566</v>
      </c>
      <c r="W169" s="107">
        <f t="shared" si="641"/>
        <v>9.0741994776047205E-2</v>
      </c>
      <c r="X169" s="107">
        <f t="shared" si="641"/>
        <v>9.8847517730496451E-2</v>
      </c>
      <c r="Y169" s="107">
        <f t="shared" si="641"/>
        <v>7.7316406594375386E-2</v>
      </c>
      <c r="Z169" s="107">
        <f t="shared" si="641"/>
        <v>8.7375597523705037E-2</v>
      </c>
      <c r="AA169" s="108">
        <f t="shared" si="641"/>
        <v>8.847138076595E-2</v>
      </c>
      <c r="AB169" s="107">
        <f t="shared" si="641"/>
        <v>8.2815734989648032E-2</v>
      </c>
      <c r="AC169" s="107">
        <f t="shared" si="641"/>
        <v>8.6545958589621413E-2</v>
      </c>
      <c r="AD169" s="107">
        <f t="shared" si="641"/>
        <v>8.540308606320654E-2</v>
      </c>
      <c r="AE169" s="107">
        <f t="shared" si="641"/>
        <v>9.0594545901236584E-2</v>
      </c>
      <c r="AF169" s="108">
        <f t="shared" si="641"/>
        <v>8.6458848577388767E-2</v>
      </c>
      <c r="AG169" s="107">
        <f t="shared" si="641"/>
        <v>9.2446648366244583E-2</v>
      </c>
      <c r="AH169" s="107">
        <f t="shared" ref="AH169:BM169" si="642">AH171/AH55</f>
        <v>9.9991611441993117E-2</v>
      </c>
      <c r="AI169" s="107">
        <f t="shared" si="642"/>
        <v>9.5795770494565669E-2</v>
      </c>
      <c r="AJ169" s="107">
        <f t="shared" si="642"/>
        <v>8.7693197784940904E-2</v>
      </c>
      <c r="AK169" s="108">
        <f t="shared" si="642"/>
        <v>9.397651646814463E-2</v>
      </c>
      <c r="AL169" s="107">
        <f t="shared" si="642"/>
        <v>0.1010840108401084</v>
      </c>
      <c r="AM169" s="107">
        <f t="shared" si="642"/>
        <v>0.11377980364656382</v>
      </c>
      <c r="AN169" s="107">
        <f t="shared" si="642"/>
        <v>0.11051379219176875</v>
      </c>
      <c r="AO169" s="107">
        <f t="shared" si="642"/>
        <v>8.9222231856412038E-2</v>
      </c>
      <c r="AP169" s="108">
        <f t="shared" si="642"/>
        <v>0.10362008906918295</v>
      </c>
      <c r="AQ169" s="113">
        <f t="shared" si="642"/>
        <v>0.13446009389671362</v>
      </c>
      <c r="AR169" s="107">
        <f t="shared" si="642"/>
        <v>0.12612771979479923</v>
      </c>
      <c r="AS169" s="107">
        <f t="shared" si="642"/>
        <v>0.12524743566672666</v>
      </c>
      <c r="AT169" s="107">
        <f t="shared" si="642"/>
        <v>0.1166001596169194</v>
      </c>
      <c r="AU169" s="108">
        <f t="shared" si="642"/>
        <v>0.12524122807017543</v>
      </c>
      <c r="AV169" s="113">
        <f t="shared" si="642"/>
        <v>0.13411136386114134</v>
      </c>
      <c r="AW169" s="107">
        <f t="shared" si="642"/>
        <v>0.12410890663918234</v>
      </c>
      <c r="AX169" s="107">
        <f t="shared" si="642"/>
        <v>0.11813977837885001</v>
      </c>
      <c r="AY169" s="107">
        <f t="shared" si="642"/>
        <v>9.9171634280405666E-2</v>
      </c>
      <c r="AZ169" s="108">
        <f t="shared" si="642"/>
        <v>0.11783577560045087</v>
      </c>
      <c r="BA169" s="108">
        <f t="shared" si="642"/>
        <v>0.10362008906918295</v>
      </c>
      <c r="BB169" s="113">
        <f t="shared" si="642"/>
        <v>0.13446009389671362</v>
      </c>
      <c r="BC169" s="107">
        <f t="shared" si="642"/>
        <v>0.12612771979479923</v>
      </c>
      <c r="BD169" s="107">
        <f t="shared" si="642"/>
        <v>0.12524743566672666</v>
      </c>
      <c r="BE169" s="107">
        <f t="shared" si="642"/>
        <v>0.1166001596169194</v>
      </c>
      <c r="BF169" s="108">
        <f t="shared" si="642"/>
        <v>0.12524122807017543</v>
      </c>
      <c r="BG169" s="113">
        <f t="shared" si="642"/>
        <v>0.13411136386114134</v>
      </c>
      <c r="BH169" s="107">
        <f t="shared" si="642"/>
        <v>0.12410890663918234</v>
      </c>
      <c r="BI169" s="107">
        <f t="shared" si="642"/>
        <v>0.11813977837885001</v>
      </c>
      <c r="BJ169" s="107">
        <f t="shared" si="642"/>
        <v>9.9171634280405666E-2</v>
      </c>
      <c r="BK169" s="108">
        <f t="shared" si="642"/>
        <v>0.11783577560045087</v>
      </c>
      <c r="BL169" s="113">
        <f t="shared" si="642"/>
        <v>0.11083575457186806</v>
      </c>
      <c r="BM169" s="107">
        <f t="shared" si="642"/>
        <v>0.12126374477311445</v>
      </c>
      <c r="BN169" s="107"/>
      <c r="BO169" s="107"/>
      <c r="BP169" s="108"/>
      <c r="BQ169" s="108">
        <f t="shared" ref="BQ169:CC169" si="643">BQ171/BQ55</f>
        <v>0.12546938366795174</v>
      </c>
      <c r="BR169" s="113">
        <f t="shared" si="643"/>
        <v>0.13152161449375072</v>
      </c>
      <c r="BS169" s="107">
        <f t="shared" si="643"/>
        <v>0.12437713727405959</v>
      </c>
      <c r="BT169" s="107">
        <f t="shared" si="643"/>
        <v>0.11848906560636183</v>
      </c>
      <c r="BU169" s="107">
        <f t="shared" si="643"/>
        <v>9.5486111111111105E-2</v>
      </c>
      <c r="BV169" s="108">
        <f t="shared" si="643"/>
        <v>0.11624235247681074</v>
      </c>
      <c r="BW169" s="113">
        <f t="shared" si="643"/>
        <v>0.11168981481481481</v>
      </c>
      <c r="BX169" s="107">
        <f t="shared" si="643"/>
        <v>0.11876997495033255</v>
      </c>
      <c r="BY169" s="107">
        <f t="shared" si="643"/>
        <v>0.13747727469483162</v>
      </c>
      <c r="BZ169" s="107">
        <f>BZ171/BZ55</f>
        <v>0.10383944153577661</v>
      </c>
      <c r="CA169" s="108">
        <f>CA171/CA55</f>
        <v>0.11744412461903149</v>
      </c>
      <c r="CB169" s="113">
        <f t="shared" si="643"/>
        <v>0.10391607126707063</v>
      </c>
      <c r="CC169" s="107">
        <f t="shared" si="643"/>
        <v>0.11706740244383129</v>
      </c>
      <c r="CD169" s="107">
        <f t="shared" ref="CD169" si="644">CD171/CD55</f>
        <v>0.11734735804092365</v>
      </c>
      <c r="CE169" s="107">
        <f>CE171/CE55</f>
        <v>0.12281165356411441</v>
      </c>
      <c r="CF169" s="108">
        <f>CF171/CF55</f>
        <v>0.11598887321736405</v>
      </c>
      <c r="CG169" s="113"/>
      <c r="CH169" s="107"/>
      <c r="CI169" s="107"/>
      <c r="CJ169" s="107"/>
      <c r="CK169" s="108">
        <f>CK171/CK55</f>
        <v>0.12489433643279797</v>
      </c>
      <c r="CL169" s="113"/>
      <c r="CM169" s="107"/>
      <c r="CN169" s="107"/>
      <c r="CO169" s="107"/>
      <c r="CP169" s="108">
        <f>CP171/CP55</f>
        <v>0.135244917560429</v>
      </c>
      <c r="CQ169" s="107">
        <f t="shared" ref="CQ169:CT169" si="645">CQ171/CQ55</f>
        <v>0.14054954954954954</v>
      </c>
      <c r="CR169" s="107">
        <f t="shared" si="645"/>
        <v>0.13574708171206226</v>
      </c>
      <c r="CS169" s="107">
        <f t="shared" si="645"/>
        <v>0.13764754098360657</v>
      </c>
      <c r="CT169" s="107">
        <f t="shared" si="645"/>
        <v>0.13022112211221124</v>
      </c>
      <c r="CU169" s="108">
        <f>CU171/CU55</f>
        <v>0.13560623781676415</v>
      </c>
      <c r="CV169" s="107"/>
      <c r="CW169" s="107"/>
      <c r="CX169" s="107"/>
      <c r="CY169" s="112"/>
      <c r="CZ169" s="108">
        <f>CZ171/CZ55</f>
        <v>0.13806714214994223</v>
      </c>
      <c r="DA169" s="107"/>
      <c r="DB169" s="107"/>
      <c r="DC169" s="107"/>
      <c r="DD169" s="112"/>
      <c r="DE169" s="108">
        <f>DE171/DE55</f>
        <v>0.15002134254250951</v>
      </c>
      <c r="DF169" s="107"/>
      <c r="DG169" s="107"/>
      <c r="DH169" s="107"/>
      <c r="DI169" s="112"/>
      <c r="DJ169" s="108">
        <f>DJ171/DJ55</f>
        <v>0.15014339001825094</v>
      </c>
      <c r="DK169" s="403"/>
      <c r="DL169" s="404"/>
      <c r="DM169" s="809"/>
      <c r="DN169" s="809"/>
      <c r="DO169" s="809"/>
      <c r="DP169" s="1054"/>
      <c r="DQ169" s="1054"/>
      <c r="DR169" s="1054"/>
      <c r="DS169" s="809"/>
      <c r="DT169" s="809"/>
      <c r="DU169" s="809"/>
      <c r="DV169" s="809"/>
      <c r="DW169" s="809"/>
      <c r="DX169" s="809"/>
      <c r="DY169" s="520"/>
      <c r="DZ169" s="405"/>
      <c r="EA169" s="405"/>
      <c r="EB169"/>
      <c r="EC169"/>
      <c r="ED169"/>
      <c r="EE169"/>
      <c r="EF169"/>
      <c r="EG169"/>
    </row>
    <row r="170" spans="1:138" s="398" customFormat="1">
      <c r="A170" s="106" t="s">
        <v>57</v>
      </c>
      <c r="B170" s="80"/>
      <c r="C170" s="253">
        <f>(C169-B169)*100</f>
        <v>0.8841441853199038</v>
      </c>
      <c r="D170" s="253">
        <f>(D169-C169)*100</f>
        <v>1.9878482835117777</v>
      </c>
      <c r="E170" s="253">
        <f>(E169-D169)*100</f>
        <v>-0.46725934195501195</v>
      </c>
      <c r="F170" s="253">
        <f>(F169-E169)*100</f>
        <v>1.786475207513559</v>
      </c>
      <c r="G170" s="253">
        <f>(G169-F169)*100</f>
        <v>1.8487206404030176</v>
      </c>
      <c r="H170" s="268"/>
      <c r="I170" s="254"/>
      <c r="J170" s="254"/>
      <c r="K170" s="254"/>
      <c r="L170" s="253">
        <f t="shared" ref="L170:AO170" si="646">(L169-G169)*100</f>
        <v>1.2987072183594226</v>
      </c>
      <c r="M170" s="254">
        <f t="shared" si="646"/>
        <v>1.1801140105294914</v>
      </c>
      <c r="N170" s="254">
        <f t="shared" si="646"/>
        <v>1.4185815827359698</v>
      </c>
      <c r="O170" s="254">
        <f t="shared" si="646"/>
        <v>1.2602608660121708</v>
      </c>
      <c r="P170" s="255">
        <f t="shared" si="646"/>
        <v>0.90178145190353554</v>
      </c>
      <c r="Q170" s="256">
        <f t="shared" si="646"/>
        <v>1.1935724432703188</v>
      </c>
      <c r="R170" s="254">
        <f t="shared" si="646"/>
        <v>-1.6101439737633991</v>
      </c>
      <c r="S170" s="254">
        <f t="shared" si="646"/>
        <v>-2.6108612161715659</v>
      </c>
      <c r="T170" s="254">
        <f t="shared" si="646"/>
        <v>-1.8232625067724384</v>
      </c>
      <c r="U170" s="254">
        <f t="shared" si="646"/>
        <v>-1.9150201014700732</v>
      </c>
      <c r="V170" s="256">
        <f t="shared" si="646"/>
        <v>-1.9952927222700478</v>
      </c>
      <c r="W170" s="254">
        <f t="shared" si="646"/>
        <v>-1.115716650805576</v>
      </c>
      <c r="X170" s="254">
        <f t="shared" si="646"/>
        <v>0.14848009674906654</v>
      </c>
      <c r="Y170" s="254">
        <f t="shared" si="646"/>
        <v>-2.1875568886259882</v>
      </c>
      <c r="Z170" s="254">
        <f>(Z169-U169)*100</f>
        <v>-1.4566547850383305</v>
      </c>
      <c r="AA170" s="257">
        <f t="shared" si="646"/>
        <v>-1.1652451272775657</v>
      </c>
      <c r="AB170" s="254">
        <f t="shared" si="646"/>
        <v>-0.79262597863991724</v>
      </c>
      <c r="AC170" s="254">
        <f t="shared" si="646"/>
        <v>-1.2301559140875038</v>
      </c>
      <c r="AD170" s="254">
        <f t="shared" si="646"/>
        <v>0.80866794688311538</v>
      </c>
      <c r="AE170" s="254">
        <f t="shared" si="646"/>
        <v>0.32189483775315469</v>
      </c>
      <c r="AF170" s="257">
        <f t="shared" si="646"/>
        <v>-0.20125321885612335</v>
      </c>
      <c r="AG170" s="254">
        <f t="shared" si="646"/>
        <v>0.96309133765965504</v>
      </c>
      <c r="AH170" s="255">
        <f t="shared" si="646"/>
        <v>1.3445652852371703</v>
      </c>
      <c r="AI170" s="255">
        <f t="shared" si="646"/>
        <v>1.0392684431359127</v>
      </c>
      <c r="AJ170" s="254">
        <f t="shared" si="646"/>
        <v>-0.29013481162956795</v>
      </c>
      <c r="AK170" s="257">
        <f>(AK169-AF169)*100</f>
        <v>0.75176678907558636</v>
      </c>
      <c r="AL170" s="254">
        <f t="shared" si="646"/>
        <v>0.86373624738638188</v>
      </c>
      <c r="AM170" s="254">
        <f>(AM169-AH169)*100</f>
        <v>1.3788192204570699</v>
      </c>
      <c r="AN170" s="254">
        <f>(AN169-AI169)*100</f>
        <v>1.4718021697203085</v>
      </c>
      <c r="AO170" s="254">
        <f t="shared" si="646"/>
        <v>0.15290340714711331</v>
      </c>
      <c r="AP170" s="257">
        <f t="shared" ref="AP170" si="647">(AP169-AK169)*100</f>
        <v>0.96435726010383194</v>
      </c>
      <c r="AQ170" s="532">
        <f t="shared" ref="AQ170:AZ170" si="648">(AQ169-AL169)*100</f>
        <v>3.3376083056605221</v>
      </c>
      <c r="AR170" s="254">
        <f t="shared" si="648"/>
        <v>1.2347916148235409</v>
      </c>
      <c r="AS170" s="254">
        <f t="shared" si="648"/>
        <v>1.4733643474957911</v>
      </c>
      <c r="AT170" s="254">
        <f t="shared" si="648"/>
        <v>2.7377927760507363</v>
      </c>
      <c r="AU170" s="257">
        <f t="shared" si="648"/>
        <v>2.1621139000992482</v>
      </c>
      <c r="AV170" s="532">
        <f t="shared" si="648"/>
        <v>-3.4873003557228666E-2</v>
      </c>
      <c r="AW170" s="254">
        <f t="shared" si="648"/>
        <v>-0.20188131556168887</v>
      </c>
      <c r="AX170" s="254">
        <f t="shared" si="648"/>
        <v>-0.71076572878766564</v>
      </c>
      <c r="AY170" s="254">
        <f t="shared" si="648"/>
        <v>-1.7428525336513734</v>
      </c>
      <c r="AZ170" s="257">
        <f t="shared" si="648"/>
        <v>-0.74054524697245583</v>
      </c>
      <c r="BA170" s="257"/>
      <c r="BB170" s="532">
        <f>(BB169-BA169)*100</f>
        <v>3.0840004827530674</v>
      </c>
      <c r="BC170" s="254">
        <f>(BC169-AQ169)*100</f>
        <v>-0.83323741019143971</v>
      </c>
      <c r="BD170" s="254">
        <f>(BD169-AR169)*100</f>
        <v>-8.8028412807256151E-2</v>
      </c>
      <c r="BE170" s="254">
        <f>(BE169-AS169)*100</f>
        <v>-0.86472760498072643</v>
      </c>
      <c r="BF170" s="257"/>
      <c r="BG170" s="532">
        <f t="shared" ref="BG170:BM170" si="649">(BG169-BB169)*100</f>
        <v>-3.4873003557228666E-2</v>
      </c>
      <c r="BH170" s="254">
        <f t="shared" si="649"/>
        <v>-0.20188131556168887</v>
      </c>
      <c r="BI170" s="254">
        <f t="shared" si="649"/>
        <v>-0.71076572878766564</v>
      </c>
      <c r="BJ170" s="254">
        <f t="shared" si="649"/>
        <v>-1.7428525336513734</v>
      </c>
      <c r="BK170" s="257">
        <f t="shared" si="649"/>
        <v>-0.74054524697245583</v>
      </c>
      <c r="BL170" s="532">
        <f t="shared" si="649"/>
        <v>-2.3275609289273276</v>
      </c>
      <c r="BM170" s="254">
        <f t="shared" si="649"/>
        <v>-0.28451618660678829</v>
      </c>
      <c r="BN170" s="254"/>
      <c r="BO170" s="254"/>
      <c r="BP170" s="257"/>
      <c r="BQ170" s="257"/>
      <c r="BR170" s="532"/>
      <c r="BS170" s="254"/>
      <c r="BT170" s="254"/>
      <c r="BU170" s="254"/>
      <c r="BV170" s="257"/>
      <c r="BW170" s="532">
        <f t="shared" ref="BW170:CD170" si="650">(BW169-BR169)*100</f>
        <v>-1.9831799678935904</v>
      </c>
      <c r="BX170" s="254">
        <f t="shared" si="650"/>
        <v>-0.5607162323727044</v>
      </c>
      <c r="BY170" s="254">
        <f t="shared" si="650"/>
        <v>1.8988209088469792</v>
      </c>
      <c r="BZ170" s="254">
        <f>(BZ169-BU169)*100</f>
        <v>0.83533304246655038</v>
      </c>
      <c r="CA170" s="257">
        <f>(CA169-BV169)*100</f>
        <v>0.12017721422207528</v>
      </c>
      <c r="CB170" s="532">
        <f t="shared" si="650"/>
        <v>-0.7773743547744183</v>
      </c>
      <c r="CC170" s="254">
        <f t="shared" si="650"/>
        <v>-0.1702572506501257</v>
      </c>
      <c r="CD170" s="254">
        <f t="shared" si="650"/>
        <v>-2.0129916653907967</v>
      </c>
      <c r="CE170" s="254">
        <f>(CE169-BZ169)*100</f>
        <v>1.8972212028337807</v>
      </c>
      <c r="CF170" s="257">
        <f>(CF169-CA169)*100</f>
        <v>-0.145525140166744</v>
      </c>
      <c r="CG170" s="532"/>
      <c r="CH170" s="254"/>
      <c r="CI170" s="254"/>
      <c r="CJ170" s="254"/>
      <c r="CK170" s="257"/>
      <c r="CL170" s="532"/>
      <c r="CM170" s="254"/>
      <c r="CN170" s="254"/>
      <c r="CO170" s="254"/>
      <c r="CP170" s="257">
        <f>(CP169-CK169)*100</f>
        <v>1.0350581127631029</v>
      </c>
      <c r="CQ170" s="254"/>
      <c r="CR170" s="254"/>
      <c r="CS170" s="254"/>
      <c r="CT170" s="254"/>
      <c r="CU170" s="257">
        <f>(CU169-CP169)*100</f>
        <v>3.6132025633514586E-2</v>
      </c>
      <c r="CV170" s="30"/>
      <c r="CW170" s="30"/>
      <c r="CX170" s="30"/>
      <c r="CY170" s="31"/>
      <c r="CZ170" s="257">
        <f>(CZ169-CU169)*100</f>
        <v>0.24609043331780822</v>
      </c>
      <c r="DA170" s="30"/>
      <c r="DB170" s="30"/>
      <c r="DC170" s="30"/>
      <c r="DD170" s="31"/>
      <c r="DE170" s="257">
        <f>(DE169-CZ169)*100</f>
        <v>1.1954200392567282</v>
      </c>
      <c r="DF170" s="30"/>
      <c r="DG170" s="30"/>
      <c r="DH170" s="30"/>
      <c r="DI170" s="31"/>
      <c r="DJ170" s="257">
        <f>(DJ169-DE169)*100</f>
        <v>1.2204747574143249E-2</v>
      </c>
      <c r="DK170" s="397"/>
      <c r="DL170" s="74"/>
      <c r="DM170" s="809"/>
      <c r="DN170" s="809"/>
      <c r="DO170" s="809"/>
      <c r="DP170" s="1054"/>
      <c r="DQ170" s="1054"/>
      <c r="DR170" s="1105"/>
      <c r="DS170" s="1242" t="s">
        <v>402</v>
      </c>
      <c r="DT170" s="1242" t="s">
        <v>403</v>
      </c>
      <c r="DU170" s="1242" t="s">
        <v>404</v>
      </c>
      <c r="DV170" s="809"/>
      <c r="DW170" s="809"/>
      <c r="DX170" s="809"/>
      <c r="DY170" s="360"/>
      <c r="DZ170" s="167"/>
      <c r="EA170" s="167"/>
      <c r="EB170"/>
      <c r="EC170"/>
      <c r="ED170"/>
      <c r="EE170"/>
      <c r="EF170"/>
      <c r="EG170"/>
    </row>
    <row r="171" spans="1:138" s="166" customFormat="1">
      <c r="A171" s="1270" t="s">
        <v>213</v>
      </c>
      <c r="B171" s="42">
        <f t="shared" ref="B171:BM171" si="651">B153+B180+B147+B183</f>
        <v>833</v>
      </c>
      <c r="C171" s="42">
        <f t="shared" si="651"/>
        <v>1158</v>
      </c>
      <c r="D171" s="42">
        <f t="shared" si="651"/>
        <v>2019</v>
      </c>
      <c r="E171" s="42">
        <f t="shared" si="651"/>
        <v>2089</v>
      </c>
      <c r="F171" s="42">
        <f t="shared" si="651"/>
        <v>2853</v>
      </c>
      <c r="G171" s="42">
        <f t="shared" si="651"/>
        <v>3770</v>
      </c>
      <c r="H171" s="40">
        <f t="shared" si="651"/>
        <v>985</v>
      </c>
      <c r="I171" s="41">
        <f t="shared" si="651"/>
        <v>1164</v>
      </c>
      <c r="J171" s="41">
        <f t="shared" si="651"/>
        <v>1163</v>
      </c>
      <c r="K171" s="40">
        <f t="shared" si="651"/>
        <v>1215</v>
      </c>
      <c r="L171" s="42">
        <f t="shared" si="651"/>
        <v>4527</v>
      </c>
      <c r="M171" s="41">
        <f t="shared" si="651"/>
        <v>1178</v>
      </c>
      <c r="N171" s="41">
        <f t="shared" si="651"/>
        <v>1363</v>
      </c>
      <c r="O171" s="41">
        <f t="shared" si="651"/>
        <v>1242</v>
      </c>
      <c r="P171" s="40">
        <f t="shared" si="651"/>
        <v>1348</v>
      </c>
      <c r="Q171" s="42">
        <f t="shared" si="651"/>
        <v>5131</v>
      </c>
      <c r="R171" s="41">
        <f t="shared" si="651"/>
        <v>1057</v>
      </c>
      <c r="S171" s="41">
        <f t="shared" si="651"/>
        <v>1078</v>
      </c>
      <c r="T171" s="41">
        <f t="shared" si="651"/>
        <v>1068</v>
      </c>
      <c r="U171" s="40">
        <f t="shared" si="651"/>
        <v>1244</v>
      </c>
      <c r="V171" s="42">
        <f t="shared" si="651"/>
        <v>4447</v>
      </c>
      <c r="W171" s="41">
        <f t="shared" si="651"/>
        <v>938</v>
      </c>
      <c r="X171" s="41">
        <f t="shared" si="651"/>
        <v>1115</v>
      </c>
      <c r="Y171" s="41">
        <f t="shared" si="651"/>
        <v>877</v>
      </c>
      <c r="Z171" s="40">
        <f t="shared" si="651"/>
        <v>1115</v>
      </c>
      <c r="AA171" s="42">
        <f t="shared" si="651"/>
        <v>4045</v>
      </c>
      <c r="AB171" s="41">
        <f t="shared" si="651"/>
        <v>880</v>
      </c>
      <c r="AC171" s="41">
        <f t="shared" si="651"/>
        <v>999</v>
      </c>
      <c r="AD171" s="41">
        <f t="shared" si="651"/>
        <v>1035</v>
      </c>
      <c r="AE171" s="40">
        <f t="shared" si="651"/>
        <v>1106.25</v>
      </c>
      <c r="AF171" s="42">
        <f t="shared" si="651"/>
        <v>4020.25</v>
      </c>
      <c r="AG171" s="40">
        <f t="shared" si="651"/>
        <v>1044</v>
      </c>
      <c r="AH171" s="41">
        <f t="shared" si="651"/>
        <v>1192</v>
      </c>
      <c r="AI171" s="41">
        <f t="shared" si="651"/>
        <v>1137</v>
      </c>
      <c r="AJ171" s="40">
        <f t="shared" si="651"/>
        <v>1061</v>
      </c>
      <c r="AK171" s="47">
        <f t="shared" si="651"/>
        <v>4434</v>
      </c>
      <c r="AL171" s="41">
        <f t="shared" si="651"/>
        <v>1119</v>
      </c>
      <c r="AM171" s="499">
        <f t="shared" si="651"/>
        <v>1298</v>
      </c>
      <c r="AN171" s="41">
        <f t="shared" si="651"/>
        <v>1254</v>
      </c>
      <c r="AO171" s="41">
        <f t="shared" si="651"/>
        <v>1029</v>
      </c>
      <c r="AP171" s="47">
        <f t="shared" si="651"/>
        <v>4700</v>
      </c>
      <c r="AQ171" s="48">
        <f t="shared" si="651"/>
        <v>1432</v>
      </c>
      <c r="AR171" s="499">
        <f t="shared" si="651"/>
        <v>1426</v>
      </c>
      <c r="AS171" s="41">
        <f t="shared" si="651"/>
        <v>1392</v>
      </c>
      <c r="AT171" s="41">
        <f t="shared" si="651"/>
        <v>1461</v>
      </c>
      <c r="AU171" s="47">
        <f t="shared" si="651"/>
        <v>5711</v>
      </c>
      <c r="AV171" s="48">
        <f t="shared" si="651"/>
        <v>1356</v>
      </c>
      <c r="AW171" s="499">
        <f t="shared" si="651"/>
        <v>1445</v>
      </c>
      <c r="AX171" s="41">
        <f t="shared" si="651"/>
        <v>1354</v>
      </c>
      <c r="AY171" s="41">
        <f t="shared" si="651"/>
        <v>1281</v>
      </c>
      <c r="AZ171" s="47">
        <f t="shared" si="651"/>
        <v>5436</v>
      </c>
      <c r="BA171" s="47">
        <f t="shared" si="651"/>
        <v>4700</v>
      </c>
      <c r="BB171" s="48">
        <f t="shared" si="651"/>
        <v>1432</v>
      </c>
      <c r="BC171" s="499">
        <f t="shared" si="651"/>
        <v>1426</v>
      </c>
      <c r="BD171" s="41">
        <f t="shared" si="651"/>
        <v>1392</v>
      </c>
      <c r="BE171" s="41">
        <f t="shared" si="651"/>
        <v>1461</v>
      </c>
      <c r="BF171" s="47">
        <f t="shared" si="651"/>
        <v>5711</v>
      </c>
      <c r="BG171" s="48">
        <f t="shared" si="651"/>
        <v>1356</v>
      </c>
      <c r="BH171" s="499">
        <f t="shared" si="651"/>
        <v>1445</v>
      </c>
      <c r="BI171" s="41">
        <f t="shared" si="651"/>
        <v>1354</v>
      </c>
      <c r="BJ171" s="41">
        <f t="shared" si="651"/>
        <v>1281</v>
      </c>
      <c r="BK171" s="47">
        <f t="shared" si="651"/>
        <v>5436</v>
      </c>
      <c r="BL171" s="48">
        <f t="shared" si="651"/>
        <v>1297</v>
      </c>
      <c r="BM171" s="499">
        <f t="shared" si="651"/>
        <v>1566</v>
      </c>
      <c r="BN171" s="41"/>
      <c r="BO171" s="41"/>
      <c r="BP171" s="47"/>
      <c r="BQ171" s="47">
        <f t="shared" ref="BQ171:CF171" si="652">BQ153+BQ180+BQ147+BQ183</f>
        <v>5012</v>
      </c>
      <c r="BR171" s="48">
        <f t="shared" si="652"/>
        <v>1147</v>
      </c>
      <c r="BS171" s="499">
        <f t="shared" si="652"/>
        <v>1273</v>
      </c>
      <c r="BT171" s="41">
        <f t="shared" si="652"/>
        <v>1192</v>
      </c>
      <c r="BU171" s="41">
        <f t="shared" si="652"/>
        <v>1100</v>
      </c>
      <c r="BV171" s="47">
        <f t="shared" si="652"/>
        <v>4712</v>
      </c>
      <c r="BW171" s="479">
        <f t="shared" si="652"/>
        <v>1158</v>
      </c>
      <c r="BX171" s="41">
        <f t="shared" si="652"/>
        <v>1375</v>
      </c>
      <c r="BY171" s="41">
        <f t="shared" si="652"/>
        <v>1588</v>
      </c>
      <c r="BZ171" s="41">
        <f t="shared" si="652"/>
        <v>1428</v>
      </c>
      <c r="CA171" s="42">
        <f t="shared" si="652"/>
        <v>5549</v>
      </c>
      <c r="CB171" s="479">
        <f t="shared" si="652"/>
        <v>1149</v>
      </c>
      <c r="CC171" s="41">
        <f t="shared" si="652"/>
        <v>1485</v>
      </c>
      <c r="CD171" s="41">
        <f t="shared" si="652"/>
        <v>1428</v>
      </c>
      <c r="CE171" s="41">
        <f t="shared" si="652"/>
        <v>1859</v>
      </c>
      <c r="CF171" s="47">
        <f t="shared" si="652"/>
        <v>5921</v>
      </c>
      <c r="CG171" s="479"/>
      <c r="CH171" s="41"/>
      <c r="CI171" s="41"/>
      <c r="CJ171" s="41"/>
      <c r="CK171" s="42">
        <f>CK153+CK180+CK147+CK183</f>
        <v>5910</v>
      </c>
      <c r="CL171" s="479"/>
      <c r="CM171" s="41"/>
      <c r="CN171" s="41"/>
      <c r="CO171" s="41"/>
      <c r="CP171" s="42">
        <f>CP153+CP180+CP147+CP183</f>
        <v>6759</v>
      </c>
      <c r="CQ171" s="41">
        <f t="shared" ref="CQ171:CU171" si="653">CQ153+CQ180+CQ147+CQ183</f>
        <v>1560.1</v>
      </c>
      <c r="CR171" s="41">
        <f t="shared" si="653"/>
        <v>1744.3500000000001</v>
      </c>
      <c r="CS171" s="41">
        <f t="shared" si="653"/>
        <v>1679.3000000000002</v>
      </c>
      <c r="CT171" s="41">
        <f t="shared" si="653"/>
        <v>1972.8500000000001</v>
      </c>
      <c r="CU171" s="47">
        <f t="shared" si="653"/>
        <v>6956.6</v>
      </c>
      <c r="CV171" s="49"/>
      <c r="CW171" s="49"/>
      <c r="CX171" s="49"/>
      <c r="CY171" s="50"/>
      <c r="CZ171" s="47">
        <f>CZ153+CZ180+CZ147+CZ183</f>
        <v>7530.32</v>
      </c>
      <c r="DA171" s="49"/>
      <c r="DB171" s="49"/>
      <c r="DC171" s="49"/>
      <c r="DD171" s="50"/>
      <c r="DE171" s="47">
        <f>DE153+DE180+DE147+DE183</f>
        <v>8566.1541500000003</v>
      </c>
      <c r="DF171" s="49"/>
      <c r="DG171" s="49"/>
      <c r="DH171" s="49"/>
      <c r="DI171" s="50"/>
      <c r="DJ171" s="47">
        <f>DJ153+DJ180+DJ147+DJ183</f>
        <v>8854.8600079999997</v>
      </c>
      <c r="DK171" s="403"/>
      <c r="DL171" s="404"/>
      <c r="DM171" s="809" t="s">
        <v>397</v>
      </c>
      <c r="DN171" s="867"/>
      <c r="DO171" s="1123"/>
      <c r="DP171" s="1126"/>
      <c r="DQ171" s="1126"/>
      <c r="DR171" s="1105"/>
      <c r="DS171" s="1150">
        <v>6.83</v>
      </c>
      <c r="DT171" s="1150">
        <f>(DS171+DU171)/2</f>
        <v>6.9050000000000002</v>
      </c>
      <c r="DU171" s="1150">
        <v>6.98</v>
      </c>
      <c r="DV171" s="809"/>
      <c r="DW171" s="809"/>
      <c r="DX171" s="809"/>
      <c r="DY171" s="404"/>
      <c r="DZ171" s="405"/>
      <c r="EA171" s="405"/>
      <c r="EB171"/>
      <c r="EC171"/>
      <c r="ED171"/>
      <c r="EE171"/>
      <c r="EF171"/>
      <c r="EG171"/>
    </row>
    <row r="172" spans="1:138" s="398" customFormat="1">
      <c r="A172" s="116" t="s">
        <v>53</v>
      </c>
      <c r="B172" s="80"/>
      <c r="C172" s="80">
        <f>C171/B171-1</f>
        <v>0.39015606242497003</v>
      </c>
      <c r="D172" s="80">
        <f>D171/C171-1</f>
        <v>0.74352331606217614</v>
      </c>
      <c r="E172" s="80">
        <f>E171/D171-1</f>
        <v>3.4670629024269539E-2</v>
      </c>
      <c r="F172" s="80">
        <f>F171/E171-1</f>
        <v>0.36572522738152236</v>
      </c>
      <c r="G172" s="80">
        <f>G171/F171-1</f>
        <v>0.32141605327725209</v>
      </c>
      <c r="H172" s="82"/>
      <c r="I172" s="82"/>
      <c r="J172" s="82"/>
      <c r="K172" s="82"/>
      <c r="L172" s="80">
        <f t="shared" ref="L172:AL172" si="654">L171/G171-1</f>
        <v>0.20079575596816968</v>
      </c>
      <c r="M172" s="82">
        <f t="shared" si="654"/>
        <v>0.19593908629441614</v>
      </c>
      <c r="N172" s="82">
        <f t="shared" si="654"/>
        <v>0.17096219931271484</v>
      </c>
      <c r="O172" s="82">
        <f t="shared" si="654"/>
        <v>6.7927773000859837E-2</v>
      </c>
      <c r="P172" s="82">
        <f t="shared" si="654"/>
        <v>0.10946502057613161</v>
      </c>
      <c r="Q172" s="80">
        <f t="shared" si="654"/>
        <v>0.13342169206980348</v>
      </c>
      <c r="R172" s="82">
        <f t="shared" si="654"/>
        <v>-0.10271646859083194</v>
      </c>
      <c r="S172" s="82">
        <f t="shared" si="654"/>
        <v>-0.20909757887013936</v>
      </c>
      <c r="T172" s="82">
        <f t="shared" si="654"/>
        <v>-0.14009661835748788</v>
      </c>
      <c r="U172" s="82">
        <f t="shared" si="654"/>
        <v>-7.71513353115727E-2</v>
      </c>
      <c r="V172" s="80">
        <f t="shared" si="654"/>
        <v>-0.1333073474956149</v>
      </c>
      <c r="W172" s="83">
        <f t="shared" si="654"/>
        <v>-0.11258278145695366</v>
      </c>
      <c r="X172" s="82">
        <f t="shared" si="654"/>
        <v>3.4322820037105739E-2</v>
      </c>
      <c r="Y172" s="83">
        <f t="shared" si="654"/>
        <v>-0.17883895131086147</v>
      </c>
      <c r="Z172" s="83">
        <f>Z171/U171-1</f>
        <v>-0.1036977491961415</v>
      </c>
      <c r="AA172" s="84">
        <f t="shared" si="654"/>
        <v>-9.0398021137845785E-2</v>
      </c>
      <c r="AB172" s="83">
        <f t="shared" si="654"/>
        <v>-6.1833688699360345E-2</v>
      </c>
      <c r="AC172" s="82">
        <f t="shared" si="654"/>
        <v>-0.10403587443946183</v>
      </c>
      <c r="AD172" s="82">
        <f t="shared" si="654"/>
        <v>0.18015963511972632</v>
      </c>
      <c r="AE172" s="82">
        <f t="shared" si="654"/>
        <v>-7.8475336322869627E-3</v>
      </c>
      <c r="AF172" s="84">
        <f t="shared" si="654"/>
        <v>-6.1186650185414138E-3</v>
      </c>
      <c r="AG172" s="83">
        <f t="shared" si="654"/>
        <v>0.18636363636363629</v>
      </c>
      <c r="AH172" s="82">
        <f t="shared" si="654"/>
        <v>0.19319319319319317</v>
      </c>
      <c r="AI172" s="82">
        <f t="shared" si="654"/>
        <v>9.8550724637681109E-2</v>
      </c>
      <c r="AJ172" s="82">
        <f t="shared" si="654"/>
        <v>-4.0903954802259834E-2</v>
      </c>
      <c r="AK172" s="80">
        <f t="shared" si="654"/>
        <v>0.10291648529320319</v>
      </c>
      <c r="AL172" s="82">
        <f t="shared" si="654"/>
        <v>7.1839080459770166E-2</v>
      </c>
      <c r="AM172" s="82">
        <f t="shared" ref="AM172:AP172" si="655">AM171/AH171-1</f>
        <v>8.8926174496644306E-2</v>
      </c>
      <c r="AN172" s="82">
        <f t="shared" si="655"/>
        <v>0.1029023746701847</v>
      </c>
      <c r="AO172" s="82">
        <f t="shared" si="655"/>
        <v>-3.0160226201696561E-2</v>
      </c>
      <c r="AP172" s="80">
        <f t="shared" si="655"/>
        <v>5.999097880018045E-2</v>
      </c>
      <c r="AQ172" s="85">
        <f t="shared" ref="AQ172:AZ172" si="656">AQ171/AL171-1</f>
        <v>0.27971403038427156</v>
      </c>
      <c r="AR172" s="82">
        <f t="shared" si="656"/>
        <v>9.8613251155624138E-2</v>
      </c>
      <c r="AS172" s="82">
        <f t="shared" si="656"/>
        <v>0.11004784688995217</v>
      </c>
      <c r="AT172" s="82">
        <f t="shared" si="656"/>
        <v>0.41982507288629733</v>
      </c>
      <c r="AU172" s="80">
        <f t="shared" si="656"/>
        <v>0.21510638297872342</v>
      </c>
      <c r="AV172" s="85">
        <f t="shared" si="656"/>
        <v>-5.307262569832405E-2</v>
      </c>
      <c r="AW172" s="82">
        <f t="shared" si="656"/>
        <v>1.33239831697054E-2</v>
      </c>
      <c r="AX172" s="82">
        <f t="shared" si="656"/>
        <v>-2.7298850574712596E-2</v>
      </c>
      <c r="AY172" s="82">
        <f t="shared" si="656"/>
        <v>-0.12320328542094461</v>
      </c>
      <c r="AZ172" s="80">
        <f t="shared" si="656"/>
        <v>-4.815268779548243E-2</v>
      </c>
      <c r="BA172" s="80"/>
      <c r="BB172" s="85">
        <f>BB171/BA171-1</f>
        <v>-0.69531914893617019</v>
      </c>
      <c r="BC172" s="82">
        <f>BC171/AQ171-1</f>
        <v>-4.1899441340782495E-3</v>
      </c>
      <c r="BD172" s="82">
        <f>BD171/AR171-1</f>
        <v>-2.3842917251051921E-2</v>
      </c>
      <c r="BE172" s="82">
        <f>BE171/AS171-1</f>
        <v>4.9568965517241326E-2</v>
      </c>
      <c r="BF172" s="80"/>
      <c r="BG172" s="85">
        <f>BG171/BF171-1</f>
        <v>-0.76256347399754865</v>
      </c>
      <c r="BH172" s="82">
        <f>BH171/AV171-1</f>
        <v>6.5634218289085444E-2</v>
      </c>
      <c r="BI172" s="82">
        <f>BI171/AW171-1</f>
        <v>-6.2975778546712768E-2</v>
      </c>
      <c r="BJ172" s="82">
        <f>BJ171/AX171-1</f>
        <v>-5.3914327917282123E-2</v>
      </c>
      <c r="BK172" s="80"/>
      <c r="BL172" s="85">
        <f>BL171/BK171-1</f>
        <v>-0.76140544518027964</v>
      </c>
      <c r="BM172" s="82">
        <f>BM171/BA171-1</f>
        <v>-0.66680851063829794</v>
      </c>
      <c r="BN172" s="82"/>
      <c r="BO172" s="82"/>
      <c r="BP172" s="80"/>
      <c r="BQ172" s="80"/>
      <c r="BR172" s="82"/>
      <c r="BS172" s="82"/>
      <c r="BT172" s="82"/>
      <c r="BU172" s="82"/>
      <c r="BV172" s="80"/>
      <c r="BW172" s="1218">
        <f>BW171/BR171-1</f>
        <v>9.5902353966870191E-3</v>
      </c>
      <c r="BX172" s="27">
        <f t="shared" ref="BX172" si="657">BX171/BS171-1</f>
        <v>8.0125687352710084E-2</v>
      </c>
      <c r="BY172" s="27">
        <f t="shared" ref="BY172" si="658">BY171/BT171-1</f>
        <v>0.33221476510067105</v>
      </c>
      <c r="BZ172" s="27">
        <f>BZ171/BU171-1</f>
        <v>0.2981818181818181</v>
      </c>
      <c r="CA172" s="34">
        <f>CA171/BV171-1</f>
        <v>0.17763157894736836</v>
      </c>
      <c r="CB172" s="1218">
        <f>CB171/BW171-1</f>
        <v>-7.7720207253886286E-3</v>
      </c>
      <c r="CC172" s="27">
        <f t="shared" ref="CC172:CD172" si="659">CC171/BX171-1</f>
        <v>8.0000000000000071E-2</v>
      </c>
      <c r="CD172" s="27">
        <f t="shared" si="659"/>
        <v>-0.10075566750629728</v>
      </c>
      <c r="CE172" s="27">
        <f>CE171/BZ171-1</f>
        <v>0.30182072829131656</v>
      </c>
      <c r="CF172" s="80">
        <f>CF171/CA171-1</f>
        <v>6.7039106145251326E-2</v>
      </c>
      <c r="CG172" s="1218"/>
      <c r="CH172" s="27"/>
      <c r="CI172" s="27"/>
      <c r="CJ172" s="27"/>
      <c r="CK172" s="34"/>
      <c r="CL172" s="1218"/>
      <c r="CM172" s="27"/>
      <c r="CN172" s="27"/>
      <c r="CO172" s="27"/>
      <c r="CP172" s="80">
        <f>CP171/CK171-1</f>
        <v>0.14365482233502536</v>
      </c>
      <c r="CQ172" s="82"/>
      <c r="CR172" s="82"/>
      <c r="CS172" s="82"/>
      <c r="CT172" s="82"/>
      <c r="CU172" s="80">
        <f>CU171/CP171-1</f>
        <v>2.9235093948809077E-2</v>
      </c>
      <c r="CV172" s="103"/>
      <c r="CW172" s="103"/>
      <c r="CX172" s="103"/>
      <c r="CY172" s="105"/>
      <c r="CZ172" s="80">
        <f>CZ171/CU171-1</f>
        <v>8.2471322197625208E-2</v>
      </c>
      <c r="DA172" s="103"/>
      <c r="DB172" s="103"/>
      <c r="DC172" s="103"/>
      <c r="DD172" s="105"/>
      <c r="DE172" s="80">
        <f>DE171/CZ171-1</f>
        <v>0.13755513045926349</v>
      </c>
      <c r="DF172" s="103"/>
      <c r="DG172" s="103"/>
      <c r="DH172" s="103"/>
      <c r="DI172" s="105"/>
      <c r="DJ172" s="80">
        <f>DJ171/DE171-1</f>
        <v>3.3703089267895114E-2</v>
      </c>
      <c r="DK172" s="401"/>
      <c r="DL172" s="74"/>
      <c r="DM172" s="809"/>
      <c r="DN172" s="809"/>
      <c r="DO172" s="809"/>
      <c r="DP172" s="1054"/>
      <c r="DQ172" s="1054"/>
      <c r="DR172" s="1105"/>
      <c r="DS172" s="864"/>
      <c r="DT172" s="809"/>
      <c r="DU172" s="809"/>
      <c r="DV172" s="809"/>
      <c r="DW172" s="809"/>
      <c r="DX172" s="809"/>
      <c r="DY172" s="360"/>
      <c r="DZ172" s="167"/>
      <c r="EA172" s="167"/>
      <c r="EB172"/>
      <c r="EC172"/>
      <c r="ED172"/>
      <c r="EE172"/>
      <c r="EF172"/>
      <c r="EG172"/>
    </row>
    <row r="173" spans="1:138" s="166" customFormat="1">
      <c r="A173" s="114" t="s">
        <v>73</v>
      </c>
      <c r="B173" s="42">
        <f t="shared" ref="B173:AG173" si="660">B55</f>
        <v>23968</v>
      </c>
      <c r="C173" s="42">
        <f t="shared" si="660"/>
        <v>26562</v>
      </c>
      <c r="D173" s="42">
        <f t="shared" si="660"/>
        <v>31808</v>
      </c>
      <c r="E173" s="42">
        <f t="shared" si="660"/>
        <v>35526</v>
      </c>
      <c r="F173" s="42">
        <f t="shared" si="660"/>
        <v>37213</v>
      </c>
      <c r="G173" s="42">
        <f t="shared" si="660"/>
        <v>39620</v>
      </c>
      <c r="H173" s="40">
        <f t="shared" si="660"/>
        <v>9275</v>
      </c>
      <c r="I173" s="41">
        <f t="shared" si="660"/>
        <v>10651</v>
      </c>
      <c r="J173" s="41">
        <f t="shared" si="660"/>
        <v>11095</v>
      </c>
      <c r="K173" s="40">
        <f t="shared" si="660"/>
        <v>10841</v>
      </c>
      <c r="L173" s="42">
        <f t="shared" si="660"/>
        <v>41862</v>
      </c>
      <c r="M173" s="41">
        <f t="shared" si="660"/>
        <v>9983</v>
      </c>
      <c r="N173" s="41">
        <f t="shared" si="660"/>
        <v>11039</v>
      </c>
      <c r="O173" s="41">
        <f t="shared" si="660"/>
        <v>10577</v>
      </c>
      <c r="P173" s="40">
        <f t="shared" si="660"/>
        <v>11132</v>
      </c>
      <c r="Q173" s="42">
        <f t="shared" si="660"/>
        <v>42731</v>
      </c>
      <c r="R173" s="41">
        <f t="shared" si="660"/>
        <v>10373</v>
      </c>
      <c r="S173" s="41">
        <f t="shared" si="660"/>
        <v>11072</v>
      </c>
      <c r="T173" s="41">
        <f t="shared" si="660"/>
        <v>10767</v>
      </c>
      <c r="U173" s="40">
        <f t="shared" si="660"/>
        <v>12203</v>
      </c>
      <c r="V173" s="42">
        <f t="shared" si="660"/>
        <v>44415</v>
      </c>
      <c r="W173" s="41">
        <f t="shared" si="660"/>
        <v>10337</v>
      </c>
      <c r="X173" s="41">
        <f t="shared" si="660"/>
        <v>11280</v>
      </c>
      <c r="Y173" s="41">
        <f t="shared" si="660"/>
        <v>11343</v>
      </c>
      <c r="Z173" s="40">
        <f t="shared" si="660"/>
        <v>12761</v>
      </c>
      <c r="AA173" s="42">
        <f t="shared" si="660"/>
        <v>45721</v>
      </c>
      <c r="AB173" s="41">
        <f t="shared" si="660"/>
        <v>10626</v>
      </c>
      <c r="AC173" s="41">
        <f t="shared" si="660"/>
        <v>11543</v>
      </c>
      <c r="AD173" s="41">
        <f t="shared" si="660"/>
        <v>12119</v>
      </c>
      <c r="AE173" s="40">
        <f t="shared" si="660"/>
        <v>12211</v>
      </c>
      <c r="AF173" s="42">
        <f t="shared" si="660"/>
        <v>46499</v>
      </c>
      <c r="AG173" s="40">
        <f t="shared" si="660"/>
        <v>11293</v>
      </c>
      <c r="AH173" s="41">
        <f t="shared" ref="AH173:BM173" si="661">AH55</f>
        <v>11921</v>
      </c>
      <c r="AI173" s="41">
        <f t="shared" si="661"/>
        <v>11869</v>
      </c>
      <c r="AJ173" s="40">
        <f t="shared" si="661"/>
        <v>12099</v>
      </c>
      <c r="AK173" s="47">
        <f t="shared" si="661"/>
        <v>47182</v>
      </c>
      <c r="AL173" s="41">
        <f t="shared" si="661"/>
        <v>11070</v>
      </c>
      <c r="AM173" s="41">
        <f t="shared" si="661"/>
        <v>11408</v>
      </c>
      <c r="AN173" s="41">
        <f t="shared" si="661"/>
        <v>11347</v>
      </c>
      <c r="AO173" s="41">
        <f t="shared" si="661"/>
        <v>11533</v>
      </c>
      <c r="AP173" s="47">
        <f t="shared" si="661"/>
        <v>45358</v>
      </c>
      <c r="AQ173" s="48">
        <f t="shared" si="661"/>
        <v>10650</v>
      </c>
      <c r="AR173" s="41">
        <f t="shared" si="661"/>
        <v>11306</v>
      </c>
      <c r="AS173" s="41">
        <f t="shared" si="661"/>
        <v>11114</v>
      </c>
      <c r="AT173" s="41">
        <f t="shared" si="661"/>
        <v>12530</v>
      </c>
      <c r="AU173" s="47">
        <f t="shared" si="661"/>
        <v>45600</v>
      </c>
      <c r="AV173" s="48">
        <f t="shared" si="661"/>
        <v>10111</v>
      </c>
      <c r="AW173" s="41">
        <f t="shared" si="661"/>
        <v>11643</v>
      </c>
      <c r="AX173" s="41">
        <f t="shared" si="661"/>
        <v>11461</v>
      </c>
      <c r="AY173" s="41">
        <f t="shared" si="661"/>
        <v>12917</v>
      </c>
      <c r="AZ173" s="47">
        <f t="shared" si="661"/>
        <v>46132</v>
      </c>
      <c r="BA173" s="47">
        <f t="shared" si="661"/>
        <v>45358</v>
      </c>
      <c r="BB173" s="48">
        <f t="shared" si="661"/>
        <v>10650</v>
      </c>
      <c r="BC173" s="41">
        <f t="shared" si="661"/>
        <v>11306</v>
      </c>
      <c r="BD173" s="41">
        <f t="shared" si="661"/>
        <v>11114</v>
      </c>
      <c r="BE173" s="41">
        <f t="shared" si="661"/>
        <v>12530</v>
      </c>
      <c r="BF173" s="47">
        <f t="shared" si="661"/>
        <v>45600</v>
      </c>
      <c r="BG173" s="48">
        <f t="shared" si="661"/>
        <v>10111</v>
      </c>
      <c r="BH173" s="41">
        <f t="shared" si="661"/>
        <v>11643</v>
      </c>
      <c r="BI173" s="41">
        <f t="shared" si="661"/>
        <v>11461</v>
      </c>
      <c r="BJ173" s="41">
        <f t="shared" si="661"/>
        <v>12917</v>
      </c>
      <c r="BK173" s="47">
        <f t="shared" si="661"/>
        <v>46132</v>
      </c>
      <c r="BL173" s="48">
        <f t="shared" si="661"/>
        <v>11702</v>
      </c>
      <c r="BM173" s="41">
        <f t="shared" si="661"/>
        <v>12914</v>
      </c>
      <c r="BN173" s="41"/>
      <c r="BO173" s="41"/>
      <c r="BP173" s="47"/>
      <c r="BQ173" s="47">
        <f t="shared" ref="BQ173:CT173" si="662">BQ55</f>
        <v>39946</v>
      </c>
      <c r="BR173" s="48">
        <f t="shared" si="662"/>
        <v>8721</v>
      </c>
      <c r="BS173" s="41">
        <f t="shared" si="662"/>
        <v>10235</v>
      </c>
      <c r="BT173" s="41">
        <f t="shared" si="662"/>
        <v>10060</v>
      </c>
      <c r="BU173" s="41">
        <f t="shared" si="662"/>
        <v>11520</v>
      </c>
      <c r="BV173" s="47">
        <f t="shared" si="662"/>
        <v>40536</v>
      </c>
      <c r="BW173" s="479">
        <f t="shared" si="662"/>
        <v>10368</v>
      </c>
      <c r="BX173" s="41">
        <f t="shared" si="662"/>
        <v>11577</v>
      </c>
      <c r="BY173" s="41">
        <f t="shared" si="662"/>
        <v>11551</v>
      </c>
      <c r="BZ173" s="41">
        <f>BZ55</f>
        <v>13752</v>
      </c>
      <c r="CA173" s="42">
        <f>CA55</f>
        <v>47248</v>
      </c>
      <c r="CB173" s="479">
        <f t="shared" si="662"/>
        <v>11057</v>
      </c>
      <c r="CC173" s="41">
        <f t="shared" si="662"/>
        <v>12685</v>
      </c>
      <c r="CD173" s="41">
        <f t="shared" ref="CD173" si="663">CD55</f>
        <v>12169</v>
      </c>
      <c r="CE173" s="41">
        <f>CE55</f>
        <v>15137</v>
      </c>
      <c r="CF173" s="47">
        <f>CF55</f>
        <v>51048</v>
      </c>
      <c r="CG173" s="479"/>
      <c r="CH173" s="41"/>
      <c r="CI173" s="41"/>
      <c r="CJ173" s="41"/>
      <c r="CK173" s="42">
        <f>CK55</f>
        <v>47320</v>
      </c>
      <c r="CL173" s="479"/>
      <c r="CM173" s="41"/>
      <c r="CN173" s="41"/>
      <c r="CO173" s="41"/>
      <c r="CP173" s="47">
        <f>CP55</f>
        <v>49976</v>
      </c>
      <c r="CQ173" s="41">
        <f t="shared" si="662"/>
        <v>11100</v>
      </c>
      <c r="CR173" s="41">
        <f t="shared" si="662"/>
        <v>12850</v>
      </c>
      <c r="CS173" s="41">
        <f t="shared" si="662"/>
        <v>12200</v>
      </c>
      <c r="CT173" s="41">
        <f t="shared" si="662"/>
        <v>15150</v>
      </c>
      <c r="CU173" s="47">
        <f>CU55</f>
        <v>51300</v>
      </c>
      <c r="CV173" s="49"/>
      <c r="CW173" s="49"/>
      <c r="CX173" s="49"/>
      <c r="CY173" s="50"/>
      <c r="CZ173" s="47">
        <f>CZ55</f>
        <v>54541</v>
      </c>
      <c r="DA173" s="49"/>
      <c r="DB173" s="49"/>
      <c r="DC173" s="49"/>
      <c r="DD173" s="50"/>
      <c r="DE173" s="47">
        <f>DE55</f>
        <v>57099.57</v>
      </c>
      <c r="DF173" s="49"/>
      <c r="DG173" s="49"/>
      <c r="DH173" s="49"/>
      <c r="DI173" s="50"/>
      <c r="DJ173" s="47">
        <f>DJ55</f>
        <v>58976.022900000004</v>
      </c>
      <c r="DK173" s="403"/>
      <c r="DL173" s="404"/>
      <c r="DM173" s="867"/>
      <c r="DN173" s="867"/>
      <c r="DO173" s="1123"/>
      <c r="DP173" s="1054"/>
      <c r="DQ173" s="1054"/>
      <c r="DR173" s="1054"/>
      <c r="DS173" s="809"/>
      <c r="DT173" s="809"/>
      <c r="DU173" s="809"/>
      <c r="DV173" s="809"/>
      <c r="DW173" s="809"/>
      <c r="DX173" s="809"/>
      <c r="DY173" s="404"/>
      <c r="DZ173" s="405"/>
      <c r="EA173" s="405"/>
      <c r="EB173"/>
      <c r="EC173"/>
      <c r="ED173"/>
      <c r="EE173"/>
      <c r="EF173"/>
      <c r="EG173"/>
    </row>
    <row r="174" spans="1:138" s="398" customFormat="1">
      <c r="A174" s="115" t="s">
        <v>53</v>
      </c>
      <c r="B174" s="80"/>
      <c r="C174" s="80">
        <f>C173/B173-1</f>
        <v>0.10822763684913217</v>
      </c>
      <c r="D174" s="80">
        <f>D173/C173-1</f>
        <v>0.19750018823883742</v>
      </c>
      <c r="E174" s="80">
        <f>E173/D173-1</f>
        <v>0.11688883299798802</v>
      </c>
      <c r="F174" s="80">
        <f>F173/E173-1</f>
        <v>4.7486348026797298E-2</v>
      </c>
      <c r="G174" s="80">
        <f>G173/F173-1</f>
        <v>6.4681697256335102E-2</v>
      </c>
      <c r="H174" s="82"/>
      <c r="I174" s="82"/>
      <c r="J174" s="82"/>
      <c r="K174" s="82"/>
      <c r="L174" s="80">
        <f t="shared" ref="L174:AL174" si="664">L173/G173-1</f>
        <v>5.658758202927805E-2</v>
      </c>
      <c r="M174" s="82">
        <f t="shared" si="664"/>
        <v>7.6334231805929909E-2</v>
      </c>
      <c r="N174" s="82">
        <f t="shared" si="664"/>
        <v>3.6428504365787262E-2</v>
      </c>
      <c r="O174" s="82">
        <f t="shared" si="664"/>
        <v>-4.6687697160883279E-2</v>
      </c>
      <c r="P174" s="82">
        <f t="shared" si="664"/>
        <v>2.6842542200903985E-2</v>
      </c>
      <c r="Q174" s="80">
        <f t="shared" si="664"/>
        <v>2.075868329272379E-2</v>
      </c>
      <c r="R174" s="82">
        <f t="shared" si="664"/>
        <v>3.9066412901933356E-2</v>
      </c>
      <c r="S174" s="82">
        <f t="shared" si="664"/>
        <v>2.989401213878029E-3</v>
      </c>
      <c r="T174" s="82">
        <f t="shared" si="664"/>
        <v>1.7963505719958306E-2</v>
      </c>
      <c r="U174" s="82">
        <f t="shared" si="664"/>
        <v>9.6209126841537929E-2</v>
      </c>
      <c r="V174" s="80">
        <f t="shared" si="664"/>
        <v>3.9409328122440357E-2</v>
      </c>
      <c r="W174" s="83">
        <f t="shared" si="664"/>
        <v>-3.4705485394774804E-3</v>
      </c>
      <c r="X174" s="82">
        <f t="shared" si="664"/>
        <v>1.8786127167629951E-2</v>
      </c>
      <c r="Y174" s="83">
        <f t="shared" si="664"/>
        <v>5.3496795764836902E-2</v>
      </c>
      <c r="Z174" s="83">
        <f>Z173/U173-1</f>
        <v>4.5726460706383643E-2</v>
      </c>
      <c r="AA174" s="84">
        <f t="shared" si="664"/>
        <v>2.9404480468310235E-2</v>
      </c>
      <c r="AB174" s="83">
        <f t="shared" si="664"/>
        <v>2.7957821418206352E-2</v>
      </c>
      <c r="AC174" s="82">
        <f t="shared" si="664"/>
        <v>2.3315602836879501E-2</v>
      </c>
      <c r="AD174" s="82">
        <f t="shared" si="664"/>
        <v>6.8412236621705036E-2</v>
      </c>
      <c r="AE174" s="82">
        <f t="shared" si="664"/>
        <v>-4.3100070527388179E-2</v>
      </c>
      <c r="AF174" s="84">
        <f t="shared" si="664"/>
        <v>1.7016250738172811E-2</v>
      </c>
      <c r="AG174" s="83">
        <f t="shared" si="664"/>
        <v>6.277056277056281E-2</v>
      </c>
      <c r="AH174" s="82">
        <f t="shared" si="664"/>
        <v>3.2747119466343344E-2</v>
      </c>
      <c r="AI174" s="82">
        <f t="shared" si="664"/>
        <v>-2.0628764749566764E-2</v>
      </c>
      <c r="AJ174" s="82">
        <f t="shared" si="664"/>
        <v>-9.1720579805093516E-3</v>
      </c>
      <c r="AK174" s="80">
        <f t="shared" si="664"/>
        <v>1.4688487924471527E-2</v>
      </c>
      <c r="AL174" s="82">
        <f t="shared" si="664"/>
        <v>-1.9746745771716978E-2</v>
      </c>
      <c r="AM174" s="82">
        <f t="shared" ref="AM174:AP174" si="665">AM173/AH173-1</f>
        <v>-4.3033302575287258E-2</v>
      </c>
      <c r="AN174" s="82">
        <f t="shared" si="665"/>
        <v>-4.3980116269272895E-2</v>
      </c>
      <c r="AO174" s="82">
        <f t="shared" si="665"/>
        <v>-4.6780725679808288E-2</v>
      </c>
      <c r="AP174" s="80">
        <f t="shared" si="665"/>
        <v>-3.865881056335041E-2</v>
      </c>
      <c r="AQ174" s="85">
        <f t="shared" ref="AQ174:AZ174" si="666">AQ173/AL173-1</f>
        <v>-3.7940379403794022E-2</v>
      </c>
      <c r="AR174" s="82">
        <f t="shared" si="666"/>
        <v>-8.9410939691444424E-3</v>
      </c>
      <c r="AS174" s="82">
        <f t="shared" si="666"/>
        <v>-2.0534061866572695E-2</v>
      </c>
      <c r="AT174" s="82">
        <f t="shared" si="666"/>
        <v>8.6447585190323473E-2</v>
      </c>
      <c r="AU174" s="80">
        <f t="shared" si="666"/>
        <v>5.3353322456899388E-3</v>
      </c>
      <c r="AV174" s="85">
        <f t="shared" si="666"/>
        <v>-5.0610328638497681E-2</v>
      </c>
      <c r="AW174" s="82">
        <f t="shared" si="666"/>
        <v>2.9807182027242085E-2</v>
      </c>
      <c r="AX174" s="82">
        <f t="shared" si="666"/>
        <v>3.1221882310599192E-2</v>
      </c>
      <c r="AY174" s="82">
        <f t="shared" si="666"/>
        <v>3.0885873902633643E-2</v>
      </c>
      <c r="AZ174" s="80">
        <f t="shared" si="666"/>
        <v>1.1666666666666714E-2</v>
      </c>
      <c r="BA174" s="80"/>
      <c r="BB174" s="85">
        <f>BB173/BA173-1</f>
        <v>-0.76520128753472372</v>
      </c>
      <c r="BC174" s="82">
        <f>BC173/AQ173-1</f>
        <v>6.159624413145548E-2</v>
      </c>
      <c r="BD174" s="82">
        <f>BD173/AR173-1</f>
        <v>-1.6982133380505915E-2</v>
      </c>
      <c r="BE174" s="82">
        <f>BE173/AS173-1</f>
        <v>0.1274068742127048</v>
      </c>
      <c r="BF174" s="80"/>
      <c r="BG174" s="85">
        <f>BG173/BF173-1</f>
        <v>-0.77826754385964914</v>
      </c>
      <c r="BH174" s="82">
        <f>BH173/AV173-1</f>
        <v>0.15151814855108303</v>
      </c>
      <c r="BI174" s="82">
        <f>BI173/AW173-1</f>
        <v>-1.5631710040367564E-2</v>
      </c>
      <c r="BJ174" s="82">
        <f>BJ173/AX173-1</f>
        <v>0.12703952534682839</v>
      </c>
      <c r="BK174" s="80"/>
      <c r="BL174" s="85">
        <f>BL173/BK173-1</f>
        <v>-0.74633659932367991</v>
      </c>
      <c r="BM174" s="82">
        <f>BM173/BA173-1</f>
        <v>-0.7152872701618237</v>
      </c>
      <c r="BN174" s="82"/>
      <c r="BO174" s="82"/>
      <c r="BP174" s="80"/>
      <c r="BQ174" s="80"/>
      <c r="BR174" s="82"/>
      <c r="BS174" s="82"/>
      <c r="BT174" s="82"/>
      <c r="BU174" s="82"/>
      <c r="BV174" s="80"/>
      <c r="BW174" s="1218">
        <f>BW173/BR173-1</f>
        <v>0.18885448916408665</v>
      </c>
      <c r="BX174" s="27">
        <f t="shared" ref="BX174" si="667">BX173/BS173-1</f>
        <v>0.13111871030776756</v>
      </c>
      <c r="BY174" s="27">
        <f t="shared" ref="BY174" si="668">BY173/BT173-1</f>
        <v>0.14821073558648101</v>
      </c>
      <c r="BZ174" s="27">
        <f>BZ173/BU173-1</f>
        <v>0.19375000000000009</v>
      </c>
      <c r="CA174" s="34">
        <f>CA173/BV173-1</f>
        <v>0.16558121176238405</v>
      </c>
      <c r="CB174" s="1218">
        <f>CB173/BW173-1</f>
        <v>6.6454475308642014E-2</v>
      </c>
      <c r="CC174" s="27">
        <f t="shared" ref="CC174:CD174" si="669">CC173/BX173-1</f>
        <v>9.5707005269068057E-2</v>
      </c>
      <c r="CD174" s="27">
        <f t="shared" si="669"/>
        <v>5.3501861310708998E-2</v>
      </c>
      <c r="CE174" s="27">
        <f>CE173/BZ173-1</f>
        <v>0.10071262361838285</v>
      </c>
      <c r="CF174" s="80">
        <f>CF173/CA173-1</f>
        <v>8.0426684727395781E-2</v>
      </c>
      <c r="CG174" s="1218"/>
      <c r="CH174" s="27"/>
      <c r="CI174" s="27"/>
      <c r="CJ174" s="27"/>
      <c r="CK174" s="34"/>
      <c r="CL174" s="1218"/>
      <c r="CM174" s="27"/>
      <c r="CN174" s="27"/>
      <c r="CO174" s="27"/>
      <c r="CP174" s="80">
        <f>CP173/CK173-1</f>
        <v>5.6128486897717655E-2</v>
      </c>
      <c r="CQ174" s="82"/>
      <c r="CR174" s="82"/>
      <c r="CS174" s="82"/>
      <c r="CT174" s="82"/>
      <c r="CU174" s="80">
        <f>CU173/CP173-1</f>
        <v>2.6492716503921931E-2</v>
      </c>
      <c r="CV174" s="103"/>
      <c r="CW174" s="103"/>
      <c r="CX174" s="103"/>
      <c r="CY174" s="105"/>
      <c r="CZ174" s="80">
        <f>CZ173/CU173-1</f>
        <v>6.317738791423011E-2</v>
      </c>
      <c r="DA174" s="103"/>
      <c r="DB174" s="103"/>
      <c r="DC174" s="103"/>
      <c r="DD174" s="105"/>
      <c r="DE174" s="80">
        <f>DE173/CZ173-1</f>
        <v>4.6910947727397678E-2</v>
      </c>
      <c r="DF174" s="103"/>
      <c r="DG174" s="103"/>
      <c r="DH174" s="103"/>
      <c r="DI174" s="105"/>
      <c r="DJ174" s="80">
        <f>DJ173/DE173-1</f>
        <v>3.2862820157840034E-2</v>
      </c>
      <c r="DK174" s="401"/>
      <c r="DL174" s="74"/>
      <c r="DM174" s="1151"/>
      <c r="DN174" s="809"/>
      <c r="DO174" s="809"/>
      <c r="DP174" s="1054"/>
      <c r="DQ174" s="1054"/>
      <c r="DR174" s="1054"/>
      <c r="DS174" s="809"/>
      <c r="DT174" s="809"/>
      <c r="DU174" s="809"/>
      <c r="DV174" s="809"/>
      <c r="DW174" s="809"/>
      <c r="DX174" s="809"/>
      <c r="DY174" s="360"/>
      <c r="DZ174" s="167"/>
      <c r="EA174" s="167"/>
      <c r="EB174"/>
      <c r="EC174"/>
      <c r="ED174"/>
      <c r="EE174"/>
      <c r="EF174"/>
      <c r="EG174"/>
    </row>
    <row r="175" spans="1:138" s="166" customFormat="1">
      <c r="A175" s="114" t="s">
        <v>74</v>
      </c>
      <c r="B175" s="42">
        <f>B173-B171</f>
        <v>23135</v>
      </c>
      <c r="C175" s="42">
        <f t="shared" ref="C175:AL175" si="670">C173-C171</f>
        <v>25404</v>
      </c>
      <c r="D175" s="42">
        <f t="shared" si="670"/>
        <v>29789</v>
      </c>
      <c r="E175" s="42">
        <f t="shared" si="670"/>
        <v>33437</v>
      </c>
      <c r="F175" s="42">
        <f t="shared" si="670"/>
        <v>34360</v>
      </c>
      <c r="G175" s="42">
        <f t="shared" si="670"/>
        <v>35850</v>
      </c>
      <c r="H175" s="40">
        <f t="shared" si="670"/>
        <v>8290</v>
      </c>
      <c r="I175" s="41">
        <f t="shared" si="670"/>
        <v>9487</v>
      </c>
      <c r="J175" s="41">
        <f t="shared" si="670"/>
        <v>9932</v>
      </c>
      <c r="K175" s="40">
        <f t="shared" si="670"/>
        <v>9626</v>
      </c>
      <c r="L175" s="42">
        <f t="shared" si="670"/>
        <v>37335</v>
      </c>
      <c r="M175" s="41">
        <f t="shared" si="670"/>
        <v>8805</v>
      </c>
      <c r="N175" s="41">
        <f t="shared" si="670"/>
        <v>9676</v>
      </c>
      <c r="O175" s="41">
        <f t="shared" si="670"/>
        <v>9335</v>
      </c>
      <c r="P175" s="40">
        <f t="shared" si="670"/>
        <v>9784</v>
      </c>
      <c r="Q175" s="42">
        <f t="shared" si="670"/>
        <v>37600</v>
      </c>
      <c r="R175" s="41">
        <f t="shared" si="670"/>
        <v>9316</v>
      </c>
      <c r="S175" s="41">
        <f t="shared" si="670"/>
        <v>9994</v>
      </c>
      <c r="T175" s="41">
        <f t="shared" si="670"/>
        <v>9699</v>
      </c>
      <c r="U175" s="40">
        <f t="shared" si="670"/>
        <v>10959</v>
      </c>
      <c r="V175" s="42">
        <f t="shared" si="670"/>
        <v>39968</v>
      </c>
      <c r="W175" s="41">
        <f t="shared" si="670"/>
        <v>9399</v>
      </c>
      <c r="X175" s="41">
        <f t="shared" si="670"/>
        <v>10165</v>
      </c>
      <c r="Y175" s="41">
        <f t="shared" si="670"/>
        <v>10466</v>
      </c>
      <c r="Z175" s="40">
        <f>Z173-Z171</f>
        <v>11646</v>
      </c>
      <c r="AA175" s="42">
        <f t="shared" si="670"/>
        <v>41676</v>
      </c>
      <c r="AB175" s="41">
        <f t="shared" si="670"/>
        <v>9746</v>
      </c>
      <c r="AC175" s="41">
        <f t="shared" si="670"/>
        <v>10544</v>
      </c>
      <c r="AD175" s="41">
        <f t="shared" si="670"/>
        <v>11084</v>
      </c>
      <c r="AE175" s="40">
        <f t="shared" si="670"/>
        <v>11104.75</v>
      </c>
      <c r="AF175" s="42">
        <f t="shared" si="670"/>
        <v>42478.75</v>
      </c>
      <c r="AG175" s="40">
        <f t="shared" si="670"/>
        <v>10249</v>
      </c>
      <c r="AH175" s="41">
        <f t="shared" si="670"/>
        <v>10729</v>
      </c>
      <c r="AI175" s="41">
        <f t="shared" si="670"/>
        <v>10732</v>
      </c>
      <c r="AJ175" s="40">
        <f t="shared" si="670"/>
        <v>11038</v>
      </c>
      <c r="AK175" s="47">
        <f t="shared" si="670"/>
        <v>42748</v>
      </c>
      <c r="AL175" s="41">
        <f t="shared" si="670"/>
        <v>9951</v>
      </c>
      <c r="AM175" s="41">
        <f t="shared" ref="AM175:BF175" si="671">AM173-AM171</f>
        <v>10110</v>
      </c>
      <c r="AN175" s="41">
        <f t="shared" si="671"/>
        <v>10093</v>
      </c>
      <c r="AO175" s="41">
        <f t="shared" si="671"/>
        <v>10504</v>
      </c>
      <c r="AP175" s="47">
        <f t="shared" si="671"/>
        <v>40658</v>
      </c>
      <c r="AQ175" s="48">
        <f t="shared" si="671"/>
        <v>9218</v>
      </c>
      <c r="AR175" s="41">
        <f t="shared" si="671"/>
        <v>9880</v>
      </c>
      <c r="AS175" s="41">
        <f t="shared" si="671"/>
        <v>9722</v>
      </c>
      <c r="AT175" s="41">
        <f t="shared" si="671"/>
        <v>11069</v>
      </c>
      <c r="AU175" s="47">
        <f t="shared" si="671"/>
        <v>39889</v>
      </c>
      <c r="AV175" s="48">
        <f>AV173-AV171</f>
        <v>8755</v>
      </c>
      <c r="AW175" s="41">
        <f>AW173-AW171</f>
        <v>10198</v>
      </c>
      <c r="AX175" s="41">
        <f>AX173-AX171</f>
        <v>10107</v>
      </c>
      <c r="AY175" s="41">
        <f>AY173-AY171</f>
        <v>11636</v>
      </c>
      <c r="AZ175" s="47">
        <f>AZ173-AZ171</f>
        <v>40696</v>
      </c>
      <c r="BA175" s="47">
        <f t="shared" ref="BA175" si="672">BA173-BA171</f>
        <v>40658</v>
      </c>
      <c r="BB175" s="48">
        <f t="shared" ref="BB175:BE175" si="673">BB173-BB171</f>
        <v>9218</v>
      </c>
      <c r="BC175" s="41">
        <f t="shared" si="673"/>
        <v>9880</v>
      </c>
      <c r="BD175" s="41">
        <f t="shared" si="673"/>
        <v>9722</v>
      </c>
      <c r="BE175" s="41">
        <f t="shared" si="673"/>
        <v>11069</v>
      </c>
      <c r="BF175" s="47">
        <f t="shared" si="671"/>
        <v>39889</v>
      </c>
      <c r="BG175" s="48">
        <f t="shared" ref="BG175:BJ175" si="674">BG173-BG171</f>
        <v>8755</v>
      </c>
      <c r="BH175" s="41">
        <f t="shared" si="674"/>
        <v>10198</v>
      </c>
      <c r="BI175" s="41">
        <f t="shared" si="674"/>
        <v>10107</v>
      </c>
      <c r="BJ175" s="41">
        <f t="shared" si="674"/>
        <v>11636</v>
      </c>
      <c r="BK175" s="47">
        <f t="shared" ref="BK175:BM175" si="675">BK173-BK171</f>
        <v>40696</v>
      </c>
      <c r="BL175" s="48">
        <f t="shared" si="675"/>
        <v>10405</v>
      </c>
      <c r="BM175" s="41">
        <f t="shared" si="675"/>
        <v>11348</v>
      </c>
      <c r="BN175" s="41"/>
      <c r="BO175" s="41"/>
      <c r="BP175" s="47"/>
      <c r="BQ175" s="47">
        <f t="shared" ref="BQ175" si="676">BQ173-BQ171</f>
        <v>34934</v>
      </c>
      <c r="BR175" s="48">
        <f t="shared" ref="BR175:BY175" si="677">BR173-BR171</f>
        <v>7574</v>
      </c>
      <c r="BS175" s="41">
        <f t="shared" si="677"/>
        <v>8962</v>
      </c>
      <c r="BT175" s="41">
        <f t="shared" si="677"/>
        <v>8868</v>
      </c>
      <c r="BU175" s="41">
        <f t="shared" si="677"/>
        <v>10420</v>
      </c>
      <c r="BV175" s="47">
        <f t="shared" si="677"/>
        <v>35824</v>
      </c>
      <c r="BW175" s="479">
        <f t="shared" si="677"/>
        <v>9210</v>
      </c>
      <c r="BX175" s="41">
        <f t="shared" si="677"/>
        <v>10202</v>
      </c>
      <c r="BY175" s="41">
        <f t="shared" si="677"/>
        <v>9963</v>
      </c>
      <c r="BZ175" s="41">
        <f>BZ173-BZ171</f>
        <v>12324</v>
      </c>
      <c r="CA175" s="42">
        <f>CA173-CA171</f>
        <v>41699</v>
      </c>
      <c r="CB175" s="479">
        <f t="shared" ref="CB175:CD175" si="678">CB173-CB171</f>
        <v>9908</v>
      </c>
      <c r="CC175" s="41">
        <f t="shared" si="678"/>
        <v>11200</v>
      </c>
      <c r="CD175" s="41">
        <f t="shared" si="678"/>
        <v>10741</v>
      </c>
      <c r="CE175" s="41">
        <f>CE173-CE171</f>
        <v>13278</v>
      </c>
      <c r="CF175" s="47">
        <f>CF173-CF171</f>
        <v>45127</v>
      </c>
      <c r="CG175" s="479"/>
      <c r="CH175" s="41"/>
      <c r="CI175" s="41"/>
      <c r="CJ175" s="41"/>
      <c r="CK175" s="42">
        <f>CK173-CK171</f>
        <v>41410</v>
      </c>
      <c r="CL175" s="479"/>
      <c r="CM175" s="41"/>
      <c r="CN175" s="41"/>
      <c r="CO175" s="41"/>
      <c r="CP175" s="47">
        <f>CP173-CP171</f>
        <v>43217</v>
      </c>
      <c r="CQ175" s="41">
        <f t="shared" ref="CQ175:CT175" si="679">CQ173-CQ171</f>
        <v>9539.9</v>
      </c>
      <c r="CR175" s="41">
        <f t="shared" si="679"/>
        <v>11105.65</v>
      </c>
      <c r="CS175" s="41">
        <f t="shared" si="679"/>
        <v>10520.7</v>
      </c>
      <c r="CT175" s="41">
        <f t="shared" si="679"/>
        <v>13177.15</v>
      </c>
      <c r="CU175" s="47">
        <f>CU173-CU171</f>
        <v>44343.4</v>
      </c>
      <c r="CV175" s="49"/>
      <c r="CW175" s="49"/>
      <c r="CX175" s="49"/>
      <c r="CY175" s="50"/>
      <c r="CZ175" s="47">
        <f>CZ173-CZ171</f>
        <v>47010.68</v>
      </c>
      <c r="DA175" s="49"/>
      <c r="DB175" s="49"/>
      <c r="DC175" s="49"/>
      <c r="DD175" s="50"/>
      <c r="DE175" s="47">
        <f>DE173-DE171</f>
        <v>48533.415849999998</v>
      </c>
      <c r="DF175" s="49"/>
      <c r="DG175" s="49"/>
      <c r="DH175" s="49"/>
      <c r="DI175" s="50"/>
      <c r="DJ175" s="47">
        <f>DJ173-DJ171</f>
        <v>50121.162892000008</v>
      </c>
      <c r="DK175" s="403"/>
      <c r="DL175" s="404"/>
      <c r="DM175" s="867"/>
      <c r="DN175" s="867"/>
      <c r="DO175" s="867"/>
      <c r="DP175" s="1054"/>
      <c r="DQ175" s="1054"/>
      <c r="DR175" s="1054"/>
      <c r="DS175" s="809"/>
      <c r="DT175" s="809"/>
      <c r="DU175" s="809"/>
      <c r="DV175" s="809"/>
      <c r="DW175" s="809"/>
      <c r="DX175" s="809"/>
      <c r="DY175" s="404"/>
      <c r="DZ175" s="405"/>
      <c r="EA175" s="405"/>
      <c r="EB175"/>
      <c r="EC175"/>
      <c r="ED175"/>
      <c r="EE175"/>
      <c r="EF175"/>
      <c r="EG175"/>
    </row>
    <row r="176" spans="1:138" s="398" customFormat="1">
      <c r="A176" s="115" t="s">
        <v>53</v>
      </c>
      <c r="B176" s="80"/>
      <c r="C176" s="80">
        <f>C175/B175-1</f>
        <v>9.8076507456235085E-2</v>
      </c>
      <c r="D176" s="80">
        <f>D175/C175-1</f>
        <v>0.17261061250196819</v>
      </c>
      <c r="E176" s="80">
        <f>E175/D175-1</f>
        <v>0.12246131122226322</v>
      </c>
      <c r="F176" s="80">
        <f>F175/E175-1</f>
        <v>2.7604151090109719E-2</v>
      </c>
      <c r="G176" s="80">
        <f>G175/F175-1</f>
        <v>4.3364377182770752E-2</v>
      </c>
      <c r="H176" s="82"/>
      <c r="I176" s="82"/>
      <c r="J176" s="82"/>
      <c r="K176" s="82"/>
      <c r="L176" s="80">
        <f t="shared" ref="L176:AO176" si="680">L175/G175-1</f>
        <v>4.1422594142259461E-2</v>
      </c>
      <c r="M176" s="82">
        <f t="shared" si="680"/>
        <v>6.2123039806996294E-2</v>
      </c>
      <c r="N176" s="82">
        <f t="shared" si="680"/>
        <v>1.9921998524296436E-2</v>
      </c>
      <c r="O176" s="82">
        <f t="shared" si="680"/>
        <v>-6.0108739428111124E-2</v>
      </c>
      <c r="P176" s="82">
        <f t="shared" si="680"/>
        <v>1.6413879077498361E-2</v>
      </c>
      <c r="Q176" s="80">
        <f t="shared" si="680"/>
        <v>7.0978974152939855E-3</v>
      </c>
      <c r="R176" s="82">
        <f t="shared" si="680"/>
        <v>5.8035207268597455E-2</v>
      </c>
      <c r="S176" s="82">
        <f t="shared" si="680"/>
        <v>3.2864820173625464E-2</v>
      </c>
      <c r="T176" s="82">
        <f t="shared" si="680"/>
        <v>3.8993036957686078E-2</v>
      </c>
      <c r="U176" s="82">
        <f t="shared" si="680"/>
        <v>0.12009403107113648</v>
      </c>
      <c r="V176" s="80">
        <f t="shared" si="680"/>
        <v>6.2978723404255366E-2</v>
      </c>
      <c r="W176" s="83">
        <f t="shared" si="680"/>
        <v>8.9094031773293558E-3</v>
      </c>
      <c r="X176" s="82">
        <f t="shared" si="680"/>
        <v>1.7110266159695797E-2</v>
      </c>
      <c r="Y176" s="83">
        <f t="shared" si="680"/>
        <v>7.9080317558511082E-2</v>
      </c>
      <c r="Z176" s="83">
        <f>Z175/U175-1</f>
        <v>6.268820147823706E-2</v>
      </c>
      <c r="AA176" s="84">
        <f>AA175/V175-1</f>
        <v>4.2734187349879882E-2</v>
      </c>
      <c r="AB176" s="83">
        <f t="shared" si="680"/>
        <v>3.6918821151186387E-2</v>
      </c>
      <c r="AC176" s="82">
        <f t="shared" si="680"/>
        <v>3.7284800787014349E-2</v>
      </c>
      <c r="AD176" s="82">
        <f t="shared" si="680"/>
        <v>5.9048347028473058E-2</v>
      </c>
      <c r="AE176" s="82">
        <f t="shared" si="680"/>
        <v>-4.6475184612742582E-2</v>
      </c>
      <c r="AF176" s="84">
        <f t="shared" si="680"/>
        <v>1.9261685382474303E-2</v>
      </c>
      <c r="AG176" s="83">
        <f t="shared" si="680"/>
        <v>5.1610917299404813E-2</v>
      </c>
      <c r="AH176" s="82">
        <f t="shared" si="680"/>
        <v>1.7545523520485551E-2</v>
      </c>
      <c r="AI176" s="82">
        <f t="shared" si="680"/>
        <v>-3.1757488271382139E-2</v>
      </c>
      <c r="AJ176" s="82">
        <f t="shared" si="680"/>
        <v>-6.0109412638735815E-3</v>
      </c>
      <c r="AK176" s="80">
        <f t="shared" si="680"/>
        <v>6.3384633493217546E-3</v>
      </c>
      <c r="AL176" s="82">
        <f t="shared" si="680"/>
        <v>-2.9076007415357541E-2</v>
      </c>
      <c r="AM176" s="82">
        <f>AM175/AH175-1</f>
        <v>-5.7694100102525847E-2</v>
      </c>
      <c r="AN176" s="82">
        <f>AN175/AI175-1</f>
        <v>-5.954155795751026E-2</v>
      </c>
      <c r="AO176" s="82">
        <f t="shared" si="680"/>
        <v>-4.8378329407501308E-2</v>
      </c>
      <c r="AP176" s="80">
        <f t="shared" ref="AP176" si="681">AP175/AK175-1</f>
        <v>-4.8891176195377528E-2</v>
      </c>
      <c r="AQ176" s="85">
        <f t="shared" ref="AQ176:AZ176" si="682">AQ175/AL175-1</f>
        <v>-7.3660938599135806E-2</v>
      </c>
      <c r="AR176" s="82">
        <f t="shared" si="682"/>
        <v>-2.2749752720079175E-2</v>
      </c>
      <c r="AS176" s="82">
        <f t="shared" si="682"/>
        <v>-3.6758149212325342E-2</v>
      </c>
      <c r="AT176" s="82">
        <f t="shared" si="682"/>
        <v>5.3789032749428811E-2</v>
      </c>
      <c r="AU176" s="80">
        <f t="shared" si="682"/>
        <v>-1.891386688966501E-2</v>
      </c>
      <c r="AV176" s="85">
        <f t="shared" si="682"/>
        <v>-5.0227815144282872E-2</v>
      </c>
      <c r="AW176" s="82">
        <f t="shared" si="682"/>
        <v>3.2186234817813686E-2</v>
      </c>
      <c r="AX176" s="82">
        <f t="shared" si="682"/>
        <v>3.960090516354664E-2</v>
      </c>
      <c r="AY176" s="82">
        <f t="shared" si="682"/>
        <v>5.1224139488662113E-2</v>
      </c>
      <c r="AZ176" s="80">
        <f t="shared" si="682"/>
        <v>2.0231141417433429E-2</v>
      </c>
      <c r="BA176" s="80"/>
      <c r="BB176" s="85">
        <f>BB175/BA175-1</f>
        <v>-0.77327955137980231</v>
      </c>
      <c r="BC176" s="82">
        <f>BC175/AQ175-1</f>
        <v>7.1816012150140995E-2</v>
      </c>
      <c r="BD176" s="82">
        <f>BD175/AR175-1</f>
        <v>-1.5991902834008087E-2</v>
      </c>
      <c r="BE176" s="82">
        <f>BE175/AS175-1</f>
        <v>0.13855173832544754</v>
      </c>
      <c r="BF176" s="80"/>
      <c r="BG176" s="85">
        <f>BG175/BF175-1</f>
        <v>-0.7805159317104966</v>
      </c>
      <c r="BH176" s="82">
        <f>BH175/AV175-1</f>
        <v>0.16482010279840087</v>
      </c>
      <c r="BI176" s="82">
        <f>BI175/AW175-1</f>
        <v>-8.9233182977054293E-3</v>
      </c>
      <c r="BJ176" s="82">
        <f>BJ175/AX175-1</f>
        <v>0.15128129019491432</v>
      </c>
      <c r="BK176" s="80"/>
      <c r="BL176" s="85">
        <f>BL175/BK175-1</f>
        <v>-0.74432376646353449</v>
      </c>
      <c r="BM176" s="82">
        <f>BM175/BA175-1</f>
        <v>-0.72089133749815537</v>
      </c>
      <c r="BN176" s="82"/>
      <c r="BO176" s="82"/>
      <c r="BP176" s="80"/>
      <c r="BQ176" s="80"/>
      <c r="BR176" s="82"/>
      <c r="BS176" s="82"/>
      <c r="BT176" s="82"/>
      <c r="BU176" s="82"/>
      <c r="BV176" s="80"/>
      <c r="BW176" s="1218">
        <f>BW175/BR175-1</f>
        <v>0.21600211249009771</v>
      </c>
      <c r="BX176" s="27">
        <f t="shared" ref="BX176" si="683">BX175/BS175-1</f>
        <v>0.13836197277393447</v>
      </c>
      <c r="BY176" s="27">
        <f t="shared" ref="BY176" si="684">BY175/BT175-1</f>
        <v>0.1234776725304465</v>
      </c>
      <c r="BZ176" s="27">
        <f>BZ175/BU175-1</f>
        <v>0.18272552783109397</v>
      </c>
      <c r="CA176" s="34">
        <f>CA175/BV175-1</f>
        <v>0.16399620366234924</v>
      </c>
      <c r="CB176" s="1218">
        <f>CB175/BW175-1</f>
        <v>7.5787187839305048E-2</v>
      </c>
      <c r="CC176" s="27">
        <f t="shared" ref="CC176:CD176" si="685">CC175/BX175-1</f>
        <v>9.7823956087041752E-2</v>
      </c>
      <c r="CD176" s="27">
        <f t="shared" si="685"/>
        <v>7.808892903743847E-2</v>
      </c>
      <c r="CE176" s="27">
        <f>CE175/BZ175-1</f>
        <v>7.7409931840311641E-2</v>
      </c>
      <c r="CF176" s="80">
        <f>CF175/CA175-1</f>
        <v>8.2208206431808817E-2</v>
      </c>
      <c r="CG176" s="1218"/>
      <c r="CH176" s="27"/>
      <c r="CI176" s="27"/>
      <c r="CJ176" s="27"/>
      <c r="CK176" s="34"/>
      <c r="CL176" s="1218"/>
      <c r="CM176" s="27"/>
      <c r="CN176" s="27"/>
      <c r="CO176" s="27"/>
      <c r="CP176" s="80">
        <f>CP175/CK175-1</f>
        <v>4.3636802704660749E-2</v>
      </c>
      <c r="CQ176" s="82"/>
      <c r="CR176" s="82"/>
      <c r="CS176" s="82"/>
      <c r="CT176" s="82"/>
      <c r="CU176" s="80">
        <f>CU175/CP175-1</f>
        <v>2.6063817479232698E-2</v>
      </c>
      <c r="CV176" s="103"/>
      <c r="CW176" s="103"/>
      <c r="CX176" s="103"/>
      <c r="CY176" s="105"/>
      <c r="CZ176" s="80">
        <f>CZ175/CU175-1</f>
        <v>6.0150552280609837E-2</v>
      </c>
      <c r="DA176" s="103"/>
      <c r="DB176" s="103"/>
      <c r="DC176" s="103"/>
      <c r="DD176" s="105"/>
      <c r="DE176" s="80">
        <f>DE175/CZ175-1</f>
        <v>3.2391274706087936E-2</v>
      </c>
      <c r="DF176" s="103"/>
      <c r="DG176" s="103"/>
      <c r="DH176" s="103"/>
      <c r="DI176" s="105"/>
      <c r="DJ176" s="80">
        <f>DJ175/DE175-1</f>
        <v>3.2714512551665242E-2</v>
      </c>
      <c r="DK176" s="401"/>
      <c r="DL176" s="74"/>
      <c r="DM176" s="809"/>
      <c r="DN176" s="809"/>
      <c r="DO176" s="809"/>
      <c r="DP176" s="1105"/>
      <c r="DQ176" s="1054"/>
      <c r="DR176" s="1054"/>
      <c r="DS176" s="809"/>
      <c r="DT176" s="809"/>
      <c r="DU176" s="809"/>
      <c r="DV176" s="809"/>
      <c r="DW176" s="809"/>
      <c r="DX176" s="809"/>
      <c r="DY176" s="360"/>
      <c r="DZ176" s="167"/>
      <c r="EA176" s="167"/>
      <c r="EB176"/>
      <c r="EC176"/>
      <c r="ED176"/>
      <c r="EE176"/>
      <c r="EF176"/>
      <c r="EG176"/>
    </row>
    <row r="177" spans="1:137" s="144" customFormat="1" ht="12" customHeight="1">
      <c r="A177" s="441" t="s">
        <v>75</v>
      </c>
      <c r="B177" s="201">
        <v>22447</v>
      </c>
      <c r="C177" s="201">
        <v>24629</v>
      </c>
      <c r="D177" s="201">
        <f>25306+4099</f>
        <v>29405</v>
      </c>
      <c r="E177" s="201">
        <f>27879+4765</f>
        <v>32644</v>
      </c>
      <c r="F177" s="201">
        <f>28800+5073</f>
        <v>33873</v>
      </c>
      <c r="G177" s="201">
        <f>30572+5118</f>
        <v>35690</v>
      </c>
      <c r="H177" s="173">
        <f>6993+1306</f>
        <v>8299</v>
      </c>
      <c r="I177" s="135">
        <f>8134+1380</f>
        <v>9514</v>
      </c>
      <c r="J177" s="135">
        <f>8157+1708</f>
        <v>9865</v>
      </c>
      <c r="K177" s="173">
        <f>31479+5874-H177-I177-J177</f>
        <v>9675</v>
      </c>
      <c r="L177" s="201">
        <f>SUM(H177:K177)</f>
        <v>37353</v>
      </c>
      <c r="M177" s="135">
        <f>7523+1386</f>
        <v>8909</v>
      </c>
      <c r="N177" s="135">
        <f>8007+1797</f>
        <v>9804</v>
      </c>
      <c r="O177" s="135">
        <f>7528+1872</f>
        <v>9400</v>
      </c>
      <c r="P177" s="173">
        <f>30874+7147-M177-N177-O177</f>
        <v>9908</v>
      </c>
      <c r="Q177" s="178">
        <f>SUM(M177:P177)</f>
        <v>38021</v>
      </c>
      <c r="R177" s="118">
        <f>7527+1692</f>
        <v>9219</v>
      </c>
      <c r="S177" s="118">
        <f>8058+1825</f>
        <v>9883</v>
      </c>
      <c r="T177" s="118">
        <f>7727+1878</f>
        <v>9605</v>
      </c>
      <c r="U177" s="173">
        <f>31643+7406-R177-S177-T177</f>
        <v>10342</v>
      </c>
      <c r="V177" s="178">
        <f>SUM(R177:U177)</f>
        <v>39049</v>
      </c>
      <c r="W177" s="118">
        <f>7453+1811</f>
        <v>9264</v>
      </c>
      <c r="X177" s="118">
        <f>8050+2039</f>
        <v>10089</v>
      </c>
      <c r="Y177" s="118">
        <f>8017+2156</f>
        <v>10173</v>
      </c>
      <c r="Z177" s="173">
        <f>32539+8382-W177-X177-Y177</f>
        <v>11395</v>
      </c>
      <c r="AA177" s="178">
        <f>SUM(W177:Z177)</f>
        <v>40921</v>
      </c>
      <c r="AB177" s="135">
        <f>7587+1926</f>
        <v>9513</v>
      </c>
      <c r="AC177" s="118">
        <f>8107+2177</f>
        <v>10284</v>
      </c>
      <c r="AD177" s="118">
        <f>8667+2138</f>
        <v>10805</v>
      </c>
      <c r="AE177" s="196">
        <f>32968+8514-AB177-AC177-AD177</f>
        <v>10880</v>
      </c>
      <c r="AF177" s="178">
        <f>SUM(AB177:AE177)</f>
        <v>41482</v>
      </c>
      <c r="AG177" s="173">
        <f>8080+1917</f>
        <v>9997</v>
      </c>
      <c r="AH177" s="118">
        <f>8351+2115</f>
        <v>10466</v>
      </c>
      <c r="AI177" s="118">
        <f>8413+2154</f>
        <v>10567</v>
      </c>
      <c r="AJ177" s="196">
        <f>33495+8383-AG177-AH177-AI177</f>
        <v>10848</v>
      </c>
      <c r="AK177" s="178">
        <f>SUM(AG177:AJ177)</f>
        <v>41878</v>
      </c>
      <c r="AL177" s="118">
        <f>7671+2134</f>
        <v>9805</v>
      </c>
      <c r="AM177" s="118">
        <f>7815+2137</f>
        <v>9952</v>
      </c>
      <c r="AN177" s="118">
        <f>AN175-AN178</f>
        <v>9892</v>
      </c>
      <c r="AO177" s="118">
        <f>AO175-AO178</f>
        <v>10112</v>
      </c>
      <c r="AP177" s="178">
        <f>SUM(AL177:AO177)</f>
        <v>39761</v>
      </c>
      <c r="AQ177" s="184">
        <f>AQ175-AQ178</f>
        <v>9221</v>
      </c>
      <c r="AR177" s="118">
        <f>AR175-AR178</f>
        <v>9900</v>
      </c>
      <c r="AS177" s="118">
        <f>AS175-AS178</f>
        <v>9768</v>
      </c>
      <c r="AT177" s="118">
        <f>AT175-AT178</f>
        <v>11123</v>
      </c>
      <c r="AU177" s="178">
        <f>SUM(AQ177:AT177)</f>
        <v>40012</v>
      </c>
      <c r="AV177" s="184">
        <f>AV175-AV178</f>
        <v>8805</v>
      </c>
      <c r="AW177" s="118">
        <f>AW175-AW178</f>
        <v>10243</v>
      </c>
      <c r="AX177" s="118">
        <f>AX175-AX178</f>
        <v>10092</v>
      </c>
      <c r="AY177" s="118">
        <f>AY175-AY178</f>
        <v>11506</v>
      </c>
      <c r="AZ177" s="178">
        <f>SUM(AV177:AY177)</f>
        <v>40646</v>
      </c>
      <c r="BA177" s="178"/>
      <c r="BB177" s="184">
        <f>BB175-BB178</f>
        <v>9221</v>
      </c>
      <c r="BC177" s="118">
        <f>BC175-BC178</f>
        <v>9900</v>
      </c>
      <c r="BD177" s="118">
        <f>BD175-BD178</f>
        <v>9768</v>
      </c>
      <c r="BE177" s="118">
        <f>BE175-BE178</f>
        <v>11123</v>
      </c>
      <c r="BF177" s="178"/>
      <c r="BG177" s="184">
        <f t="shared" ref="BG177:BM177" si="686">BG175-BG178</f>
        <v>8805</v>
      </c>
      <c r="BH177" s="118">
        <f t="shared" si="686"/>
        <v>10243</v>
      </c>
      <c r="BI177" s="118">
        <f t="shared" si="686"/>
        <v>10092</v>
      </c>
      <c r="BJ177" s="118">
        <f t="shared" si="686"/>
        <v>11506</v>
      </c>
      <c r="BK177" s="178">
        <f t="shared" si="686"/>
        <v>40646</v>
      </c>
      <c r="BL177" s="184">
        <f t="shared" si="686"/>
        <v>10479</v>
      </c>
      <c r="BM177" s="118">
        <f t="shared" si="686"/>
        <v>11490</v>
      </c>
      <c r="BN177" s="118"/>
      <c r="BO177" s="118"/>
      <c r="BP177" s="178"/>
      <c r="BQ177" s="178"/>
      <c r="BR177" s="184">
        <f t="shared" ref="BR177:CC177" si="687">BR175-BR178</f>
        <v>7560</v>
      </c>
      <c r="BS177" s="118">
        <f t="shared" si="687"/>
        <v>8942</v>
      </c>
      <c r="BT177" s="118">
        <f t="shared" si="687"/>
        <v>8816</v>
      </c>
      <c r="BU177" s="118">
        <f t="shared" si="687"/>
        <v>10240</v>
      </c>
      <c r="BV177" s="178">
        <f t="shared" si="687"/>
        <v>35824</v>
      </c>
      <c r="BW177" s="185">
        <f t="shared" si="687"/>
        <v>9254</v>
      </c>
      <c r="BX177" s="128">
        <f t="shared" si="687"/>
        <v>10304</v>
      </c>
      <c r="BY177" s="128">
        <f t="shared" si="687"/>
        <v>10128</v>
      </c>
      <c r="BZ177" s="128">
        <f>BZ175-BZ178</f>
        <v>12462</v>
      </c>
      <c r="CA177" s="180">
        <f>CA175-CA178</f>
        <v>42148</v>
      </c>
      <c r="CB177" s="185">
        <f t="shared" si="687"/>
        <v>10006</v>
      </c>
      <c r="CC177" s="128">
        <f t="shared" si="687"/>
        <v>11357</v>
      </c>
      <c r="CD177" s="128">
        <f t="shared" ref="CD177" si="688">CD175-CD178</f>
        <v>10920</v>
      </c>
      <c r="CE177" s="128">
        <f>CE175-CE178</f>
        <v>13650</v>
      </c>
      <c r="CF177" s="178">
        <f>CF175-CF178</f>
        <v>45933</v>
      </c>
      <c r="CG177" s="185"/>
      <c r="CH177" s="128"/>
      <c r="CI177" s="128"/>
      <c r="CJ177" s="128"/>
      <c r="CK177" s="180">
        <f>CK175-CK178</f>
        <v>41844</v>
      </c>
      <c r="CL177" s="185"/>
      <c r="CM177" s="128"/>
      <c r="CN177" s="128"/>
      <c r="CO177" s="128"/>
      <c r="CP177" s="178">
        <f>CP175-CP178</f>
        <v>44023</v>
      </c>
      <c r="CQ177" s="118">
        <f t="shared" ref="CQ177:CT177" si="689">CQ175-CQ178</f>
        <v>9733.4</v>
      </c>
      <c r="CR177" s="118">
        <f t="shared" si="689"/>
        <v>11299.15</v>
      </c>
      <c r="CS177" s="118">
        <f t="shared" si="689"/>
        <v>10714.2</v>
      </c>
      <c r="CT177" s="118">
        <f t="shared" si="689"/>
        <v>13357.15</v>
      </c>
      <c r="CU177" s="178">
        <f>CU175-CU178</f>
        <v>45103.9</v>
      </c>
      <c r="CV177" s="173"/>
      <c r="CW177" s="173"/>
      <c r="CX177" s="173"/>
      <c r="CY177" s="183"/>
      <c r="CZ177" s="178">
        <f>CZ175-CZ178</f>
        <v>47810.93</v>
      </c>
      <c r="DA177" s="173"/>
      <c r="DB177" s="173"/>
      <c r="DC177" s="173"/>
      <c r="DD177" s="183"/>
      <c r="DE177" s="178">
        <f>DE175-DE178</f>
        <v>50883.665849999998</v>
      </c>
      <c r="DF177" s="173"/>
      <c r="DG177" s="173"/>
      <c r="DH177" s="173"/>
      <c r="DI177" s="183"/>
      <c r="DJ177" s="178">
        <f>DJ175-DJ178</f>
        <v>52471.412892000008</v>
      </c>
      <c r="DK177" s="399"/>
      <c r="DL177" s="1282"/>
      <c r="DM177" s="810"/>
      <c r="DN177" s="810"/>
      <c r="DO177" s="810"/>
      <c r="DP177" s="1105"/>
      <c r="DQ177" s="1053"/>
      <c r="DR177" s="1053"/>
      <c r="DS177" s="810"/>
      <c r="DT177" s="1095"/>
      <c r="DU177" s="810"/>
      <c r="DV177" s="810"/>
      <c r="DW177" s="810"/>
      <c r="DX177" s="810"/>
      <c r="DY177" s="357"/>
      <c r="DZ177" s="143"/>
      <c r="EA177" s="143"/>
      <c r="EB177"/>
      <c r="EC177"/>
      <c r="ED177"/>
      <c r="EE177"/>
      <c r="EF177"/>
      <c r="EG177"/>
    </row>
    <row r="178" spans="1:137" s="144" customFormat="1" ht="12" customHeight="1">
      <c r="A178" s="440" t="s">
        <v>268</v>
      </c>
      <c r="B178" s="214">
        <f>-B180-B147</f>
        <v>876</v>
      </c>
      <c r="C178" s="214">
        <f>-C180-C147</f>
        <v>862</v>
      </c>
      <c r="D178" s="214">
        <v>449</v>
      </c>
      <c r="E178" s="214">
        <f>-E180-E147</f>
        <v>887</v>
      </c>
      <c r="F178" s="214">
        <f>-F180-F147</f>
        <v>568</v>
      </c>
      <c r="G178" s="214">
        <f>-G180-G147</f>
        <v>261</v>
      </c>
      <c r="H178" s="213">
        <v>14</v>
      </c>
      <c r="I178" s="213">
        <v>46</v>
      </c>
      <c r="J178" s="213">
        <v>63</v>
      </c>
      <c r="K178" s="213">
        <v>41</v>
      </c>
      <c r="L178" s="379">
        <f>SUM(H178:K178)</f>
        <v>164</v>
      </c>
      <c r="M178" s="213">
        <f>-M147-M180</f>
        <v>-28</v>
      </c>
      <c r="N178" s="213">
        <f>-N147-N180</f>
        <v>-48</v>
      </c>
      <c r="O178" s="213">
        <f>-O147-O180</f>
        <v>8</v>
      </c>
      <c r="P178" s="213">
        <f>-P147-P180</f>
        <v>-93</v>
      </c>
      <c r="Q178" s="379">
        <f>-Q147-Q180</f>
        <v>-161</v>
      </c>
      <c r="R178" s="213">
        <f t="shared" ref="R178:Z178" si="690">-R180-R147</f>
        <v>142</v>
      </c>
      <c r="S178" s="213">
        <f t="shared" si="690"/>
        <v>194</v>
      </c>
      <c r="T178" s="213">
        <f t="shared" si="690"/>
        <v>181</v>
      </c>
      <c r="U178" s="213">
        <f t="shared" si="690"/>
        <v>172</v>
      </c>
      <c r="V178" s="379">
        <f t="shared" si="690"/>
        <v>689</v>
      </c>
      <c r="W178" s="213">
        <f t="shared" si="690"/>
        <v>176</v>
      </c>
      <c r="X178" s="213">
        <f t="shared" si="690"/>
        <v>152</v>
      </c>
      <c r="Y178" s="213">
        <f t="shared" si="690"/>
        <v>384</v>
      </c>
      <c r="Z178" s="213">
        <f t="shared" si="690"/>
        <v>267</v>
      </c>
      <c r="AA178" s="379">
        <f>-AA147-AA180</f>
        <v>979</v>
      </c>
      <c r="AB178" s="213">
        <f>-AB147-AB180</f>
        <v>291</v>
      </c>
      <c r="AC178" s="213">
        <f>-AC147-AC180</f>
        <v>352</v>
      </c>
      <c r="AD178" s="213">
        <f>-AD147-AD180</f>
        <v>320</v>
      </c>
      <c r="AE178" s="213">
        <f>-AE147-AE180</f>
        <v>297.75</v>
      </c>
      <c r="AF178" s="379">
        <f>SUM(AB178:AE178)</f>
        <v>1260.75</v>
      </c>
      <c r="AG178" s="213">
        <f>-AG147-AG180</f>
        <v>296</v>
      </c>
      <c r="AH178" s="213">
        <f>-AH147-AH180</f>
        <v>278</v>
      </c>
      <c r="AI178" s="213">
        <f>-AI147-AI180</f>
        <v>297</v>
      </c>
      <c r="AJ178" s="213">
        <f>-AJ147-AJ180</f>
        <v>278</v>
      </c>
      <c r="AK178" s="180">
        <f>SUM(AG178:AJ178)</f>
        <v>1149</v>
      </c>
      <c r="AL178" s="213">
        <f>-AL147-AL180</f>
        <v>224</v>
      </c>
      <c r="AM178" s="213">
        <f>-AM147-AM180</f>
        <v>235</v>
      </c>
      <c r="AN178" s="213">
        <f>-AN147-AN180</f>
        <v>201</v>
      </c>
      <c r="AO178" s="213">
        <f>-AO147-AO180</f>
        <v>392</v>
      </c>
      <c r="AP178" s="379">
        <f>SUM(AL178:AO178)</f>
        <v>1052</v>
      </c>
      <c r="AQ178" s="185">
        <f>-AQ147-AQ180</f>
        <v>-3</v>
      </c>
      <c r="AR178" s="213">
        <f>-AR147-AR180</f>
        <v>-20</v>
      </c>
      <c r="AS178" s="213">
        <f>-AS147-AS180</f>
        <v>-46</v>
      </c>
      <c r="AT178" s="213">
        <f>-AT147-AT180</f>
        <v>-54</v>
      </c>
      <c r="AU178" s="379">
        <f>SUM(AQ178:AT178)</f>
        <v>-123</v>
      </c>
      <c r="AV178" s="185">
        <f>-AV147-AV180</f>
        <v>-50</v>
      </c>
      <c r="AW178" s="213">
        <f>-AW147-AW180</f>
        <v>-45</v>
      </c>
      <c r="AX178" s="213">
        <f>-AX147-AX180</f>
        <v>15</v>
      </c>
      <c r="AY178" s="213">
        <f>-AY147-AY180</f>
        <v>130</v>
      </c>
      <c r="AZ178" s="379">
        <f>SUM(AV178:AY178)</f>
        <v>50</v>
      </c>
      <c r="BA178" s="379">
        <f>+AP178</f>
        <v>1052</v>
      </c>
      <c r="BB178" s="185">
        <f>-BB147-BB180</f>
        <v>-3</v>
      </c>
      <c r="BC178" s="213">
        <f>-BC147-BC180</f>
        <v>-20</v>
      </c>
      <c r="BD178" s="213">
        <f>-BD147-BD180</f>
        <v>-46</v>
      </c>
      <c r="BE178" s="213">
        <f>-BE147-BE180</f>
        <v>-54</v>
      </c>
      <c r="BF178" s="379">
        <f>+AU178</f>
        <v>-123</v>
      </c>
      <c r="BG178" s="185">
        <f>-BG147-BG180</f>
        <v>-50</v>
      </c>
      <c r="BH178" s="213">
        <f>-BH147-BH180</f>
        <v>-45</v>
      </c>
      <c r="BI178" s="213">
        <f>-BI147-BI180</f>
        <v>15</v>
      </c>
      <c r="BJ178" s="213">
        <f>-BJ147-BJ180</f>
        <v>130</v>
      </c>
      <c r="BK178" s="379">
        <f>+AZ178</f>
        <v>50</v>
      </c>
      <c r="BL178" s="185">
        <f>-BL147-BL180</f>
        <v>-74</v>
      </c>
      <c r="BM178" s="213">
        <f>-BM147-BM180</f>
        <v>-142</v>
      </c>
      <c r="BN178" s="213"/>
      <c r="BO178" s="213"/>
      <c r="BP178" s="379"/>
      <c r="BQ178" s="379">
        <f>+BF178</f>
        <v>-123</v>
      </c>
      <c r="BR178" s="185">
        <f>-BR147-BR180</f>
        <v>14</v>
      </c>
      <c r="BS178" s="213">
        <f>-BS147-BS180</f>
        <v>20</v>
      </c>
      <c r="BT178" s="213">
        <f>-BT147-BT180</f>
        <v>52</v>
      </c>
      <c r="BU178" s="213">
        <f>-BU147-BU180</f>
        <v>180</v>
      </c>
      <c r="BV178" s="379">
        <f>+BN178</f>
        <v>0</v>
      </c>
      <c r="BW178" s="185">
        <f t="shared" ref="BW178:CT178" si="691">-BW147-BW180</f>
        <v>-44</v>
      </c>
      <c r="BX178" s="128">
        <f t="shared" si="691"/>
        <v>-102</v>
      </c>
      <c r="BY178" s="128">
        <f t="shared" si="691"/>
        <v>-165</v>
      </c>
      <c r="BZ178" s="128">
        <f>-BZ147-BZ180</f>
        <v>-138</v>
      </c>
      <c r="CA178" s="180">
        <f>-CA147-CA180</f>
        <v>-449</v>
      </c>
      <c r="CB178" s="185">
        <f t="shared" si="691"/>
        <v>-98</v>
      </c>
      <c r="CC178" s="128">
        <f t="shared" si="691"/>
        <v>-157</v>
      </c>
      <c r="CD178" s="128">
        <f t="shared" ref="CD178" si="692">-CD147-CD180</f>
        <v>-179</v>
      </c>
      <c r="CE178" s="128">
        <f>-CE147-CE180</f>
        <v>-372</v>
      </c>
      <c r="CF178" s="379">
        <f>-CF147-CF180</f>
        <v>-806</v>
      </c>
      <c r="CG178" s="185"/>
      <c r="CH178" s="128"/>
      <c r="CI178" s="128"/>
      <c r="CJ178" s="128"/>
      <c r="CK178" s="180">
        <f>-CK147-CK180</f>
        <v>-434</v>
      </c>
      <c r="CL178" s="185"/>
      <c r="CM178" s="128"/>
      <c r="CN178" s="128"/>
      <c r="CO178" s="128"/>
      <c r="CP178" s="180">
        <f>-CP147-CP180</f>
        <v>-806</v>
      </c>
      <c r="CQ178" s="213">
        <f t="shared" si="691"/>
        <v>-193.5</v>
      </c>
      <c r="CR178" s="213">
        <f t="shared" si="691"/>
        <v>-193.5</v>
      </c>
      <c r="CS178" s="213">
        <f t="shared" si="691"/>
        <v>-193.5</v>
      </c>
      <c r="CT178" s="213">
        <f t="shared" si="691"/>
        <v>-180</v>
      </c>
      <c r="CU178" s="379">
        <f>-CU147-CU180</f>
        <v>-760.5</v>
      </c>
      <c r="CV178" s="143"/>
      <c r="CW178" s="143"/>
      <c r="CX178" s="143"/>
      <c r="CY178" s="490"/>
      <c r="CZ178" s="379">
        <f>-CZ147-CZ180</f>
        <v>-800.25</v>
      </c>
      <c r="DA178" s="143"/>
      <c r="DB178" s="143"/>
      <c r="DC178" s="143"/>
      <c r="DD178" s="490"/>
      <c r="DE178" s="379">
        <f>-DE147-DE180</f>
        <v>-2350.25</v>
      </c>
      <c r="DF178" s="143"/>
      <c r="DG178" s="143"/>
      <c r="DH178" s="143"/>
      <c r="DI178" s="490"/>
      <c r="DJ178" s="379">
        <f>-DJ147-DJ180</f>
        <v>-2350.25</v>
      </c>
      <c r="DK178" s="399"/>
      <c r="DL178" s="1282"/>
      <c r="DM178" s="809"/>
      <c r="DN178" s="810"/>
      <c r="DO178" s="810"/>
      <c r="DP178" s="1105"/>
      <c r="DQ178" s="1053"/>
      <c r="DR178" s="1053"/>
      <c r="DS178" s="810"/>
      <c r="DT178" s="810"/>
      <c r="DU178" s="810"/>
      <c r="DV178" s="810"/>
      <c r="DW178" s="810"/>
      <c r="DX178" s="810"/>
      <c r="DY178" s="357"/>
      <c r="DZ178" s="143"/>
      <c r="EA178" s="143"/>
      <c r="EB178"/>
      <c r="EC178"/>
      <c r="ED178"/>
      <c r="EE178"/>
      <c r="EF178"/>
      <c r="EG178"/>
    </row>
    <row r="179" spans="1:137" s="398" customFormat="1" ht="12" customHeight="1">
      <c r="A179" s="115" t="s">
        <v>76</v>
      </c>
      <c r="B179" s="80">
        <f t="shared" ref="B179:AR179" si="693">B178/B173</f>
        <v>3.6548731642189587E-2</v>
      </c>
      <c r="C179" s="80">
        <f t="shared" si="693"/>
        <v>3.2452375574128452E-2</v>
      </c>
      <c r="D179" s="80">
        <f t="shared" si="693"/>
        <v>1.4115945674044266E-2</v>
      </c>
      <c r="E179" s="80">
        <f t="shared" si="693"/>
        <v>2.4967629341890448E-2</v>
      </c>
      <c r="F179" s="80">
        <f t="shared" si="693"/>
        <v>1.526348319135786E-2</v>
      </c>
      <c r="G179" s="80">
        <f t="shared" si="693"/>
        <v>6.5875820292781422E-3</v>
      </c>
      <c r="H179" s="82">
        <f t="shared" si="693"/>
        <v>1.5094339622641509E-3</v>
      </c>
      <c r="I179" s="82">
        <f t="shared" si="693"/>
        <v>4.3188433010984883E-3</v>
      </c>
      <c r="J179" s="82">
        <f t="shared" si="693"/>
        <v>5.6782334384858045E-3</v>
      </c>
      <c r="K179" s="82">
        <f t="shared" si="693"/>
        <v>3.7819389355225534E-3</v>
      </c>
      <c r="L179" s="80">
        <f t="shared" si="693"/>
        <v>3.9176341311929676E-3</v>
      </c>
      <c r="M179" s="82">
        <f t="shared" si="693"/>
        <v>-2.8047681057798259E-3</v>
      </c>
      <c r="N179" s="82">
        <f t="shared" si="693"/>
        <v>-4.3482199474590092E-3</v>
      </c>
      <c r="O179" s="82">
        <f t="shared" si="693"/>
        <v>7.5635813557719579E-4</v>
      </c>
      <c r="P179" s="82">
        <f t="shared" si="693"/>
        <v>-8.3542939274164566E-3</v>
      </c>
      <c r="Q179" s="80">
        <f t="shared" si="693"/>
        <v>-3.7677564297582552E-3</v>
      </c>
      <c r="R179" s="82">
        <f t="shared" si="693"/>
        <v>1.3689385905716764E-2</v>
      </c>
      <c r="S179" s="82">
        <f t="shared" si="693"/>
        <v>1.7521676300578035E-2</v>
      </c>
      <c r="T179" s="82">
        <f t="shared" si="693"/>
        <v>1.6810625058047739E-2</v>
      </c>
      <c r="U179" s="82">
        <f t="shared" si="693"/>
        <v>1.4094894698025075E-2</v>
      </c>
      <c r="V179" s="80">
        <f t="shared" si="693"/>
        <v>1.5512777214904875E-2</v>
      </c>
      <c r="W179" s="83">
        <f t="shared" si="693"/>
        <v>1.7026216503821225E-2</v>
      </c>
      <c r="X179" s="82">
        <f t="shared" si="693"/>
        <v>1.3475177304964539E-2</v>
      </c>
      <c r="Y179" s="83">
        <f t="shared" si="693"/>
        <v>3.3853477915895269E-2</v>
      </c>
      <c r="Z179" s="83">
        <f t="shared" si="693"/>
        <v>2.0923125146932058E-2</v>
      </c>
      <c r="AA179" s="84">
        <f t="shared" si="693"/>
        <v>2.1412480041993833E-2</v>
      </c>
      <c r="AB179" s="83">
        <f t="shared" si="693"/>
        <v>2.7385657820440428E-2</v>
      </c>
      <c r="AC179" s="82">
        <f t="shared" si="693"/>
        <v>3.049467209564238E-2</v>
      </c>
      <c r="AD179" s="82">
        <f t="shared" si="693"/>
        <v>2.6404818879445499E-2</v>
      </c>
      <c r="AE179" s="82">
        <f t="shared" si="693"/>
        <v>2.4383752354434525E-2</v>
      </c>
      <c r="AF179" s="84">
        <f t="shared" si="693"/>
        <v>2.7113486311533583E-2</v>
      </c>
      <c r="AG179" s="83">
        <f t="shared" si="693"/>
        <v>2.6210927122996545E-2</v>
      </c>
      <c r="AH179" s="82">
        <f t="shared" si="693"/>
        <v>2.3320191259122557E-2</v>
      </c>
      <c r="AI179" s="82">
        <f t="shared" si="693"/>
        <v>2.5023169601482854E-2</v>
      </c>
      <c r="AJ179" s="82">
        <f t="shared" si="693"/>
        <v>2.2977105545912885E-2</v>
      </c>
      <c r="AK179" s="80">
        <f t="shared" si="693"/>
        <v>2.4352507312110552E-2</v>
      </c>
      <c r="AL179" s="82">
        <f t="shared" si="693"/>
        <v>2.0234869015356819E-2</v>
      </c>
      <c r="AM179" s="82">
        <f t="shared" si="693"/>
        <v>2.0599579242636747E-2</v>
      </c>
      <c r="AN179" s="82">
        <f t="shared" si="693"/>
        <v>1.7713933198202168E-2</v>
      </c>
      <c r="AO179" s="82">
        <f t="shared" si="693"/>
        <v>3.3989421659585538E-2</v>
      </c>
      <c r="AP179" s="80">
        <f t="shared" si="693"/>
        <v>2.3193262489527758E-2</v>
      </c>
      <c r="AQ179" s="85">
        <f t="shared" si="693"/>
        <v>-2.8169014084507044E-4</v>
      </c>
      <c r="AR179" s="82">
        <f t="shared" si="693"/>
        <v>-1.7689722271360339E-3</v>
      </c>
      <c r="AS179" s="82">
        <f t="shared" ref="AS179:BF179" si="694">AS178/AS173</f>
        <v>-4.1389238797912547E-3</v>
      </c>
      <c r="AT179" s="82">
        <f t="shared" si="694"/>
        <v>-4.3096568236233044E-3</v>
      </c>
      <c r="AU179" s="80">
        <f t="shared" si="694"/>
        <v>-2.6973684210526315E-3</v>
      </c>
      <c r="AV179" s="85">
        <f>AV178/AV173</f>
        <v>-4.9451092869152412E-3</v>
      </c>
      <c r="AW179" s="82">
        <f>AW178/AW173</f>
        <v>-3.8649832517392425E-3</v>
      </c>
      <c r="AX179" s="82">
        <f>AX178/AX173</f>
        <v>1.3087863188203472E-3</v>
      </c>
      <c r="AY179" s="82">
        <f>AY178/AY173</f>
        <v>1.006425640628629E-2</v>
      </c>
      <c r="AZ179" s="80">
        <f>AZ178/AZ173</f>
        <v>1.0838463539408654E-3</v>
      </c>
      <c r="BA179" s="80">
        <f t="shared" ref="BA179" si="695">BA178/BA173</f>
        <v>2.3193262489527758E-2</v>
      </c>
      <c r="BB179" s="85">
        <f t="shared" si="694"/>
        <v>-2.8169014084507044E-4</v>
      </c>
      <c r="BC179" s="82">
        <f t="shared" si="694"/>
        <v>-1.7689722271360339E-3</v>
      </c>
      <c r="BD179" s="82">
        <f t="shared" ref="BD179:BE179" si="696">BD178/BD173</f>
        <v>-4.1389238797912547E-3</v>
      </c>
      <c r="BE179" s="82">
        <f t="shared" si="696"/>
        <v>-4.3096568236233044E-3</v>
      </c>
      <c r="BF179" s="80">
        <f t="shared" si="694"/>
        <v>-2.6973684210526315E-3</v>
      </c>
      <c r="BG179" s="85">
        <f t="shared" ref="BG179:BJ179" si="697">BG178/BG173</f>
        <v>-4.9451092869152412E-3</v>
      </c>
      <c r="BH179" s="82">
        <f t="shared" si="697"/>
        <v>-3.8649832517392425E-3</v>
      </c>
      <c r="BI179" s="82">
        <f t="shared" si="697"/>
        <v>1.3087863188203472E-3</v>
      </c>
      <c r="BJ179" s="82">
        <f t="shared" si="697"/>
        <v>1.006425640628629E-2</v>
      </c>
      <c r="BK179" s="80">
        <f>BK178/BK173</f>
        <v>1.0838463539408654E-3</v>
      </c>
      <c r="BL179" s="85">
        <f t="shared" ref="BL179:BM179" si="698">BL178/BL173</f>
        <v>-6.3237053495129036E-3</v>
      </c>
      <c r="BM179" s="82">
        <f t="shared" si="698"/>
        <v>-1.0995818491559547E-2</v>
      </c>
      <c r="BN179" s="82"/>
      <c r="BO179" s="82"/>
      <c r="BP179" s="80"/>
      <c r="BQ179" s="80">
        <f t="shared" ref="BQ179" si="699">BQ178/BQ173</f>
        <v>-3.0791568617633807E-3</v>
      </c>
      <c r="BR179" s="85">
        <f t="shared" ref="BR179:BU179" si="700">BR178/BR173</f>
        <v>1.6053204907694072E-3</v>
      </c>
      <c r="BS179" s="82">
        <f t="shared" si="700"/>
        <v>1.9540791402051783E-3</v>
      </c>
      <c r="BT179" s="82">
        <f t="shared" si="700"/>
        <v>5.1689860834990059E-3</v>
      </c>
      <c r="BU179" s="82">
        <f t="shared" si="700"/>
        <v>1.5625E-2</v>
      </c>
      <c r="BV179" s="80">
        <f>BV178/BV173</f>
        <v>0</v>
      </c>
      <c r="BW179" s="1218">
        <f t="shared" ref="BW179:BY179" si="701">BW178/BW173</f>
        <v>-4.2438271604938269E-3</v>
      </c>
      <c r="BX179" s="27">
        <f t="shared" si="701"/>
        <v>-8.8105726872246704E-3</v>
      </c>
      <c r="BY179" s="27">
        <f t="shared" si="701"/>
        <v>-1.4284477534412605E-2</v>
      </c>
      <c r="BZ179" s="27">
        <f>BZ178/BZ173</f>
        <v>-1.0034904013961605E-2</v>
      </c>
      <c r="CA179" s="34">
        <f>CA178/CA173</f>
        <v>-9.5030477480528269E-3</v>
      </c>
      <c r="CB179" s="1218">
        <f t="shared" ref="CB179:CD179" si="702">CB178/CB173</f>
        <v>-8.8631636067649459E-3</v>
      </c>
      <c r="CC179" s="27">
        <f t="shared" si="702"/>
        <v>-1.2376823019314151E-2</v>
      </c>
      <c r="CD179" s="27">
        <f t="shared" si="702"/>
        <v>-1.4709507765633989E-2</v>
      </c>
      <c r="CE179" s="27">
        <f>CE178/CE173</f>
        <v>-2.4575543370548986E-2</v>
      </c>
      <c r="CF179" s="80">
        <f>CF178/CF173</f>
        <v>-1.5789061275662122E-2</v>
      </c>
      <c r="CG179" s="1218"/>
      <c r="CH179" s="27"/>
      <c r="CI179" s="27"/>
      <c r="CJ179" s="27"/>
      <c r="CK179" s="34">
        <f>CK178/CK173</f>
        <v>-9.171597633136094E-3</v>
      </c>
      <c r="CL179" s="1218"/>
      <c r="CM179" s="27"/>
      <c r="CN179" s="27"/>
      <c r="CO179" s="27"/>
      <c r="CP179" s="80">
        <f>CP178/CP173</f>
        <v>-1.6127741315831598E-2</v>
      </c>
      <c r="CQ179" s="82">
        <f t="shared" ref="CQ179:CT179" si="703">CQ178/CQ173</f>
        <v>-1.7432432432432431E-2</v>
      </c>
      <c r="CR179" s="82">
        <f t="shared" si="703"/>
        <v>-1.5058365758754863E-2</v>
      </c>
      <c r="CS179" s="82">
        <f t="shared" si="703"/>
        <v>-1.5860655737704919E-2</v>
      </c>
      <c r="CT179" s="82">
        <f t="shared" si="703"/>
        <v>-1.1881188118811881E-2</v>
      </c>
      <c r="CU179" s="80">
        <f>CU178/CU173</f>
        <v>-1.4824561403508772E-2</v>
      </c>
      <c r="CV179" s="103"/>
      <c r="CW179" s="103"/>
      <c r="CX179" s="103"/>
      <c r="CY179" s="105"/>
      <c r="CZ179" s="80">
        <f>CZ178/CZ173</f>
        <v>-1.4672448249940412E-2</v>
      </c>
      <c r="DA179" s="103"/>
      <c r="DB179" s="103"/>
      <c r="DC179" s="103"/>
      <c r="DD179" s="105"/>
      <c r="DE179" s="80">
        <f>DE178/DE173</f>
        <v>-4.1160555149539653E-2</v>
      </c>
      <c r="DF179" s="103"/>
      <c r="DG179" s="103"/>
      <c r="DH179" s="103"/>
      <c r="DI179" s="105"/>
      <c r="DJ179" s="80">
        <f>DJ178/DJ173</f>
        <v>-3.9850940847352391E-2</v>
      </c>
      <c r="DK179" s="412"/>
      <c r="DL179" s="1285"/>
      <c r="DM179" s="809"/>
      <c r="DN179" s="809"/>
      <c r="DO179" s="809"/>
      <c r="DP179" s="1054"/>
      <c r="DQ179" s="1054"/>
      <c r="DR179" s="1054"/>
      <c r="DS179" s="809"/>
      <c r="DT179" s="809"/>
      <c r="DU179" s="809"/>
      <c r="DV179" s="809"/>
      <c r="DW179" s="809"/>
      <c r="DX179" s="809"/>
      <c r="DY179" s="360"/>
      <c r="DZ179" s="167"/>
      <c r="EA179" s="167"/>
      <c r="EB179"/>
      <c r="EC179"/>
      <c r="ED179"/>
      <c r="EE179"/>
      <c r="EF179"/>
      <c r="EG179"/>
    </row>
    <row r="180" spans="1:137" s="144" customFormat="1">
      <c r="A180" s="117" t="s">
        <v>98</v>
      </c>
      <c r="B180" s="178">
        <f>360-274</f>
        <v>86</v>
      </c>
      <c r="C180" s="178">
        <v>243</v>
      </c>
      <c r="D180" s="178">
        <v>-300</v>
      </c>
      <c r="E180" s="178">
        <v>-595</v>
      </c>
      <c r="F180" s="178">
        <v>-626</v>
      </c>
      <c r="G180" s="178">
        <v>-275</v>
      </c>
      <c r="H180" s="173">
        <v>-14</v>
      </c>
      <c r="I180" s="135">
        <v>-14</v>
      </c>
      <c r="J180" s="135">
        <v>-18</v>
      </c>
      <c r="K180" s="173">
        <v>-12</v>
      </c>
      <c r="L180" s="178">
        <f>SUM(H180:K180)</f>
        <v>-58</v>
      </c>
      <c r="M180" s="135">
        <v>32</v>
      </c>
      <c r="N180" s="135">
        <v>32</v>
      </c>
      <c r="O180" s="135">
        <v>32</v>
      </c>
      <c r="P180" s="173">
        <v>32</v>
      </c>
      <c r="Q180" s="178">
        <f>SUM(M180:P180)</f>
        <v>128</v>
      </c>
      <c r="R180" s="135">
        <v>-114</v>
      </c>
      <c r="S180" s="135">
        <v>-115</v>
      </c>
      <c r="T180" s="135">
        <v>-113</v>
      </c>
      <c r="U180" s="173">
        <v>-114</v>
      </c>
      <c r="V180" s="178">
        <f>SUM(R180:U180)</f>
        <v>-456</v>
      </c>
      <c r="W180" s="173">
        <v>-110</v>
      </c>
      <c r="X180" s="173">
        <v>-110</v>
      </c>
      <c r="Y180" s="173">
        <v>-111</v>
      </c>
      <c r="Z180" s="173">
        <v>-123</v>
      </c>
      <c r="AA180" s="178">
        <f>SUM(W180:Z180)</f>
        <v>-454</v>
      </c>
      <c r="AB180" s="135">
        <v>-231</v>
      </c>
      <c r="AC180" s="135">
        <v>-230</v>
      </c>
      <c r="AD180" s="169">
        <v>-231</v>
      </c>
      <c r="AE180" s="168">
        <v>-230</v>
      </c>
      <c r="AF180" s="178">
        <f>SUM(AB180:AE180)</f>
        <v>-922</v>
      </c>
      <c r="AG180" s="135">
        <v>-207</v>
      </c>
      <c r="AH180" s="135">
        <v>-208</v>
      </c>
      <c r="AI180" s="169">
        <v>-207</v>
      </c>
      <c r="AJ180" s="168">
        <v>-208</v>
      </c>
      <c r="AK180" s="180">
        <f>SUM(AG180:AJ180)</f>
        <v>-830</v>
      </c>
      <c r="AL180" s="169">
        <v>-121</v>
      </c>
      <c r="AM180" s="169">
        <v>-120</v>
      </c>
      <c r="AN180" s="169">
        <v>-121</v>
      </c>
      <c r="AO180" s="169">
        <f>AO182-AO181</f>
        <v>-120</v>
      </c>
      <c r="AP180" s="557">
        <f>SUM(AL180:AO180)</f>
        <v>-482</v>
      </c>
      <c r="AQ180" s="813">
        <v>86</v>
      </c>
      <c r="AR180" s="813">
        <v>85</v>
      </c>
      <c r="AS180" s="169">
        <f>AS182-AS181</f>
        <v>84</v>
      </c>
      <c r="AT180" s="169">
        <f>AT182-AT181</f>
        <v>121</v>
      </c>
      <c r="AU180" s="557">
        <f>SUM(AQ180:AT180)</f>
        <v>376</v>
      </c>
      <c r="AV180" s="813">
        <f>AV182-AV181</f>
        <v>119</v>
      </c>
      <c r="AW180" s="813">
        <f>AW182-AW181</f>
        <v>120</v>
      </c>
      <c r="AX180" s="813">
        <f>AX182-AX181</f>
        <v>119</v>
      </c>
      <c r="AY180" s="169">
        <f>AY182-AY181</f>
        <v>113</v>
      </c>
      <c r="AZ180" s="557">
        <f>SUM(AV180:AY180)</f>
        <v>471</v>
      </c>
      <c r="BA180" s="557">
        <f>BA182-BA181</f>
        <v>-482</v>
      </c>
      <c r="BB180" s="813">
        <v>86</v>
      </c>
      <c r="BC180" s="813">
        <v>85</v>
      </c>
      <c r="BD180" s="169">
        <f t="shared" ref="BD180:BM180" si="704">BD182-BD181</f>
        <v>84</v>
      </c>
      <c r="BE180" s="169">
        <f t="shared" si="704"/>
        <v>121</v>
      </c>
      <c r="BF180" s="557">
        <f t="shared" si="704"/>
        <v>376</v>
      </c>
      <c r="BG180" s="813">
        <f t="shared" si="704"/>
        <v>119</v>
      </c>
      <c r="BH180" s="813">
        <f t="shared" si="704"/>
        <v>120</v>
      </c>
      <c r="BI180" s="813">
        <f t="shared" si="704"/>
        <v>119</v>
      </c>
      <c r="BJ180" s="169">
        <f t="shared" si="704"/>
        <v>113</v>
      </c>
      <c r="BK180" s="557">
        <f t="shared" si="704"/>
        <v>471</v>
      </c>
      <c r="BL180" s="813">
        <f t="shared" si="704"/>
        <v>246</v>
      </c>
      <c r="BM180" s="813">
        <f t="shared" si="704"/>
        <v>243</v>
      </c>
      <c r="BN180" s="813"/>
      <c r="BO180" s="169"/>
      <c r="BP180" s="201"/>
      <c r="BQ180" s="557">
        <f t="shared" ref="BQ180:CT180" si="705">BQ182-BQ181</f>
        <v>317</v>
      </c>
      <c r="BR180" s="813">
        <f t="shared" si="705"/>
        <v>119</v>
      </c>
      <c r="BS180" s="813">
        <f t="shared" si="705"/>
        <v>120</v>
      </c>
      <c r="BT180" s="813">
        <f t="shared" si="705"/>
        <v>119</v>
      </c>
      <c r="BU180" s="169">
        <f t="shared" si="705"/>
        <v>42</v>
      </c>
      <c r="BV180" s="557">
        <f t="shared" si="705"/>
        <v>400</v>
      </c>
      <c r="BW180" s="574">
        <f t="shared" si="705"/>
        <v>224</v>
      </c>
      <c r="BX180" s="574">
        <f t="shared" si="705"/>
        <v>222</v>
      </c>
      <c r="BY180" s="574">
        <f t="shared" si="705"/>
        <v>226</v>
      </c>
      <c r="BZ180" s="169">
        <f>BZ182-BZ181</f>
        <v>230</v>
      </c>
      <c r="CA180" s="204">
        <f>CA182-CA181</f>
        <v>902</v>
      </c>
      <c r="CB180" s="574">
        <f t="shared" si="705"/>
        <v>217</v>
      </c>
      <c r="CC180" s="574">
        <f t="shared" si="705"/>
        <v>219</v>
      </c>
      <c r="CD180" s="574">
        <f t="shared" ref="CD180:CE180" si="706">CD182-CD181</f>
        <v>220</v>
      </c>
      <c r="CE180" s="169">
        <f t="shared" si="706"/>
        <v>220</v>
      </c>
      <c r="CF180" s="204">
        <f>SUM(CB180:CE180)</f>
        <v>876</v>
      </c>
      <c r="CG180" s="574"/>
      <c r="CH180" s="574"/>
      <c r="CI180" s="574"/>
      <c r="CJ180" s="169"/>
      <c r="CK180" s="204">
        <f>CK182-CK181</f>
        <v>902</v>
      </c>
      <c r="CL180" s="574"/>
      <c r="CM180" s="574"/>
      <c r="CN180" s="574"/>
      <c r="CO180" s="169"/>
      <c r="CP180" s="204">
        <f>CP182-CP181</f>
        <v>876</v>
      </c>
      <c r="CQ180" s="169">
        <f t="shared" si="705"/>
        <v>255</v>
      </c>
      <c r="CR180" s="169">
        <f t="shared" si="705"/>
        <v>255</v>
      </c>
      <c r="CS180" s="169">
        <f t="shared" si="705"/>
        <v>255</v>
      </c>
      <c r="CT180" s="169">
        <f t="shared" si="705"/>
        <v>245</v>
      </c>
      <c r="CU180" s="201">
        <f>CU182-CU181</f>
        <v>1010</v>
      </c>
      <c r="CV180" s="179"/>
      <c r="CW180" s="179"/>
      <c r="CX180" s="179"/>
      <c r="CY180" s="205"/>
      <c r="CZ180" s="201">
        <f>CZ182-CZ181</f>
        <v>1050</v>
      </c>
      <c r="DA180" s="179"/>
      <c r="DB180" s="179"/>
      <c r="DC180" s="179"/>
      <c r="DD180" s="205"/>
      <c r="DE180" s="201">
        <f>DE182-DE181</f>
        <v>2600</v>
      </c>
      <c r="DF180" s="179"/>
      <c r="DG180" s="179"/>
      <c r="DH180" s="179"/>
      <c r="DI180" s="205"/>
      <c r="DJ180" s="201">
        <f>DJ182-DJ181</f>
        <v>2600</v>
      </c>
      <c r="DK180" s="399"/>
      <c r="DL180" s="1282"/>
      <c r="DM180" s="809" t="s">
        <v>395</v>
      </c>
      <c r="DN180" s="810"/>
      <c r="DO180" s="810"/>
      <c r="DP180" s="1053"/>
      <c r="DQ180" s="1053"/>
      <c r="DR180" s="1053"/>
      <c r="DS180" s="809"/>
      <c r="DT180" s="809"/>
      <c r="DU180" s="810"/>
      <c r="DV180" s="810"/>
      <c r="DW180" s="810"/>
      <c r="DX180" s="810"/>
      <c r="DY180" s="357"/>
      <c r="DZ180" s="143"/>
      <c r="EA180" s="143"/>
      <c r="EB180"/>
      <c r="EC180"/>
      <c r="ED180"/>
      <c r="EE180"/>
      <c r="EF180"/>
      <c r="EG180"/>
    </row>
    <row r="181" spans="1:137" s="473" customFormat="1" ht="15">
      <c r="A181" s="970" t="s">
        <v>256</v>
      </c>
      <c r="B181" s="531">
        <v>-354</v>
      </c>
      <c r="C181" s="462">
        <v>-160</v>
      </c>
      <c r="D181" s="462">
        <v>484</v>
      </c>
      <c r="E181" s="462">
        <v>884</v>
      </c>
      <c r="F181" s="462">
        <v>1124</v>
      </c>
      <c r="G181" s="462">
        <v>938</v>
      </c>
      <c r="H181" s="463"/>
      <c r="I181" s="463"/>
      <c r="J181" s="463"/>
      <c r="K181" s="463"/>
      <c r="L181" s="462">
        <v>687</v>
      </c>
      <c r="M181" s="463"/>
      <c r="N181" s="463"/>
      <c r="O181" s="463"/>
      <c r="P181" s="463"/>
      <c r="Q181" s="462">
        <v>462</v>
      </c>
      <c r="R181" s="463"/>
      <c r="S181" s="463"/>
      <c r="T181" s="463"/>
      <c r="U181" s="463"/>
      <c r="V181" s="462">
        <v>1036</v>
      </c>
      <c r="W181" s="464"/>
      <c r="X181" s="463"/>
      <c r="Y181" s="464"/>
      <c r="Z181" s="464"/>
      <c r="AA181" s="343">
        <v>1442</v>
      </c>
      <c r="AB181" s="11">
        <v>455</v>
      </c>
      <c r="AC181" s="584">
        <v>456</v>
      </c>
      <c r="AD181" s="584">
        <v>455</v>
      </c>
      <c r="AE181" s="584">
        <v>455</v>
      </c>
      <c r="AF181" s="343">
        <v>1821</v>
      </c>
      <c r="AG181" s="11">
        <v>485</v>
      </c>
      <c r="AH181" s="584">
        <v>486</v>
      </c>
      <c r="AI181" s="584">
        <v>485</v>
      </c>
      <c r="AJ181" s="584">
        <v>485</v>
      </c>
      <c r="AK181" s="585">
        <v>1941</v>
      </c>
      <c r="AL181" s="584">
        <v>487</v>
      </c>
      <c r="AM181" s="584">
        <v>487</v>
      </c>
      <c r="AN181" s="584">
        <v>487</v>
      </c>
      <c r="AO181" s="584">
        <v>487</v>
      </c>
      <c r="AP181" s="585">
        <f>-(AP180-AP182)</f>
        <v>1928</v>
      </c>
      <c r="AQ181" s="412">
        <v>313</v>
      </c>
      <c r="AR181" s="584">
        <v>314</v>
      </c>
      <c r="AS181" s="584">
        <v>258</v>
      </c>
      <c r="AT181" s="584">
        <v>259</v>
      </c>
      <c r="AU181" s="585">
        <f>-(AU180-AU182)</f>
        <v>1144</v>
      </c>
      <c r="AV181" s="412">
        <v>284</v>
      </c>
      <c r="AW181" s="584">
        <v>284</v>
      </c>
      <c r="AX181" s="584">
        <v>284</v>
      </c>
      <c r="AY181" s="584">
        <f>1142-AX181-AW181-AV181</f>
        <v>290</v>
      </c>
      <c r="AZ181" s="838">
        <f>+SUM(AV181:AY181)</f>
        <v>1142</v>
      </c>
      <c r="BA181" s="585">
        <v>1948</v>
      </c>
      <c r="BB181" s="412">
        <v>313</v>
      </c>
      <c r="BC181" s="584">
        <v>314</v>
      </c>
      <c r="BD181" s="584">
        <v>258</v>
      </c>
      <c r="BE181" s="584">
        <v>259</v>
      </c>
      <c r="BF181" s="585">
        <v>1144</v>
      </c>
      <c r="BG181" s="412">
        <v>284</v>
      </c>
      <c r="BH181" s="584">
        <v>284</v>
      </c>
      <c r="BI181" s="584">
        <v>284</v>
      </c>
      <c r="BJ181" s="584">
        <f>1142-BI181-BH181-BG181</f>
        <v>290</v>
      </c>
      <c r="BK181" s="585">
        <v>1142</v>
      </c>
      <c r="BL181" s="412">
        <v>254</v>
      </c>
      <c r="BM181" s="584">
        <v>254</v>
      </c>
      <c r="BN181" s="584"/>
      <c r="BO181" s="584"/>
      <c r="BP181" s="474"/>
      <c r="BQ181" s="585">
        <v>1099</v>
      </c>
      <c r="BR181" s="412">
        <v>284</v>
      </c>
      <c r="BS181" s="584">
        <v>284</v>
      </c>
      <c r="BT181" s="584">
        <v>284</v>
      </c>
      <c r="BU181" s="584">
        <f>1127-BT181-BS181-BR181</f>
        <v>275</v>
      </c>
      <c r="BV181" s="585">
        <f>+SUM(BR181:BU181)</f>
        <v>1127</v>
      </c>
      <c r="BW181" s="1219">
        <v>251</v>
      </c>
      <c r="BX181" s="584">
        <v>251</v>
      </c>
      <c r="BY181" s="584">
        <v>256</v>
      </c>
      <c r="BZ181" s="584">
        <f>1019-SUM(BW181:BY181)</f>
        <v>261</v>
      </c>
      <c r="CA181" s="1220">
        <f>+SUM(BW181:BZ181)</f>
        <v>1019</v>
      </c>
      <c r="CB181" s="1219">
        <v>345</v>
      </c>
      <c r="CC181" s="574">
        <v>343</v>
      </c>
      <c r="CD181" s="584">
        <v>342</v>
      </c>
      <c r="CE181" s="584">
        <f>1372-CD181-CC181-CB181</f>
        <v>342</v>
      </c>
      <c r="CF181" s="1220">
        <f>+SUM(CB181:CE181)</f>
        <v>1372</v>
      </c>
      <c r="CG181" s="1219"/>
      <c r="CH181" s="584"/>
      <c r="CI181" s="584"/>
      <c r="CJ181" s="584"/>
      <c r="CK181" s="1220">
        <v>1019</v>
      </c>
      <c r="CL181" s="1219"/>
      <c r="CM181" s="574"/>
      <c r="CN181" s="584"/>
      <c r="CO181" s="584"/>
      <c r="CP181" s="1220">
        <v>1372</v>
      </c>
      <c r="CQ181" s="1024">
        <v>335</v>
      </c>
      <c r="CR181" s="1024">
        <v>335</v>
      </c>
      <c r="CS181" s="1024">
        <v>335</v>
      </c>
      <c r="CT181" s="1024">
        <v>345</v>
      </c>
      <c r="CU181" s="1017">
        <f>+SUM(CQ181:CT181)</f>
        <v>1350</v>
      </c>
      <c r="CV181" s="468"/>
      <c r="CW181" s="468"/>
      <c r="CX181" s="468"/>
      <c r="CY181" s="469"/>
      <c r="CZ181" s="1017">
        <f>+CU181</f>
        <v>1350</v>
      </c>
      <c r="DA181" s="468"/>
      <c r="DB181" s="468"/>
      <c r="DC181" s="468"/>
      <c r="DD181" s="469"/>
      <c r="DE181" s="474">
        <v>-200</v>
      </c>
      <c r="DF181" s="468"/>
      <c r="DG181" s="468"/>
      <c r="DH181" s="468"/>
      <c r="DI181" s="469"/>
      <c r="DJ181" s="474">
        <v>-200</v>
      </c>
      <c r="DK181" s="412"/>
      <c r="DL181" s="595"/>
      <c r="DM181" s="810" t="s">
        <v>407</v>
      </c>
      <c r="DN181" s="1092"/>
      <c r="DO181" s="864"/>
      <c r="DP181" s="1059"/>
      <c r="DQ181" s="1059"/>
      <c r="DR181" s="1053"/>
      <c r="DS181" s="1053"/>
      <c r="DT181" s="1053"/>
      <c r="DU181" s="1188">
        <v>2019</v>
      </c>
      <c r="DV181" s="1188">
        <v>2020</v>
      </c>
      <c r="DW181" s="1188">
        <v>2021</v>
      </c>
      <c r="DX181" s="864"/>
      <c r="DY181" s="472"/>
      <c r="DZ181" s="464"/>
      <c r="EA181" s="464"/>
      <c r="EB181"/>
      <c r="EC181"/>
      <c r="ED181"/>
      <c r="EE181"/>
      <c r="EF181"/>
      <c r="EG181"/>
    </row>
    <row r="182" spans="1:137" s="473" customFormat="1" ht="12" customHeight="1">
      <c r="A182" s="970" t="s">
        <v>257</v>
      </c>
      <c r="B182" s="462">
        <f t="shared" ref="B182:G182" si="707">B180+B181</f>
        <v>-268</v>
      </c>
      <c r="C182" s="462">
        <f t="shared" si="707"/>
        <v>83</v>
      </c>
      <c r="D182" s="462">
        <f t="shared" si="707"/>
        <v>184</v>
      </c>
      <c r="E182" s="462">
        <f t="shared" si="707"/>
        <v>289</v>
      </c>
      <c r="F182" s="462">
        <f t="shared" si="707"/>
        <v>498</v>
      </c>
      <c r="G182" s="462">
        <f t="shared" si="707"/>
        <v>663</v>
      </c>
      <c r="H182" s="463"/>
      <c r="I182" s="463"/>
      <c r="J182" s="463"/>
      <c r="K182" s="463"/>
      <c r="L182" s="462">
        <f>L180+L181</f>
        <v>629</v>
      </c>
      <c r="M182" s="463"/>
      <c r="N182" s="463"/>
      <c r="O182" s="463"/>
      <c r="P182" s="463"/>
      <c r="Q182" s="462">
        <f>Q180+Q181</f>
        <v>590</v>
      </c>
      <c r="R182" s="463"/>
      <c r="S182" s="463"/>
      <c r="T182" s="463"/>
      <c r="U182" s="463"/>
      <c r="V182" s="462">
        <f>V180+V181</f>
        <v>580</v>
      </c>
      <c r="W182" s="464"/>
      <c r="X182" s="463"/>
      <c r="Y182" s="464"/>
      <c r="Z182" s="464"/>
      <c r="AA182" s="585">
        <f>AA180+AA181</f>
        <v>988</v>
      </c>
      <c r="AB182" s="11">
        <v>224</v>
      </c>
      <c r="AC182" s="584">
        <v>226</v>
      </c>
      <c r="AD182" s="584">
        <v>224</v>
      </c>
      <c r="AE182" s="584">
        <v>225</v>
      </c>
      <c r="AF182" s="585">
        <f>AF180+AF181</f>
        <v>899</v>
      </c>
      <c r="AG182" s="11">
        <v>278</v>
      </c>
      <c r="AH182" s="584">
        <v>278</v>
      </c>
      <c r="AI182" s="584">
        <v>278</v>
      </c>
      <c r="AJ182" s="584">
        <v>277</v>
      </c>
      <c r="AK182" s="585">
        <f>AK180+AK181</f>
        <v>1111</v>
      </c>
      <c r="AL182" s="584">
        <v>366</v>
      </c>
      <c r="AM182" s="584">
        <v>367</v>
      </c>
      <c r="AN182" s="584">
        <v>366</v>
      </c>
      <c r="AO182" s="584">
        <v>367</v>
      </c>
      <c r="AP182" s="585">
        <v>1446</v>
      </c>
      <c r="AQ182" s="412">
        <v>399</v>
      </c>
      <c r="AR182" s="584">
        <v>399</v>
      </c>
      <c r="AS182" s="584">
        <v>342</v>
      </c>
      <c r="AT182" s="584">
        <v>380</v>
      </c>
      <c r="AU182" s="838">
        <v>1520</v>
      </c>
      <c r="AV182" s="412">
        <v>403</v>
      </c>
      <c r="AW182" s="584">
        <v>404</v>
      </c>
      <c r="AX182" s="584">
        <v>403</v>
      </c>
      <c r="AY182" s="584">
        <f>1613-AX182-AW182-AV182</f>
        <v>403</v>
      </c>
      <c r="AZ182" s="838">
        <f>+SUM(AV182:AY182)</f>
        <v>1613</v>
      </c>
      <c r="BA182" s="585">
        <v>1466</v>
      </c>
      <c r="BB182" s="412">
        <v>399</v>
      </c>
      <c r="BC182" s="584">
        <v>399</v>
      </c>
      <c r="BD182" s="584">
        <v>342</v>
      </c>
      <c r="BE182" s="584">
        <v>380</v>
      </c>
      <c r="BF182" s="585">
        <v>1520</v>
      </c>
      <c r="BG182" s="412">
        <v>403</v>
      </c>
      <c r="BH182" s="584">
        <v>404</v>
      </c>
      <c r="BI182" s="584">
        <v>403</v>
      </c>
      <c r="BJ182" s="584">
        <f>1613-BI182-BH182-BG182</f>
        <v>403</v>
      </c>
      <c r="BK182" s="585">
        <v>1613</v>
      </c>
      <c r="BL182" s="412">
        <v>500</v>
      </c>
      <c r="BM182" s="584">
        <v>497</v>
      </c>
      <c r="BN182" s="584"/>
      <c r="BO182" s="584"/>
      <c r="BP182" s="470"/>
      <c r="BQ182" s="585">
        <v>1416</v>
      </c>
      <c r="BR182" s="412">
        <v>403</v>
      </c>
      <c r="BS182" s="584">
        <v>404</v>
      </c>
      <c r="BT182" s="584">
        <v>403</v>
      </c>
      <c r="BU182" s="584">
        <f>1527-BT182-BS182-BR182</f>
        <v>317</v>
      </c>
      <c r="BV182" s="585">
        <f>+SUM(BR182:BU182)</f>
        <v>1527</v>
      </c>
      <c r="BW182" s="1219">
        <v>475</v>
      </c>
      <c r="BX182" s="584">
        <v>473</v>
      </c>
      <c r="BY182" s="584">
        <v>482</v>
      </c>
      <c r="BZ182" s="584">
        <f>1921-SUM(BW182:BY182)</f>
        <v>491</v>
      </c>
      <c r="CA182" s="1220">
        <f>+SUM(BW182:BZ182)</f>
        <v>1921</v>
      </c>
      <c r="CB182" s="1219">
        <v>562</v>
      </c>
      <c r="CC182" s="574">
        <v>562</v>
      </c>
      <c r="CD182" s="584">
        <v>562</v>
      </c>
      <c r="CE182" s="584">
        <f>2248-CD182-CC182-CB182</f>
        <v>562</v>
      </c>
      <c r="CF182" s="1220">
        <f>+SUM(CB182:CE182)</f>
        <v>2248</v>
      </c>
      <c r="CG182" s="1219"/>
      <c r="CH182" s="584"/>
      <c r="CI182" s="584"/>
      <c r="CJ182" s="584"/>
      <c r="CK182" s="1220">
        <v>1921</v>
      </c>
      <c r="CL182" s="1219"/>
      <c r="CM182" s="574"/>
      <c r="CN182" s="584"/>
      <c r="CO182" s="584"/>
      <c r="CP182" s="1220">
        <v>2248</v>
      </c>
      <c r="CQ182" s="1024">
        <f>2360/4</f>
        <v>590</v>
      </c>
      <c r="CR182" s="1024">
        <f t="shared" ref="CR182:CT182" si="708">2360/4</f>
        <v>590</v>
      </c>
      <c r="CS182" s="1024">
        <f t="shared" si="708"/>
        <v>590</v>
      </c>
      <c r="CT182" s="1024">
        <f t="shared" si="708"/>
        <v>590</v>
      </c>
      <c r="CU182" s="1168">
        <f>+SUM(CQ182:CT182)</f>
        <v>2360</v>
      </c>
      <c r="CV182" s="468"/>
      <c r="CW182" s="468"/>
      <c r="CX182" s="468"/>
      <c r="CY182" s="469"/>
      <c r="CZ182" s="470">
        <v>2400</v>
      </c>
      <c r="DA182" s="468"/>
      <c r="DB182" s="468"/>
      <c r="DC182" s="468"/>
      <c r="DD182" s="469"/>
      <c r="DE182" s="470">
        <f>+CZ182</f>
        <v>2400</v>
      </c>
      <c r="DF182" s="468"/>
      <c r="DG182" s="468"/>
      <c r="DH182" s="468"/>
      <c r="DI182" s="469"/>
      <c r="DJ182" s="470">
        <f>+DE182</f>
        <v>2400</v>
      </c>
      <c r="DK182" s="412"/>
      <c r="DL182" s="595"/>
      <c r="DM182" s="810"/>
      <c r="DN182" s="810"/>
      <c r="DO182" s="864"/>
      <c r="DP182" s="1059"/>
      <c r="DQ182" s="1059"/>
      <c r="DR182" s="1053"/>
      <c r="DS182" s="1053"/>
      <c r="DT182" s="1136" t="s">
        <v>364</v>
      </c>
      <c r="DU182" s="1113">
        <v>473</v>
      </c>
      <c r="DV182" s="1113">
        <v>315</v>
      </c>
      <c r="DW182" s="1113">
        <v>158</v>
      </c>
      <c r="DX182" s="864"/>
      <c r="DY182" s="472"/>
      <c r="DZ182" s="464"/>
      <c r="EA182" s="464"/>
      <c r="EB182"/>
      <c r="EC182"/>
      <c r="ED182"/>
      <c r="EE182"/>
      <c r="EF182"/>
      <c r="EG182"/>
    </row>
    <row r="183" spans="1:137" s="144" customFormat="1" ht="15">
      <c r="A183" s="1271" t="s">
        <v>384</v>
      </c>
      <c r="B183" s="178">
        <v>0</v>
      </c>
      <c r="C183" s="178">
        <v>0</v>
      </c>
      <c r="D183" s="178">
        <v>0</v>
      </c>
      <c r="E183" s="178">
        <v>0</v>
      </c>
      <c r="F183" s="178">
        <v>0</v>
      </c>
      <c r="G183" s="178">
        <v>0</v>
      </c>
      <c r="H183" s="574">
        <v>0</v>
      </c>
      <c r="I183" s="574">
        <v>0</v>
      </c>
      <c r="J183" s="574">
        <v>0</v>
      </c>
      <c r="K183" s="169">
        <v>0</v>
      </c>
      <c r="L183" s="204">
        <f>SUM(H183:K183)</f>
        <v>0</v>
      </c>
      <c r="M183" s="574">
        <v>0</v>
      </c>
      <c r="N183" s="574">
        <v>0</v>
      </c>
      <c r="O183" s="574">
        <v>0</v>
      </c>
      <c r="P183" s="169">
        <v>0</v>
      </c>
      <c r="Q183" s="204">
        <f>SUM(M183:P183)</f>
        <v>0</v>
      </c>
      <c r="R183" s="574">
        <v>0</v>
      </c>
      <c r="S183" s="574">
        <v>0</v>
      </c>
      <c r="T183" s="574">
        <v>0</v>
      </c>
      <c r="U183" s="169">
        <v>0</v>
      </c>
      <c r="V183" s="204">
        <f>SUM(R183:U183)</f>
        <v>0</v>
      </c>
      <c r="W183" s="574">
        <v>0</v>
      </c>
      <c r="X183" s="574">
        <v>0</v>
      </c>
      <c r="Y183" s="574">
        <v>0</v>
      </c>
      <c r="Z183" s="169">
        <v>0</v>
      </c>
      <c r="AA183" s="204">
        <f>SUM(W183:Z183)</f>
        <v>0</v>
      </c>
      <c r="AB183" s="574">
        <v>0</v>
      </c>
      <c r="AC183" s="574">
        <v>0</v>
      </c>
      <c r="AD183" s="574">
        <v>0</v>
      </c>
      <c r="AE183" s="169">
        <v>0</v>
      </c>
      <c r="AF183" s="204">
        <f>SUM(AB183:AE183)</f>
        <v>0</v>
      </c>
      <c r="AG183" s="574">
        <v>0</v>
      </c>
      <c r="AH183" s="574">
        <v>0</v>
      </c>
      <c r="AI183" s="574">
        <v>0</v>
      </c>
      <c r="AJ183" s="169">
        <v>0</v>
      </c>
      <c r="AK183" s="204">
        <f>SUM(AG183:AJ183)</f>
        <v>0</v>
      </c>
      <c r="AL183" s="574">
        <v>0</v>
      </c>
      <c r="AM183" s="574">
        <v>0</v>
      </c>
      <c r="AN183" s="574">
        <v>0</v>
      </c>
      <c r="AO183" s="169">
        <v>0</v>
      </c>
      <c r="AP183" s="204">
        <f>SUM(AL183:AO183)</f>
        <v>0</v>
      </c>
      <c r="AQ183" s="574">
        <v>0</v>
      </c>
      <c r="AR183" s="574">
        <v>0</v>
      </c>
      <c r="AS183" s="574">
        <v>0</v>
      </c>
      <c r="AT183" s="169">
        <v>0</v>
      </c>
      <c r="AU183" s="204">
        <f>SUM(AQ183:AT183)</f>
        <v>0</v>
      </c>
      <c r="AV183" s="574">
        <v>0</v>
      </c>
      <c r="AW183" s="574">
        <v>0</v>
      </c>
      <c r="AX183" s="574">
        <v>0</v>
      </c>
      <c r="AY183" s="169">
        <v>0</v>
      </c>
      <c r="AZ183" s="204">
        <f>SUM(AV183:AY183)</f>
        <v>0</v>
      </c>
      <c r="BA183" s="557">
        <v>0</v>
      </c>
      <c r="BB183" s="574">
        <v>0</v>
      </c>
      <c r="BC183" s="574">
        <v>0</v>
      </c>
      <c r="BD183" s="574">
        <v>0</v>
      </c>
      <c r="BE183" s="169">
        <v>0</v>
      </c>
      <c r="BF183" s="204">
        <f>SUM(BB183:BE183)</f>
        <v>0</v>
      </c>
      <c r="BG183" s="574">
        <v>0</v>
      </c>
      <c r="BH183" s="574">
        <v>0</v>
      </c>
      <c r="BI183" s="574">
        <v>0</v>
      </c>
      <c r="BJ183" s="169">
        <v>0</v>
      </c>
      <c r="BK183" s="204">
        <f>SUM(BG183:BJ183)</f>
        <v>0</v>
      </c>
      <c r="BL183" s="574">
        <v>0</v>
      </c>
      <c r="BM183" s="574">
        <v>0</v>
      </c>
      <c r="BN183" s="574">
        <v>0</v>
      </c>
      <c r="BO183" s="169">
        <v>0</v>
      </c>
      <c r="BP183" s="204">
        <f>SUM(BL183:BO183)</f>
        <v>0</v>
      </c>
      <c r="BQ183" s="557">
        <v>0</v>
      </c>
      <c r="BR183" s="574">
        <v>0</v>
      </c>
      <c r="BS183" s="574">
        <v>0</v>
      </c>
      <c r="BT183" s="574">
        <v>0</v>
      </c>
      <c r="BU183" s="169">
        <v>0</v>
      </c>
      <c r="BV183" s="204">
        <f>SUM(BR183:BU183)</f>
        <v>0</v>
      </c>
      <c r="BW183" s="574">
        <v>0</v>
      </c>
      <c r="BX183" s="574">
        <v>0</v>
      </c>
      <c r="BY183" s="574">
        <v>0</v>
      </c>
      <c r="BZ183" s="169">
        <v>0</v>
      </c>
      <c r="CA183" s="204">
        <f>SUM(BW183:BZ183)</f>
        <v>0</v>
      </c>
      <c r="CB183" s="574">
        <v>0</v>
      </c>
      <c r="CC183" s="574">
        <v>0</v>
      </c>
      <c r="CD183" s="574">
        <v>0</v>
      </c>
      <c r="CE183" s="169">
        <v>0</v>
      </c>
      <c r="CF183" s="204">
        <f>SUM(CB183:CE183)</f>
        <v>0</v>
      </c>
      <c r="CG183" s="574"/>
      <c r="CH183" s="574"/>
      <c r="CI183" s="574"/>
      <c r="CJ183" s="169"/>
      <c r="CK183" s="204">
        <v>471</v>
      </c>
      <c r="CL183" s="574"/>
      <c r="CM183" s="574"/>
      <c r="CN183" s="574"/>
      <c r="CO183" s="169"/>
      <c r="CP183" s="204">
        <v>846</v>
      </c>
      <c r="CQ183" s="574">
        <f>CU183/4</f>
        <v>217.5</v>
      </c>
      <c r="CR183" s="574">
        <f>(CU183-CQ183)/3</f>
        <v>217.5</v>
      </c>
      <c r="CS183" s="574">
        <f>(CU183-CR183-CQ183)/2</f>
        <v>217.5</v>
      </c>
      <c r="CT183" s="169">
        <f>(CU183-CS183-CR183-CQ183)</f>
        <v>217.5</v>
      </c>
      <c r="CU183" s="1241">
        <v>870</v>
      </c>
      <c r="CV183" s="574"/>
      <c r="CW183" s="574"/>
      <c r="CX183" s="574"/>
      <c r="CY183" s="169"/>
      <c r="CZ183" s="604">
        <f>+CU183</f>
        <v>870</v>
      </c>
      <c r="DA183" s="1272"/>
      <c r="DB183" s="1272"/>
      <c r="DC183" s="1272"/>
      <c r="DD183" s="1273"/>
      <c r="DE183" s="1241">
        <v>0</v>
      </c>
      <c r="DF183" s="1272"/>
      <c r="DG183" s="1272"/>
      <c r="DH183" s="1272"/>
      <c r="DI183" s="1273"/>
      <c r="DJ183" s="1241">
        <v>0</v>
      </c>
      <c r="DK183" s="399"/>
      <c r="DL183" s="1282"/>
      <c r="DM183" s="809" t="s">
        <v>396</v>
      </c>
      <c r="DN183" s="810"/>
      <c r="DO183" s="810"/>
      <c r="DP183" s="1053"/>
      <c r="DQ183" s="1053"/>
      <c r="DR183" s="1053"/>
      <c r="DS183" s="1188"/>
      <c r="DT183" s="1188"/>
      <c r="DU183" s="1188"/>
      <c r="DV183" s="810"/>
      <c r="DW183" s="810"/>
      <c r="DX183" s="810"/>
      <c r="DY183" s="357"/>
      <c r="DZ183" s="143"/>
      <c r="EA183" s="143"/>
      <c r="EB183"/>
      <c r="EC183"/>
      <c r="ED183"/>
      <c r="EE183"/>
      <c r="EF183"/>
      <c r="EG183"/>
    </row>
    <row r="184" spans="1:137" s="144" customFormat="1">
      <c r="A184" s="258" t="s">
        <v>97</v>
      </c>
      <c r="B184" s="142">
        <f t="shared" ref="B184:AG184" si="709">B171+B237</f>
        <v>1412</v>
      </c>
      <c r="C184" s="142">
        <f t="shared" si="709"/>
        <v>1716</v>
      </c>
      <c r="D184" s="142">
        <f t="shared" si="709"/>
        <v>2628</v>
      </c>
      <c r="E184" s="142">
        <f t="shared" si="709"/>
        <v>2745</v>
      </c>
      <c r="F184" s="142">
        <f t="shared" si="709"/>
        <v>3558</v>
      </c>
      <c r="G184" s="142">
        <f t="shared" si="709"/>
        <v>4534</v>
      </c>
      <c r="H184" s="141">
        <f t="shared" si="709"/>
        <v>1170</v>
      </c>
      <c r="I184" s="225">
        <f t="shared" si="709"/>
        <v>1348</v>
      </c>
      <c r="J184" s="225">
        <f t="shared" si="709"/>
        <v>1365</v>
      </c>
      <c r="K184" s="141">
        <f t="shared" si="709"/>
        <v>1463</v>
      </c>
      <c r="L184" s="142">
        <f t="shared" si="709"/>
        <v>5346</v>
      </c>
      <c r="M184" s="225">
        <f t="shared" si="709"/>
        <v>1374</v>
      </c>
      <c r="N184" s="225">
        <f t="shared" si="709"/>
        <v>1565</v>
      </c>
      <c r="O184" s="225">
        <f t="shared" si="709"/>
        <v>1456</v>
      </c>
      <c r="P184" s="141">
        <f t="shared" si="709"/>
        <v>1581</v>
      </c>
      <c r="Q184" s="142">
        <f t="shared" si="709"/>
        <v>5976</v>
      </c>
      <c r="R184" s="225">
        <f t="shared" si="709"/>
        <v>1259</v>
      </c>
      <c r="S184" s="225">
        <f t="shared" si="709"/>
        <v>1286</v>
      </c>
      <c r="T184" s="225">
        <f t="shared" si="709"/>
        <v>1283</v>
      </c>
      <c r="U184" s="141">
        <f t="shared" si="709"/>
        <v>1478</v>
      </c>
      <c r="V184" s="142">
        <f t="shared" si="709"/>
        <v>5306</v>
      </c>
      <c r="W184" s="225">
        <f t="shared" si="709"/>
        <v>1137</v>
      </c>
      <c r="X184" s="225">
        <f t="shared" si="709"/>
        <v>1267</v>
      </c>
      <c r="Y184" s="225">
        <f t="shared" si="709"/>
        <v>1065</v>
      </c>
      <c r="Z184" s="141">
        <f t="shared" si="709"/>
        <v>1554</v>
      </c>
      <c r="AA184" s="142">
        <f t="shared" si="709"/>
        <v>5023</v>
      </c>
      <c r="AB184" s="225">
        <f t="shared" si="709"/>
        <v>1126</v>
      </c>
      <c r="AC184" s="225">
        <f t="shared" si="709"/>
        <v>1245</v>
      </c>
      <c r="AD184" s="225">
        <f t="shared" si="709"/>
        <v>1282</v>
      </c>
      <c r="AE184" s="141">
        <f t="shared" si="709"/>
        <v>1375.25</v>
      </c>
      <c r="AF184" s="142">
        <f t="shared" si="709"/>
        <v>5028.25</v>
      </c>
      <c r="AG184" s="225">
        <f t="shared" si="709"/>
        <v>1275</v>
      </c>
      <c r="AH184" s="225">
        <f t="shared" ref="AH184:BM184" si="710">AH171+AH237</f>
        <v>1425</v>
      </c>
      <c r="AI184" s="225">
        <f t="shared" si="710"/>
        <v>1384</v>
      </c>
      <c r="AJ184" s="141">
        <f t="shared" si="710"/>
        <v>1338</v>
      </c>
      <c r="AK184" s="142">
        <f t="shared" si="710"/>
        <v>5422</v>
      </c>
      <c r="AL184" s="225">
        <f t="shared" si="710"/>
        <v>1351</v>
      </c>
      <c r="AM184" s="225">
        <f t="shared" si="710"/>
        <v>1538</v>
      </c>
      <c r="AN184" s="225">
        <f t="shared" si="710"/>
        <v>1486</v>
      </c>
      <c r="AO184" s="141">
        <f t="shared" si="710"/>
        <v>1315</v>
      </c>
      <c r="AP184" s="142">
        <f t="shared" si="710"/>
        <v>5690</v>
      </c>
      <c r="AQ184" s="225">
        <f t="shared" si="710"/>
        <v>1669</v>
      </c>
      <c r="AR184" s="225">
        <f t="shared" si="710"/>
        <v>1668</v>
      </c>
      <c r="AS184" s="225">
        <f t="shared" si="710"/>
        <v>1639</v>
      </c>
      <c r="AT184" s="141">
        <f t="shared" si="710"/>
        <v>1729</v>
      </c>
      <c r="AU184" s="142">
        <f t="shared" si="710"/>
        <v>6705</v>
      </c>
      <c r="AV184" s="225">
        <f t="shared" si="710"/>
        <v>1600</v>
      </c>
      <c r="AW184" s="225">
        <f t="shared" si="710"/>
        <v>1691</v>
      </c>
      <c r="AX184" s="225">
        <f t="shared" si="710"/>
        <v>1590</v>
      </c>
      <c r="AY184" s="141">
        <f t="shared" si="710"/>
        <v>1581</v>
      </c>
      <c r="AZ184" s="142">
        <f t="shared" si="710"/>
        <v>6462</v>
      </c>
      <c r="BA184" s="142">
        <f t="shared" si="710"/>
        <v>5690</v>
      </c>
      <c r="BB184" s="225">
        <f t="shared" si="710"/>
        <v>1669</v>
      </c>
      <c r="BC184" s="225">
        <f t="shared" si="710"/>
        <v>1668</v>
      </c>
      <c r="BD184" s="225">
        <f t="shared" si="710"/>
        <v>1639</v>
      </c>
      <c r="BE184" s="141">
        <f t="shared" si="710"/>
        <v>1729</v>
      </c>
      <c r="BF184" s="142">
        <f t="shared" si="710"/>
        <v>6705</v>
      </c>
      <c r="BG184" s="225">
        <f t="shared" si="710"/>
        <v>1600</v>
      </c>
      <c r="BH184" s="225">
        <f t="shared" si="710"/>
        <v>1691</v>
      </c>
      <c r="BI184" s="225">
        <f t="shared" si="710"/>
        <v>1590</v>
      </c>
      <c r="BJ184" s="141">
        <f t="shared" si="710"/>
        <v>1581</v>
      </c>
      <c r="BK184" s="142">
        <f t="shared" si="710"/>
        <v>6462</v>
      </c>
      <c r="BL184" s="225">
        <f t="shared" si="710"/>
        <v>1593</v>
      </c>
      <c r="BM184" s="225">
        <f t="shared" si="710"/>
        <v>1863</v>
      </c>
      <c r="BN184" s="225"/>
      <c r="BO184" s="141"/>
      <c r="BP184" s="142"/>
      <c r="BQ184" s="142">
        <f t="shared" ref="BQ184:CF184" si="711">BQ171+BQ237</f>
        <v>6002</v>
      </c>
      <c r="BR184" s="225">
        <f t="shared" si="711"/>
        <v>1391</v>
      </c>
      <c r="BS184" s="225">
        <f t="shared" si="711"/>
        <v>1519</v>
      </c>
      <c r="BT184" s="225">
        <f t="shared" si="711"/>
        <v>1428</v>
      </c>
      <c r="BU184" s="141">
        <f t="shared" si="711"/>
        <v>1400</v>
      </c>
      <c r="BV184" s="142">
        <f t="shared" si="711"/>
        <v>5738</v>
      </c>
      <c r="BW184" s="225">
        <f t="shared" si="711"/>
        <v>1454</v>
      </c>
      <c r="BX184" s="225">
        <f t="shared" si="711"/>
        <v>1672</v>
      </c>
      <c r="BY184" s="225">
        <f t="shared" si="711"/>
        <v>1883</v>
      </c>
      <c r="BZ184" s="141">
        <f t="shared" si="711"/>
        <v>1755</v>
      </c>
      <c r="CA184" s="142">
        <f t="shared" si="711"/>
        <v>6764</v>
      </c>
      <c r="CB184" s="225">
        <f t="shared" si="711"/>
        <v>1434</v>
      </c>
      <c r="CC184" s="225">
        <f t="shared" si="711"/>
        <v>1781</v>
      </c>
      <c r="CD184" s="225">
        <f t="shared" si="711"/>
        <v>1727</v>
      </c>
      <c r="CE184" s="141">
        <f t="shared" si="711"/>
        <v>2174</v>
      </c>
      <c r="CF184" s="142">
        <f t="shared" si="711"/>
        <v>7116</v>
      </c>
      <c r="CG184" s="225"/>
      <c r="CH184" s="225"/>
      <c r="CI184" s="225"/>
      <c r="CJ184" s="141"/>
      <c r="CK184" s="142">
        <f>CK171+CK237</f>
        <v>7125</v>
      </c>
      <c r="CL184" s="225"/>
      <c r="CM184" s="225"/>
      <c r="CN184" s="225"/>
      <c r="CO184" s="141"/>
      <c r="CP184" s="142">
        <f t="shared" ref="CP184:CU184" si="712">CP171+CP237</f>
        <v>7954</v>
      </c>
      <c r="CQ184" s="141">
        <f t="shared" si="712"/>
        <v>1865.05</v>
      </c>
      <c r="CR184" s="141">
        <f t="shared" si="712"/>
        <v>2061.0700000000002</v>
      </c>
      <c r="CS184" s="141">
        <f t="shared" si="712"/>
        <v>1999.2300000000002</v>
      </c>
      <c r="CT184" s="141">
        <f t="shared" si="712"/>
        <v>2309.9</v>
      </c>
      <c r="CU184" s="142">
        <f t="shared" si="712"/>
        <v>8235.25</v>
      </c>
      <c r="CV184" s="137"/>
      <c r="CW184" s="137"/>
      <c r="CX184" s="137"/>
      <c r="CY184" s="138"/>
      <c r="CZ184" s="142">
        <f>CZ171+CZ237</f>
        <v>8898.4755000000005</v>
      </c>
      <c r="DA184" s="137"/>
      <c r="DB184" s="137"/>
      <c r="DC184" s="137"/>
      <c r="DD184" s="138"/>
      <c r="DE184" s="142">
        <f>DE171+DE237</f>
        <v>10030.080535000001</v>
      </c>
      <c r="DF184" s="137"/>
      <c r="DG184" s="137"/>
      <c r="DH184" s="137"/>
      <c r="DI184" s="138"/>
      <c r="DJ184" s="142">
        <f>DJ171+DJ237</f>
        <v>10421.261239949999</v>
      </c>
      <c r="DK184" s="399"/>
      <c r="DL184" s="1282"/>
      <c r="DM184" s="810"/>
      <c r="DN184" s="810"/>
      <c r="DO184" s="810"/>
      <c r="DP184" s="1053"/>
      <c r="DQ184" s="1053"/>
      <c r="DR184" s="1136"/>
      <c r="DS184" s="1113"/>
      <c r="DT184" s="1113"/>
      <c r="DU184" s="1113"/>
      <c r="DV184" s="810"/>
      <c r="DW184" s="810"/>
      <c r="DX184" s="810"/>
      <c r="DY184" s="357"/>
      <c r="DZ184" s="143"/>
      <c r="EA184" s="143"/>
      <c r="EB184"/>
      <c r="EC184"/>
      <c r="ED184"/>
      <c r="EE184"/>
      <c r="EF184"/>
      <c r="EG184"/>
    </row>
    <row r="185" spans="1:137" s="398" customFormat="1">
      <c r="A185" s="116" t="s">
        <v>53</v>
      </c>
      <c r="B185" s="80"/>
      <c r="C185" s="80">
        <f>C184/B184-1</f>
        <v>0.2152974504249292</v>
      </c>
      <c r="D185" s="80">
        <f>D184/C184-1</f>
        <v>0.53146853146853146</v>
      </c>
      <c r="E185" s="80">
        <f>E184/D184-1</f>
        <v>4.4520547945205546E-2</v>
      </c>
      <c r="F185" s="80">
        <f>F184/E184-1</f>
        <v>0.29617486338797816</v>
      </c>
      <c r="G185" s="80">
        <f>G184/F184-1</f>
        <v>0.27431141090500288</v>
      </c>
      <c r="H185" s="82"/>
      <c r="I185" s="82"/>
      <c r="J185" s="82"/>
      <c r="K185" s="82"/>
      <c r="L185" s="80">
        <f t="shared" ref="L185:AO185" si="713">L184/G184-1</f>
        <v>0.17909131010145574</v>
      </c>
      <c r="M185" s="82">
        <f t="shared" si="713"/>
        <v>0.17435897435897441</v>
      </c>
      <c r="N185" s="82">
        <f t="shared" si="713"/>
        <v>0.16097922848664692</v>
      </c>
      <c r="O185" s="82">
        <f t="shared" si="713"/>
        <v>6.6666666666666652E-2</v>
      </c>
      <c r="P185" s="82">
        <f t="shared" si="713"/>
        <v>8.0656185919343759E-2</v>
      </c>
      <c r="Q185" s="80">
        <f t="shared" si="713"/>
        <v>0.11784511784511786</v>
      </c>
      <c r="R185" s="82">
        <f t="shared" si="713"/>
        <v>-8.3697234352256178E-2</v>
      </c>
      <c r="S185" s="82">
        <f t="shared" si="713"/>
        <v>-0.17827476038338663</v>
      </c>
      <c r="T185" s="82">
        <f t="shared" si="713"/>
        <v>-0.11881868131868134</v>
      </c>
      <c r="U185" s="83">
        <f t="shared" si="713"/>
        <v>-6.5148640101201805E-2</v>
      </c>
      <c r="V185" s="80">
        <f t="shared" si="713"/>
        <v>-0.11211512717536809</v>
      </c>
      <c r="W185" s="83">
        <f t="shared" si="713"/>
        <v>-9.6902303415409063E-2</v>
      </c>
      <c r="X185" s="82">
        <f t="shared" si="713"/>
        <v>-1.4774494556765161E-2</v>
      </c>
      <c r="Y185" s="83">
        <f t="shared" si="713"/>
        <v>-0.16991426344505067</v>
      </c>
      <c r="Z185" s="83">
        <f t="shared" si="713"/>
        <v>5.1420838971583116E-2</v>
      </c>
      <c r="AA185" s="84">
        <f t="shared" si="713"/>
        <v>-5.3335846211835625E-2</v>
      </c>
      <c r="AB185" s="83">
        <f t="shared" si="713"/>
        <v>-9.674582233949014E-3</v>
      </c>
      <c r="AC185" s="82">
        <f t="shared" si="713"/>
        <v>-1.7363851617995252E-2</v>
      </c>
      <c r="AD185" s="82">
        <f t="shared" si="713"/>
        <v>0.20375586854460104</v>
      </c>
      <c r="AE185" s="82">
        <f t="shared" si="713"/>
        <v>-0.11502574002574006</v>
      </c>
      <c r="AF185" s="80">
        <f t="shared" si="713"/>
        <v>1.0451921162650812E-3</v>
      </c>
      <c r="AG185" s="83">
        <f t="shared" si="713"/>
        <v>0.13232682060390766</v>
      </c>
      <c r="AH185" s="82">
        <f t="shared" si="713"/>
        <v>0.14457831325301207</v>
      </c>
      <c r="AI185" s="82">
        <f t="shared" si="713"/>
        <v>7.9563182527301102E-2</v>
      </c>
      <c r="AJ185" s="82">
        <f t="shared" si="713"/>
        <v>-2.7085984366478799E-2</v>
      </c>
      <c r="AK185" s="80">
        <f t="shared" si="713"/>
        <v>7.8307562273156606E-2</v>
      </c>
      <c r="AL185" s="82">
        <f t="shared" si="713"/>
        <v>5.9607843137254868E-2</v>
      </c>
      <c r="AM185" s="82">
        <f>AM184/AH184-1</f>
        <v>7.9298245614034979E-2</v>
      </c>
      <c r="AN185" s="82">
        <f>AN184/AI184-1</f>
        <v>7.3699421965317979E-2</v>
      </c>
      <c r="AO185" s="82">
        <f t="shared" si="713"/>
        <v>-1.7189835575485812E-2</v>
      </c>
      <c r="AP185" s="80">
        <f t="shared" ref="AP185" si="714">AP184/AK184-1</f>
        <v>4.9428255256362963E-2</v>
      </c>
      <c r="AQ185" s="82">
        <f t="shared" ref="AQ185:AZ185" si="715">AQ184/AL184-1</f>
        <v>0.23538119911176913</v>
      </c>
      <c r="AR185" s="82">
        <f t="shared" si="715"/>
        <v>8.4525357607282192E-2</v>
      </c>
      <c r="AS185" s="82">
        <f t="shared" si="715"/>
        <v>0.10296096904441443</v>
      </c>
      <c r="AT185" s="82">
        <f t="shared" si="715"/>
        <v>0.31482889733840302</v>
      </c>
      <c r="AU185" s="80">
        <f t="shared" si="715"/>
        <v>0.17838312829525482</v>
      </c>
      <c r="AV185" s="82">
        <f t="shared" si="715"/>
        <v>-4.1342121030557233E-2</v>
      </c>
      <c r="AW185" s="82">
        <f t="shared" si="715"/>
        <v>1.3788968824939962E-2</v>
      </c>
      <c r="AX185" s="82">
        <f t="shared" si="715"/>
        <v>-2.9896278218425887E-2</v>
      </c>
      <c r="AY185" s="82">
        <f t="shared" si="715"/>
        <v>-8.5598611914401435E-2</v>
      </c>
      <c r="AZ185" s="80">
        <f t="shared" si="715"/>
        <v>-3.6241610738255048E-2</v>
      </c>
      <c r="BA185" s="80"/>
      <c r="BB185" s="82">
        <f>BB184/BA184-1</f>
        <v>-0.70667838312829523</v>
      </c>
      <c r="BC185" s="82">
        <f>BC184/AQ184-1</f>
        <v>-5.9916117435587779E-4</v>
      </c>
      <c r="BD185" s="82">
        <f>BD184/AR184-1</f>
        <v>-1.7386091127098324E-2</v>
      </c>
      <c r="BE185" s="82">
        <f>BE184/AS184-1</f>
        <v>5.4911531421598436E-2</v>
      </c>
      <c r="BF185" s="80"/>
      <c r="BG185" s="82">
        <f>BG184/BF184-1</f>
        <v>-0.76137211036539898</v>
      </c>
      <c r="BH185" s="82">
        <f>BH184/AV184-1</f>
        <v>5.6875000000000009E-2</v>
      </c>
      <c r="BI185" s="82">
        <f>BI184/AW184-1</f>
        <v>-5.9727971614429332E-2</v>
      </c>
      <c r="BJ185" s="82">
        <f>BJ184/AX184-1</f>
        <v>-5.6603773584905648E-3</v>
      </c>
      <c r="BK185" s="80"/>
      <c r="BL185" s="82">
        <f>BL184/BK184-1</f>
        <v>-0.75348189415041777</v>
      </c>
      <c r="BM185" s="82">
        <f>BM184/BA184-1</f>
        <v>-0.67258347978910371</v>
      </c>
      <c r="BN185" s="82"/>
      <c r="BO185" s="82"/>
      <c r="BP185" s="80"/>
      <c r="BQ185" s="80"/>
      <c r="BR185" s="82"/>
      <c r="BS185" s="82"/>
      <c r="BT185" s="82"/>
      <c r="BU185" s="82"/>
      <c r="BV185" s="80"/>
      <c r="BW185" s="85">
        <f>BW184/BR184-1</f>
        <v>4.5291157440690233E-2</v>
      </c>
      <c r="BX185" s="82">
        <f t="shared" ref="BX185" si="716">BX184/BS184-1</f>
        <v>0.10072416063199463</v>
      </c>
      <c r="BY185" s="82">
        <f t="shared" ref="BY185" si="717">BY184/BT184-1</f>
        <v>0.31862745098039214</v>
      </c>
      <c r="BZ185" s="82">
        <f>BZ184/BU184-1</f>
        <v>0.25357142857142856</v>
      </c>
      <c r="CA185" s="80">
        <f>CA184/BV184-1</f>
        <v>0.17880794701986757</v>
      </c>
      <c r="CB185" s="85">
        <f>CB184/BW184-1</f>
        <v>-1.3755158184319161E-2</v>
      </c>
      <c r="CC185" s="82">
        <f t="shared" ref="CC185:CD185" si="718">CC184/BX184-1</f>
        <v>6.5191387559808689E-2</v>
      </c>
      <c r="CD185" s="82">
        <f t="shared" si="718"/>
        <v>-8.2846521508231574E-2</v>
      </c>
      <c r="CE185" s="82">
        <f>CE184/BZ184-1</f>
        <v>0.23874643874643864</v>
      </c>
      <c r="CF185" s="80">
        <f>CF184/CA184-1</f>
        <v>5.2040212891780069E-2</v>
      </c>
      <c r="CG185" s="85"/>
      <c r="CH185" s="82"/>
      <c r="CI185" s="82"/>
      <c r="CJ185" s="82"/>
      <c r="CK185" s="80"/>
      <c r="CL185" s="85"/>
      <c r="CM185" s="82"/>
      <c r="CN185" s="82"/>
      <c r="CO185" s="82"/>
      <c r="CP185" s="80">
        <f>CP184/CK184-1</f>
        <v>0.11635087719298243</v>
      </c>
      <c r="CQ185" s="82"/>
      <c r="CR185" s="82"/>
      <c r="CS185" s="82"/>
      <c r="CT185" s="82"/>
      <c r="CU185" s="80">
        <f>CU184/CP184-1</f>
        <v>3.5359567513200796E-2</v>
      </c>
      <c r="CV185" s="82"/>
      <c r="CW185" s="82"/>
      <c r="CX185" s="82"/>
      <c r="CY185" s="81"/>
      <c r="CZ185" s="80">
        <f>CZ184/CU184-1</f>
        <v>8.0534956437266603E-2</v>
      </c>
      <c r="DA185" s="82"/>
      <c r="DB185" s="82"/>
      <c r="DC185" s="82"/>
      <c r="DD185" s="81"/>
      <c r="DE185" s="80">
        <f>DE184/CZ184-1</f>
        <v>0.12716841609554352</v>
      </c>
      <c r="DF185" s="82"/>
      <c r="DG185" s="82"/>
      <c r="DH185" s="82"/>
      <c r="DI185" s="81"/>
      <c r="DJ185" s="80">
        <f>DJ184/DE184-1</f>
        <v>3.9000754140006366E-2</v>
      </c>
      <c r="DK185" s="397"/>
      <c r="DL185" s="74"/>
      <c r="DM185" s="810"/>
      <c r="DN185" s="810"/>
      <c r="DO185" s="809"/>
      <c r="DP185" s="1054"/>
      <c r="DQ185" s="1053"/>
      <c r="DR185" s="1053"/>
      <c r="DS185" s="810"/>
      <c r="DT185" s="810"/>
      <c r="DU185" s="809"/>
      <c r="DV185" s="809"/>
      <c r="DW185" s="809"/>
      <c r="DX185" s="809"/>
      <c r="DY185" s="360"/>
      <c r="DZ185" s="167"/>
      <c r="EA185" s="167"/>
      <c r="EB185"/>
      <c r="EC185"/>
      <c r="ED185"/>
      <c r="EE185"/>
      <c r="EF185"/>
      <c r="EG185"/>
    </row>
    <row r="186" spans="1:137" s="398" customFormat="1">
      <c r="A186" s="165" t="s">
        <v>106</v>
      </c>
      <c r="B186" s="21">
        <f t="shared" ref="B186:AO186" si="719">B184/B$55</f>
        <v>5.891188251001335E-2</v>
      </c>
      <c r="C186" s="21">
        <f t="shared" si="719"/>
        <v>6.46035690083578E-2</v>
      </c>
      <c r="D186" s="21">
        <f t="shared" si="719"/>
        <v>8.2620724346076466E-2</v>
      </c>
      <c r="E186" s="21">
        <f t="shared" si="719"/>
        <v>7.7267353487586551E-2</v>
      </c>
      <c r="F186" s="21">
        <f t="shared" si="719"/>
        <v>9.5611748582484613E-2</v>
      </c>
      <c r="G186" s="21">
        <f t="shared" si="719"/>
        <v>0.11443715295305401</v>
      </c>
      <c r="H186" s="18">
        <f t="shared" si="719"/>
        <v>0.12614555256064691</v>
      </c>
      <c r="I186" s="37">
        <f t="shared" si="719"/>
        <v>0.12656088630175572</v>
      </c>
      <c r="J186" s="37">
        <f t="shared" si="719"/>
        <v>0.12302839116719243</v>
      </c>
      <c r="K186" s="18">
        <f t="shared" si="719"/>
        <v>0.13495065030901207</v>
      </c>
      <c r="L186" s="21">
        <f t="shared" si="719"/>
        <v>0.1277053174716927</v>
      </c>
      <c r="M186" s="37">
        <f t="shared" si="719"/>
        <v>0.13763397776219574</v>
      </c>
      <c r="N186" s="37">
        <f t="shared" si="719"/>
        <v>0.14177008787027812</v>
      </c>
      <c r="O186" s="37">
        <f t="shared" si="719"/>
        <v>0.13765718067504965</v>
      </c>
      <c r="P186" s="18">
        <f t="shared" si="719"/>
        <v>0.14202299676607977</v>
      </c>
      <c r="Q186" s="21">
        <f t="shared" si="719"/>
        <v>0.13985162996419462</v>
      </c>
      <c r="R186" s="37">
        <f t="shared" si="719"/>
        <v>0.12137279475561553</v>
      </c>
      <c r="S186" s="37">
        <f t="shared" si="719"/>
        <v>0.11614884393063583</v>
      </c>
      <c r="T186" s="37">
        <f t="shared" si="719"/>
        <v>0.11916039751091298</v>
      </c>
      <c r="U186" s="18">
        <f t="shared" si="719"/>
        <v>0.12111775792837827</v>
      </c>
      <c r="V186" s="21">
        <f t="shared" si="719"/>
        <v>0.1194641449960599</v>
      </c>
      <c r="W186" s="37">
        <f t="shared" si="719"/>
        <v>0.10999322820934507</v>
      </c>
      <c r="X186" s="37">
        <f t="shared" si="719"/>
        <v>0.112322695035461</v>
      </c>
      <c r="Y186" s="37">
        <f t="shared" si="719"/>
        <v>9.3890505157365772E-2</v>
      </c>
      <c r="Z186" s="18">
        <f t="shared" si="719"/>
        <v>0.12177729018102029</v>
      </c>
      <c r="AA186" s="21">
        <f t="shared" si="719"/>
        <v>0.10986198902036264</v>
      </c>
      <c r="AB186" s="37">
        <f t="shared" si="719"/>
        <v>0.1059664972708451</v>
      </c>
      <c r="AC186" s="37">
        <f t="shared" si="719"/>
        <v>0.10785757602009877</v>
      </c>
      <c r="AD186" s="37">
        <f t="shared" si="719"/>
        <v>0.10578430563577854</v>
      </c>
      <c r="AE186" s="18">
        <f t="shared" si="719"/>
        <v>0.11262386372942429</v>
      </c>
      <c r="AF186" s="21">
        <f t="shared" si="719"/>
        <v>0.10813673412331448</v>
      </c>
      <c r="AG186" s="37">
        <f t="shared" si="719"/>
        <v>0.11290179757371824</v>
      </c>
      <c r="AH186" s="37">
        <f t="shared" si="719"/>
        <v>0.1195369515980203</v>
      </c>
      <c r="AI186" s="37">
        <f t="shared" si="719"/>
        <v>0.11660628528098407</v>
      </c>
      <c r="AJ186" s="18">
        <f t="shared" si="719"/>
        <v>0.11058765187205555</v>
      </c>
      <c r="AK186" s="21">
        <f t="shared" si="719"/>
        <v>0.11491670552329278</v>
      </c>
      <c r="AL186" s="37">
        <f t="shared" si="719"/>
        <v>0.12204155374887082</v>
      </c>
      <c r="AM186" s="37">
        <f>AM184/AM$55</f>
        <v>0.13481767180925666</v>
      </c>
      <c r="AN186" s="37">
        <f>AN184/AN$55</f>
        <v>0.13095972503745484</v>
      </c>
      <c r="AO186" s="18">
        <f t="shared" si="719"/>
        <v>0.11402063643457903</v>
      </c>
      <c r="AP186" s="21">
        <f t="shared" ref="AP186:BF186" si="720">AP184/AP$55</f>
        <v>0.12544644825609594</v>
      </c>
      <c r="AQ186" s="37">
        <f t="shared" si="720"/>
        <v>0.15671361502347417</v>
      </c>
      <c r="AR186" s="37">
        <f t="shared" si="720"/>
        <v>0.14753228374314523</v>
      </c>
      <c r="AS186" s="37">
        <f t="shared" si="720"/>
        <v>0.14747165736908405</v>
      </c>
      <c r="AT186" s="18">
        <f t="shared" si="720"/>
        <v>0.13798882681564245</v>
      </c>
      <c r="AU186" s="21">
        <f t="shared" si="720"/>
        <v>0.14703947368421053</v>
      </c>
      <c r="AV186" s="37">
        <f t="shared" ref="AV186:BA186" si="721">AV184/AV$55</f>
        <v>0.15824349718128772</v>
      </c>
      <c r="AW186" s="37">
        <f t="shared" si="721"/>
        <v>0.14523748174869019</v>
      </c>
      <c r="AX186" s="37">
        <f t="shared" si="721"/>
        <v>0.1387313497949568</v>
      </c>
      <c r="AY186" s="18">
        <f t="shared" si="721"/>
        <v>0.12239684137183557</v>
      </c>
      <c r="AZ186" s="21">
        <f t="shared" si="721"/>
        <v>0.14007630278331742</v>
      </c>
      <c r="BA186" s="21">
        <f t="shared" si="721"/>
        <v>0.12544644825609594</v>
      </c>
      <c r="BB186" s="37">
        <f t="shared" ref="BB186:BE186" si="722">BB184/BB$55</f>
        <v>0.15671361502347417</v>
      </c>
      <c r="BC186" s="37">
        <f t="shared" si="722"/>
        <v>0.14753228374314523</v>
      </c>
      <c r="BD186" s="37">
        <f t="shared" si="722"/>
        <v>0.14747165736908405</v>
      </c>
      <c r="BE186" s="18">
        <f t="shared" si="722"/>
        <v>0.13798882681564245</v>
      </c>
      <c r="BF186" s="21">
        <f t="shared" si="720"/>
        <v>0.14703947368421053</v>
      </c>
      <c r="BG186" s="37">
        <f t="shared" ref="BG186:BJ186" si="723">BG184/BG$55</f>
        <v>0.15824349718128772</v>
      </c>
      <c r="BH186" s="37">
        <f t="shared" si="723"/>
        <v>0.14523748174869019</v>
      </c>
      <c r="BI186" s="37">
        <f t="shared" si="723"/>
        <v>0.1387313497949568</v>
      </c>
      <c r="BJ186" s="18">
        <f t="shared" si="723"/>
        <v>0.12239684137183557</v>
      </c>
      <c r="BK186" s="21">
        <f t="shared" ref="BK186:BM186" si="724">BK184/BK$55</f>
        <v>0.14007630278331742</v>
      </c>
      <c r="BL186" s="37">
        <f t="shared" si="724"/>
        <v>0.13613057596991968</v>
      </c>
      <c r="BM186" s="37">
        <f t="shared" si="724"/>
        <v>0.14426204119560168</v>
      </c>
      <c r="BN186" s="37"/>
      <c r="BO186" s="18"/>
      <c r="BP186" s="21"/>
      <c r="BQ186" s="21">
        <f>BQ184/BQ$55</f>
        <v>0.15025284133580333</v>
      </c>
      <c r="BR186" s="37">
        <f t="shared" ref="BR186:BY186" si="725">BR184/BR$55</f>
        <v>0.15950005733287467</v>
      </c>
      <c r="BS186" s="37">
        <f t="shared" si="725"/>
        <v>0.14841231069858329</v>
      </c>
      <c r="BT186" s="37">
        <f t="shared" si="725"/>
        <v>0.14194831013916501</v>
      </c>
      <c r="BU186" s="18">
        <f t="shared" si="725"/>
        <v>0.12152777777777778</v>
      </c>
      <c r="BV186" s="21">
        <f t="shared" si="725"/>
        <v>0.14155318729030986</v>
      </c>
      <c r="BW186" s="37">
        <f t="shared" si="725"/>
        <v>0.1402391975308642</v>
      </c>
      <c r="BX186" s="37">
        <f t="shared" si="725"/>
        <v>0.1444242895396044</v>
      </c>
      <c r="BY186" s="37">
        <f t="shared" si="725"/>
        <v>0.16301618907453899</v>
      </c>
      <c r="BZ186" s="18">
        <f>BZ184/BZ$55</f>
        <v>0.12761780104712042</v>
      </c>
      <c r="CA186" s="21">
        <f>CA184/CA$55</f>
        <v>0.14315949881476464</v>
      </c>
      <c r="CB186" s="37">
        <f t="shared" ref="CB186:CD186" si="726">CB184/CB$55</f>
        <v>0.12969159808266256</v>
      </c>
      <c r="CC186" s="37">
        <f t="shared" si="726"/>
        <v>0.14040204966495862</v>
      </c>
      <c r="CD186" s="37">
        <f t="shared" si="726"/>
        <v>0.14191798833100502</v>
      </c>
      <c r="CE186" s="18">
        <f>CE184/CE$55</f>
        <v>0.14362158948272444</v>
      </c>
      <c r="CF186" s="21">
        <f>CF184/CF$55</f>
        <v>0.13939821344616832</v>
      </c>
      <c r="CG186" s="37"/>
      <c r="CH186" s="37"/>
      <c r="CI186" s="37"/>
      <c r="CJ186" s="18"/>
      <c r="CK186" s="21">
        <f>CK184/CK$55</f>
        <v>0.15057058326289097</v>
      </c>
      <c r="CL186" s="37"/>
      <c r="CM186" s="37"/>
      <c r="CN186" s="37"/>
      <c r="CO186" s="18"/>
      <c r="CP186" s="21">
        <f>CP184/CP$55</f>
        <v>0.15915639506963342</v>
      </c>
      <c r="CQ186" s="18">
        <f t="shared" ref="CQ186:CT186" si="727">CQ184/CQ$55</f>
        <v>0.1680225225225225</v>
      </c>
      <c r="CR186" s="18">
        <f t="shared" si="727"/>
        <v>0.16039455252918289</v>
      </c>
      <c r="CS186" s="18">
        <f t="shared" si="727"/>
        <v>0.16387131147540987</v>
      </c>
      <c r="CT186" s="18">
        <f t="shared" si="727"/>
        <v>0.15246864686468647</v>
      </c>
      <c r="CU186" s="21">
        <f>CU184/CU$55</f>
        <v>0.16053118908382066</v>
      </c>
      <c r="CV186" s="20"/>
      <c r="CW186" s="20"/>
      <c r="CX186" s="20"/>
      <c r="CY186" s="38"/>
      <c r="CZ186" s="21">
        <f>CZ184/CZ$55</f>
        <v>0.163152041583396</v>
      </c>
      <c r="DA186" s="20"/>
      <c r="DB186" s="20"/>
      <c r="DC186" s="20"/>
      <c r="DD186" s="38"/>
      <c r="DE186" s="21">
        <f>DE184/DE$55</f>
        <v>0.17565947580691066</v>
      </c>
      <c r="DF186" s="20"/>
      <c r="DG186" s="20"/>
      <c r="DH186" s="20"/>
      <c r="DI186" s="38"/>
      <c r="DJ186" s="21">
        <f>DJ184/DJ$55</f>
        <v>0.1767033571867051</v>
      </c>
      <c r="DK186" s="397"/>
      <c r="DL186" s="1285"/>
      <c r="DM186" s="809"/>
      <c r="DN186" s="809"/>
      <c r="DO186" s="809"/>
      <c r="DP186" s="1054"/>
      <c r="DQ186" s="1054"/>
      <c r="DR186" s="1054"/>
      <c r="DS186" s="809"/>
      <c r="DT186" s="809"/>
      <c r="DU186" s="809"/>
      <c r="DV186" s="809"/>
      <c r="DW186" s="809"/>
      <c r="DX186" s="809"/>
      <c r="DY186" s="360"/>
      <c r="DZ186" s="167"/>
      <c r="EA186" s="167"/>
      <c r="EB186"/>
      <c r="EC186"/>
      <c r="ED186"/>
      <c r="EE186"/>
      <c r="EF186"/>
      <c r="EG186"/>
    </row>
    <row r="187" spans="1:137" s="144" customFormat="1">
      <c r="A187" s="258" t="s">
        <v>8</v>
      </c>
      <c r="B187" s="174">
        <f t="shared" ref="B187:AG187" si="728">B184-B180</f>
        <v>1326</v>
      </c>
      <c r="C187" s="174">
        <f t="shared" si="728"/>
        <v>1473</v>
      </c>
      <c r="D187" s="174">
        <f t="shared" si="728"/>
        <v>2928</v>
      </c>
      <c r="E187" s="174">
        <f t="shared" si="728"/>
        <v>3340</v>
      </c>
      <c r="F187" s="174">
        <f t="shared" si="728"/>
        <v>4184</v>
      </c>
      <c r="G187" s="174">
        <f t="shared" si="728"/>
        <v>4809</v>
      </c>
      <c r="H187" s="197">
        <f t="shared" si="728"/>
        <v>1184</v>
      </c>
      <c r="I187" s="259">
        <f t="shared" si="728"/>
        <v>1362</v>
      </c>
      <c r="J187" s="259">
        <f t="shared" si="728"/>
        <v>1383</v>
      </c>
      <c r="K187" s="197">
        <f t="shared" si="728"/>
        <v>1475</v>
      </c>
      <c r="L187" s="174">
        <f t="shared" si="728"/>
        <v>5404</v>
      </c>
      <c r="M187" s="259">
        <f t="shared" si="728"/>
        <v>1342</v>
      </c>
      <c r="N187" s="259">
        <f t="shared" si="728"/>
        <v>1533</v>
      </c>
      <c r="O187" s="259">
        <f t="shared" si="728"/>
        <v>1424</v>
      </c>
      <c r="P187" s="197">
        <f t="shared" si="728"/>
        <v>1549</v>
      </c>
      <c r="Q187" s="174">
        <f t="shared" si="728"/>
        <v>5848</v>
      </c>
      <c r="R187" s="259">
        <f t="shared" si="728"/>
        <v>1373</v>
      </c>
      <c r="S187" s="259">
        <f t="shared" si="728"/>
        <v>1401</v>
      </c>
      <c r="T187" s="259">
        <f t="shared" si="728"/>
        <v>1396</v>
      </c>
      <c r="U187" s="197">
        <f t="shared" si="728"/>
        <v>1592</v>
      </c>
      <c r="V187" s="174">
        <f t="shared" si="728"/>
        <v>5762</v>
      </c>
      <c r="W187" s="259">
        <f t="shared" si="728"/>
        <v>1247</v>
      </c>
      <c r="X187" s="259">
        <f t="shared" si="728"/>
        <v>1377</v>
      </c>
      <c r="Y187" s="259">
        <f t="shared" si="728"/>
        <v>1176</v>
      </c>
      <c r="Z187" s="197">
        <f t="shared" si="728"/>
        <v>1677</v>
      </c>
      <c r="AA187" s="174">
        <f t="shared" si="728"/>
        <v>5477</v>
      </c>
      <c r="AB187" s="259">
        <f t="shared" si="728"/>
        <v>1357</v>
      </c>
      <c r="AC187" s="259">
        <f t="shared" si="728"/>
        <v>1475</v>
      </c>
      <c r="AD187" s="259">
        <f t="shared" si="728"/>
        <v>1513</v>
      </c>
      <c r="AE187" s="197">
        <f t="shared" si="728"/>
        <v>1605.25</v>
      </c>
      <c r="AF187" s="174">
        <f t="shared" si="728"/>
        <v>5950.25</v>
      </c>
      <c r="AG187" s="259">
        <f t="shared" si="728"/>
        <v>1482</v>
      </c>
      <c r="AH187" s="259">
        <f t="shared" ref="AH187:BM187" si="729">AH184-AH180</f>
        <v>1633</v>
      </c>
      <c r="AI187" s="259">
        <f t="shared" si="729"/>
        <v>1591</v>
      </c>
      <c r="AJ187" s="197">
        <f t="shared" si="729"/>
        <v>1546</v>
      </c>
      <c r="AK187" s="174">
        <f t="shared" si="729"/>
        <v>6252</v>
      </c>
      <c r="AL187" s="259">
        <f t="shared" si="729"/>
        <v>1472</v>
      </c>
      <c r="AM187" s="259">
        <f t="shared" si="729"/>
        <v>1658</v>
      </c>
      <c r="AN187" s="259">
        <f t="shared" si="729"/>
        <v>1607</v>
      </c>
      <c r="AO187" s="197">
        <f t="shared" si="729"/>
        <v>1435</v>
      </c>
      <c r="AP187" s="174">
        <f t="shared" si="729"/>
        <v>6172</v>
      </c>
      <c r="AQ187" s="259">
        <f t="shared" si="729"/>
        <v>1583</v>
      </c>
      <c r="AR187" s="259">
        <f t="shared" si="729"/>
        <v>1583</v>
      </c>
      <c r="AS187" s="259">
        <f t="shared" si="729"/>
        <v>1555</v>
      </c>
      <c r="AT187" s="197">
        <f t="shared" si="729"/>
        <v>1608</v>
      </c>
      <c r="AU187" s="174">
        <f t="shared" si="729"/>
        <v>6329</v>
      </c>
      <c r="AV187" s="259">
        <f t="shared" si="729"/>
        <v>1481</v>
      </c>
      <c r="AW187" s="259">
        <f t="shared" si="729"/>
        <v>1571</v>
      </c>
      <c r="AX187" s="259">
        <f t="shared" si="729"/>
        <v>1471</v>
      </c>
      <c r="AY187" s="197">
        <f t="shared" si="729"/>
        <v>1468</v>
      </c>
      <c r="AZ187" s="174">
        <f t="shared" si="729"/>
        <v>5991</v>
      </c>
      <c r="BA187" s="174">
        <f t="shared" si="729"/>
        <v>6172</v>
      </c>
      <c r="BB187" s="259">
        <f t="shared" si="729"/>
        <v>1583</v>
      </c>
      <c r="BC187" s="259">
        <f t="shared" si="729"/>
        <v>1583</v>
      </c>
      <c r="BD187" s="259">
        <f t="shared" si="729"/>
        <v>1555</v>
      </c>
      <c r="BE187" s="197">
        <f t="shared" si="729"/>
        <v>1608</v>
      </c>
      <c r="BF187" s="174">
        <f t="shared" si="729"/>
        <v>6329</v>
      </c>
      <c r="BG187" s="259">
        <f t="shared" si="729"/>
        <v>1481</v>
      </c>
      <c r="BH187" s="259">
        <f t="shared" si="729"/>
        <v>1571</v>
      </c>
      <c r="BI187" s="259">
        <f t="shared" si="729"/>
        <v>1471</v>
      </c>
      <c r="BJ187" s="197">
        <f t="shared" si="729"/>
        <v>1468</v>
      </c>
      <c r="BK187" s="174">
        <f t="shared" si="729"/>
        <v>5991</v>
      </c>
      <c r="BL187" s="259">
        <f t="shared" si="729"/>
        <v>1347</v>
      </c>
      <c r="BM187" s="259">
        <f t="shared" si="729"/>
        <v>1620</v>
      </c>
      <c r="BN187" s="259"/>
      <c r="BO187" s="197"/>
      <c r="BP187" s="174"/>
      <c r="BQ187" s="174">
        <f t="shared" ref="BQ187:CF187" si="730">BQ184-BQ180</f>
        <v>5685</v>
      </c>
      <c r="BR187" s="259">
        <f t="shared" si="730"/>
        <v>1272</v>
      </c>
      <c r="BS187" s="259">
        <f t="shared" si="730"/>
        <v>1399</v>
      </c>
      <c r="BT187" s="259">
        <f t="shared" si="730"/>
        <v>1309</v>
      </c>
      <c r="BU187" s="197">
        <f t="shared" si="730"/>
        <v>1358</v>
      </c>
      <c r="BV187" s="174">
        <f t="shared" si="730"/>
        <v>5338</v>
      </c>
      <c r="BW187" s="259">
        <f t="shared" si="730"/>
        <v>1230</v>
      </c>
      <c r="BX187" s="259">
        <f t="shared" si="730"/>
        <v>1450</v>
      </c>
      <c r="BY187" s="259">
        <f t="shared" si="730"/>
        <v>1657</v>
      </c>
      <c r="BZ187" s="197">
        <f t="shared" si="730"/>
        <v>1525</v>
      </c>
      <c r="CA187" s="174">
        <f t="shared" si="730"/>
        <v>5862</v>
      </c>
      <c r="CB187" s="259">
        <f t="shared" si="730"/>
        <v>1217</v>
      </c>
      <c r="CC187" s="259">
        <f t="shared" si="730"/>
        <v>1562</v>
      </c>
      <c r="CD187" s="259">
        <f t="shared" si="730"/>
        <v>1507</v>
      </c>
      <c r="CE187" s="197">
        <f t="shared" si="730"/>
        <v>1954</v>
      </c>
      <c r="CF187" s="174">
        <f t="shared" si="730"/>
        <v>6240</v>
      </c>
      <c r="CG187" s="259"/>
      <c r="CH187" s="259"/>
      <c r="CI187" s="259"/>
      <c r="CJ187" s="197"/>
      <c r="CK187" s="174">
        <f>CK184-CK180</f>
        <v>6223</v>
      </c>
      <c r="CL187" s="259"/>
      <c r="CM187" s="259"/>
      <c r="CN187" s="259"/>
      <c r="CO187" s="197"/>
      <c r="CP187" s="174">
        <f t="shared" ref="CP187:CU187" si="731">CP184-CP180</f>
        <v>7078</v>
      </c>
      <c r="CQ187" s="197">
        <f t="shared" si="731"/>
        <v>1610.05</v>
      </c>
      <c r="CR187" s="197">
        <f t="shared" si="731"/>
        <v>1806.0700000000002</v>
      </c>
      <c r="CS187" s="197">
        <f t="shared" si="731"/>
        <v>1744.2300000000002</v>
      </c>
      <c r="CT187" s="197">
        <f t="shared" si="731"/>
        <v>2064.9</v>
      </c>
      <c r="CU187" s="174">
        <f t="shared" si="731"/>
        <v>7225.25</v>
      </c>
      <c r="CV187" s="176"/>
      <c r="CW187" s="176"/>
      <c r="CX187" s="176"/>
      <c r="CY187" s="175"/>
      <c r="CZ187" s="174">
        <f>CZ184-CZ180</f>
        <v>7848.4755000000005</v>
      </c>
      <c r="DA187" s="176"/>
      <c r="DB187" s="176"/>
      <c r="DC187" s="176"/>
      <c r="DD187" s="175"/>
      <c r="DE187" s="174">
        <f>DE184-DE180</f>
        <v>7430.080535000001</v>
      </c>
      <c r="DF187" s="176"/>
      <c r="DG187" s="176"/>
      <c r="DH187" s="176"/>
      <c r="DI187" s="175"/>
      <c r="DJ187" s="174">
        <f>DJ184-DJ180</f>
        <v>7821.2612399499994</v>
      </c>
      <c r="DK187" s="399"/>
      <c r="DL187" s="1282"/>
      <c r="DM187" s="810"/>
      <c r="DN187" s="810"/>
      <c r="DO187" s="810"/>
      <c r="DP187" s="1053"/>
      <c r="DQ187" s="1053"/>
      <c r="DR187" s="1053"/>
      <c r="DS187" s="810"/>
      <c r="DT187" s="810"/>
      <c r="DU187" s="810"/>
      <c r="DV187" s="810"/>
      <c r="DW187" s="810"/>
      <c r="DX187" s="810"/>
      <c r="DY187" s="357"/>
      <c r="DZ187" s="143"/>
      <c r="EA187" s="143"/>
      <c r="EB187"/>
      <c r="EC187"/>
      <c r="ED187"/>
      <c r="EE187"/>
      <c r="EF187"/>
      <c r="EG187"/>
    </row>
    <row r="188" spans="1:137" s="398" customFormat="1">
      <c r="A188" s="116" t="s">
        <v>53</v>
      </c>
      <c r="B188" s="80"/>
      <c r="C188" s="80">
        <f>C187/B187-1</f>
        <v>0.11085972850678738</v>
      </c>
      <c r="D188" s="80">
        <f>D187/C187-1</f>
        <v>0.98778004073319758</v>
      </c>
      <c r="E188" s="80">
        <f>E187/D187-1</f>
        <v>0.1407103825136613</v>
      </c>
      <c r="F188" s="80">
        <f>F187/E187-1</f>
        <v>0.25269461077844313</v>
      </c>
      <c r="G188" s="80">
        <f>G187/F187-1</f>
        <v>0.14937858508604207</v>
      </c>
      <c r="H188" s="82"/>
      <c r="I188" s="82"/>
      <c r="J188" s="82"/>
      <c r="K188" s="82"/>
      <c r="L188" s="80">
        <f t="shared" ref="L188:AO188" si="732">L187/G187-1</f>
        <v>0.12372634643377012</v>
      </c>
      <c r="M188" s="82">
        <f t="shared" si="732"/>
        <v>0.13344594594594605</v>
      </c>
      <c r="N188" s="82">
        <f t="shared" si="732"/>
        <v>0.12555066079295152</v>
      </c>
      <c r="O188" s="82">
        <f t="shared" si="732"/>
        <v>2.9645697758496015E-2</v>
      </c>
      <c r="P188" s="82">
        <f t="shared" si="732"/>
        <v>5.0169491525423826E-2</v>
      </c>
      <c r="Q188" s="80">
        <f t="shared" si="732"/>
        <v>8.216136195410817E-2</v>
      </c>
      <c r="R188" s="82">
        <f t="shared" si="732"/>
        <v>2.3099850968703484E-2</v>
      </c>
      <c r="S188" s="82">
        <f t="shared" si="732"/>
        <v>-8.6105675146771032E-2</v>
      </c>
      <c r="T188" s="82">
        <f t="shared" si="732"/>
        <v>-1.9662921348314599E-2</v>
      </c>
      <c r="U188" s="83">
        <f t="shared" si="732"/>
        <v>2.7759845061329891E-2</v>
      </c>
      <c r="V188" s="80">
        <f t="shared" si="732"/>
        <v>-1.4705882352941124E-2</v>
      </c>
      <c r="W188" s="83">
        <f t="shared" si="732"/>
        <v>-9.1769847050254927E-2</v>
      </c>
      <c r="X188" s="82">
        <f t="shared" si="732"/>
        <v>-1.7130620985010725E-2</v>
      </c>
      <c r="Y188" s="83">
        <f t="shared" si="732"/>
        <v>-0.15759312320916907</v>
      </c>
      <c r="Z188" s="83">
        <f t="shared" si="732"/>
        <v>5.3391959798994915E-2</v>
      </c>
      <c r="AA188" s="84">
        <f t="shared" si="732"/>
        <v>-4.9461992363762586E-2</v>
      </c>
      <c r="AB188" s="83">
        <f t="shared" si="732"/>
        <v>8.8211708099438679E-2</v>
      </c>
      <c r="AC188" s="82">
        <f t="shared" si="732"/>
        <v>7.1169208424110453E-2</v>
      </c>
      <c r="AD188" s="82">
        <f t="shared" si="732"/>
        <v>0.28656462585034004</v>
      </c>
      <c r="AE188" s="82">
        <f t="shared" si="732"/>
        <v>-4.2784734645199718E-2</v>
      </c>
      <c r="AF188" s="80">
        <f t="shared" si="732"/>
        <v>8.6406792039437574E-2</v>
      </c>
      <c r="AG188" s="83">
        <f t="shared" si="732"/>
        <v>9.2114959469417723E-2</v>
      </c>
      <c r="AH188" s="82">
        <f t="shared" si="732"/>
        <v>0.1071186440677967</v>
      </c>
      <c r="AI188" s="82">
        <f t="shared" si="732"/>
        <v>5.1553205551883696E-2</v>
      </c>
      <c r="AJ188" s="82">
        <f t="shared" si="732"/>
        <v>-3.6910138607693543E-2</v>
      </c>
      <c r="AK188" s="80">
        <f t="shared" si="732"/>
        <v>5.0712154951472632E-2</v>
      </c>
      <c r="AL188" s="82">
        <f t="shared" si="732"/>
        <v>-6.7476383265856477E-3</v>
      </c>
      <c r="AM188" s="82">
        <f>AM187/AH187-1</f>
        <v>1.5309246785058184E-2</v>
      </c>
      <c r="AN188" s="82">
        <f>AN187/AI187-1</f>
        <v>1.0056568196103122E-2</v>
      </c>
      <c r="AO188" s="82">
        <f t="shared" si="732"/>
        <v>-7.1798188874514834E-2</v>
      </c>
      <c r="AP188" s="80">
        <f t="shared" ref="AP188" si="733">AP187/AK187-1</f>
        <v>-1.2795905310300726E-2</v>
      </c>
      <c r="AQ188" s="82">
        <f t="shared" ref="AQ188:AZ188" si="734">AQ187/AL187-1</f>
        <v>7.5407608695652106E-2</v>
      </c>
      <c r="AR188" s="82">
        <f t="shared" si="734"/>
        <v>-4.5235223160434268E-2</v>
      </c>
      <c r="AS188" s="82">
        <f t="shared" si="734"/>
        <v>-3.2358431860609826E-2</v>
      </c>
      <c r="AT188" s="82">
        <f t="shared" si="734"/>
        <v>0.12055749128919868</v>
      </c>
      <c r="AU188" s="80">
        <f t="shared" si="734"/>
        <v>2.5437459494491277E-2</v>
      </c>
      <c r="AV188" s="82">
        <f t="shared" si="734"/>
        <v>-6.4434617814276729E-2</v>
      </c>
      <c r="AW188" s="82">
        <f t="shared" si="734"/>
        <v>-7.5805432722678701E-3</v>
      </c>
      <c r="AX188" s="82">
        <f t="shared" si="734"/>
        <v>-5.4019292604501556E-2</v>
      </c>
      <c r="AY188" s="82">
        <f t="shared" si="734"/>
        <v>-8.7064676616915415E-2</v>
      </c>
      <c r="AZ188" s="80">
        <f t="shared" si="734"/>
        <v>-5.3404961289303166E-2</v>
      </c>
      <c r="BA188" s="80"/>
      <c r="BB188" s="82">
        <f>BB187/BA187-1</f>
        <v>-0.74351911860012954</v>
      </c>
      <c r="BC188" s="82">
        <f>BC187/AQ187-1</f>
        <v>0</v>
      </c>
      <c r="BD188" s="82">
        <f>BD187/AR187-1</f>
        <v>-1.7687934301958252E-2</v>
      </c>
      <c r="BE188" s="82">
        <f>BE187/AS187-1</f>
        <v>3.4083601286173604E-2</v>
      </c>
      <c r="BF188" s="80"/>
      <c r="BG188" s="82">
        <f>BG187/BF187-1</f>
        <v>-0.76599778796018325</v>
      </c>
      <c r="BH188" s="82">
        <f>BH187/AV187-1</f>
        <v>6.0769750168804926E-2</v>
      </c>
      <c r="BI188" s="82">
        <f>BI187/AW187-1</f>
        <v>-6.3653723742838952E-2</v>
      </c>
      <c r="BJ188" s="82">
        <f>BJ187/AX187-1</f>
        <v>-2.0394289598911763E-3</v>
      </c>
      <c r="BK188" s="80"/>
      <c r="BL188" s="82">
        <f>BL187/BK187-1</f>
        <v>-0.77516274411617425</v>
      </c>
      <c r="BM188" s="82">
        <f>BM187/BA187-1</f>
        <v>-0.73752430330524954</v>
      </c>
      <c r="BN188" s="82"/>
      <c r="BO188" s="82"/>
      <c r="BP188" s="80"/>
      <c r="BQ188" s="80"/>
      <c r="BR188" s="82"/>
      <c r="BS188" s="82"/>
      <c r="BT188" s="82"/>
      <c r="BU188" s="82"/>
      <c r="BV188" s="80"/>
      <c r="BW188" s="85">
        <f>BW187/BR187-1</f>
        <v>-3.301886792452835E-2</v>
      </c>
      <c r="BX188" s="82">
        <f t="shared" ref="BX188" si="735">BX187/BS187-1</f>
        <v>3.6454610436025714E-2</v>
      </c>
      <c r="BY188" s="82">
        <f t="shared" ref="BY188" si="736">BY187/BT187-1</f>
        <v>0.26585179526355995</v>
      </c>
      <c r="BZ188" s="82">
        <f>BZ187/BU187-1</f>
        <v>0.12297496318114876</v>
      </c>
      <c r="CA188" s="80">
        <f>CA187/BV187-1</f>
        <v>9.8164106406893881E-2</v>
      </c>
      <c r="CB188" s="85">
        <f>CB187/BW187-1</f>
        <v>-1.0569105691056957E-2</v>
      </c>
      <c r="CC188" s="82">
        <f t="shared" ref="CC188:CD188" si="737">CC187/BX187-1</f>
        <v>7.7241379310344804E-2</v>
      </c>
      <c r="CD188" s="82">
        <f t="shared" si="737"/>
        <v>-9.0525045262522585E-2</v>
      </c>
      <c r="CE188" s="82">
        <f>CE187/BZ187-1</f>
        <v>0.28131147540983603</v>
      </c>
      <c r="CF188" s="80">
        <f>CF187/CA187-1</f>
        <v>6.4483111566018492E-2</v>
      </c>
      <c r="CG188" s="85"/>
      <c r="CH188" s="82"/>
      <c r="CI188" s="82"/>
      <c r="CJ188" s="82"/>
      <c r="CK188" s="80"/>
      <c r="CL188" s="85"/>
      <c r="CM188" s="82"/>
      <c r="CN188" s="82"/>
      <c r="CO188" s="82"/>
      <c r="CP188" s="80">
        <f>CP187/CK187-1</f>
        <v>0.1373935400932027</v>
      </c>
      <c r="CQ188" s="82"/>
      <c r="CR188" s="82"/>
      <c r="CS188" s="82"/>
      <c r="CT188" s="82"/>
      <c r="CU188" s="80">
        <f>CU187/CP187-1</f>
        <v>2.0803899406611981E-2</v>
      </c>
      <c r="CV188" s="82"/>
      <c r="CW188" s="82"/>
      <c r="CX188" s="82"/>
      <c r="CY188" s="81"/>
      <c r="CZ188" s="80">
        <f>CZ187/CU187-1</f>
        <v>8.6256600117643023E-2</v>
      </c>
      <c r="DA188" s="82"/>
      <c r="DB188" s="82"/>
      <c r="DC188" s="82"/>
      <c r="DD188" s="81"/>
      <c r="DE188" s="80">
        <f>DE187/CZ187-1</f>
        <v>-5.330907448204425E-2</v>
      </c>
      <c r="DF188" s="82"/>
      <c r="DG188" s="82"/>
      <c r="DH188" s="82"/>
      <c r="DI188" s="81"/>
      <c r="DJ188" s="80">
        <f>DJ187/DE187-1</f>
        <v>5.2648245615550149E-2</v>
      </c>
      <c r="DK188" s="397"/>
      <c r="DL188" s="74"/>
      <c r="DM188" s="867"/>
      <c r="DN188" s="809"/>
      <c r="DO188" s="809"/>
      <c r="DP188" s="1053"/>
      <c r="DQ188" s="1053"/>
      <c r="DR188" s="1053"/>
      <c r="DS188" s="809"/>
      <c r="DT188" s="809"/>
      <c r="DU188" s="809"/>
      <c r="DV188" s="809"/>
      <c r="DW188" s="809"/>
      <c r="DX188" s="809"/>
      <c r="DY188" s="360"/>
      <c r="DZ188" s="167"/>
      <c r="EA188" s="167"/>
      <c r="EB188"/>
      <c r="EC188"/>
      <c r="ED188"/>
      <c r="EE188"/>
      <c r="EF188"/>
      <c r="EG188"/>
    </row>
    <row r="189" spans="1:137" s="398" customFormat="1">
      <c r="A189" s="165" t="s">
        <v>9</v>
      </c>
      <c r="B189" s="21">
        <f t="shared" ref="B189:AO189" si="738">B187/B$55</f>
        <v>5.5323765020026699E-2</v>
      </c>
      <c r="C189" s="21">
        <f t="shared" si="738"/>
        <v>5.5455161508922518E-2</v>
      </c>
      <c r="D189" s="21">
        <f t="shared" si="738"/>
        <v>9.2052313883299805E-2</v>
      </c>
      <c r="E189" s="21">
        <f t="shared" si="738"/>
        <v>9.4015650509486015E-2</v>
      </c>
      <c r="F189" s="21">
        <f t="shared" si="738"/>
        <v>0.11243382688845296</v>
      </c>
      <c r="G189" s="21">
        <f t="shared" si="738"/>
        <v>0.12137809187279151</v>
      </c>
      <c r="H189" s="18">
        <f t="shared" si="738"/>
        <v>0.12765498652291105</v>
      </c>
      <c r="I189" s="37">
        <f t="shared" si="738"/>
        <v>0.12787531687165524</v>
      </c>
      <c r="J189" s="37">
        <f t="shared" si="738"/>
        <v>0.12465074357818837</v>
      </c>
      <c r="K189" s="18">
        <f t="shared" si="738"/>
        <v>0.13605755926575039</v>
      </c>
      <c r="L189" s="21">
        <f t="shared" si="738"/>
        <v>0.1290908222254073</v>
      </c>
      <c r="M189" s="37">
        <f t="shared" si="738"/>
        <v>0.13442852849844736</v>
      </c>
      <c r="N189" s="37">
        <f t="shared" si="738"/>
        <v>0.1388712745719721</v>
      </c>
      <c r="O189" s="37">
        <f t="shared" si="738"/>
        <v>0.13463174813274084</v>
      </c>
      <c r="P189" s="18">
        <f t="shared" si="738"/>
        <v>0.13914840100610851</v>
      </c>
      <c r="Q189" s="21">
        <f t="shared" si="738"/>
        <v>0.13685614659146755</v>
      </c>
      <c r="R189" s="37">
        <f t="shared" si="738"/>
        <v>0.13236286513062759</v>
      </c>
      <c r="S189" s="37">
        <f t="shared" si="738"/>
        <v>0.12653540462427745</v>
      </c>
      <c r="T189" s="37">
        <f t="shared" si="738"/>
        <v>0.1296554286245008</v>
      </c>
      <c r="U189" s="18">
        <f t="shared" si="738"/>
        <v>0.13045972301892977</v>
      </c>
      <c r="V189" s="21">
        <f t="shared" si="738"/>
        <v>0.12973094675222335</v>
      </c>
      <c r="W189" s="37">
        <f t="shared" si="738"/>
        <v>0.12063461352423334</v>
      </c>
      <c r="X189" s="37">
        <f t="shared" si="738"/>
        <v>0.12207446808510639</v>
      </c>
      <c r="Y189" s="37">
        <f t="shared" si="738"/>
        <v>0.10367627611742924</v>
      </c>
      <c r="Z189" s="18">
        <f t="shared" si="738"/>
        <v>0.13141603322623618</v>
      </c>
      <c r="AA189" s="21">
        <f t="shared" si="738"/>
        <v>0.11979178058222699</v>
      </c>
      <c r="AB189" s="37">
        <f t="shared" si="738"/>
        <v>0.12770562770562771</v>
      </c>
      <c r="AC189" s="37">
        <f t="shared" si="738"/>
        <v>0.12778307199168326</v>
      </c>
      <c r="AD189" s="37">
        <f t="shared" si="738"/>
        <v>0.12484528426437824</v>
      </c>
      <c r="AE189" s="18">
        <f t="shared" si="738"/>
        <v>0.1314593399393989</v>
      </c>
      <c r="AF189" s="21">
        <f t="shared" si="738"/>
        <v>0.12796511752940923</v>
      </c>
      <c r="AG189" s="37">
        <f t="shared" si="738"/>
        <v>0.13123173647392189</v>
      </c>
      <c r="AH189" s="37">
        <f t="shared" si="738"/>
        <v>0.13698515225232782</v>
      </c>
      <c r="AI189" s="37">
        <f t="shared" si="738"/>
        <v>0.13404667621535091</v>
      </c>
      <c r="AJ189" s="18">
        <f t="shared" si="738"/>
        <v>0.12777915530209108</v>
      </c>
      <c r="AK189" s="21">
        <f t="shared" si="738"/>
        <v>0.13250815989148404</v>
      </c>
      <c r="AL189" s="37">
        <f t="shared" si="738"/>
        <v>0.13297199638663054</v>
      </c>
      <c r="AM189" s="37">
        <f>AM187/AM$55</f>
        <v>0.1453366058906031</v>
      </c>
      <c r="AN189" s="37">
        <f>AN187/AN$55</f>
        <v>0.14162333656473078</v>
      </c>
      <c r="AO189" s="18">
        <f t="shared" si="738"/>
        <v>0.12442556143241135</v>
      </c>
      <c r="AP189" s="21">
        <f t="shared" ref="AP189:BF189" si="739">AP187/AP$55</f>
        <v>0.13607301909255259</v>
      </c>
      <c r="AQ189" s="37">
        <f t="shared" si="739"/>
        <v>0.14863849765258216</v>
      </c>
      <c r="AR189" s="37">
        <f t="shared" si="739"/>
        <v>0.14001415177781709</v>
      </c>
      <c r="AS189" s="37">
        <f t="shared" si="739"/>
        <v>0.13991362245816089</v>
      </c>
      <c r="AT189" s="18">
        <f t="shared" si="739"/>
        <v>0.1283320031923384</v>
      </c>
      <c r="AU189" s="21">
        <f t="shared" si="739"/>
        <v>0.1387938596491228</v>
      </c>
      <c r="AV189" s="37">
        <f t="shared" ref="AV189:BA189" si="740">AV187/AV$55</f>
        <v>0.14647413707842943</v>
      </c>
      <c r="AW189" s="37">
        <f t="shared" si="740"/>
        <v>0.13493085974405222</v>
      </c>
      <c r="AX189" s="37">
        <f t="shared" si="740"/>
        <v>0.12834831166564872</v>
      </c>
      <c r="AY189" s="18">
        <f t="shared" si="740"/>
        <v>0.11364868003406364</v>
      </c>
      <c r="AZ189" s="21">
        <f t="shared" si="740"/>
        <v>0.12986647012919447</v>
      </c>
      <c r="BA189" s="21">
        <f t="shared" si="740"/>
        <v>0.13607301909255259</v>
      </c>
      <c r="BB189" s="37">
        <f t="shared" ref="BB189:BE189" si="741">BB187/BB$55</f>
        <v>0.14863849765258216</v>
      </c>
      <c r="BC189" s="37">
        <f t="shared" si="741"/>
        <v>0.14001415177781709</v>
      </c>
      <c r="BD189" s="37">
        <f t="shared" si="741"/>
        <v>0.13991362245816089</v>
      </c>
      <c r="BE189" s="18">
        <f t="shared" si="741"/>
        <v>0.1283320031923384</v>
      </c>
      <c r="BF189" s="21">
        <f t="shared" si="739"/>
        <v>0.1387938596491228</v>
      </c>
      <c r="BG189" s="37">
        <f t="shared" ref="BG189:BJ189" si="742">BG187/BG$55</f>
        <v>0.14647413707842943</v>
      </c>
      <c r="BH189" s="37">
        <f t="shared" si="742"/>
        <v>0.13493085974405222</v>
      </c>
      <c r="BI189" s="37">
        <f t="shared" si="742"/>
        <v>0.12834831166564872</v>
      </c>
      <c r="BJ189" s="18">
        <f t="shared" si="742"/>
        <v>0.11364868003406364</v>
      </c>
      <c r="BK189" s="21">
        <f t="shared" ref="BK189:BM189" si="743">BK187/BK$55</f>
        <v>0.12986647012919447</v>
      </c>
      <c r="BL189" s="37">
        <f t="shared" si="743"/>
        <v>0.11510852845667408</v>
      </c>
      <c r="BM189" s="37">
        <f t="shared" si="743"/>
        <v>0.12544525321356667</v>
      </c>
      <c r="BN189" s="37"/>
      <c r="BO189" s="18"/>
      <c r="BP189" s="21"/>
      <c r="BQ189" s="21">
        <f>BQ187/BQ$55</f>
        <v>0.14231712812296601</v>
      </c>
      <c r="BR189" s="37">
        <f t="shared" ref="BR189:BY189" si="744">BR187/BR$55</f>
        <v>0.14585483316133471</v>
      </c>
      <c r="BS189" s="37">
        <f t="shared" si="744"/>
        <v>0.13668783585735222</v>
      </c>
      <c r="BT189" s="37">
        <f t="shared" si="744"/>
        <v>0.13011928429423458</v>
      </c>
      <c r="BU189" s="18">
        <f t="shared" si="744"/>
        <v>0.11788194444444444</v>
      </c>
      <c r="BV189" s="21">
        <f t="shared" si="744"/>
        <v>0.13168541543319517</v>
      </c>
      <c r="BW189" s="37">
        <f t="shared" si="744"/>
        <v>0.11863425925925926</v>
      </c>
      <c r="BX189" s="37">
        <f t="shared" si="744"/>
        <v>0.1252483372203507</v>
      </c>
      <c r="BY189" s="37">
        <f t="shared" si="744"/>
        <v>0.14345078348194962</v>
      </c>
      <c r="BZ189" s="18">
        <f>BZ187/BZ$55</f>
        <v>0.11089296102385107</v>
      </c>
      <c r="CA189" s="21">
        <f>CA187/CA$55</f>
        <v>0.12406874365052489</v>
      </c>
      <c r="CB189" s="37">
        <f t="shared" ref="CB189:CD189" si="745">CB187/CB$55</f>
        <v>0.1100660215248259</v>
      </c>
      <c r="CC189" s="37">
        <f t="shared" si="745"/>
        <v>0.12313756405202995</v>
      </c>
      <c r="CD189" s="37">
        <f t="shared" si="745"/>
        <v>0.1238392637028515</v>
      </c>
      <c r="CE189" s="18">
        <f>CE187/CE$55</f>
        <v>0.12908766598401269</v>
      </c>
      <c r="CF189" s="21">
        <f>CF187/CF$55</f>
        <v>0.12223789374706159</v>
      </c>
      <c r="CG189" s="37"/>
      <c r="CH189" s="37"/>
      <c r="CI189" s="37"/>
      <c r="CJ189" s="18"/>
      <c r="CK189" s="21">
        <f>CK187/CK$55</f>
        <v>0.13150887573964498</v>
      </c>
      <c r="CL189" s="37"/>
      <c r="CM189" s="37"/>
      <c r="CN189" s="37"/>
      <c r="CO189" s="18"/>
      <c r="CP189" s="21">
        <f>CP187/CP$55</f>
        <v>0.14162798143108693</v>
      </c>
      <c r="CQ189" s="18">
        <f t="shared" ref="CQ189:CT189" si="746">CQ187/CQ$55</f>
        <v>0.14504954954954954</v>
      </c>
      <c r="CR189" s="18">
        <f t="shared" si="746"/>
        <v>0.14055019455252921</v>
      </c>
      <c r="CS189" s="18">
        <f t="shared" si="746"/>
        <v>0.14296967213114756</v>
      </c>
      <c r="CT189" s="18">
        <f t="shared" si="746"/>
        <v>0.13629702970297031</v>
      </c>
      <c r="CU189" s="21">
        <f>CU187/CU$55</f>
        <v>0.1408430799220273</v>
      </c>
      <c r="CV189" s="20"/>
      <c r="CW189" s="20"/>
      <c r="CX189" s="20"/>
      <c r="CY189" s="38"/>
      <c r="CZ189" s="21">
        <f>CZ187/CZ$55</f>
        <v>0.14390046937166537</v>
      </c>
      <c r="DA189" s="20"/>
      <c r="DB189" s="20"/>
      <c r="DC189" s="20"/>
      <c r="DD189" s="38"/>
      <c r="DE189" s="21">
        <f>DE187/DE$55</f>
        <v>0.13012498228970903</v>
      </c>
      <c r="DF189" s="20"/>
      <c r="DG189" s="20"/>
      <c r="DH189" s="20"/>
      <c r="DI189" s="38"/>
      <c r="DJ189" s="21">
        <f>DJ187/DJ$55</f>
        <v>0.13261764451651417</v>
      </c>
      <c r="DK189" s="397"/>
      <c r="DL189" s="1285"/>
      <c r="DM189" s="809"/>
      <c r="DN189" s="809"/>
      <c r="DO189" s="809"/>
      <c r="DP189" s="1053"/>
      <c r="DQ189" s="1053"/>
      <c r="DR189" s="1053"/>
      <c r="DS189" s="810"/>
      <c r="DT189" s="809"/>
      <c r="DU189" s="809"/>
      <c r="DV189" s="809"/>
      <c r="DW189" s="809"/>
      <c r="DX189" s="809"/>
      <c r="DY189" s="360"/>
      <c r="DZ189" s="167"/>
      <c r="EA189" s="167"/>
      <c r="EB189"/>
      <c r="EC189"/>
      <c r="ED189"/>
      <c r="EE189"/>
      <c r="EF189"/>
      <c r="EG189"/>
    </row>
    <row r="190" spans="1:137" s="362" customFormat="1" ht="12" customHeight="1">
      <c r="A190" s="102" t="s">
        <v>77</v>
      </c>
      <c r="B190" s="98"/>
      <c r="C190" s="98"/>
      <c r="D190" s="98"/>
      <c r="E190" s="98"/>
      <c r="F190" s="98"/>
      <c r="G190" s="450"/>
      <c r="H190" s="451"/>
      <c r="I190" s="100"/>
      <c r="J190" s="100"/>
      <c r="K190" s="100"/>
      <c r="L190" s="98"/>
      <c r="M190" s="100"/>
      <c r="N190" s="100"/>
      <c r="O190" s="100"/>
      <c r="P190" s="100"/>
      <c r="Q190" s="98"/>
      <c r="R190" s="100"/>
      <c r="S190" s="100"/>
      <c r="T190" s="100"/>
      <c r="U190" s="100"/>
      <c r="V190" s="98"/>
      <c r="W190" s="100"/>
      <c r="X190" s="100"/>
      <c r="Y190" s="100"/>
      <c r="Z190" s="100"/>
      <c r="AA190" s="98"/>
      <c r="AB190" s="100"/>
      <c r="AC190" s="100"/>
      <c r="AD190" s="100"/>
      <c r="AE190" s="100"/>
      <c r="AF190" s="98"/>
      <c r="AG190" s="100"/>
      <c r="AH190" s="100"/>
      <c r="AI190" s="100"/>
      <c r="AJ190" s="507"/>
      <c r="AK190" s="98"/>
      <c r="AL190" s="100"/>
      <c r="AM190" s="100"/>
      <c r="AN190" s="100"/>
      <c r="AO190" s="100"/>
      <c r="AP190" s="98"/>
      <c r="AQ190" s="101"/>
      <c r="AR190" s="100"/>
      <c r="AS190" s="100"/>
      <c r="AT190" s="100"/>
      <c r="AU190" s="98"/>
      <c r="AV190" s="101"/>
      <c r="AW190" s="100"/>
      <c r="AX190" s="100"/>
      <c r="AY190" s="100"/>
      <c r="AZ190" s="98"/>
      <c r="BA190" s="98"/>
      <c r="BB190" s="101"/>
      <c r="BC190" s="100"/>
      <c r="BD190" s="100"/>
      <c r="BE190" s="100"/>
      <c r="BF190" s="98"/>
      <c r="BG190" s="101"/>
      <c r="BH190" s="100"/>
      <c r="BI190" s="100"/>
      <c r="BJ190" s="100"/>
      <c r="BK190" s="98"/>
      <c r="BL190" s="101"/>
      <c r="BM190" s="100"/>
      <c r="BN190" s="100"/>
      <c r="BO190" s="100"/>
      <c r="BP190" s="98"/>
      <c r="BQ190" s="98"/>
      <c r="BR190" s="101"/>
      <c r="BS190" s="100"/>
      <c r="BT190" s="100"/>
      <c r="BU190" s="100"/>
      <c r="BV190" s="98"/>
      <c r="BW190" s="101"/>
      <c r="BX190" s="100"/>
      <c r="BY190" s="100"/>
      <c r="BZ190" s="100"/>
      <c r="CA190" s="98"/>
      <c r="CB190" s="101"/>
      <c r="CC190" s="100"/>
      <c r="CD190" s="100"/>
      <c r="CE190" s="100"/>
      <c r="CF190" s="98"/>
      <c r="CG190" s="101"/>
      <c r="CH190" s="100"/>
      <c r="CI190" s="100"/>
      <c r="CJ190" s="100"/>
      <c r="CK190" s="98"/>
      <c r="CL190" s="101"/>
      <c r="CM190" s="100"/>
      <c r="CN190" s="100"/>
      <c r="CO190" s="100"/>
      <c r="CP190" s="98"/>
      <c r="CQ190" s="100"/>
      <c r="CR190" s="100"/>
      <c r="CS190" s="100"/>
      <c r="CT190" s="99"/>
      <c r="CU190" s="98"/>
      <c r="CV190" s="100"/>
      <c r="CW190" s="100"/>
      <c r="CX190" s="100"/>
      <c r="CY190" s="99"/>
      <c r="CZ190" s="98"/>
      <c r="DA190" s="100"/>
      <c r="DB190" s="100"/>
      <c r="DC190" s="100"/>
      <c r="DD190" s="99"/>
      <c r="DE190" s="98"/>
      <c r="DF190" s="100"/>
      <c r="DG190" s="100"/>
      <c r="DH190" s="100"/>
      <c r="DI190" s="99"/>
      <c r="DJ190" s="98"/>
      <c r="DK190" s="396"/>
      <c r="DL190" s="74"/>
      <c r="DM190" s="809"/>
      <c r="DN190" s="809"/>
      <c r="DO190" s="809"/>
      <c r="DP190" s="1053"/>
      <c r="DQ190" s="1186"/>
      <c r="DR190" s="1054"/>
      <c r="DS190" s="809"/>
      <c r="DT190" s="809"/>
      <c r="DU190" s="809"/>
      <c r="DV190" s="809"/>
      <c r="DW190" s="809"/>
      <c r="DX190" s="809"/>
      <c r="DY190" s="74"/>
      <c r="DZ190" s="361"/>
      <c r="EA190" s="361"/>
      <c r="EB190"/>
      <c r="EC190"/>
      <c r="ED190"/>
      <c r="EE190"/>
      <c r="EF190"/>
      <c r="EG190"/>
    </row>
    <row r="191" spans="1:137" s="224" customFormat="1">
      <c r="A191" s="129" t="s">
        <v>142</v>
      </c>
      <c r="B191" s="130">
        <v>-700</v>
      </c>
      <c r="C191" s="130">
        <v>-581</v>
      </c>
      <c r="D191" s="130">
        <v>-487</v>
      </c>
      <c r="E191" s="130">
        <v>-425</v>
      </c>
      <c r="F191" s="130">
        <v>-370</v>
      </c>
      <c r="G191" s="130">
        <v>-361</v>
      </c>
      <c r="H191" s="131">
        <v>-93</v>
      </c>
      <c r="I191" s="131">
        <v>-93</v>
      </c>
      <c r="J191" s="131">
        <v>-79</v>
      </c>
      <c r="K191" s="131">
        <v>-87</v>
      </c>
      <c r="L191" s="130">
        <f>SUM(H191:K191)</f>
        <v>-352</v>
      </c>
      <c r="M191" s="131">
        <v>-87</v>
      </c>
      <c r="N191" s="131">
        <v>-92</v>
      </c>
      <c r="O191" s="131">
        <v>-85</v>
      </c>
      <c r="P191" s="131">
        <v>-77</v>
      </c>
      <c r="Q191" s="130">
        <f>SUM(M191:P191)</f>
        <v>-341</v>
      </c>
      <c r="R191" s="131">
        <v>-76</v>
      </c>
      <c r="S191" s="131">
        <v>-74</v>
      </c>
      <c r="T191" s="131">
        <v>-74</v>
      </c>
      <c r="U191" s="131">
        <v>-86</v>
      </c>
      <c r="V191" s="132">
        <f>SUM(R191:U191)</f>
        <v>-310</v>
      </c>
      <c r="W191" s="133">
        <v>-87</v>
      </c>
      <c r="X191" s="133">
        <v>-86</v>
      </c>
      <c r="Y191" s="133">
        <v>-85</v>
      </c>
      <c r="Z191" s="133">
        <v>-87</v>
      </c>
      <c r="AA191" s="132">
        <f>SUM(W191:Z191)</f>
        <v>-345</v>
      </c>
      <c r="AB191" s="133">
        <v>-85</v>
      </c>
      <c r="AC191" s="133">
        <v>-84</v>
      </c>
      <c r="AD191" s="133">
        <v>-89</v>
      </c>
      <c r="AE191" s="133">
        <f>AF191-SUM(AB191:AD191)</f>
        <v>-96</v>
      </c>
      <c r="AF191" s="130">
        <v>-354</v>
      </c>
      <c r="AG191" s="133">
        <v>-96</v>
      </c>
      <c r="AH191" s="131">
        <v>-96</v>
      </c>
      <c r="AI191" s="133">
        <v>-97</v>
      </c>
      <c r="AJ191" s="133">
        <v>-94</v>
      </c>
      <c r="AK191" s="132">
        <v>-383</v>
      </c>
      <c r="AL191" s="133">
        <v>-92</v>
      </c>
      <c r="AM191" s="133">
        <v>-88</v>
      </c>
      <c r="AN191" s="476">
        <v>-84</v>
      </c>
      <c r="AO191" s="476">
        <v>-86</v>
      </c>
      <c r="AP191" s="132">
        <f>SUM(AL191:AO191)</f>
        <v>-350</v>
      </c>
      <c r="AQ191" s="736">
        <v>-86</v>
      </c>
      <c r="AR191" s="133">
        <v>-85</v>
      </c>
      <c r="AS191" s="476">
        <v>-82</v>
      </c>
      <c r="AT191" s="476">
        <v>-87</v>
      </c>
      <c r="AU191" s="132">
        <f>SUM(AQ191:AT191)</f>
        <v>-340</v>
      </c>
      <c r="AV191" s="736">
        <v>-93</v>
      </c>
      <c r="AW191" s="133">
        <v>-104</v>
      </c>
      <c r="AX191" s="476">
        <v>-104</v>
      </c>
      <c r="AY191" s="476">
        <v>-142</v>
      </c>
      <c r="AZ191" s="132">
        <f>SUM(AV191:AY191)</f>
        <v>-443</v>
      </c>
      <c r="BA191" s="132">
        <v>-350</v>
      </c>
      <c r="BB191" s="736">
        <v>-86</v>
      </c>
      <c r="BC191" s="133">
        <v>-85</v>
      </c>
      <c r="BD191" s="476">
        <v>-82</v>
      </c>
      <c r="BE191" s="476">
        <v>-87</v>
      </c>
      <c r="BF191" s="132">
        <v>-340</v>
      </c>
      <c r="BG191" s="736">
        <v>-93</v>
      </c>
      <c r="BH191" s="133">
        <v>-104</v>
      </c>
      <c r="BI191" s="476">
        <v>-104</v>
      </c>
      <c r="BJ191" s="476">
        <v>-142</v>
      </c>
      <c r="BK191" s="132">
        <v>-443</v>
      </c>
      <c r="BL191" s="736">
        <v>-164</v>
      </c>
      <c r="BM191" s="133">
        <v>-166</v>
      </c>
      <c r="BN191" s="476"/>
      <c r="BO191" s="476"/>
      <c r="BP191" s="261"/>
      <c r="BQ191" s="132">
        <v>-340</v>
      </c>
      <c r="BR191" s="736">
        <v>-93</v>
      </c>
      <c r="BS191" s="133">
        <v>-104</v>
      </c>
      <c r="BT191" s="476">
        <v>-104</v>
      </c>
      <c r="BU191" s="476">
        <v>-142</v>
      </c>
      <c r="BV191" s="132">
        <v>-443</v>
      </c>
      <c r="BW191" s="736">
        <v>-165</v>
      </c>
      <c r="BX191" s="133">
        <v>-165</v>
      </c>
      <c r="BY191" s="476">
        <v>-162</v>
      </c>
      <c r="BZ191" s="476">
        <v>-171</v>
      </c>
      <c r="CA191" s="132">
        <f>+SUM(BW191:BZ191)</f>
        <v>-663</v>
      </c>
      <c r="CB191" s="1222">
        <v>-155</v>
      </c>
      <c r="CC191" s="1223">
        <v>-160</v>
      </c>
      <c r="CD191" s="476">
        <v>-162</v>
      </c>
      <c r="CE191" s="476">
        <v>-174</v>
      </c>
      <c r="CF191" s="132">
        <f>+SUM(CB191:CE191)</f>
        <v>-651</v>
      </c>
      <c r="CG191" s="736"/>
      <c r="CH191" s="133"/>
      <c r="CI191" s="476"/>
      <c r="CJ191" s="476"/>
      <c r="CK191" s="132">
        <v>-663</v>
      </c>
      <c r="CL191" s="1222"/>
      <c r="CM191" s="1223"/>
      <c r="CN191" s="476"/>
      <c r="CO191" s="476"/>
      <c r="CP191" s="132">
        <v>-651</v>
      </c>
      <c r="CQ191" s="260">
        <f>-CQ192*CQ193/4+4.17</f>
        <v>-158.58000000000001</v>
      </c>
      <c r="CR191" s="260">
        <f>-CR192*CR193/4+4.17</f>
        <v>-169.99064292224639</v>
      </c>
      <c r="CS191" s="260">
        <f>-CS192*CS193/4+4.17</f>
        <v>-181.40128584449275</v>
      </c>
      <c r="CT191" s="262">
        <f>-CT192*CT193/4+0.02</f>
        <v>-181.27229474865035</v>
      </c>
      <c r="CU191" s="132">
        <f>+SUM(CQ191:CT191)</f>
        <v>-691.24422351538954</v>
      </c>
      <c r="CV191" s="260"/>
      <c r="CW191" s="260"/>
      <c r="CX191" s="260"/>
      <c r="CY191" s="262"/>
      <c r="CZ191" s="261">
        <f>CZ194</f>
        <v>-674.89079432206677</v>
      </c>
      <c r="DA191" s="260"/>
      <c r="DB191" s="260"/>
      <c r="DC191" s="260"/>
      <c r="DD191" s="262"/>
      <c r="DE191" s="261">
        <f>DE194</f>
        <v>-624.0544074967969</v>
      </c>
      <c r="DF191" s="260"/>
      <c r="DG191" s="260"/>
      <c r="DH191" s="260"/>
      <c r="DI191" s="262"/>
      <c r="DJ191" s="261">
        <f>DJ194</f>
        <v>-574.71802067152703</v>
      </c>
      <c r="DK191" s="217"/>
      <c r="DL191" s="1286"/>
      <c r="DM191" s="810"/>
      <c r="DN191" s="810"/>
      <c r="DO191" s="810"/>
      <c r="DP191" s="1053"/>
      <c r="DQ191" s="1186"/>
      <c r="DR191" s="1053"/>
      <c r="DS191" s="810"/>
      <c r="DT191" s="810"/>
      <c r="DU191" s="810"/>
      <c r="DV191" s="810"/>
      <c r="DW191" s="810"/>
      <c r="DX191" s="810"/>
      <c r="DY191" s="228"/>
      <c r="DZ191" s="216"/>
      <c r="EA191" s="216"/>
      <c r="EB191"/>
      <c r="EC191"/>
      <c r="ED191"/>
      <c r="EE191"/>
      <c r="EF191"/>
      <c r="EG191"/>
    </row>
    <row r="192" spans="1:137" s="398" customFormat="1">
      <c r="A192" s="134" t="s">
        <v>226</v>
      </c>
      <c r="B192" s="25"/>
      <c r="C192" s="25"/>
      <c r="D192" s="25"/>
      <c r="E192" s="25"/>
      <c r="F192" s="25"/>
      <c r="G192" s="25"/>
      <c r="H192" s="14"/>
      <c r="I192" s="14"/>
      <c r="J192" s="14"/>
      <c r="K192" s="24"/>
      <c r="L192" s="25"/>
      <c r="M192" s="14"/>
      <c r="N192" s="14"/>
      <c r="O192" s="14"/>
      <c r="P192" s="39"/>
      <c r="Q192" s="25"/>
      <c r="R192" s="14"/>
      <c r="S192" s="14"/>
      <c r="T192" s="14"/>
      <c r="U192" s="39"/>
      <c r="V192" s="16"/>
      <c r="W192" s="12"/>
      <c r="X192" s="12"/>
      <c r="Y192" s="12"/>
      <c r="Z192" s="508"/>
      <c r="AA192" s="17"/>
      <c r="AB192" s="12"/>
      <c r="AC192" s="12"/>
      <c r="AD192" s="12"/>
      <c r="AE192" s="13"/>
      <c r="AF192" s="26"/>
      <c r="AG192" s="13"/>
      <c r="AH192" s="36"/>
      <c r="AI192" s="12"/>
      <c r="AJ192" s="13"/>
      <c r="AK192" s="17">
        <f>AVERAGE(AK277,AF277)+AVERAGE(AK291,AF291)+AVERAGE(AF287,AK287)</f>
        <v>6384</v>
      </c>
      <c r="AL192" s="12"/>
      <c r="AM192" s="12"/>
      <c r="AN192" s="575"/>
      <c r="AO192" s="758"/>
      <c r="AP192" s="17">
        <f t="shared" ref="AP192" si="747">AVERAGE(AP277,AK277)+AVERAGE(AP291,AK291)+AVERAGE(AK287,AP287)</f>
        <v>6230</v>
      </c>
      <c r="AQ192" s="45">
        <f t="shared" ref="AQ192:AZ192" si="748">AVERAGE(AQ277,AL277)+AVERAGE(AQ291,AL291)+AVERAGE(AL287,AQ287)</f>
        <v>6228</v>
      </c>
      <c r="AR192" s="577">
        <f t="shared" si="748"/>
        <v>6154.5</v>
      </c>
      <c r="AS192" s="827">
        <f t="shared" si="748"/>
        <v>6160.5</v>
      </c>
      <c r="AT192" s="833">
        <f t="shared" si="748"/>
        <v>6160.5</v>
      </c>
      <c r="AU192" s="17">
        <f t="shared" si="748"/>
        <v>6160.5</v>
      </c>
      <c r="AV192" s="45">
        <f t="shared" si="748"/>
        <v>7278</v>
      </c>
      <c r="AW192" s="577">
        <f t="shared" si="748"/>
        <v>7059.5</v>
      </c>
      <c r="AX192" s="827">
        <f t="shared" si="748"/>
        <v>7288.5</v>
      </c>
      <c r="AY192" s="833">
        <f t="shared" si="748"/>
        <v>10715</v>
      </c>
      <c r="AZ192" s="17">
        <f t="shared" si="748"/>
        <v>10715</v>
      </c>
      <c r="BA192" s="17">
        <f>+AP192</f>
        <v>6230</v>
      </c>
      <c r="BB192" s="45">
        <f>AVERAGE(BB277,BA277)+AVERAGE(BB291,BA291)+AVERAGE(BA287,BB287)</f>
        <v>6152</v>
      </c>
      <c r="BC192" s="577">
        <f>AVERAGE(BC277,AQ277)+AVERAGE(BC291,AQ291)+AVERAGE(AQ287,BC287)</f>
        <v>6160.5</v>
      </c>
      <c r="BD192" s="827">
        <f>AVERAGE(BD277,AR277)+AVERAGE(BD291,AR291)+AVERAGE(AR287,BD287)</f>
        <v>6167</v>
      </c>
      <c r="BE192" s="833">
        <f>AVERAGE(BE277,AS277)+AVERAGE(BE291,AS291)+AVERAGE(AS287,BE287)</f>
        <v>6167</v>
      </c>
      <c r="BF192" s="17">
        <f>+AU192</f>
        <v>6160.5</v>
      </c>
      <c r="BG192" s="45">
        <f>AVERAGE(BG277,BF277)+AVERAGE(BG291,BF291)+AVERAGE(BF287,BG287)</f>
        <v>7273</v>
      </c>
      <c r="BH192" s="577">
        <f>AVERAGE(BH277,AV277)+AVERAGE(BH291,AV291)+AVERAGE(AV287,BH287)</f>
        <v>8177</v>
      </c>
      <c r="BI192" s="827">
        <f>AVERAGE(BI277,AW277)+AVERAGE(BI291,AW291)+AVERAGE(AW287,BI287)</f>
        <v>8181</v>
      </c>
      <c r="BJ192" s="833">
        <f>AVERAGE(BJ277,AX277)+AVERAGE(BJ291,AX291)+AVERAGE(AX287,BJ287)</f>
        <v>11836.5</v>
      </c>
      <c r="BK192" s="17">
        <f>+AZ192</f>
        <v>10715</v>
      </c>
      <c r="BL192" s="45">
        <f>AVERAGE(BL277,BK277)+AVERAGE(BL291,BK291)+AVERAGE(BK287,BL287)</f>
        <v>15268.5</v>
      </c>
      <c r="BM192" s="577">
        <f>AVERAGE(BM277,BA277)+AVERAGE(BM291,BA291)+AVERAGE(BA287,BM287)</f>
        <v>14809</v>
      </c>
      <c r="BN192" s="827"/>
      <c r="BO192" s="833"/>
      <c r="BP192" s="17"/>
      <c r="BQ192" s="17">
        <f>+BF192</f>
        <v>6160.5</v>
      </c>
      <c r="BR192" s="45">
        <f>AVERAGE(BF277,BG277)+AVERAGE(BF291,BG291)+AVERAGE(BG287,BF287)</f>
        <v>7273</v>
      </c>
      <c r="BS192" s="577">
        <f>AVERAGE(BG277,BH277)+AVERAGE(BG291,BH291)+AVERAGE(BH287,BG287)</f>
        <v>8177</v>
      </c>
      <c r="BT192" s="827">
        <f>AVERAGE(BH277,BI277)+AVERAGE(BH291,BI291)+AVERAGE(BI287,BH287)</f>
        <v>8181</v>
      </c>
      <c r="BU192" s="833">
        <f>AVERAGE(BI277,BJ277)+AVERAGE(BI291,BJ291)+AVERAGE(BJ287,BI287)</f>
        <v>11836.5</v>
      </c>
      <c r="BV192" s="17">
        <f>AVERAGE(BV277,BF277)+AVERAGE(BV291,BF291)+AVERAGE(BF287,BV287)</f>
        <v>10701.5</v>
      </c>
      <c r="BW192" s="45">
        <f>AVERAGE(BW277,BV277)+AVERAGE(BW291,BV291)+AVERAGE(BV287,BW287)</f>
        <v>15268.5</v>
      </c>
      <c r="BX192" s="577">
        <f>AVERAGE(BX277,BO277)+AVERAGE(BX291,BO291)+AVERAGE(BO287,BX287)</f>
        <v>14809</v>
      </c>
      <c r="BY192" s="827">
        <f>AVERAGE(BY277,BP277)+AVERAGE(BY291,BP291)+AVERAGE(BP287,BY287)</f>
        <v>14304</v>
      </c>
      <c r="BZ192" s="833">
        <f>AVERAGE(BZ277,CB277)+AVERAGE(BZ291,CB291)+AVERAGE(CB287,BZ287)</f>
        <v>14279</v>
      </c>
      <c r="CA192" s="17">
        <f>AVERAGE(CA277,BN277)+AVERAGE(CA291,BN291)+AVERAGE(BN287,CA287)</f>
        <v>14282</v>
      </c>
      <c r="CB192" s="45">
        <f>AVERAGE(CB277,CA277)+AVERAGE(CB291,CA291)+AVERAGE(CA287,CB287)</f>
        <v>14279</v>
      </c>
      <c r="CC192" s="577">
        <f>AVERAGE(CC277,BT277)+AVERAGE(CC291,BT291)+AVERAGE(BT287,CC287)</f>
        <v>14283</v>
      </c>
      <c r="CD192" s="827">
        <f>AVERAGE(CD277,BU277)+AVERAGE(CD291,BU291)+AVERAGE(BU287,CD287)</f>
        <v>14764.5</v>
      </c>
      <c r="CE192" s="833">
        <f>AVERAGE(CE277,CQ277)+AVERAGE(CE291,CQ291)+AVERAGE(CQ287,CE287)</f>
        <v>14263</v>
      </c>
      <c r="CF192" s="17">
        <f>AVERAGE(CF277,BS277)+AVERAGE(CF291,BS291)+AVERAGE(BS287,CF287)</f>
        <v>14263</v>
      </c>
      <c r="CG192" s="45"/>
      <c r="CH192" s="577"/>
      <c r="CI192" s="827"/>
      <c r="CJ192" s="833"/>
      <c r="CK192" s="17"/>
      <c r="CL192" s="45"/>
      <c r="CM192" s="577"/>
      <c r="CN192" s="827"/>
      <c r="CO192" s="833"/>
      <c r="CP192" s="17"/>
      <c r="CQ192" s="15">
        <f>AVERAGE(CQ277,CF277)+AVERAGE(CQ291,CF291)+AVERAGE(CF287,CQ287)</f>
        <v>14263</v>
      </c>
      <c r="CR192" s="15">
        <f t="shared" ref="CR192:CT192" si="749">AVERAGE(CR277,CQ277)+AVERAGE(CR291,CQ291)+AVERAGE(CQ287,CR287)</f>
        <v>15263</v>
      </c>
      <c r="CS192" s="15">
        <f t="shared" si="749"/>
        <v>16263</v>
      </c>
      <c r="CT192" s="46">
        <f t="shared" si="749"/>
        <v>15888</v>
      </c>
      <c r="CU192" s="17">
        <f>AVERAGE(CU277,CF277)+AVERAGE(CU291,CF291)+AVERAGE(CF287,CU287)</f>
        <v>14888</v>
      </c>
      <c r="CV192" s="15"/>
      <c r="CW192" s="15"/>
      <c r="CX192" s="15"/>
      <c r="CY192" s="46"/>
      <c r="CZ192" s="17">
        <f>AVERAGE(CZ277,CU277)+AVERAGE(CZ291,CU291)+AVERAGE(CU287,CZ287)</f>
        <v>15363</v>
      </c>
      <c r="DA192" s="15"/>
      <c r="DB192" s="15"/>
      <c r="DC192" s="15"/>
      <c r="DD192" s="46"/>
      <c r="DE192" s="17">
        <f>AVERAGE(DE277,CZ277)+AVERAGE(DE291,CZ291)+AVERAGE(CZ287,DE287)</f>
        <v>15063</v>
      </c>
      <c r="DF192" s="15"/>
      <c r="DG192" s="15"/>
      <c r="DH192" s="15"/>
      <c r="DI192" s="46"/>
      <c r="DJ192" s="17">
        <f>AVERAGE(DJ277,DE277)+AVERAGE(DJ291,DE291)+AVERAGE(DE287,DJ287)</f>
        <v>14763</v>
      </c>
      <c r="DK192" s="413"/>
      <c r="DL192" s="1285"/>
      <c r="DM192" s="809"/>
      <c r="DN192" s="809"/>
      <c r="DO192" s="809"/>
      <c r="DP192" s="1054"/>
      <c r="DQ192" s="1054"/>
      <c r="DR192" s="1054"/>
      <c r="DS192" s="809"/>
      <c r="DT192" s="1096"/>
      <c r="DU192" s="809"/>
      <c r="DV192" s="809"/>
      <c r="DW192" s="809"/>
      <c r="DX192" s="809"/>
      <c r="DY192" s="360"/>
      <c r="DZ192" s="167"/>
      <c r="EA192" s="167"/>
      <c r="EB192"/>
      <c r="EC192"/>
      <c r="ED192"/>
      <c r="EE192"/>
      <c r="EF192"/>
      <c r="EG192"/>
    </row>
    <row r="193" spans="1:137" s="544" customFormat="1">
      <c r="A193" s="322" t="s">
        <v>227</v>
      </c>
      <c r="B193" s="534"/>
      <c r="C193" s="534"/>
      <c r="D193" s="534"/>
      <c r="E193" s="534"/>
      <c r="F193" s="534"/>
      <c r="G193" s="534"/>
      <c r="H193" s="535"/>
      <c r="I193" s="535"/>
      <c r="J193" s="535"/>
      <c r="K193" s="535"/>
      <c r="L193" s="534"/>
      <c r="M193" s="535"/>
      <c r="N193" s="535"/>
      <c r="O193" s="535"/>
      <c r="P193" s="535"/>
      <c r="Q193" s="534"/>
      <c r="R193" s="535"/>
      <c r="S193" s="535"/>
      <c r="T193" s="535"/>
      <c r="U193" s="535"/>
      <c r="V193" s="536"/>
      <c r="W193" s="324"/>
      <c r="X193" s="324"/>
      <c r="Y193" s="324"/>
      <c r="Z193" s="535"/>
      <c r="AA193" s="536"/>
      <c r="AB193" s="324"/>
      <c r="AC193" s="324"/>
      <c r="AD193" s="324"/>
      <c r="AE193" s="537"/>
      <c r="AF193" s="534"/>
      <c r="AG193" s="537"/>
      <c r="AH193" s="538"/>
      <c r="AI193" s="324"/>
      <c r="AJ193" s="537"/>
      <c r="AK193" s="323">
        <f>-AK191/AK192</f>
        <v>5.9993734335839599E-2</v>
      </c>
      <c r="AL193" s="324"/>
      <c r="AM193" s="324"/>
      <c r="AN193" s="576"/>
      <c r="AO193" s="576"/>
      <c r="AP193" s="323">
        <f>-AP191/AP192</f>
        <v>5.6179775280898875E-2</v>
      </c>
      <c r="AQ193" s="539">
        <f>-AQ191*4/AQ192</f>
        <v>5.5234425176621707E-2</v>
      </c>
      <c r="AR193" s="537">
        <f>-AR191*4/AR192</f>
        <v>5.5244130311154438E-2</v>
      </c>
      <c r="AS193" s="828">
        <f>-AS191*4/AS192</f>
        <v>5.324243162081E-2</v>
      </c>
      <c r="AT193" s="834">
        <f>-AT191*4/AT192</f>
        <v>5.648892135378622E-2</v>
      </c>
      <c r="AU193" s="323">
        <f>-AU191/AU192</f>
        <v>5.5190325460595734E-2</v>
      </c>
      <c r="AV193" s="539">
        <f>-AV191*4/AV192</f>
        <v>5.1112943116240726E-2</v>
      </c>
      <c r="AW193" s="537">
        <f>-AW191*4/AW192</f>
        <v>5.892768609674906E-2</v>
      </c>
      <c r="AX193" s="828">
        <f>-AX191*4/AX192</f>
        <v>5.7076215956644027E-2</v>
      </c>
      <c r="AY193" s="834">
        <f>-AY191*4/AY192</f>
        <v>5.3009799346710219E-2</v>
      </c>
      <c r="AZ193" s="323">
        <f>-AZ191/AZ192</f>
        <v>4.1343910405972933E-2</v>
      </c>
      <c r="BA193" s="323">
        <f>-BA191/BA192</f>
        <v>5.6179775280898875E-2</v>
      </c>
      <c r="BB193" s="539">
        <f>-BB191*4/BB192</f>
        <v>5.5916775032509754E-2</v>
      </c>
      <c r="BC193" s="537">
        <f>-BC191*4/BC192</f>
        <v>5.5190325460595734E-2</v>
      </c>
      <c r="BD193" s="828">
        <f>-BD191*4/BD192</f>
        <v>5.3186314253283608E-2</v>
      </c>
      <c r="BE193" s="834">
        <f>-BE191*4/BE192</f>
        <v>5.6429382195556994E-2</v>
      </c>
      <c r="BF193" s="323">
        <f>-BF191/BF192</f>
        <v>5.5190325460595734E-2</v>
      </c>
      <c r="BG193" s="539">
        <f>-BG191*4/BG192</f>
        <v>5.1148081946926993E-2</v>
      </c>
      <c r="BH193" s="537">
        <f>-BH191*4/BH192</f>
        <v>5.0874403815580289E-2</v>
      </c>
      <c r="BI193" s="828">
        <f>-BI191*4/BI192</f>
        <v>5.0849529397384186E-2</v>
      </c>
      <c r="BJ193" s="834">
        <f>-BJ191*4/BJ192</f>
        <v>4.798715836607105E-2</v>
      </c>
      <c r="BK193" s="323">
        <f>-BK191/BK192</f>
        <v>4.1343910405972933E-2</v>
      </c>
      <c r="BL193" s="539">
        <f>-BL191*4/BL192</f>
        <v>4.2964272849330319E-2</v>
      </c>
      <c r="BM193" s="537">
        <f>-BM191*4/BM192</f>
        <v>4.4837598757512323E-2</v>
      </c>
      <c r="BN193" s="828"/>
      <c r="BO193" s="834"/>
      <c r="BP193" s="321"/>
      <c r="BQ193" s="323">
        <f>-BQ191/BQ192</f>
        <v>5.5190325460595734E-2</v>
      </c>
      <c r="BR193" s="539">
        <f>-BR191*4/BR192</f>
        <v>5.1148081946926993E-2</v>
      </c>
      <c r="BS193" s="537">
        <f>-BS191*4/BS192</f>
        <v>5.0874403815580289E-2</v>
      </c>
      <c r="BT193" s="828">
        <f>-BT191*4/BT192</f>
        <v>5.0849529397384186E-2</v>
      </c>
      <c r="BU193" s="834">
        <f>-BU191*4/BU192</f>
        <v>4.798715836607105E-2</v>
      </c>
      <c r="BV193" s="323">
        <f>-BV191/BV192</f>
        <v>4.1396065972059991E-2</v>
      </c>
      <c r="BW193" s="539">
        <f>-BW191*4/BW192</f>
        <v>4.3226250122801846E-2</v>
      </c>
      <c r="BX193" s="537">
        <f>-BX191*4/BX192</f>
        <v>4.4567492740900806E-2</v>
      </c>
      <c r="BY193" s="828">
        <f>-BY191*4/BY192</f>
        <v>4.5302013422818789E-2</v>
      </c>
      <c r="BZ193" s="834">
        <f>-BZ191*4/BZ192</f>
        <v>4.7902514181665384E-2</v>
      </c>
      <c r="CA193" s="1221">
        <f>-CA191/CA192</f>
        <v>4.6422069738131913E-2</v>
      </c>
      <c r="CB193" s="539">
        <f>-CB191*4/CB192</f>
        <v>4.3420407591568039E-2</v>
      </c>
      <c r="CC193" s="537">
        <f>-CC191*4/CC192</f>
        <v>4.4808513617587344E-2</v>
      </c>
      <c r="CD193" s="828">
        <f>-CD191*4/CD192</f>
        <v>4.3889058213959158E-2</v>
      </c>
      <c r="CE193" s="834">
        <f>-CE191*4/CE192</f>
        <v>4.8797588165182641E-2</v>
      </c>
      <c r="CF193" s="1221">
        <f>-CF191/CF192</f>
        <v>4.5642571688985487E-2</v>
      </c>
      <c r="CG193" s="539"/>
      <c r="CH193" s="537"/>
      <c r="CI193" s="828"/>
      <c r="CJ193" s="834"/>
      <c r="CK193" s="1221"/>
      <c r="CL193" s="539"/>
      <c r="CM193" s="537"/>
      <c r="CN193" s="828"/>
      <c r="CO193" s="834"/>
      <c r="CP193" s="1221"/>
      <c r="CQ193" s="537">
        <f>CF193</f>
        <v>4.5642571688985487E-2</v>
      </c>
      <c r="CR193" s="537">
        <f>CQ193</f>
        <v>4.5642571688985487E-2</v>
      </c>
      <c r="CS193" s="537">
        <f>CR193</f>
        <v>4.5642571688985487E-2</v>
      </c>
      <c r="CT193" s="540">
        <f>CS193</f>
        <v>4.5642571688985487E-2</v>
      </c>
      <c r="CU193" s="321">
        <f>-CU194/CU192</f>
        <v>4.6429622750899353E-2</v>
      </c>
      <c r="CV193" s="537"/>
      <c r="CW193" s="537"/>
      <c r="CX193" s="537"/>
      <c r="CY193" s="540"/>
      <c r="CZ193" s="321">
        <f>CU193-0.0025</f>
        <v>4.3929622750899351E-2</v>
      </c>
      <c r="DA193" s="537"/>
      <c r="DB193" s="537"/>
      <c r="DC193" s="537"/>
      <c r="DD193" s="540"/>
      <c r="DE193" s="321">
        <f>CZ193-0.0025</f>
        <v>4.1429622750899349E-2</v>
      </c>
      <c r="DF193" s="537"/>
      <c r="DG193" s="537"/>
      <c r="DH193" s="537"/>
      <c r="DI193" s="540"/>
      <c r="DJ193" s="321">
        <f>DE193-0.0025</f>
        <v>3.8929622750899347E-2</v>
      </c>
      <c r="DK193" s="541"/>
      <c r="DL193" s="1287"/>
      <c r="DM193" s="830"/>
      <c r="DN193" s="830"/>
      <c r="DO193" s="830"/>
      <c r="DP193" s="1084"/>
      <c r="DQ193" s="1084"/>
      <c r="DR193" s="1084"/>
      <c r="DS193" s="809"/>
      <c r="DT193" s="1096"/>
      <c r="DU193" s="830"/>
      <c r="DV193" s="830"/>
      <c r="DW193" s="830"/>
      <c r="DX193" s="830"/>
      <c r="DY193" s="542"/>
      <c r="DZ193" s="543"/>
      <c r="EA193" s="543"/>
      <c r="EB193"/>
      <c r="EC193"/>
      <c r="ED193"/>
      <c r="EE193"/>
      <c r="EF193"/>
      <c r="EG193"/>
    </row>
    <row r="194" spans="1:137" s="417" customFormat="1">
      <c r="A194" s="325" t="s">
        <v>228</v>
      </c>
      <c r="B194" s="326"/>
      <c r="C194" s="326"/>
      <c r="D194" s="326"/>
      <c r="E194" s="326"/>
      <c r="F194" s="326"/>
      <c r="G194" s="326"/>
      <c r="H194" s="327"/>
      <c r="I194" s="327"/>
      <c r="J194" s="327"/>
      <c r="K194" s="327"/>
      <c r="L194" s="326"/>
      <c r="M194" s="327"/>
      <c r="N194" s="327"/>
      <c r="O194" s="327"/>
      <c r="P194" s="327"/>
      <c r="Q194" s="326"/>
      <c r="R194" s="327"/>
      <c r="S194" s="327"/>
      <c r="T194" s="327"/>
      <c r="U194" s="327"/>
      <c r="V194" s="329"/>
      <c r="W194" s="330"/>
      <c r="X194" s="330"/>
      <c r="Y194" s="330"/>
      <c r="Z194" s="509"/>
      <c r="AA194" s="329"/>
      <c r="AB194" s="330"/>
      <c r="AC194" s="330"/>
      <c r="AD194" s="330"/>
      <c r="AE194" s="510"/>
      <c r="AF194" s="326"/>
      <c r="AG194" s="331"/>
      <c r="AH194" s="332"/>
      <c r="AI194" s="330"/>
      <c r="AJ194" s="331"/>
      <c r="AK194" s="329">
        <f>-AK192*AK193</f>
        <v>-383</v>
      </c>
      <c r="AL194" s="330"/>
      <c r="AM194" s="330"/>
      <c r="AN194" s="330"/>
      <c r="AO194" s="330"/>
      <c r="AP194" s="329">
        <f>-AP192*AP193</f>
        <v>-350</v>
      </c>
      <c r="AQ194" s="333"/>
      <c r="AR194" s="330"/>
      <c r="AS194" s="330"/>
      <c r="AT194" s="330"/>
      <c r="AU194" s="329">
        <f>-AU192*AU193</f>
        <v>-340</v>
      </c>
      <c r="AV194" s="333"/>
      <c r="AW194" s="330"/>
      <c r="AX194" s="330"/>
      <c r="AY194" s="330"/>
      <c r="AZ194" s="329">
        <f>-AZ192*AZ193</f>
        <v>-443</v>
      </c>
      <c r="BA194" s="329">
        <f>-BA192*BA193</f>
        <v>-350</v>
      </c>
      <c r="BB194" s="333"/>
      <c r="BC194" s="330"/>
      <c r="BD194" s="330"/>
      <c r="BE194" s="330"/>
      <c r="BF194" s="329">
        <f>-BF192*BF193</f>
        <v>-340</v>
      </c>
      <c r="BG194" s="333"/>
      <c r="BH194" s="330"/>
      <c r="BI194" s="330"/>
      <c r="BJ194" s="330"/>
      <c r="BK194" s="329">
        <f>-BK192*BK193</f>
        <v>-443</v>
      </c>
      <c r="BL194" s="333"/>
      <c r="BM194" s="330"/>
      <c r="BN194" s="330"/>
      <c r="BO194" s="330"/>
      <c r="BP194" s="329"/>
      <c r="BQ194" s="329">
        <f>-BQ192*BQ193</f>
        <v>-340</v>
      </c>
      <c r="BR194" s="333"/>
      <c r="BS194" s="330"/>
      <c r="BT194" s="330"/>
      <c r="BU194" s="330"/>
      <c r="BV194" s="329">
        <f>-BV192*BV193</f>
        <v>-443</v>
      </c>
      <c r="BW194" s="333"/>
      <c r="BX194" s="330"/>
      <c r="BY194" s="330"/>
      <c r="BZ194" s="330"/>
      <c r="CA194" s="329">
        <f>+CA191</f>
        <v>-663</v>
      </c>
      <c r="CB194" s="333"/>
      <c r="CC194" s="330"/>
      <c r="CD194" s="330"/>
      <c r="CE194" s="330"/>
      <c r="CF194" s="329">
        <f>+CF191</f>
        <v>-651</v>
      </c>
      <c r="CG194" s="333"/>
      <c r="CH194" s="330"/>
      <c r="CI194" s="330"/>
      <c r="CJ194" s="330"/>
      <c r="CK194" s="329"/>
      <c r="CL194" s="333"/>
      <c r="CM194" s="330"/>
      <c r="CN194" s="330"/>
      <c r="CO194" s="330"/>
      <c r="CP194" s="329"/>
      <c r="CQ194" s="331"/>
      <c r="CR194" s="331"/>
      <c r="CS194" s="331"/>
      <c r="CT194" s="334"/>
      <c r="CU194" s="329">
        <f>+CU191</f>
        <v>-691.24422351538954</v>
      </c>
      <c r="CV194" s="331"/>
      <c r="CW194" s="331"/>
      <c r="CX194" s="331"/>
      <c r="CY194" s="334"/>
      <c r="CZ194" s="329">
        <f>-CZ192*CZ193</f>
        <v>-674.89079432206677</v>
      </c>
      <c r="DA194" s="331"/>
      <c r="DB194" s="331"/>
      <c r="DC194" s="331"/>
      <c r="DD194" s="334"/>
      <c r="DE194" s="329">
        <f>-DE192*DE193</f>
        <v>-624.0544074967969</v>
      </c>
      <c r="DF194" s="331"/>
      <c r="DG194" s="331"/>
      <c r="DH194" s="331"/>
      <c r="DI194" s="334"/>
      <c r="DJ194" s="329">
        <f>-DJ192*DJ193</f>
        <v>-574.71802067152703</v>
      </c>
      <c r="DK194" s="414"/>
      <c r="DL194" s="415"/>
      <c r="DM194" s="810"/>
      <c r="DN194" s="810"/>
      <c r="DO194" s="810"/>
      <c r="DP194" s="1053"/>
      <c r="DQ194" s="1053"/>
      <c r="DR194" s="1053"/>
      <c r="DS194" s="810"/>
      <c r="DT194" s="810"/>
      <c r="DU194" s="810"/>
      <c r="DV194" s="810"/>
      <c r="DW194" s="810"/>
      <c r="DX194" s="810"/>
      <c r="DY194" s="415"/>
      <c r="DZ194" s="416"/>
      <c r="EA194" s="416"/>
      <c r="EB194"/>
      <c r="EC194"/>
      <c r="ED194"/>
      <c r="EE194"/>
      <c r="EF194"/>
      <c r="EG194"/>
    </row>
    <row r="195" spans="1:137" s="224" customFormat="1">
      <c r="A195" s="129" t="s">
        <v>28</v>
      </c>
      <c r="B195" s="130"/>
      <c r="C195" s="130">
        <v>0</v>
      </c>
      <c r="D195" s="130">
        <v>0</v>
      </c>
      <c r="E195" s="130">
        <v>0</v>
      </c>
      <c r="F195" s="130">
        <v>133</v>
      </c>
      <c r="G195" s="130">
        <v>183</v>
      </c>
      <c r="H195" s="131">
        <v>37</v>
      </c>
      <c r="I195" s="131">
        <v>67</v>
      </c>
      <c r="J195" s="131">
        <v>35</v>
      </c>
      <c r="K195" s="131">
        <v>54</v>
      </c>
      <c r="L195" s="130">
        <f>SUM(H195:K195)</f>
        <v>193</v>
      </c>
      <c r="M195" s="131">
        <v>-7</v>
      </c>
      <c r="N195" s="131">
        <v>34</v>
      </c>
      <c r="O195" s="131">
        <v>-13</v>
      </c>
      <c r="P195" s="131">
        <f>Q195-SUM(M195:O195)</f>
        <v>-102</v>
      </c>
      <c r="Q195" s="130">
        <v>-88</v>
      </c>
      <c r="R195" s="131">
        <v>-3</v>
      </c>
      <c r="S195" s="131">
        <v>46</v>
      </c>
      <c r="T195" s="131">
        <v>54</v>
      </c>
      <c r="U195" s="131">
        <v>26</v>
      </c>
      <c r="V195" s="132">
        <f>SUM(R195:U195)</f>
        <v>123</v>
      </c>
      <c r="W195" s="133">
        <v>28</v>
      </c>
      <c r="X195" s="133">
        <v>-19</v>
      </c>
      <c r="Y195" s="133">
        <v>37</v>
      </c>
      <c r="Z195" s="133">
        <v>28</v>
      </c>
      <c r="AA195" s="132">
        <f>SUM(W195:Z195)</f>
        <v>74</v>
      </c>
      <c r="AB195" s="133">
        <v>2.5</v>
      </c>
      <c r="AC195" s="133">
        <v>2.5</v>
      </c>
      <c r="AD195" s="133">
        <v>2.5</v>
      </c>
      <c r="AE195" s="133">
        <v>-44</v>
      </c>
      <c r="AF195" s="130">
        <v>-35</v>
      </c>
      <c r="AG195" s="133">
        <v>3</v>
      </c>
      <c r="AH195" s="133">
        <v>21</v>
      </c>
      <c r="AI195" s="133">
        <v>6</v>
      </c>
      <c r="AJ195" s="133">
        <v>-9</v>
      </c>
      <c r="AK195" s="132">
        <v>21</v>
      </c>
      <c r="AL195" s="133">
        <v>-2</v>
      </c>
      <c r="AM195" s="133">
        <v>1</v>
      </c>
      <c r="AN195" s="476">
        <v>3</v>
      </c>
      <c r="AO195" s="476">
        <v>-2</v>
      </c>
      <c r="AP195" s="132">
        <f>SUM(AL195:AO195)</f>
        <v>0</v>
      </c>
      <c r="AQ195" s="736">
        <v>2</v>
      </c>
      <c r="AR195" s="133">
        <v>0</v>
      </c>
      <c r="AS195" s="476">
        <v>1</v>
      </c>
      <c r="AT195" s="476">
        <v>3</v>
      </c>
      <c r="AU195" s="132">
        <f>SUM(AQ195:AT195)</f>
        <v>6</v>
      </c>
      <c r="AV195" s="736">
        <v>3</v>
      </c>
      <c r="AW195" s="133">
        <v>2</v>
      </c>
      <c r="AX195" s="476">
        <v>1</v>
      </c>
      <c r="AY195" s="476">
        <v>24</v>
      </c>
      <c r="AZ195" s="132">
        <f>SUM(AV195:AY195)</f>
        <v>30</v>
      </c>
      <c r="BA195" s="132">
        <f>+AP195</f>
        <v>0</v>
      </c>
      <c r="BB195" s="736">
        <v>2</v>
      </c>
      <c r="BC195" s="133">
        <v>0</v>
      </c>
      <c r="BD195" s="476">
        <v>1</v>
      </c>
      <c r="BE195" s="476">
        <v>3</v>
      </c>
      <c r="BF195" s="132">
        <f>+AU195</f>
        <v>6</v>
      </c>
      <c r="BG195" s="736">
        <v>3</v>
      </c>
      <c r="BH195" s="133">
        <v>2</v>
      </c>
      <c r="BI195" s="476">
        <v>1</v>
      </c>
      <c r="BJ195" s="476">
        <v>24</v>
      </c>
      <c r="BK195" s="132">
        <f>+AZ195</f>
        <v>30</v>
      </c>
      <c r="BL195" s="736">
        <v>1</v>
      </c>
      <c r="BM195" s="133">
        <v>0</v>
      </c>
      <c r="BN195" s="476"/>
      <c r="BO195" s="476"/>
      <c r="BP195" s="261"/>
      <c r="BQ195" s="132">
        <v>5</v>
      </c>
      <c r="BR195" s="736">
        <v>3</v>
      </c>
      <c r="BS195" s="133">
        <v>2</v>
      </c>
      <c r="BT195" s="476">
        <v>1</v>
      </c>
      <c r="BU195" s="476">
        <v>24</v>
      </c>
      <c r="BV195" s="132">
        <f>+SUM(BR195:BU195)</f>
        <v>30</v>
      </c>
      <c r="BW195" s="736">
        <v>1</v>
      </c>
      <c r="BX195" s="133">
        <v>0</v>
      </c>
      <c r="BY195" s="476">
        <v>1</v>
      </c>
      <c r="BZ195" s="476">
        <v>-2</v>
      </c>
      <c r="CA195" s="132">
        <f>+SUM(BW195:BZ195)</f>
        <v>0</v>
      </c>
      <c r="CB195" s="1222">
        <v>1</v>
      </c>
      <c r="CC195" s="1223">
        <v>-2</v>
      </c>
      <c r="CD195" s="476">
        <v>-7</v>
      </c>
      <c r="CE195" s="476">
        <v>7</v>
      </c>
      <c r="CF195" s="132">
        <f>+SUM(CB195:CE195)</f>
        <v>-1</v>
      </c>
      <c r="CG195" s="736"/>
      <c r="CH195" s="133"/>
      <c r="CI195" s="476"/>
      <c r="CJ195" s="476"/>
      <c r="CK195" s="132">
        <v>-471</v>
      </c>
      <c r="CL195" s="1222"/>
      <c r="CM195" s="1223"/>
      <c r="CN195" s="476"/>
      <c r="CO195" s="476"/>
      <c r="CP195" s="132">
        <f>-1+-846</f>
        <v>-847</v>
      </c>
      <c r="CQ195" s="260">
        <f>-CQ183</f>
        <v>-217.5</v>
      </c>
      <c r="CR195" s="260">
        <f t="shared" ref="CR195:CT195" si="750">-CR183</f>
        <v>-217.5</v>
      </c>
      <c r="CS195" s="260">
        <f t="shared" si="750"/>
        <v>-217.5</v>
      </c>
      <c r="CT195" s="262">
        <f t="shared" si="750"/>
        <v>-217.5</v>
      </c>
      <c r="CU195" s="132">
        <f>+SUM(CQ195:CT195)</f>
        <v>-870</v>
      </c>
      <c r="CV195" s="260"/>
      <c r="CW195" s="260"/>
      <c r="CX195" s="260"/>
      <c r="CY195" s="262"/>
      <c r="CZ195" s="1300">
        <f>-CZ183</f>
        <v>-870</v>
      </c>
      <c r="DA195" s="260"/>
      <c r="DB195" s="260"/>
      <c r="DC195" s="260"/>
      <c r="DD195" s="262"/>
      <c r="DE195" s="1300">
        <f>-DE183</f>
        <v>0</v>
      </c>
      <c r="DF195" s="260"/>
      <c r="DG195" s="260"/>
      <c r="DH195" s="260"/>
      <c r="DI195" s="262"/>
      <c r="DJ195" s="1300">
        <f>-DJ183</f>
        <v>0</v>
      </c>
      <c r="DK195" s="217"/>
      <c r="DL195" s="1286"/>
      <c r="DM195" s="810"/>
      <c r="DN195" s="810"/>
      <c r="DO195" s="810"/>
      <c r="DP195" s="1053"/>
      <c r="DQ195" s="1053"/>
      <c r="DR195" s="1053"/>
      <c r="DS195" s="810"/>
      <c r="DT195" s="810"/>
      <c r="DU195" s="810"/>
      <c r="DV195" s="810"/>
      <c r="DW195" s="810"/>
      <c r="DX195" s="810"/>
      <c r="DY195" s="228"/>
      <c r="DZ195" s="216"/>
      <c r="EA195" s="216"/>
      <c r="EB195"/>
      <c r="EC195"/>
      <c r="ED195"/>
      <c r="EE195"/>
      <c r="EF195"/>
      <c r="EG195"/>
    </row>
    <row r="196" spans="1:137" s="144" customFormat="1">
      <c r="A196" s="137" t="s">
        <v>157</v>
      </c>
      <c r="B196" s="139">
        <f t="shared" ref="B196:AG196" si="751">SUM(B171,B191,B195)</f>
        <v>133</v>
      </c>
      <c r="C196" s="139">
        <f t="shared" si="751"/>
        <v>577</v>
      </c>
      <c r="D196" s="139">
        <f t="shared" si="751"/>
        <v>1532</v>
      </c>
      <c r="E196" s="139">
        <f t="shared" si="751"/>
        <v>1664</v>
      </c>
      <c r="F196" s="139">
        <f t="shared" si="751"/>
        <v>2616</v>
      </c>
      <c r="G196" s="139">
        <f t="shared" si="751"/>
        <v>3592</v>
      </c>
      <c r="H196" s="137">
        <f t="shared" si="751"/>
        <v>929</v>
      </c>
      <c r="I196" s="137">
        <f t="shared" si="751"/>
        <v>1138</v>
      </c>
      <c r="J196" s="137">
        <f t="shared" si="751"/>
        <v>1119</v>
      </c>
      <c r="K196" s="137">
        <f t="shared" si="751"/>
        <v>1182</v>
      </c>
      <c r="L196" s="139">
        <f t="shared" si="751"/>
        <v>4368</v>
      </c>
      <c r="M196" s="141">
        <f t="shared" si="751"/>
        <v>1084</v>
      </c>
      <c r="N196" s="141">
        <f t="shared" si="751"/>
        <v>1305</v>
      </c>
      <c r="O196" s="141">
        <f t="shared" si="751"/>
        <v>1144</v>
      </c>
      <c r="P196" s="137">
        <f t="shared" si="751"/>
        <v>1169</v>
      </c>
      <c r="Q196" s="139">
        <f t="shared" si="751"/>
        <v>4702</v>
      </c>
      <c r="R196" s="141">
        <f t="shared" si="751"/>
        <v>978</v>
      </c>
      <c r="S196" s="141">
        <f t="shared" si="751"/>
        <v>1050</v>
      </c>
      <c r="T196" s="141">
        <f t="shared" si="751"/>
        <v>1048</v>
      </c>
      <c r="U196" s="137">
        <f t="shared" si="751"/>
        <v>1184</v>
      </c>
      <c r="V196" s="142">
        <f t="shared" si="751"/>
        <v>4260</v>
      </c>
      <c r="W196" s="137">
        <f t="shared" si="751"/>
        <v>879</v>
      </c>
      <c r="X196" s="137">
        <f t="shared" si="751"/>
        <v>1010</v>
      </c>
      <c r="Y196" s="137">
        <f t="shared" si="751"/>
        <v>829</v>
      </c>
      <c r="Z196" s="137">
        <f t="shared" si="751"/>
        <v>1056</v>
      </c>
      <c r="AA196" s="142">
        <f t="shared" si="751"/>
        <v>3774</v>
      </c>
      <c r="AB196" s="137">
        <f t="shared" si="751"/>
        <v>797.5</v>
      </c>
      <c r="AC196" s="137">
        <f t="shared" si="751"/>
        <v>917.5</v>
      </c>
      <c r="AD196" s="141">
        <f t="shared" si="751"/>
        <v>948.5</v>
      </c>
      <c r="AE196" s="141">
        <f t="shared" si="751"/>
        <v>966.25</v>
      </c>
      <c r="AF196" s="142">
        <f t="shared" si="751"/>
        <v>3631.25</v>
      </c>
      <c r="AG196" s="137">
        <f t="shared" si="751"/>
        <v>951</v>
      </c>
      <c r="AH196" s="137">
        <f t="shared" ref="AH196:BM196" si="752">SUM(AH171,AH191,AH195)</f>
        <v>1117</v>
      </c>
      <c r="AI196" s="141">
        <f t="shared" si="752"/>
        <v>1046</v>
      </c>
      <c r="AJ196" s="141">
        <f t="shared" si="752"/>
        <v>958</v>
      </c>
      <c r="AK196" s="142">
        <f t="shared" si="752"/>
        <v>4072</v>
      </c>
      <c r="AL196" s="141">
        <f t="shared" si="752"/>
        <v>1025</v>
      </c>
      <c r="AM196" s="141">
        <f t="shared" si="752"/>
        <v>1211</v>
      </c>
      <c r="AN196" s="141">
        <f t="shared" si="752"/>
        <v>1173</v>
      </c>
      <c r="AO196" s="141">
        <f t="shared" si="752"/>
        <v>941</v>
      </c>
      <c r="AP196" s="142">
        <f t="shared" si="752"/>
        <v>4350</v>
      </c>
      <c r="AQ196" s="141">
        <f t="shared" si="752"/>
        <v>1348</v>
      </c>
      <c r="AR196" s="141">
        <f t="shared" si="752"/>
        <v>1341</v>
      </c>
      <c r="AS196" s="141">
        <f t="shared" si="752"/>
        <v>1311</v>
      </c>
      <c r="AT196" s="141">
        <f t="shared" si="752"/>
        <v>1377</v>
      </c>
      <c r="AU196" s="142">
        <f t="shared" si="752"/>
        <v>5377</v>
      </c>
      <c r="AV196" s="141">
        <f t="shared" si="752"/>
        <v>1266</v>
      </c>
      <c r="AW196" s="141">
        <f t="shared" si="752"/>
        <v>1343</v>
      </c>
      <c r="AX196" s="141">
        <f t="shared" si="752"/>
        <v>1251</v>
      </c>
      <c r="AY196" s="141">
        <f t="shared" si="752"/>
        <v>1163</v>
      </c>
      <c r="AZ196" s="142">
        <f t="shared" si="752"/>
        <v>5023</v>
      </c>
      <c r="BA196" s="142">
        <f t="shared" si="752"/>
        <v>4350</v>
      </c>
      <c r="BB196" s="141">
        <f t="shared" si="752"/>
        <v>1348</v>
      </c>
      <c r="BC196" s="141">
        <f t="shared" si="752"/>
        <v>1341</v>
      </c>
      <c r="BD196" s="141">
        <f t="shared" si="752"/>
        <v>1311</v>
      </c>
      <c r="BE196" s="141">
        <f t="shared" si="752"/>
        <v>1377</v>
      </c>
      <c r="BF196" s="142">
        <f t="shared" si="752"/>
        <v>5377</v>
      </c>
      <c r="BG196" s="141">
        <f t="shared" si="752"/>
        <v>1266</v>
      </c>
      <c r="BH196" s="141">
        <f t="shared" si="752"/>
        <v>1343</v>
      </c>
      <c r="BI196" s="141">
        <f t="shared" si="752"/>
        <v>1251</v>
      </c>
      <c r="BJ196" s="141">
        <f t="shared" si="752"/>
        <v>1163</v>
      </c>
      <c r="BK196" s="142">
        <f t="shared" si="752"/>
        <v>5023</v>
      </c>
      <c r="BL196" s="141">
        <f t="shared" si="752"/>
        <v>1134</v>
      </c>
      <c r="BM196" s="141">
        <f t="shared" si="752"/>
        <v>1400</v>
      </c>
      <c r="BN196" s="141"/>
      <c r="BO196" s="141"/>
      <c r="BP196" s="142"/>
      <c r="BQ196" s="174">
        <f t="shared" ref="BQ196:CF196" si="753">SUM(BQ171,BQ191,BQ195)</f>
        <v>4677</v>
      </c>
      <c r="BR196" s="197">
        <f t="shared" si="753"/>
        <v>1057</v>
      </c>
      <c r="BS196" s="197">
        <f t="shared" si="753"/>
        <v>1171</v>
      </c>
      <c r="BT196" s="197">
        <f t="shared" si="753"/>
        <v>1089</v>
      </c>
      <c r="BU196" s="197">
        <f t="shared" si="753"/>
        <v>982</v>
      </c>
      <c r="BV196" s="174">
        <f t="shared" si="753"/>
        <v>4299</v>
      </c>
      <c r="BW196" s="197">
        <f t="shared" si="753"/>
        <v>994</v>
      </c>
      <c r="BX196" s="197">
        <f t="shared" si="753"/>
        <v>1210</v>
      </c>
      <c r="BY196" s="197">
        <f t="shared" si="753"/>
        <v>1427</v>
      </c>
      <c r="BZ196" s="197">
        <f t="shared" si="753"/>
        <v>1255</v>
      </c>
      <c r="CA196" s="174">
        <f t="shared" si="753"/>
        <v>4886</v>
      </c>
      <c r="CB196" s="197">
        <f t="shared" si="753"/>
        <v>995</v>
      </c>
      <c r="CC196" s="197">
        <f t="shared" si="753"/>
        <v>1323</v>
      </c>
      <c r="CD196" s="197">
        <f t="shared" si="753"/>
        <v>1259</v>
      </c>
      <c r="CE196" s="197">
        <f t="shared" si="753"/>
        <v>1692</v>
      </c>
      <c r="CF196" s="174">
        <f t="shared" si="753"/>
        <v>5269</v>
      </c>
      <c r="CG196" s="197"/>
      <c r="CH196" s="197"/>
      <c r="CI196" s="197"/>
      <c r="CJ196" s="197"/>
      <c r="CK196" s="174">
        <f>SUM(CK171,CK191,CK195)</f>
        <v>4776</v>
      </c>
      <c r="CL196" s="197"/>
      <c r="CM196" s="197"/>
      <c r="CN196" s="197"/>
      <c r="CO196" s="197"/>
      <c r="CP196" s="174">
        <f t="shared" ref="CP196:CU196" si="754">SUM(CP171,CP191,CP195)</f>
        <v>5261</v>
      </c>
      <c r="CQ196" s="141">
        <f t="shared" si="754"/>
        <v>1184.02</v>
      </c>
      <c r="CR196" s="141">
        <f t="shared" si="754"/>
        <v>1356.8593570777537</v>
      </c>
      <c r="CS196" s="141">
        <f t="shared" si="754"/>
        <v>1280.3987141555074</v>
      </c>
      <c r="CT196" s="141">
        <f t="shared" si="754"/>
        <v>1574.0777052513497</v>
      </c>
      <c r="CU196" s="142">
        <f t="shared" si="754"/>
        <v>5395.3557764846109</v>
      </c>
      <c r="CV196" s="137"/>
      <c r="CW196" s="137"/>
      <c r="CX196" s="137"/>
      <c r="CY196" s="138"/>
      <c r="CZ196" s="142">
        <f>SUM(CZ171,CZ191,CZ195)</f>
        <v>5985.4292056779332</v>
      </c>
      <c r="DA196" s="137"/>
      <c r="DB196" s="137"/>
      <c r="DC196" s="137"/>
      <c r="DD196" s="138"/>
      <c r="DE196" s="142">
        <f>SUM(DE171,DE191,DE195)</f>
        <v>7942.0997425032037</v>
      </c>
      <c r="DF196" s="137"/>
      <c r="DG196" s="137"/>
      <c r="DH196" s="137"/>
      <c r="DI196" s="138"/>
      <c r="DJ196" s="142">
        <f>SUM(DJ171,DJ191,DJ195)</f>
        <v>8280.1419873284722</v>
      </c>
      <c r="DK196" s="399"/>
      <c r="DL196" s="1282"/>
      <c r="DM196" s="810"/>
      <c r="DN196" s="810"/>
      <c r="DO196" s="810"/>
      <c r="DP196" s="1053"/>
      <c r="DQ196" s="1053"/>
      <c r="DR196" s="1053"/>
      <c r="DS196" s="810"/>
      <c r="DT196" s="810"/>
      <c r="DU196" s="810"/>
      <c r="DV196" s="810"/>
      <c r="DW196" s="810"/>
      <c r="DX196" s="810"/>
      <c r="DY196" s="357"/>
      <c r="DZ196" s="143"/>
      <c r="EA196" s="143"/>
      <c r="EB196"/>
      <c r="EC196"/>
      <c r="ED196"/>
      <c r="EE196"/>
      <c r="EF196"/>
      <c r="EG196"/>
    </row>
    <row r="197" spans="1:137" s="459" customFormat="1">
      <c r="A197" s="724" t="s">
        <v>138</v>
      </c>
      <c r="B197" s="291">
        <f>B198/B196</f>
        <v>0.67669172932330823</v>
      </c>
      <c r="C197" s="291">
        <f t="shared" ref="C197:AL197" si="755">C198/C196</f>
        <v>7.6256499133448868E-2</v>
      </c>
      <c r="D197" s="291">
        <f t="shared" si="755"/>
        <v>0.31266318537859006</v>
      </c>
      <c r="E197" s="291">
        <f t="shared" si="755"/>
        <v>0.23918269230769232</v>
      </c>
      <c r="F197" s="291">
        <f t="shared" si="755"/>
        <v>0.30237003058103973</v>
      </c>
      <c r="G197" s="291">
        <f t="shared" si="755"/>
        <v>0.29593541202672607</v>
      </c>
      <c r="H197" s="725">
        <f t="shared" si="755"/>
        <v>0.2572658772874058</v>
      </c>
      <c r="I197" s="726">
        <f t="shared" si="755"/>
        <v>0.31634446397188049</v>
      </c>
      <c r="J197" s="726">
        <f t="shared" si="755"/>
        <v>0.31546023235031279</v>
      </c>
      <c r="K197" s="725">
        <f t="shared" si="755"/>
        <v>0.32402707275803722</v>
      </c>
      <c r="L197" s="291">
        <f t="shared" si="755"/>
        <v>0.30563186813186816</v>
      </c>
      <c r="M197" s="726">
        <f t="shared" si="755"/>
        <v>0.32656826568265684</v>
      </c>
      <c r="N197" s="726">
        <f t="shared" si="755"/>
        <v>0.32413793103448274</v>
      </c>
      <c r="O197" s="726">
        <f t="shared" si="755"/>
        <v>0.31643356643356646</v>
      </c>
      <c r="P197" s="725">
        <f>P198/P196</f>
        <v>0.29597946963216426</v>
      </c>
      <c r="Q197" s="291">
        <f t="shared" si="755"/>
        <v>0.31582305401956612</v>
      </c>
      <c r="R197" s="726">
        <f t="shared" si="755"/>
        <v>0.31901840490797545</v>
      </c>
      <c r="S197" s="726">
        <f t="shared" si="755"/>
        <v>0.30380952380952381</v>
      </c>
      <c r="T197" s="726">
        <f t="shared" si="755"/>
        <v>0.25</v>
      </c>
      <c r="U197" s="725">
        <f t="shared" si="755"/>
        <v>0.29391891891891891</v>
      </c>
      <c r="V197" s="727">
        <f t="shared" si="755"/>
        <v>0.29131455399061035</v>
      </c>
      <c r="W197" s="728">
        <f t="shared" si="755"/>
        <v>0.40955631399317405</v>
      </c>
      <c r="X197" s="726">
        <f t="shared" si="755"/>
        <v>0.29306930693069305</v>
      </c>
      <c r="Y197" s="726">
        <f t="shared" si="755"/>
        <v>0.32810615199034981</v>
      </c>
      <c r="Z197" s="614">
        <f t="shared" si="755"/>
        <v>0.22253787878787878</v>
      </c>
      <c r="AA197" s="727">
        <f t="shared" si="755"/>
        <v>0.30816110227874932</v>
      </c>
      <c r="AB197" s="728">
        <f t="shared" si="755"/>
        <v>0.30344827586206896</v>
      </c>
      <c r="AC197" s="726">
        <f t="shared" si="755"/>
        <v>0.18528610354223432</v>
      </c>
      <c r="AD197" s="726">
        <f t="shared" si="755"/>
        <v>0.29942013705851345</v>
      </c>
      <c r="AE197" s="725">
        <f t="shared" si="755"/>
        <v>0.2773609314359638</v>
      </c>
      <c r="AF197" s="291">
        <f t="shared" si="755"/>
        <v>0.26547332185886402</v>
      </c>
      <c r="AG197" s="725">
        <f t="shared" si="755"/>
        <v>0.29758149316508936</v>
      </c>
      <c r="AH197" s="729">
        <f t="shared" si="755"/>
        <v>0.30080572963294538</v>
      </c>
      <c r="AI197" s="729">
        <f t="shared" si="755"/>
        <v>0.30497131931166349</v>
      </c>
      <c r="AJ197" s="725">
        <f t="shared" si="755"/>
        <v>0.3444676409185804</v>
      </c>
      <c r="AK197" s="291">
        <f t="shared" si="755"/>
        <v>0.3113948919449902</v>
      </c>
      <c r="AL197" s="725">
        <f t="shared" si="755"/>
        <v>0.2575609756097561</v>
      </c>
      <c r="AM197" s="725">
        <f t="shared" ref="AM197:AR197" si="756">AM198/AM196</f>
        <v>0.2906688687035508</v>
      </c>
      <c r="AN197" s="725">
        <f t="shared" si="756"/>
        <v>0.28218243819266836</v>
      </c>
      <c r="AO197" s="725">
        <f t="shared" si="756"/>
        <v>0.29436769394261425</v>
      </c>
      <c r="AP197" s="291">
        <f t="shared" si="756"/>
        <v>0.2813793103448276</v>
      </c>
      <c r="AQ197" s="725">
        <f t="shared" si="756"/>
        <v>0.30786350148367952</v>
      </c>
      <c r="AR197" s="725">
        <f t="shared" si="756"/>
        <v>0.33706189410887399</v>
      </c>
      <c r="AS197" s="725">
        <f t="shared" ref="AS197:BF197" si="757">AS198/AS196</f>
        <v>0.32265446224256294</v>
      </c>
      <c r="AT197" s="725">
        <f t="shared" si="757"/>
        <v>0.2570806100217865</v>
      </c>
      <c r="AU197" s="291">
        <f t="shared" si="757"/>
        <v>0.30574669890273387</v>
      </c>
      <c r="AV197" s="725">
        <f>AV198/AV196</f>
        <v>0.30647709320695105</v>
      </c>
      <c r="AW197" s="725">
        <f>AW198/AW196</f>
        <v>0.308265078183172</v>
      </c>
      <c r="AX197" s="725">
        <f>AX198/AX196</f>
        <v>0.30855315747402079</v>
      </c>
      <c r="AY197" s="725">
        <f>AY198/AY196</f>
        <v>0.19776440240756663</v>
      </c>
      <c r="AZ197" s="291">
        <f>AZ198/AZ196</f>
        <v>0.2823014134979096</v>
      </c>
      <c r="BA197" s="291">
        <f t="shared" ref="BA197" si="758">BA198/BA196</f>
        <v>0.2813793103448276</v>
      </c>
      <c r="BB197" s="725">
        <f t="shared" si="757"/>
        <v>0.30786350148367952</v>
      </c>
      <c r="BC197" s="725">
        <f t="shared" si="757"/>
        <v>0.33706189410887399</v>
      </c>
      <c r="BD197" s="725">
        <f t="shared" si="757"/>
        <v>0.32265446224256294</v>
      </c>
      <c r="BE197" s="725">
        <f t="shared" si="757"/>
        <v>0.2570806100217865</v>
      </c>
      <c r="BF197" s="291">
        <f t="shared" si="757"/>
        <v>0.30574669890273387</v>
      </c>
      <c r="BG197" s="725">
        <f t="shared" ref="BG197:BK197" si="759">BG198/BG196</f>
        <v>0.30647709320695105</v>
      </c>
      <c r="BH197" s="725">
        <f t="shared" si="759"/>
        <v>0.308265078183172</v>
      </c>
      <c r="BI197" s="725">
        <f t="shared" si="759"/>
        <v>0.30855315747402079</v>
      </c>
      <c r="BJ197" s="725">
        <f t="shared" ref="BJ197" si="760">BJ198/BJ196</f>
        <v>0.19776440240756663</v>
      </c>
      <c r="BK197" s="291">
        <f t="shared" si="759"/>
        <v>0.2823014134979096</v>
      </c>
      <c r="BL197" s="725">
        <f t="shared" ref="BL197:BM197" si="761">BL198/BL196</f>
        <v>0.29982363315696647</v>
      </c>
      <c r="BM197" s="725">
        <f t="shared" si="761"/>
        <v>0.27071428571428574</v>
      </c>
      <c r="BN197" s="725"/>
      <c r="BO197" s="725"/>
      <c r="BP197" s="1014"/>
      <c r="BQ197" s="292">
        <f t="shared" ref="BQ197" si="762">BQ198/BQ196</f>
        <v>0.30446867650203124</v>
      </c>
      <c r="BR197" s="614">
        <f t="shared" ref="BR197:BY197" si="763">BR198/BR196</f>
        <v>0.30179754020813626</v>
      </c>
      <c r="BS197" s="614">
        <f t="shared" si="763"/>
        <v>0.30401366353543979</v>
      </c>
      <c r="BT197" s="614">
        <f t="shared" si="763"/>
        <v>0.30578512396694213</v>
      </c>
      <c r="BU197" s="614">
        <f t="shared" si="763"/>
        <v>0.16802443991853361</v>
      </c>
      <c r="BV197" s="292">
        <f t="shared" si="763"/>
        <v>0.27285415212840197</v>
      </c>
      <c r="BW197" s="614">
        <f t="shared" si="763"/>
        <v>0.1891348088531187</v>
      </c>
      <c r="BX197" s="614">
        <f t="shared" si="763"/>
        <v>0.25702479338842976</v>
      </c>
      <c r="BY197" s="614">
        <f t="shared" si="763"/>
        <v>0.23686054660126138</v>
      </c>
      <c r="BZ197" s="614">
        <f>BZ198/BZ196</f>
        <v>0.23585657370517929</v>
      </c>
      <c r="CA197" s="342">
        <f>CA198/CA196</f>
        <v>0.23188702415063447</v>
      </c>
      <c r="CB197" s="614">
        <f t="shared" ref="CB197:CD197" si="764">CB198/CB196</f>
        <v>0.23316582914572864</v>
      </c>
      <c r="CC197" s="1224">
        <f t="shared" si="764"/>
        <v>0.28798185941043086</v>
      </c>
      <c r="CD197" s="614">
        <f t="shared" si="764"/>
        <v>0.25416997617156473</v>
      </c>
      <c r="CE197" s="614">
        <f>CE198/CE196</f>
        <v>0.27364066193853426</v>
      </c>
      <c r="CF197" s="342">
        <f>CF198/CF196</f>
        <v>0.26494591003985574</v>
      </c>
      <c r="CG197" s="614"/>
      <c r="CH197" s="614"/>
      <c r="CI197" s="614"/>
      <c r="CJ197" s="614"/>
      <c r="CK197" s="342">
        <f>CK198/CK196</f>
        <v>0.23031825795644892</v>
      </c>
      <c r="CL197" s="614"/>
      <c r="CM197" s="1224"/>
      <c r="CN197" s="614"/>
      <c r="CO197" s="614"/>
      <c r="CP197" s="342">
        <f>CP198/CP196</f>
        <v>0.26506833301653671</v>
      </c>
      <c r="CQ197" s="1026">
        <v>0.17</v>
      </c>
      <c r="CR197" s="1026">
        <v>0.17</v>
      </c>
      <c r="CS197" s="1026">
        <v>0.17</v>
      </c>
      <c r="CT197" s="1026">
        <v>0.17</v>
      </c>
      <c r="CU197" s="1169">
        <f>CU198/CU196</f>
        <v>0.17</v>
      </c>
      <c r="CV197" s="731"/>
      <c r="CW197" s="731"/>
      <c r="CX197" s="731"/>
      <c r="CY197" s="732"/>
      <c r="CZ197" s="730">
        <f>CU197</f>
        <v>0.17</v>
      </c>
      <c r="DA197" s="731"/>
      <c r="DB197" s="731"/>
      <c r="DC197" s="731"/>
      <c r="DD197" s="732"/>
      <c r="DE197" s="730">
        <f>CZ197</f>
        <v>0.17</v>
      </c>
      <c r="DF197" s="731"/>
      <c r="DG197" s="731"/>
      <c r="DH197" s="731"/>
      <c r="DI197" s="732"/>
      <c r="DJ197" s="730">
        <f>DE197</f>
        <v>0.17</v>
      </c>
      <c r="DK197" s="456"/>
      <c r="DL197" s="1284"/>
      <c r="DM197" s="809" t="s">
        <v>400</v>
      </c>
      <c r="DN197" s="812"/>
      <c r="DO197" s="812"/>
      <c r="DP197" s="1085"/>
      <c r="DQ197" s="1150"/>
      <c r="DR197" s="489"/>
      <c r="DS197" s="489"/>
      <c r="DT197" s="1205"/>
      <c r="DU197" s="1201"/>
      <c r="DV197" s="810"/>
      <c r="DW197" s="812"/>
      <c r="DX197" s="812"/>
      <c r="DY197" s="457"/>
      <c r="DZ197" s="458"/>
      <c r="EA197" s="458"/>
      <c r="EB197"/>
      <c r="EC197"/>
      <c r="ED197"/>
      <c r="EE197"/>
      <c r="EF197"/>
      <c r="EG197"/>
    </row>
    <row r="198" spans="1:137" s="144" customFormat="1">
      <c r="A198" s="145" t="s">
        <v>151</v>
      </c>
      <c r="B198" s="119">
        <v>90</v>
      </c>
      <c r="C198" s="119">
        <v>44</v>
      </c>
      <c r="D198" s="119">
        <v>479</v>
      </c>
      <c r="E198" s="119">
        <v>398</v>
      </c>
      <c r="F198" s="119">
        <v>791</v>
      </c>
      <c r="G198" s="119">
        <v>1063</v>
      </c>
      <c r="H198" s="121">
        <v>239</v>
      </c>
      <c r="I198" s="121">
        <v>360</v>
      </c>
      <c r="J198" s="121">
        <v>353</v>
      </c>
      <c r="K198" s="121">
        <v>383</v>
      </c>
      <c r="L198" s="119">
        <f>SUM(H198:K198)</f>
        <v>1335</v>
      </c>
      <c r="M198" s="121">
        <v>354</v>
      </c>
      <c r="N198" s="121">
        <v>423</v>
      </c>
      <c r="O198" s="121">
        <v>362</v>
      </c>
      <c r="P198" s="121">
        <v>346</v>
      </c>
      <c r="Q198" s="119">
        <f>SUM(M198:P198)</f>
        <v>1485</v>
      </c>
      <c r="R198" s="121">
        <v>312</v>
      </c>
      <c r="S198" s="121">
        <v>319</v>
      </c>
      <c r="T198" s="121">
        <v>262</v>
      </c>
      <c r="U198" s="121">
        <v>348</v>
      </c>
      <c r="V198" s="122">
        <f>SUM(R198:U198)</f>
        <v>1241</v>
      </c>
      <c r="W198" s="121">
        <v>360</v>
      </c>
      <c r="X198" s="121">
        <v>296</v>
      </c>
      <c r="Y198" s="124">
        <v>272</v>
      </c>
      <c r="Z198" s="124">
        <v>235</v>
      </c>
      <c r="AA198" s="122">
        <f>SUM(W198:Z198)</f>
        <v>1163</v>
      </c>
      <c r="AB198" s="124">
        <v>242</v>
      </c>
      <c r="AC198" s="124">
        <v>170</v>
      </c>
      <c r="AD198" s="121">
        <v>284</v>
      </c>
      <c r="AE198" s="121">
        <v>268</v>
      </c>
      <c r="AF198" s="119">
        <f>SUM(AB198:AE198)</f>
        <v>964</v>
      </c>
      <c r="AG198" s="124">
        <v>283</v>
      </c>
      <c r="AH198" s="121">
        <v>336</v>
      </c>
      <c r="AI198" s="121">
        <v>319</v>
      </c>
      <c r="AJ198" s="121">
        <f>389-59</f>
        <v>330</v>
      </c>
      <c r="AK198" s="119">
        <f>SUM(AG198:AJ198)</f>
        <v>1268</v>
      </c>
      <c r="AL198" s="121">
        <v>264</v>
      </c>
      <c r="AM198" s="121">
        <v>352</v>
      </c>
      <c r="AN198" s="121">
        <v>331</v>
      </c>
      <c r="AO198" s="121">
        <f>258+195-176</f>
        <v>277</v>
      </c>
      <c r="AP198" s="119">
        <f>SUM(AL198:AO198)</f>
        <v>1224</v>
      </c>
      <c r="AQ198" s="121">
        <v>415</v>
      </c>
      <c r="AR198" s="121">
        <v>452</v>
      </c>
      <c r="AS198" s="121">
        <v>423</v>
      </c>
      <c r="AT198" s="121">
        <v>354</v>
      </c>
      <c r="AU198" s="119">
        <f>SUM(AQ198:AT198)</f>
        <v>1644</v>
      </c>
      <c r="AV198" s="121">
        <v>388</v>
      </c>
      <c r="AW198" s="121">
        <v>414</v>
      </c>
      <c r="AX198" s="121">
        <v>386</v>
      </c>
      <c r="AY198" s="121">
        <f>1418-AX198-AW198-AV198</f>
        <v>230</v>
      </c>
      <c r="AZ198" s="119">
        <f>SUM(AV198:AY198)</f>
        <v>1418</v>
      </c>
      <c r="BA198" s="119">
        <v>1224</v>
      </c>
      <c r="BB198" s="121">
        <v>415</v>
      </c>
      <c r="BC198" s="121">
        <v>452</v>
      </c>
      <c r="BD198" s="121">
        <v>423</v>
      </c>
      <c r="BE198" s="121">
        <v>354</v>
      </c>
      <c r="BF198" s="119">
        <v>1644</v>
      </c>
      <c r="BG198" s="121">
        <v>388</v>
      </c>
      <c r="BH198" s="121">
        <v>414</v>
      </c>
      <c r="BI198" s="121">
        <v>386</v>
      </c>
      <c r="BJ198" s="121">
        <f>1418-BI198-BH198-BG198</f>
        <v>230</v>
      </c>
      <c r="BK198" s="119">
        <v>1418</v>
      </c>
      <c r="BL198" s="121">
        <v>340</v>
      </c>
      <c r="BM198" s="121">
        <v>379</v>
      </c>
      <c r="BN198" s="121"/>
      <c r="BO198" s="121"/>
      <c r="BP198" s="119"/>
      <c r="BQ198" s="122">
        <v>1424</v>
      </c>
      <c r="BR198" s="124">
        <v>319</v>
      </c>
      <c r="BS198" s="124">
        <v>356</v>
      </c>
      <c r="BT198" s="124">
        <v>333</v>
      </c>
      <c r="BU198" s="124">
        <v>165</v>
      </c>
      <c r="BV198" s="122">
        <f>+SUM(BR198:BU198)</f>
        <v>1173</v>
      </c>
      <c r="BW198" s="124">
        <v>188</v>
      </c>
      <c r="BX198" s="124">
        <v>311</v>
      </c>
      <c r="BY198" s="124">
        <v>338</v>
      </c>
      <c r="BZ198" s="124">
        <v>296</v>
      </c>
      <c r="CA198" s="122">
        <f>+SUM(BW198:BZ198)</f>
        <v>1133</v>
      </c>
      <c r="CB198" s="124">
        <v>232</v>
      </c>
      <c r="CC198" s="124">
        <v>381</v>
      </c>
      <c r="CD198" s="124">
        <v>320</v>
      </c>
      <c r="CE198" s="124">
        <f>2407-1944</f>
        <v>463</v>
      </c>
      <c r="CF198" s="122">
        <f>+SUM(CB198:CE198)</f>
        <v>1396</v>
      </c>
      <c r="CG198" s="124"/>
      <c r="CH198" s="124"/>
      <c r="CI198" s="124"/>
      <c r="CJ198" s="124"/>
      <c r="CK198" s="122">
        <f>1133-33</f>
        <v>1100</v>
      </c>
      <c r="CL198" s="124"/>
      <c r="CM198" s="124"/>
      <c r="CN198" s="124"/>
      <c r="CO198" s="124"/>
      <c r="CP198" s="122">
        <f>3353-(6.74*CP226)</f>
        <v>1394.5244999999995</v>
      </c>
      <c r="CQ198" s="121">
        <f t="shared" ref="CQ198:CT198" si="765">+CQ197*CQ196</f>
        <v>201.2834</v>
      </c>
      <c r="CR198" s="121">
        <f t="shared" si="765"/>
        <v>230.66609070321815</v>
      </c>
      <c r="CS198" s="121">
        <f t="shared" si="765"/>
        <v>217.66778140643626</v>
      </c>
      <c r="CT198" s="121">
        <f t="shared" si="765"/>
        <v>267.59320989272948</v>
      </c>
      <c r="CU198" s="119">
        <f>+SUM(CQ198:CT198)</f>
        <v>917.21048200238397</v>
      </c>
      <c r="CV198" s="121"/>
      <c r="CW198" s="121"/>
      <c r="CX198" s="121"/>
      <c r="CY198" s="120"/>
      <c r="CZ198" s="119">
        <f>CZ196*CZ197</f>
        <v>1017.5229649652487</v>
      </c>
      <c r="DA198" s="121"/>
      <c r="DB198" s="121"/>
      <c r="DC198" s="121"/>
      <c r="DD198" s="120"/>
      <c r="DE198" s="119">
        <f>DE196*DE197</f>
        <v>1350.1569562255447</v>
      </c>
      <c r="DF198" s="121"/>
      <c r="DG198" s="121"/>
      <c r="DH198" s="121"/>
      <c r="DI198" s="120"/>
      <c r="DJ198" s="119">
        <f>DJ196*DJ197</f>
        <v>1407.6241378458403</v>
      </c>
      <c r="DK198" s="399"/>
      <c r="DL198" s="1282"/>
      <c r="DM198" s="809"/>
      <c r="DN198" s="810"/>
      <c r="DO198" s="810"/>
      <c r="DP198" s="1053"/>
      <c r="DQ198" s="1053"/>
      <c r="DR198" s="1201"/>
      <c r="DS198" s="1201"/>
      <c r="DT198" s="1238"/>
      <c r="DU198" s="1201"/>
      <c r="DV198" s="810"/>
      <c r="DW198" s="810"/>
      <c r="DX198" s="810"/>
      <c r="DY198" s="357"/>
      <c r="DZ198" s="143"/>
      <c r="EA198" s="143"/>
      <c r="EB198"/>
      <c r="EC198"/>
      <c r="ED198"/>
      <c r="EE198"/>
      <c r="EF198"/>
      <c r="EG198"/>
    </row>
    <row r="199" spans="1:137" s="144" customFormat="1">
      <c r="A199" s="137" t="s">
        <v>108</v>
      </c>
      <c r="B199" s="139">
        <f>B196-B198</f>
        <v>43</v>
      </c>
      <c r="C199" s="139">
        <f t="shared" ref="C199:AR199" si="766">C196-C198</f>
        <v>533</v>
      </c>
      <c r="D199" s="139">
        <f t="shared" si="766"/>
        <v>1053</v>
      </c>
      <c r="E199" s="139">
        <f t="shared" si="766"/>
        <v>1266</v>
      </c>
      <c r="F199" s="139">
        <f>F196-F198</f>
        <v>1825</v>
      </c>
      <c r="G199" s="139">
        <f>G196-G198</f>
        <v>2529</v>
      </c>
      <c r="H199" s="137">
        <f t="shared" si="766"/>
        <v>690</v>
      </c>
      <c r="I199" s="137">
        <f t="shared" si="766"/>
        <v>778</v>
      </c>
      <c r="J199" s="137">
        <f t="shared" si="766"/>
        <v>766</v>
      </c>
      <c r="K199" s="137">
        <f t="shared" si="766"/>
        <v>799</v>
      </c>
      <c r="L199" s="139">
        <f t="shared" si="766"/>
        <v>3033</v>
      </c>
      <c r="M199" s="141">
        <f t="shared" si="766"/>
        <v>730</v>
      </c>
      <c r="N199" s="141">
        <f t="shared" si="766"/>
        <v>882</v>
      </c>
      <c r="O199" s="141">
        <f t="shared" si="766"/>
        <v>782</v>
      </c>
      <c r="P199" s="137">
        <f t="shared" si="766"/>
        <v>823</v>
      </c>
      <c r="Q199" s="139">
        <f t="shared" si="766"/>
        <v>3217</v>
      </c>
      <c r="R199" s="141">
        <f>R196-R198</f>
        <v>666</v>
      </c>
      <c r="S199" s="141">
        <f>S196-S198</f>
        <v>731</v>
      </c>
      <c r="T199" s="141">
        <f t="shared" si="766"/>
        <v>786</v>
      </c>
      <c r="U199" s="137">
        <f>U196-U198</f>
        <v>836</v>
      </c>
      <c r="V199" s="142">
        <f>V196-V198+0.49</f>
        <v>3019.49</v>
      </c>
      <c r="W199" s="137">
        <f t="shared" ref="W199:AB199" si="767">W196-W198</f>
        <v>519</v>
      </c>
      <c r="X199" s="137">
        <f t="shared" si="767"/>
        <v>714</v>
      </c>
      <c r="Y199" s="137">
        <f t="shared" si="767"/>
        <v>557</v>
      </c>
      <c r="Z199" s="137">
        <f t="shared" si="767"/>
        <v>821</v>
      </c>
      <c r="AA199" s="142">
        <f t="shared" si="767"/>
        <v>2611</v>
      </c>
      <c r="AB199" s="137">
        <f t="shared" si="767"/>
        <v>555.5</v>
      </c>
      <c r="AC199" s="137">
        <f t="shared" si="766"/>
        <v>747.5</v>
      </c>
      <c r="AD199" s="141">
        <f>AD196-AD198</f>
        <v>664.5</v>
      </c>
      <c r="AE199" s="141">
        <f t="shared" si="766"/>
        <v>698.25</v>
      </c>
      <c r="AF199" s="142">
        <f>AF196-AF198</f>
        <v>2667.25</v>
      </c>
      <c r="AG199" s="137">
        <f>AG196-AG198-0.4</f>
        <v>667.6</v>
      </c>
      <c r="AH199" s="137">
        <f t="shared" si="766"/>
        <v>781</v>
      </c>
      <c r="AI199" s="141">
        <f>AI196-AI198</f>
        <v>727</v>
      </c>
      <c r="AJ199" s="141">
        <f t="shared" si="766"/>
        <v>628</v>
      </c>
      <c r="AK199" s="142">
        <f t="shared" si="766"/>
        <v>2804</v>
      </c>
      <c r="AL199" s="141">
        <f t="shared" si="766"/>
        <v>761</v>
      </c>
      <c r="AM199" s="141">
        <f t="shared" si="766"/>
        <v>859</v>
      </c>
      <c r="AN199" s="141">
        <f t="shared" si="766"/>
        <v>842</v>
      </c>
      <c r="AO199" s="141">
        <f>AO196-AO198</f>
        <v>664</v>
      </c>
      <c r="AP199" s="142">
        <f>AP196-AP198+0.49</f>
        <v>3126.49</v>
      </c>
      <c r="AQ199" s="141">
        <f t="shared" si="766"/>
        <v>933</v>
      </c>
      <c r="AR199" s="141">
        <f t="shared" si="766"/>
        <v>889</v>
      </c>
      <c r="AS199" s="141">
        <f t="shared" ref="AS199:BE199" si="768">AS196-AS198</f>
        <v>888</v>
      </c>
      <c r="AT199" s="141">
        <f t="shared" si="768"/>
        <v>1023</v>
      </c>
      <c r="AU199" s="142">
        <f t="shared" si="768"/>
        <v>3733</v>
      </c>
      <c r="AV199" s="141">
        <f>AV196-AV198</f>
        <v>878</v>
      </c>
      <c r="AW199" s="141">
        <f>AW196-AW198</f>
        <v>929</v>
      </c>
      <c r="AX199" s="141">
        <f>AX196-AX198</f>
        <v>865</v>
      </c>
      <c r="AY199" s="141">
        <f>AY196-AY198</f>
        <v>933</v>
      </c>
      <c r="AZ199" s="142">
        <f>AZ196-AZ198</f>
        <v>3605</v>
      </c>
      <c r="BA199" s="142">
        <f>BA196-BA198+0.49</f>
        <v>3126.49</v>
      </c>
      <c r="BB199" s="141">
        <f t="shared" si="768"/>
        <v>933</v>
      </c>
      <c r="BC199" s="141">
        <f t="shared" si="768"/>
        <v>889</v>
      </c>
      <c r="BD199" s="141">
        <f t="shared" si="768"/>
        <v>888</v>
      </c>
      <c r="BE199" s="141">
        <f t="shared" si="768"/>
        <v>1023</v>
      </c>
      <c r="BF199" s="142">
        <f>BF196-BF198+0.49</f>
        <v>3733.49</v>
      </c>
      <c r="BG199" s="141">
        <f t="shared" ref="BG199:BJ199" si="769">BG196-BG198</f>
        <v>878</v>
      </c>
      <c r="BH199" s="141">
        <f t="shared" si="769"/>
        <v>929</v>
      </c>
      <c r="BI199" s="141">
        <f t="shared" si="769"/>
        <v>865</v>
      </c>
      <c r="BJ199" s="141">
        <f t="shared" si="769"/>
        <v>933</v>
      </c>
      <c r="BK199" s="142">
        <f>BK196-BK198+0.49</f>
        <v>3605.49</v>
      </c>
      <c r="BL199" s="141">
        <f t="shared" ref="BL199:BM199" si="770">BL196-BL198</f>
        <v>794</v>
      </c>
      <c r="BM199" s="141">
        <f t="shared" si="770"/>
        <v>1021</v>
      </c>
      <c r="BN199" s="141"/>
      <c r="BO199" s="141"/>
      <c r="BP199" s="142"/>
      <c r="BQ199" s="174">
        <f>BQ196-BQ198+0.49</f>
        <v>3253.49</v>
      </c>
      <c r="BR199" s="197">
        <f t="shared" ref="BR199:BU199" si="771">BR196-BR198</f>
        <v>738</v>
      </c>
      <c r="BS199" s="197">
        <f t="shared" si="771"/>
        <v>815</v>
      </c>
      <c r="BT199" s="197">
        <f t="shared" si="771"/>
        <v>756</v>
      </c>
      <c r="BU199" s="197">
        <f t="shared" si="771"/>
        <v>817</v>
      </c>
      <c r="BV199" s="174">
        <f>BV196-BV198+0.49</f>
        <v>3126.49</v>
      </c>
      <c r="BW199" s="197">
        <f t="shared" ref="BW199:BY199" si="772">BW196-BW198</f>
        <v>806</v>
      </c>
      <c r="BX199" s="197">
        <f t="shared" si="772"/>
        <v>899</v>
      </c>
      <c r="BY199" s="197">
        <f t="shared" si="772"/>
        <v>1089</v>
      </c>
      <c r="BZ199" s="197">
        <f>BZ196-BZ198</f>
        <v>959</v>
      </c>
      <c r="CA199" s="174">
        <f>CA196-CA198</f>
        <v>3753</v>
      </c>
      <c r="CB199" s="197">
        <f t="shared" ref="CB199:CD199" si="773">CB196-CB198</f>
        <v>763</v>
      </c>
      <c r="CC199" s="197">
        <f t="shared" si="773"/>
        <v>942</v>
      </c>
      <c r="CD199" s="197">
        <f t="shared" si="773"/>
        <v>939</v>
      </c>
      <c r="CE199" s="197">
        <f>CE196-CE198</f>
        <v>1229</v>
      </c>
      <c r="CF199" s="174">
        <f>CF196-CF198</f>
        <v>3873</v>
      </c>
      <c r="CG199" s="197"/>
      <c r="CH199" s="197"/>
      <c r="CI199" s="197"/>
      <c r="CJ199" s="197"/>
      <c r="CK199" s="174">
        <f>CK196-CK198</f>
        <v>3676</v>
      </c>
      <c r="CL199" s="197"/>
      <c r="CM199" s="197"/>
      <c r="CN199" s="197"/>
      <c r="CO199" s="197"/>
      <c r="CP199" s="174">
        <f>CP196-CP198</f>
        <v>3866.4755000000005</v>
      </c>
      <c r="CQ199" s="141">
        <f t="shared" ref="CQ199:CT199" si="774">CQ196-CQ198</f>
        <v>982.73659999999995</v>
      </c>
      <c r="CR199" s="141">
        <f t="shared" si="774"/>
        <v>1126.1932663745356</v>
      </c>
      <c r="CS199" s="141">
        <f t="shared" si="774"/>
        <v>1062.7309327490711</v>
      </c>
      <c r="CT199" s="141">
        <f t="shared" si="774"/>
        <v>1306.4844953586203</v>
      </c>
      <c r="CU199" s="142">
        <f>CU196-CU198</f>
        <v>4478.1452944822267</v>
      </c>
      <c r="CV199" s="137"/>
      <c r="CW199" s="137"/>
      <c r="CX199" s="137"/>
      <c r="CY199" s="138"/>
      <c r="CZ199" s="142">
        <f>CZ196-CZ198</f>
        <v>4967.9062407126848</v>
      </c>
      <c r="DA199" s="137"/>
      <c r="DB199" s="137"/>
      <c r="DC199" s="137"/>
      <c r="DD199" s="138"/>
      <c r="DE199" s="142">
        <f>DE196-DE198</f>
        <v>6591.9427862776593</v>
      </c>
      <c r="DF199" s="137"/>
      <c r="DG199" s="137"/>
      <c r="DH199" s="137"/>
      <c r="DI199" s="138"/>
      <c r="DJ199" s="142">
        <f>DJ196-DJ198</f>
        <v>6872.5178494826323</v>
      </c>
      <c r="DK199" s="399"/>
      <c r="DL199" s="1282"/>
      <c r="DM199" s="810"/>
      <c r="DN199" s="810"/>
      <c r="DO199" s="810"/>
      <c r="DP199" s="1097"/>
      <c r="DQ199" s="1097"/>
      <c r="DR199" s="1202"/>
      <c r="DS199" s="1202"/>
      <c r="DT199" s="1203"/>
      <c r="DU199" s="1202"/>
      <c r="DV199" s="810"/>
      <c r="DW199" s="810"/>
      <c r="DX199" s="810"/>
      <c r="DY199" s="357"/>
      <c r="DZ199" s="143"/>
      <c r="EA199" s="143"/>
      <c r="EB199"/>
      <c r="EC199"/>
      <c r="ED199"/>
      <c r="EE199"/>
      <c r="EF199"/>
      <c r="EG199"/>
    </row>
    <row r="200" spans="1:137" s="1" customFormat="1" ht="12.75" customHeight="1">
      <c r="A200" s="153" t="s">
        <v>170</v>
      </c>
      <c r="B200" s="155">
        <f t="shared" ref="B200:AP200" si="775">B199/B226</f>
        <v>9.9421965317919081E-2</v>
      </c>
      <c r="C200" s="155">
        <f t="shared" si="775"/>
        <v>1.1792035398230087</v>
      </c>
      <c r="D200" s="155">
        <f t="shared" si="775"/>
        <v>2.34</v>
      </c>
      <c r="E200" s="155">
        <f t="shared" si="775"/>
        <v>2.8315813017222098</v>
      </c>
      <c r="F200" s="155">
        <f t="shared" si="775"/>
        <v>4.0951419275215981</v>
      </c>
      <c r="G200" s="155">
        <f t="shared" si="775"/>
        <v>5.795142071494042</v>
      </c>
      <c r="H200" s="597">
        <f t="shared" si="775"/>
        <v>1.5968525804211988</v>
      </c>
      <c r="I200" s="597">
        <f t="shared" si="775"/>
        <v>1.824150058616647</v>
      </c>
      <c r="J200" s="597">
        <f t="shared" si="775"/>
        <v>1.8044758539458186</v>
      </c>
      <c r="K200" s="597">
        <f t="shared" si="775"/>
        <v>1.887104393008975</v>
      </c>
      <c r="L200" s="155">
        <f t="shared" si="775"/>
        <v>7.1013814095059704</v>
      </c>
      <c r="M200" s="597">
        <f t="shared" si="775"/>
        <v>1.7514395393474087</v>
      </c>
      <c r="N200" s="597">
        <f t="shared" si="775"/>
        <v>2.1538461538461537</v>
      </c>
      <c r="O200" s="597">
        <f t="shared" si="775"/>
        <v>1.9209039548022597</v>
      </c>
      <c r="P200" s="597">
        <f t="shared" si="775"/>
        <v>2.0539056650860994</v>
      </c>
      <c r="Q200" s="155">
        <f t="shared" si="775"/>
        <v>7.8578407425500734</v>
      </c>
      <c r="R200" s="597">
        <f t="shared" si="775"/>
        <v>1.6756824757831175</v>
      </c>
      <c r="S200" s="154">
        <f t="shared" si="775"/>
        <v>1.8700434893834741</v>
      </c>
      <c r="T200" s="154">
        <f t="shared" si="775"/>
        <v>2.0389105058365757</v>
      </c>
      <c r="U200" s="154">
        <f t="shared" si="775"/>
        <v>2.1890547263681595</v>
      </c>
      <c r="V200" s="155">
        <f t="shared" si="775"/>
        <v>7.7651793750803639</v>
      </c>
      <c r="W200" s="597">
        <f t="shared" si="775"/>
        <v>1.3741064336775219</v>
      </c>
      <c r="X200" s="597">
        <f t="shared" si="775"/>
        <v>1.9209039548022599</v>
      </c>
      <c r="Y200" s="597">
        <f t="shared" si="775"/>
        <v>1.5304720558333791</v>
      </c>
      <c r="Z200" s="597">
        <f t="shared" si="775"/>
        <v>2.2824576035585209</v>
      </c>
      <c r="AA200" s="155">
        <f t="shared" si="775"/>
        <v>7.0893293510724948</v>
      </c>
      <c r="AB200" s="597">
        <f t="shared" si="775"/>
        <v>1.5754395916052182</v>
      </c>
      <c r="AC200" s="597">
        <f t="shared" si="775"/>
        <v>2.1564158781444727</v>
      </c>
      <c r="AD200" s="154">
        <f t="shared" si="775"/>
        <v>1.9916676657475123</v>
      </c>
      <c r="AE200" s="154">
        <f t="shared" si="775"/>
        <v>2.1376090616868209</v>
      </c>
      <c r="AF200" s="155">
        <f t="shared" si="775"/>
        <v>7.8471609296852023</v>
      </c>
      <c r="AG200" s="597">
        <f t="shared" si="775"/>
        <v>2.0314021421616362</v>
      </c>
      <c r="AH200" s="597">
        <f t="shared" si="775"/>
        <v>2.3753041362530412</v>
      </c>
      <c r="AI200" s="597">
        <f t="shared" si="775"/>
        <v>2.2144380140115749</v>
      </c>
      <c r="AJ200" s="154">
        <f t="shared" si="775"/>
        <v>1.9146341463414633</v>
      </c>
      <c r="AK200" s="155">
        <f t="shared" si="775"/>
        <v>8.538367844092571</v>
      </c>
      <c r="AL200" s="154">
        <f t="shared" si="775"/>
        <v>2.3322096230462765</v>
      </c>
      <c r="AM200" s="597">
        <f t="shared" si="775"/>
        <v>2.6357778459650203</v>
      </c>
      <c r="AN200" s="597">
        <f t="shared" si="775"/>
        <v>2.5709923664122138</v>
      </c>
      <c r="AO200" s="154">
        <f t="shared" si="775"/>
        <v>2.0349371743794054</v>
      </c>
      <c r="AP200" s="155">
        <f t="shared" si="775"/>
        <v>9.575773353751913</v>
      </c>
      <c r="AQ200" s="154">
        <f t="shared" ref="AQ200:BD200" si="776">AQ199/AQ226</f>
        <v>2.8698861888649643</v>
      </c>
      <c r="AR200" s="597">
        <f t="shared" si="776"/>
        <v>2.7600124185035702</v>
      </c>
      <c r="AS200" s="597">
        <f t="shared" si="776"/>
        <v>2.7594779366065878</v>
      </c>
      <c r="AT200" s="1002">
        <f t="shared" si="776"/>
        <v>3.1908920773549592</v>
      </c>
      <c r="AU200" s="155">
        <f t="shared" si="776"/>
        <v>11.5787841191067</v>
      </c>
      <c r="AV200" s="154">
        <f>AV199/AV226</f>
        <v>2.7420362273579015</v>
      </c>
      <c r="AW200" s="597">
        <f>AW199/AW226</f>
        <v>2.9389433723505216</v>
      </c>
      <c r="AX200" s="1001">
        <f>AX199/AX226</f>
        <v>2.7662296130476496</v>
      </c>
      <c r="AY200" s="1002">
        <f>AY199/AY226</f>
        <v>3.0077369439071568</v>
      </c>
      <c r="AZ200" s="155">
        <f>AZ199/AZ226</f>
        <v>11.455354305687957</v>
      </c>
      <c r="BA200" s="155">
        <f t="shared" ref="BA200" si="777">BA199/BA226</f>
        <v>9.575773353751913</v>
      </c>
      <c r="BB200" s="154">
        <f>BB199/BB226</f>
        <v>2.8698861888649643</v>
      </c>
      <c r="BC200" s="597">
        <f t="shared" si="776"/>
        <v>2.7600124185035702</v>
      </c>
      <c r="BD200" s="1001">
        <f t="shared" si="776"/>
        <v>2.7594779366065878</v>
      </c>
      <c r="BE200" s="1002">
        <f>BE199/BE226</f>
        <v>3.1908920773549592</v>
      </c>
      <c r="BF200" s="155">
        <f>BF199/BF226</f>
        <v>11.580303970223325</v>
      </c>
      <c r="BG200" s="154">
        <f t="shared" ref="BG200:BI200" si="778">BG199/BG226</f>
        <v>2.7420362273579015</v>
      </c>
      <c r="BH200" s="597">
        <f t="shared" si="778"/>
        <v>2.9389433723505216</v>
      </c>
      <c r="BI200" s="1001">
        <f t="shared" si="778"/>
        <v>2.7662296130476496</v>
      </c>
      <c r="BJ200" s="1002">
        <f>BJ199/BJ226</f>
        <v>3.0077369439071568</v>
      </c>
      <c r="BK200" s="155">
        <f t="shared" ref="BK200:BM200" si="779">BK199/BK226</f>
        <v>11.456911344137273</v>
      </c>
      <c r="BL200" s="154">
        <f t="shared" si="779"/>
        <v>2.5795971410006495</v>
      </c>
      <c r="BM200" s="597">
        <f t="shared" si="779"/>
        <v>3.3246499511559748</v>
      </c>
      <c r="BN200" s="1001"/>
      <c r="BO200" s="1002"/>
      <c r="BP200" s="155"/>
      <c r="BQ200" s="1263">
        <f t="shared" ref="BQ200" si="780">BQ199/BQ226</f>
        <v>10.091470223325063</v>
      </c>
      <c r="BR200" s="1225">
        <f t="shared" ref="BR200:BT200" si="781">BR199/BR226</f>
        <v>2.3048094940662085</v>
      </c>
      <c r="BS200" s="1226">
        <f t="shared" si="781"/>
        <v>2.5782980069598227</v>
      </c>
      <c r="BT200" s="1226">
        <f t="shared" si="781"/>
        <v>2.417652702270547</v>
      </c>
      <c r="BU200" s="1225">
        <f>BU199/BU226</f>
        <v>2.6337846550612509</v>
      </c>
      <c r="BV200" s="1263">
        <f t="shared" ref="BV200:BY200" si="782">BV199/BV226</f>
        <v>9.9348268191928817</v>
      </c>
      <c r="BW200" s="1225">
        <f t="shared" si="782"/>
        <v>2.6109491415613864</v>
      </c>
      <c r="BX200" s="1226">
        <f t="shared" si="782"/>
        <v>2.9273852165418428</v>
      </c>
      <c r="BY200" s="1226">
        <f t="shared" si="782"/>
        <v>3.6059602649006623</v>
      </c>
      <c r="BZ200" s="1225">
        <f>BZ199/BZ226</f>
        <v>3.2486449864498645</v>
      </c>
      <c r="CA200" s="1263">
        <f>CA199/CA226</f>
        <v>12.382052128010557</v>
      </c>
      <c r="CB200" s="1225">
        <f t="shared" ref="CB200:CD200" si="783">CB199/CB226</f>
        <v>2.6058743169398908</v>
      </c>
      <c r="CC200" s="1226">
        <f t="shared" si="783"/>
        <v>3.2348901098901099</v>
      </c>
      <c r="CD200" s="1226">
        <f t="shared" si="783"/>
        <v>3.2379310344827585</v>
      </c>
      <c r="CE200" s="1225">
        <f>CE199/CE226</f>
        <v>4.2987058412032182</v>
      </c>
      <c r="CF200" s="1263">
        <f>CF199/CF226</f>
        <v>13.328744730276174</v>
      </c>
      <c r="CG200" s="1225"/>
      <c r="CH200" s="1226"/>
      <c r="CI200" s="1226"/>
      <c r="CJ200" s="1225"/>
      <c r="CK200" s="1263">
        <f>CK199/CK226</f>
        <v>12.128010557571757</v>
      </c>
      <c r="CL200" s="1225"/>
      <c r="CM200" s="1226"/>
      <c r="CN200" s="1226"/>
      <c r="CO200" s="1225"/>
      <c r="CP200" s="1263">
        <f>CP199/CP226</f>
        <v>13.306290974791361</v>
      </c>
      <c r="CQ200" s="1002">
        <f t="shared" ref="CQ200:CT200" si="784">CQ199/CQ226</f>
        <v>3.4459587233210693</v>
      </c>
      <c r="CR200" s="1002">
        <f t="shared" si="784"/>
        <v>3.9588856923324705</v>
      </c>
      <c r="CS200" s="1002">
        <f t="shared" si="784"/>
        <v>3.7451606639778103</v>
      </c>
      <c r="CT200" s="1002">
        <f t="shared" si="784"/>
        <v>4.6157097085098009</v>
      </c>
      <c r="CU200" s="155">
        <f>CU199/CU226</f>
        <v>15.761591346640028</v>
      </c>
      <c r="CV200" s="156"/>
      <c r="CW200" s="156"/>
      <c r="CX200" s="156"/>
      <c r="CY200" s="157"/>
      <c r="CZ200" s="155">
        <f>CZ199/CZ226</f>
        <v>17.76067852158193</v>
      </c>
      <c r="DA200" s="156"/>
      <c r="DB200" s="156"/>
      <c r="DC200" s="156"/>
      <c r="DD200" s="157"/>
      <c r="DE200" s="155">
        <f>DE199/DE226</f>
        <v>24.047698384127681</v>
      </c>
      <c r="DF200" s="156"/>
      <c r="DG200" s="156"/>
      <c r="DH200" s="156"/>
      <c r="DI200" s="157"/>
      <c r="DJ200" s="155">
        <f>DJ199/DJ226</f>
        <v>25.517810284861991</v>
      </c>
      <c r="DK200" s="418"/>
      <c r="DL200" s="1285"/>
      <c r="DM200" s="809" t="s">
        <v>399</v>
      </c>
      <c r="DN200" s="867"/>
      <c r="DO200" s="809"/>
      <c r="DP200" s="1054"/>
      <c r="DQ200" s="1054"/>
      <c r="DR200" s="1186"/>
      <c r="DS200" s="1212"/>
      <c r="DT200" s="1203"/>
      <c r="DU200" s="1288"/>
      <c r="DV200" s="810"/>
      <c r="DW200" s="809"/>
      <c r="DX200" s="809"/>
      <c r="DY200" s="419"/>
      <c r="DZ200" s="420"/>
      <c r="EA200" s="420"/>
      <c r="EB200"/>
      <c r="EC200"/>
      <c r="ED200"/>
      <c r="EE200"/>
      <c r="EF200"/>
      <c r="EG200"/>
    </row>
    <row r="201" spans="1:137" s="398" customFormat="1">
      <c r="A201" s="97" t="s">
        <v>53</v>
      </c>
      <c r="B201" s="80"/>
      <c r="C201" s="80">
        <f>C200/B200-1</f>
        <v>10.860593743568634</v>
      </c>
      <c r="D201" s="80">
        <f>D200/C200-1</f>
        <v>0.98439024390243901</v>
      </c>
      <c r="E201" s="80">
        <f>E200/D200-1</f>
        <v>0.21007747936846588</v>
      </c>
      <c r="F201" s="80">
        <f>F200/E200-1</f>
        <v>0.4462385116863401</v>
      </c>
      <c r="G201" s="80">
        <f>G200/F200-1</f>
        <v>0.41512606255414775</v>
      </c>
      <c r="H201" s="82"/>
      <c r="I201" s="82"/>
      <c r="J201" s="82"/>
      <c r="K201" s="82"/>
      <c r="L201" s="80">
        <f t="shared" ref="L201:AO201" si="785">L200/G200-1</f>
        <v>0.22540247018916792</v>
      </c>
      <c r="M201" s="82">
        <f t="shared" si="785"/>
        <v>9.6807282539152606E-2</v>
      </c>
      <c r="N201" s="82">
        <f t="shared" si="785"/>
        <v>0.18073956891437604</v>
      </c>
      <c r="O201" s="82">
        <f t="shared" si="785"/>
        <v>6.4521839182192231E-2</v>
      </c>
      <c r="P201" s="82">
        <f t="shared" si="785"/>
        <v>8.8390060822846728E-2</v>
      </c>
      <c r="Q201" s="80">
        <f t="shared" si="785"/>
        <v>0.10652284244745669</v>
      </c>
      <c r="R201" s="82">
        <f t="shared" si="785"/>
        <v>-4.325416999122822E-2</v>
      </c>
      <c r="S201" s="82">
        <f t="shared" si="785"/>
        <v>-0.13176552278624409</v>
      </c>
      <c r="T201" s="82">
        <f t="shared" si="785"/>
        <v>6.1432822156099798E-2</v>
      </c>
      <c r="U201" s="83">
        <f t="shared" si="785"/>
        <v>6.5801007115092958E-2</v>
      </c>
      <c r="V201" s="80">
        <f t="shared" si="785"/>
        <v>-1.1792217544948413E-2</v>
      </c>
      <c r="W201" s="83">
        <f t="shared" si="785"/>
        <v>-0.17997206897127471</v>
      </c>
      <c r="X201" s="82">
        <f t="shared" si="785"/>
        <v>2.7197477335435538E-2</v>
      </c>
      <c r="Y201" s="83">
        <f t="shared" si="785"/>
        <v>-0.24936771307408689</v>
      </c>
      <c r="Z201" s="83">
        <f t="shared" si="785"/>
        <v>4.2668132534687819E-2</v>
      </c>
      <c r="AA201" s="84">
        <f t="shared" si="785"/>
        <v>-8.7035983505645009E-2</v>
      </c>
      <c r="AB201" s="83">
        <f t="shared" si="785"/>
        <v>0.14651933285027141</v>
      </c>
      <c r="AC201" s="82">
        <f t="shared" si="785"/>
        <v>0.12260473656344595</v>
      </c>
      <c r="AD201" s="82">
        <f t="shared" si="785"/>
        <v>0.30134206512055584</v>
      </c>
      <c r="AE201" s="82">
        <f t="shared" si="785"/>
        <v>-6.3461657139160188E-2</v>
      </c>
      <c r="AF201" s="80">
        <f t="shared" si="785"/>
        <v>0.10689749919688252</v>
      </c>
      <c r="AG201" s="83">
        <f t="shared" si="785"/>
        <v>0.28941925351249864</v>
      </c>
      <c r="AH201" s="82">
        <f t="shared" si="785"/>
        <v>0.10150558634214613</v>
      </c>
      <c r="AI201" s="82">
        <f t="shared" si="785"/>
        <v>0.11185116477776047</v>
      </c>
      <c r="AJ201" s="82">
        <f t="shared" si="785"/>
        <v>-0.10431042763703691</v>
      </c>
      <c r="AK201" s="80">
        <f t="shared" si="785"/>
        <v>8.8083693019801235E-2</v>
      </c>
      <c r="AL201" s="82">
        <f t="shared" si="785"/>
        <v>0.14807874553314582</v>
      </c>
      <c r="AM201" s="82">
        <f t="shared" si="785"/>
        <v>0.10965909827567066</v>
      </c>
      <c r="AN201" s="82">
        <f t="shared" si="785"/>
        <v>0.16101347165492408</v>
      </c>
      <c r="AO201" s="82">
        <f t="shared" si="785"/>
        <v>6.283342865675956E-2</v>
      </c>
      <c r="AP201" s="80">
        <f t="shared" ref="AP201" si="786">AP200/AK200-1</f>
        <v>0.12149927581031661</v>
      </c>
      <c r="AQ201" s="82">
        <f t="shared" ref="AQ201:AZ201" si="787">AQ200/AL200-1</f>
        <v>0.23054384155931373</v>
      </c>
      <c r="AR201" s="82">
        <f t="shared" si="787"/>
        <v>4.7133931537035378E-2</v>
      </c>
      <c r="AS201" s="82">
        <f t="shared" si="787"/>
        <v>7.3312380330947002E-2</v>
      </c>
      <c r="AT201" s="82">
        <f t="shared" si="787"/>
        <v>0.56805434463994464</v>
      </c>
      <c r="AU201" s="80">
        <f t="shared" si="787"/>
        <v>0.20917483020522631</v>
      </c>
      <c r="AV201" s="82">
        <f t="shared" si="787"/>
        <v>-4.454879151762714E-2</v>
      </c>
      <c r="AW201" s="82">
        <f t="shared" si="787"/>
        <v>6.482976404286056E-2</v>
      </c>
      <c r="AX201" s="82">
        <f t="shared" si="787"/>
        <v>2.4467223859614418E-3</v>
      </c>
      <c r="AY201" s="82">
        <f t="shared" si="787"/>
        <v>-5.7399350716877295E-2</v>
      </c>
      <c r="AZ201" s="80">
        <f t="shared" si="787"/>
        <v>-1.065999781575222E-2</v>
      </c>
      <c r="BA201" s="80"/>
      <c r="BB201" s="82">
        <f>BB200/BA200-1</f>
        <v>-0.70029718928753626</v>
      </c>
      <c r="BC201" s="82">
        <f>BC200/AQ200-1</f>
        <v>-3.8285061891199623E-2</v>
      </c>
      <c r="BD201" s="82">
        <f>BD200/AR200-1</f>
        <v>-1.93651989896515E-4</v>
      </c>
      <c r="BE201" s="82">
        <f>BE200/AS200-1</f>
        <v>0.15633904334777693</v>
      </c>
      <c r="BF201" s="80"/>
      <c r="BG201" s="82">
        <f>BG200/BF200-1</f>
        <v>-0.76321552228606815</v>
      </c>
      <c r="BH201" s="82">
        <f>BH200/AV200-1</f>
        <v>7.1810555611203863E-2</v>
      </c>
      <c r="BI201" s="82">
        <f>BI200/AW200-1</f>
        <v>-5.8767297433409915E-2</v>
      </c>
      <c r="BJ201" s="82">
        <f>BJ200/AX200-1</f>
        <v>8.7305598103778026E-2</v>
      </c>
      <c r="BK201" s="80"/>
      <c r="BL201" s="82">
        <f>BL200/BK200-1</f>
        <v>-0.77484358013115984</v>
      </c>
      <c r="BM201" s="82">
        <f>BM200/BA200-1</f>
        <v>-0.65280611514752129</v>
      </c>
      <c r="BN201" s="82"/>
      <c r="BO201" s="82"/>
      <c r="BP201" s="760"/>
      <c r="BQ201" s="34"/>
      <c r="BR201" s="27"/>
      <c r="BS201" s="27"/>
      <c r="BT201" s="27"/>
      <c r="BU201" s="27"/>
      <c r="BV201" s="34"/>
      <c r="BW201" s="27">
        <f>+BW200/BR200-1</f>
        <v>0.13282644326281301</v>
      </c>
      <c r="BX201" s="27">
        <f t="shared" ref="BX201" si="788">+BX200/BS200-1</f>
        <v>0.13539443797408168</v>
      </c>
      <c r="BY201" s="27">
        <f t="shared" ref="BY201" si="789">+BY200/BT200-1</f>
        <v>0.49151292967518123</v>
      </c>
      <c r="BZ201" s="27">
        <f>+BZ200/BU200-1</f>
        <v>0.23345125434118486</v>
      </c>
      <c r="CA201" s="34">
        <f>+CA200/BV200-1</f>
        <v>0.24632792834294115</v>
      </c>
      <c r="CB201" s="27">
        <f>+CB200/BW200-1</f>
        <v>-1.943670422649757E-3</v>
      </c>
      <c r="CC201" s="27">
        <f t="shared" ref="CC201:CD201" si="790">+CC200/BX200-1</f>
        <v>0.10504421885122683</v>
      </c>
      <c r="CD201" s="27">
        <f t="shared" si="790"/>
        <v>-0.1020613660112093</v>
      </c>
      <c r="CE201" s="27">
        <f>+CE200/BZ200-1</f>
        <v>0.32323041118163709</v>
      </c>
      <c r="CF201" s="34">
        <f>+CF200/CA200-1</f>
        <v>7.6456841925581775E-2</v>
      </c>
      <c r="CG201" s="27"/>
      <c r="CH201" s="27"/>
      <c r="CI201" s="27"/>
      <c r="CJ201" s="27"/>
      <c r="CK201" s="34"/>
      <c r="CL201" s="27"/>
      <c r="CM201" s="27"/>
      <c r="CN201" s="27"/>
      <c r="CO201" s="27"/>
      <c r="CP201" s="34">
        <f>+CP200/CK200-1</f>
        <v>9.7153643759320341E-2</v>
      </c>
      <c r="CQ201" s="82"/>
      <c r="CR201" s="82"/>
      <c r="CS201" s="82"/>
      <c r="CT201" s="82"/>
      <c r="CU201" s="34">
        <f>+CU200/CP200-1</f>
        <v>0.18452177067976416</v>
      </c>
      <c r="CV201" s="82"/>
      <c r="CW201" s="82"/>
      <c r="CX201" s="82"/>
      <c r="CY201" s="81"/>
      <c r="CZ201" s="760">
        <f>CZ200/CU200-1</f>
        <v>0.12683282613897084</v>
      </c>
      <c r="DA201" s="82"/>
      <c r="DB201" s="82"/>
      <c r="DC201" s="82"/>
      <c r="DD201" s="81"/>
      <c r="DE201" s="760">
        <f>DE200/CZ200-1</f>
        <v>0.35398534210875243</v>
      </c>
      <c r="DF201" s="82"/>
      <c r="DG201" s="82"/>
      <c r="DH201" s="82"/>
      <c r="DI201" s="81"/>
      <c r="DJ201" s="760">
        <f>DJ200/DE200-1</f>
        <v>6.1133164482162439E-2</v>
      </c>
      <c r="DK201" s="397"/>
      <c r="DL201" s="74"/>
      <c r="DM201" s="809"/>
      <c r="DN201" s="809"/>
      <c r="DO201" s="809"/>
      <c r="DP201" s="1054"/>
      <c r="DQ201" s="1054"/>
      <c r="DR201" s="1204"/>
      <c r="DS201" s="1204"/>
      <c r="DT201" s="1205"/>
      <c r="DU201" s="1288"/>
      <c r="DV201" s="810"/>
      <c r="DW201" s="809"/>
      <c r="DX201" s="809"/>
      <c r="DY201" s="360"/>
      <c r="DZ201" s="167"/>
      <c r="EA201" s="167"/>
      <c r="EB201"/>
      <c r="EC201"/>
      <c r="ED201"/>
      <c r="EE201"/>
      <c r="EF201"/>
      <c r="EG201"/>
    </row>
    <row r="202" spans="1:137" s="473" customFormat="1">
      <c r="A202" s="756" t="s">
        <v>162</v>
      </c>
      <c r="B202" s="462">
        <f>B213</f>
        <v>236</v>
      </c>
      <c r="C202" s="462">
        <f t="shared" ref="C202:AQ202" si="791">C213</f>
        <v>0</v>
      </c>
      <c r="D202" s="462">
        <f t="shared" si="791"/>
        <v>0</v>
      </c>
      <c r="E202" s="462">
        <f t="shared" si="791"/>
        <v>0</v>
      </c>
      <c r="F202" s="462">
        <f t="shared" si="791"/>
        <v>0</v>
      </c>
      <c r="G202" s="462">
        <f t="shared" si="791"/>
        <v>0</v>
      </c>
      <c r="H202" s="463">
        <f t="shared" si="791"/>
        <v>0</v>
      </c>
      <c r="I202" s="463">
        <f t="shared" si="791"/>
        <v>0</v>
      </c>
      <c r="J202" s="463">
        <f t="shared" si="791"/>
        <v>0</v>
      </c>
      <c r="K202" s="463">
        <f t="shared" si="791"/>
        <v>0</v>
      </c>
      <c r="L202" s="462">
        <f t="shared" si="791"/>
        <v>0</v>
      </c>
      <c r="M202" s="463">
        <f t="shared" si="791"/>
        <v>0</v>
      </c>
      <c r="N202" s="463">
        <f t="shared" si="791"/>
        <v>0</v>
      </c>
      <c r="O202" s="463">
        <f t="shared" si="791"/>
        <v>0</v>
      </c>
      <c r="P202" s="463">
        <f t="shared" si="791"/>
        <v>0</v>
      </c>
      <c r="Q202" s="462">
        <f t="shared" si="791"/>
        <v>0</v>
      </c>
      <c r="R202" s="463">
        <f t="shared" si="791"/>
        <v>0</v>
      </c>
      <c r="S202" s="463">
        <f t="shared" si="791"/>
        <v>0</v>
      </c>
      <c r="T202" s="463">
        <f t="shared" si="791"/>
        <v>0</v>
      </c>
      <c r="U202" s="464">
        <f t="shared" si="791"/>
        <v>0</v>
      </c>
      <c r="V202" s="462">
        <f t="shared" si="791"/>
        <v>0</v>
      </c>
      <c r="W202" s="464">
        <f t="shared" si="791"/>
        <v>0</v>
      </c>
      <c r="X202" s="463">
        <f t="shared" si="791"/>
        <v>0</v>
      </c>
      <c r="Y202" s="464">
        <f t="shared" si="791"/>
        <v>0</v>
      </c>
      <c r="Z202" s="464">
        <f t="shared" si="791"/>
        <v>0</v>
      </c>
      <c r="AA202" s="465">
        <f t="shared" si="791"/>
        <v>0</v>
      </c>
      <c r="AB202" s="464">
        <f t="shared" si="791"/>
        <v>0</v>
      </c>
      <c r="AC202" s="463">
        <f t="shared" si="791"/>
        <v>0</v>
      </c>
      <c r="AD202" s="463">
        <f t="shared" si="791"/>
        <v>0</v>
      </c>
      <c r="AE202" s="463">
        <f t="shared" si="791"/>
        <v>0</v>
      </c>
      <c r="AF202" s="462">
        <f t="shared" si="791"/>
        <v>0</v>
      </c>
      <c r="AG202" s="464">
        <f t="shared" si="791"/>
        <v>0</v>
      </c>
      <c r="AH202" s="463">
        <f t="shared" si="791"/>
        <v>0</v>
      </c>
      <c r="AI202" s="463">
        <f t="shared" si="791"/>
        <v>0</v>
      </c>
      <c r="AJ202" s="463">
        <f t="shared" si="791"/>
        <v>-59</v>
      </c>
      <c r="AK202" s="462">
        <f t="shared" si="791"/>
        <v>-59</v>
      </c>
      <c r="AL202" s="463">
        <f t="shared" si="791"/>
        <v>0</v>
      </c>
      <c r="AM202" s="463">
        <f t="shared" si="791"/>
        <v>0</v>
      </c>
      <c r="AN202" s="463">
        <f t="shared" si="791"/>
        <v>0</v>
      </c>
      <c r="AO202" s="463">
        <f t="shared" si="791"/>
        <v>-176</v>
      </c>
      <c r="AP202" s="462">
        <f t="shared" si="791"/>
        <v>-176</v>
      </c>
      <c r="AQ202" s="463">
        <f t="shared" si="791"/>
        <v>0</v>
      </c>
      <c r="AR202" s="463">
        <f t="shared" ref="AR202:BF202" si="792">AR213</f>
        <v>0</v>
      </c>
      <c r="AS202" s="463">
        <f t="shared" si="792"/>
        <v>0</v>
      </c>
      <c r="AT202" s="463">
        <f t="shared" si="792"/>
        <v>-119</v>
      </c>
      <c r="AU202" s="462">
        <f t="shared" si="792"/>
        <v>-119</v>
      </c>
      <c r="AV202" s="463">
        <f t="shared" ref="AV202:BA202" si="793">AV213</f>
        <v>0</v>
      </c>
      <c r="AW202" s="463">
        <f t="shared" si="793"/>
        <v>0</v>
      </c>
      <c r="AX202" s="463">
        <f t="shared" si="793"/>
        <v>0</v>
      </c>
      <c r="AY202" s="463">
        <f t="shared" si="793"/>
        <v>0</v>
      </c>
      <c r="AZ202" s="462">
        <f t="shared" si="793"/>
        <v>0</v>
      </c>
      <c r="BA202" s="462">
        <f t="shared" si="793"/>
        <v>-176</v>
      </c>
      <c r="BB202" s="463">
        <f t="shared" si="792"/>
        <v>0</v>
      </c>
      <c r="BC202" s="463">
        <f t="shared" si="792"/>
        <v>0</v>
      </c>
      <c r="BD202" s="463">
        <f t="shared" si="792"/>
        <v>0</v>
      </c>
      <c r="BE202" s="463">
        <f t="shared" si="792"/>
        <v>-119</v>
      </c>
      <c r="BF202" s="462">
        <f t="shared" si="792"/>
        <v>-119</v>
      </c>
      <c r="BG202" s="463">
        <f t="shared" ref="BG202:BJ202" si="794">BG213</f>
        <v>0</v>
      </c>
      <c r="BH202" s="463">
        <f t="shared" si="794"/>
        <v>0</v>
      </c>
      <c r="BI202" s="463">
        <f t="shared" si="794"/>
        <v>0</v>
      </c>
      <c r="BJ202" s="463">
        <f t="shared" si="794"/>
        <v>0</v>
      </c>
      <c r="BK202" s="462">
        <f t="shared" ref="BK202:BM202" si="795">BK213</f>
        <v>0</v>
      </c>
      <c r="BL202" s="463">
        <f t="shared" si="795"/>
        <v>0</v>
      </c>
      <c r="BM202" s="463">
        <f t="shared" si="795"/>
        <v>0</v>
      </c>
      <c r="BN202" s="463"/>
      <c r="BO202" s="463"/>
      <c r="BP202" s="462"/>
      <c r="BQ202" s="585">
        <f>BQ213</f>
        <v>0</v>
      </c>
      <c r="BR202" s="584">
        <f t="shared" ref="BR202:BY202" si="796">BR213</f>
        <v>0</v>
      </c>
      <c r="BS202" s="584">
        <f t="shared" si="796"/>
        <v>0</v>
      </c>
      <c r="BT202" s="584">
        <f t="shared" si="796"/>
        <v>0</v>
      </c>
      <c r="BU202" s="584">
        <f t="shared" si="796"/>
        <v>0</v>
      </c>
      <c r="BV202" s="585">
        <f t="shared" si="796"/>
        <v>0</v>
      </c>
      <c r="BW202" s="584">
        <f t="shared" si="796"/>
        <v>0</v>
      </c>
      <c r="BX202" s="584">
        <f t="shared" si="796"/>
        <v>0</v>
      </c>
      <c r="BY202" s="584">
        <f t="shared" si="796"/>
        <v>0</v>
      </c>
      <c r="BZ202" s="584">
        <f>BZ213</f>
        <v>0</v>
      </c>
      <c r="CA202" s="585">
        <f>CA213</f>
        <v>0</v>
      </c>
      <c r="CB202" s="584">
        <f t="shared" ref="CB202:CD202" si="797">CB213</f>
        <v>0</v>
      </c>
      <c r="CC202" s="584">
        <f t="shared" si="797"/>
        <v>0</v>
      </c>
      <c r="CD202" s="584">
        <f t="shared" si="797"/>
        <v>0</v>
      </c>
      <c r="CE202" s="584">
        <f>CE213</f>
        <v>-1944</v>
      </c>
      <c r="CF202" s="585">
        <f>CF213</f>
        <v>-1944</v>
      </c>
      <c r="CG202" s="584"/>
      <c r="CH202" s="584"/>
      <c r="CI202" s="584"/>
      <c r="CJ202" s="584"/>
      <c r="CK202" s="585">
        <f>CK213</f>
        <v>0</v>
      </c>
      <c r="CL202" s="584"/>
      <c r="CM202" s="584"/>
      <c r="CN202" s="584"/>
      <c r="CO202" s="584"/>
      <c r="CP202" s="585">
        <f>CP213</f>
        <v>-1958</v>
      </c>
      <c r="CQ202" s="463">
        <f t="shared" ref="CQ202:CU202" si="798">CQ213</f>
        <v>0</v>
      </c>
      <c r="CR202" s="463">
        <f t="shared" si="798"/>
        <v>0</v>
      </c>
      <c r="CS202" s="463">
        <f t="shared" si="798"/>
        <v>0</v>
      </c>
      <c r="CT202" s="463">
        <f t="shared" si="798"/>
        <v>0</v>
      </c>
      <c r="CU202" s="462">
        <f t="shared" si="798"/>
        <v>0</v>
      </c>
      <c r="CV202" s="463"/>
      <c r="CW202" s="463"/>
      <c r="CX202" s="463"/>
      <c r="CY202" s="467"/>
      <c r="CZ202" s="462">
        <f>CZ213</f>
        <v>0</v>
      </c>
      <c r="DA202" s="463"/>
      <c r="DB202" s="463"/>
      <c r="DC202" s="463"/>
      <c r="DD202" s="467"/>
      <c r="DE202" s="462">
        <f>DE213</f>
        <v>0</v>
      </c>
      <c r="DF202" s="463"/>
      <c r="DG202" s="463"/>
      <c r="DH202" s="463"/>
      <c r="DI202" s="467"/>
      <c r="DJ202" s="462">
        <f>DJ213</f>
        <v>0</v>
      </c>
      <c r="DK202" s="412"/>
      <c r="DL202" s="471"/>
      <c r="DM202" s="1098"/>
      <c r="DN202" s="864"/>
      <c r="DO202" s="864"/>
      <c r="DP202" s="1105"/>
      <c r="DQ202" s="589"/>
      <c r="DR202" s="589"/>
      <c r="DS202" s="589"/>
      <c r="DT202" s="589"/>
      <c r="DU202" s="589"/>
      <c r="DV202" s="810"/>
      <c r="DW202" s="864"/>
      <c r="DX202" s="864"/>
      <c r="DY202" s="472"/>
      <c r="DZ202" s="464"/>
      <c r="EA202" s="464"/>
      <c r="EB202"/>
      <c r="EC202"/>
      <c r="ED202"/>
      <c r="EE202"/>
      <c r="EF202"/>
      <c r="EG202"/>
    </row>
    <row r="203" spans="1:137" s="473" customFormat="1">
      <c r="A203" s="756" t="s">
        <v>187</v>
      </c>
      <c r="B203" s="462">
        <f>B199+B202</f>
        <v>279</v>
      </c>
      <c r="C203" s="462">
        <f t="shared" ref="C203:AR203" si="799">C199+C202</f>
        <v>533</v>
      </c>
      <c r="D203" s="462">
        <f t="shared" si="799"/>
        <v>1053</v>
      </c>
      <c r="E203" s="462">
        <f t="shared" si="799"/>
        <v>1266</v>
      </c>
      <c r="F203" s="462">
        <f t="shared" si="799"/>
        <v>1825</v>
      </c>
      <c r="G203" s="462">
        <f t="shared" si="799"/>
        <v>2529</v>
      </c>
      <c r="H203" s="463">
        <f t="shared" si="799"/>
        <v>690</v>
      </c>
      <c r="I203" s="463">
        <f t="shared" si="799"/>
        <v>778</v>
      </c>
      <c r="J203" s="463">
        <f t="shared" si="799"/>
        <v>766</v>
      </c>
      <c r="K203" s="463">
        <f t="shared" si="799"/>
        <v>799</v>
      </c>
      <c r="L203" s="462">
        <f t="shared" si="799"/>
        <v>3033</v>
      </c>
      <c r="M203" s="463">
        <f t="shared" si="799"/>
        <v>730</v>
      </c>
      <c r="N203" s="463">
        <f t="shared" si="799"/>
        <v>882</v>
      </c>
      <c r="O203" s="463">
        <f t="shared" si="799"/>
        <v>782</v>
      </c>
      <c r="P203" s="463">
        <f t="shared" si="799"/>
        <v>823</v>
      </c>
      <c r="Q203" s="462">
        <f t="shared" si="799"/>
        <v>3217</v>
      </c>
      <c r="R203" s="463">
        <f t="shared" si="799"/>
        <v>666</v>
      </c>
      <c r="S203" s="463">
        <f t="shared" si="799"/>
        <v>731</v>
      </c>
      <c r="T203" s="463">
        <f t="shared" si="799"/>
        <v>786</v>
      </c>
      <c r="U203" s="464">
        <f t="shared" si="799"/>
        <v>836</v>
      </c>
      <c r="V203" s="462">
        <f t="shared" si="799"/>
        <v>3019.49</v>
      </c>
      <c r="W203" s="464">
        <f t="shared" si="799"/>
        <v>519</v>
      </c>
      <c r="X203" s="463">
        <f t="shared" si="799"/>
        <v>714</v>
      </c>
      <c r="Y203" s="464">
        <f t="shared" si="799"/>
        <v>557</v>
      </c>
      <c r="Z203" s="464">
        <f t="shared" si="799"/>
        <v>821</v>
      </c>
      <c r="AA203" s="465">
        <f t="shared" si="799"/>
        <v>2611</v>
      </c>
      <c r="AB203" s="464">
        <f t="shared" si="799"/>
        <v>555.5</v>
      </c>
      <c r="AC203" s="463">
        <f t="shared" si="799"/>
        <v>747.5</v>
      </c>
      <c r="AD203" s="463">
        <f t="shared" si="799"/>
        <v>664.5</v>
      </c>
      <c r="AE203" s="463">
        <f t="shared" si="799"/>
        <v>698.25</v>
      </c>
      <c r="AF203" s="462">
        <f t="shared" si="799"/>
        <v>2667.25</v>
      </c>
      <c r="AG203" s="464">
        <f t="shared" si="799"/>
        <v>667.6</v>
      </c>
      <c r="AH203" s="463">
        <f t="shared" si="799"/>
        <v>781</v>
      </c>
      <c r="AI203" s="463">
        <f t="shared" si="799"/>
        <v>727</v>
      </c>
      <c r="AJ203" s="463">
        <f t="shared" si="799"/>
        <v>569</v>
      </c>
      <c r="AK203" s="462">
        <f t="shared" si="799"/>
        <v>2745</v>
      </c>
      <c r="AL203" s="463">
        <f t="shared" si="799"/>
        <v>761</v>
      </c>
      <c r="AM203" s="463">
        <f t="shared" si="799"/>
        <v>859</v>
      </c>
      <c r="AN203" s="463">
        <f t="shared" si="799"/>
        <v>842</v>
      </c>
      <c r="AO203" s="463">
        <f t="shared" si="799"/>
        <v>488</v>
      </c>
      <c r="AP203" s="462">
        <f t="shared" si="799"/>
        <v>2950.49</v>
      </c>
      <c r="AQ203" s="463">
        <f t="shared" si="799"/>
        <v>933</v>
      </c>
      <c r="AR203" s="463">
        <f t="shared" si="799"/>
        <v>889</v>
      </c>
      <c r="AS203" s="463">
        <f t="shared" ref="AS203:BF203" si="800">AS199+AS202</f>
        <v>888</v>
      </c>
      <c r="AT203" s="463">
        <f t="shared" si="800"/>
        <v>904</v>
      </c>
      <c r="AU203" s="462">
        <f t="shared" si="800"/>
        <v>3614</v>
      </c>
      <c r="AV203" s="463">
        <f>AV199+AV202</f>
        <v>878</v>
      </c>
      <c r="AW203" s="463">
        <f>AW199+AW202</f>
        <v>929</v>
      </c>
      <c r="AX203" s="463">
        <f>AX199+AX202</f>
        <v>865</v>
      </c>
      <c r="AY203" s="463">
        <f>AY199+AY202</f>
        <v>933</v>
      </c>
      <c r="AZ203" s="462">
        <f>AZ199+AZ202</f>
        <v>3605</v>
      </c>
      <c r="BA203" s="462">
        <f t="shared" ref="BA203" si="801">BA199+BA202</f>
        <v>2950.49</v>
      </c>
      <c r="BB203" s="463">
        <f t="shared" si="800"/>
        <v>933</v>
      </c>
      <c r="BC203" s="463">
        <f t="shared" si="800"/>
        <v>889</v>
      </c>
      <c r="BD203" s="463">
        <f t="shared" si="800"/>
        <v>888</v>
      </c>
      <c r="BE203" s="463">
        <f t="shared" si="800"/>
        <v>904</v>
      </c>
      <c r="BF203" s="462">
        <f t="shared" si="800"/>
        <v>3614.49</v>
      </c>
      <c r="BG203" s="463">
        <f t="shared" ref="BG203:BJ203" si="802">BG199+BG202</f>
        <v>878</v>
      </c>
      <c r="BH203" s="463">
        <f t="shared" si="802"/>
        <v>929</v>
      </c>
      <c r="BI203" s="463">
        <f t="shared" si="802"/>
        <v>865</v>
      </c>
      <c r="BJ203" s="463">
        <f t="shared" si="802"/>
        <v>933</v>
      </c>
      <c r="BK203" s="462">
        <f t="shared" ref="BK203:BM203" si="803">BK199+BK202</f>
        <v>3605.49</v>
      </c>
      <c r="BL203" s="463">
        <f t="shared" si="803"/>
        <v>794</v>
      </c>
      <c r="BM203" s="463">
        <f t="shared" si="803"/>
        <v>1021</v>
      </c>
      <c r="BN203" s="463"/>
      <c r="BO203" s="463"/>
      <c r="BP203" s="462"/>
      <c r="BQ203" s="585">
        <f t="shared" ref="BQ203" si="804">BQ199+BQ202</f>
        <v>3253.49</v>
      </c>
      <c r="BR203" s="584">
        <f t="shared" ref="BR203:BY203" si="805">BR199+BR202</f>
        <v>738</v>
      </c>
      <c r="BS203" s="584">
        <f t="shared" si="805"/>
        <v>815</v>
      </c>
      <c r="BT203" s="584">
        <f t="shared" si="805"/>
        <v>756</v>
      </c>
      <c r="BU203" s="584">
        <f t="shared" si="805"/>
        <v>817</v>
      </c>
      <c r="BV203" s="585">
        <f t="shared" si="805"/>
        <v>3126.49</v>
      </c>
      <c r="BW203" s="584">
        <f t="shared" si="805"/>
        <v>806</v>
      </c>
      <c r="BX203" s="584">
        <f t="shared" si="805"/>
        <v>899</v>
      </c>
      <c r="BY203" s="584">
        <f t="shared" si="805"/>
        <v>1089</v>
      </c>
      <c r="BZ203" s="584">
        <f>BZ199+BZ202</f>
        <v>959</v>
      </c>
      <c r="CA203" s="585">
        <f>CA199+CA202</f>
        <v>3753</v>
      </c>
      <c r="CB203" s="584">
        <f t="shared" ref="CB203:CD203" si="806">CB199+CB202</f>
        <v>763</v>
      </c>
      <c r="CC203" s="584">
        <f t="shared" si="806"/>
        <v>942</v>
      </c>
      <c r="CD203" s="584">
        <f t="shared" si="806"/>
        <v>939</v>
      </c>
      <c r="CE203" s="584">
        <f>CE199+CE202</f>
        <v>-715</v>
      </c>
      <c r="CF203" s="585">
        <f>CF199+CF202</f>
        <v>1929</v>
      </c>
      <c r="CG203" s="584"/>
      <c r="CH203" s="584"/>
      <c r="CI203" s="584"/>
      <c r="CJ203" s="584"/>
      <c r="CK203" s="585">
        <f>CK199+CK202</f>
        <v>3676</v>
      </c>
      <c r="CL203" s="584"/>
      <c r="CM203" s="584"/>
      <c r="CN203" s="584"/>
      <c r="CO203" s="584"/>
      <c r="CP203" s="585">
        <f>CP199+CP202</f>
        <v>1908.4755000000005</v>
      </c>
      <c r="CQ203" s="463">
        <f t="shared" ref="CQ203:CU203" si="807">CQ199+CQ202</f>
        <v>982.73659999999995</v>
      </c>
      <c r="CR203" s="463">
        <f t="shared" si="807"/>
        <v>1126.1932663745356</v>
      </c>
      <c r="CS203" s="463">
        <f t="shared" si="807"/>
        <v>1062.7309327490711</v>
      </c>
      <c r="CT203" s="463">
        <f t="shared" si="807"/>
        <v>1306.4844953586203</v>
      </c>
      <c r="CU203" s="462">
        <f t="shared" si="807"/>
        <v>4478.1452944822267</v>
      </c>
      <c r="CV203" s="466"/>
      <c r="CW203" s="463"/>
      <c r="CX203" s="463"/>
      <c r="CY203" s="467"/>
      <c r="CZ203" s="462">
        <f>CZ199+CZ202</f>
        <v>4967.9062407126848</v>
      </c>
      <c r="DA203" s="466"/>
      <c r="DB203" s="463"/>
      <c r="DC203" s="463"/>
      <c r="DD203" s="467"/>
      <c r="DE203" s="462">
        <f>DE199+DE202</f>
        <v>6591.9427862776593</v>
      </c>
      <c r="DF203" s="466"/>
      <c r="DG203" s="463"/>
      <c r="DH203" s="463"/>
      <c r="DI203" s="467"/>
      <c r="DJ203" s="462">
        <f>DJ199+DJ202</f>
        <v>6872.5178494826323</v>
      </c>
      <c r="DK203" s="412"/>
      <c r="DL203" s="471"/>
      <c r="DM203" s="1098"/>
      <c r="DN203" s="864"/>
      <c r="DO203" s="864"/>
      <c r="DP203" s="1105"/>
      <c r="DQ203" s="1059"/>
      <c r="DR203" s="1184"/>
      <c r="DS203" s="1184"/>
      <c r="DT203" s="1184"/>
      <c r="DU203" s="1184"/>
      <c r="DV203" s="810"/>
      <c r="DW203" s="1184"/>
      <c r="DX203" s="864"/>
      <c r="DY203" s="472"/>
      <c r="DZ203" s="464"/>
      <c r="EA203" s="464"/>
      <c r="EB203"/>
      <c r="EC203"/>
      <c r="ED203"/>
      <c r="EE203"/>
      <c r="EF203"/>
      <c r="EG203"/>
    </row>
    <row r="204" spans="1:137" s="498" customFormat="1">
      <c r="A204" s="161" t="s">
        <v>188</v>
      </c>
      <c r="B204" s="159">
        <f>B203/B226</f>
        <v>0.64508670520231215</v>
      </c>
      <c r="C204" s="159">
        <f t="shared" ref="C204:AR204" si="808">C203/C226</f>
        <v>1.1792035398230087</v>
      </c>
      <c r="D204" s="159">
        <f t="shared" si="808"/>
        <v>2.34</v>
      </c>
      <c r="E204" s="159">
        <f t="shared" si="808"/>
        <v>2.8315813017222098</v>
      </c>
      <c r="F204" s="159">
        <f t="shared" si="808"/>
        <v>4.0951419275215981</v>
      </c>
      <c r="G204" s="159">
        <f t="shared" si="808"/>
        <v>5.795142071494042</v>
      </c>
      <c r="H204" s="160">
        <f t="shared" si="808"/>
        <v>1.5968525804211988</v>
      </c>
      <c r="I204" s="160">
        <f t="shared" si="808"/>
        <v>1.824150058616647</v>
      </c>
      <c r="J204" s="160">
        <f t="shared" si="808"/>
        <v>1.8044758539458186</v>
      </c>
      <c r="K204" s="160">
        <f t="shared" si="808"/>
        <v>1.887104393008975</v>
      </c>
      <c r="L204" s="159">
        <f t="shared" si="808"/>
        <v>7.1013814095059704</v>
      </c>
      <c r="M204" s="160">
        <f t="shared" si="808"/>
        <v>1.7514395393474087</v>
      </c>
      <c r="N204" s="160">
        <f t="shared" si="808"/>
        <v>2.1538461538461537</v>
      </c>
      <c r="O204" s="160">
        <f t="shared" si="808"/>
        <v>1.9209039548022597</v>
      </c>
      <c r="P204" s="160">
        <f t="shared" si="808"/>
        <v>2.0539056650860994</v>
      </c>
      <c r="Q204" s="159">
        <f t="shared" si="808"/>
        <v>7.8578407425500734</v>
      </c>
      <c r="R204" s="160">
        <f t="shared" si="808"/>
        <v>1.6756824757831175</v>
      </c>
      <c r="S204" s="160">
        <f t="shared" si="808"/>
        <v>1.8700434893834741</v>
      </c>
      <c r="T204" s="160">
        <f t="shared" si="808"/>
        <v>2.0389105058365757</v>
      </c>
      <c r="U204" s="161">
        <f t="shared" si="808"/>
        <v>2.1890547263681595</v>
      </c>
      <c r="V204" s="159">
        <f t="shared" si="808"/>
        <v>7.7651793750803639</v>
      </c>
      <c r="W204" s="161">
        <f t="shared" si="808"/>
        <v>1.3741064336775219</v>
      </c>
      <c r="X204" s="160">
        <f t="shared" si="808"/>
        <v>1.9209039548022599</v>
      </c>
      <c r="Y204" s="161">
        <f t="shared" si="808"/>
        <v>1.5304720558333791</v>
      </c>
      <c r="Z204" s="161">
        <f t="shared" si="808"/>
        <v>2.2824576035585209</v>
      </c>
      <c r="AA204" s="162">
        <f t="shared" si="808"/>
        <v>7.0893293510724948</v>
      </c>
      <c r="AB204" s="161">
        <f t="shared" si="808"/>
        <v>1.5754395916052182</v>
      </c>
      <c r="AC204" s="160">
        <f t="shared" si="808"/>
        <v>2.1564158781444727</v>
      </c>
      <c r="AD204" s="160">
        <f t="shared" si="808"/>
        <v>1.9916676657475123</v>
      </c>
      <c r="AE204" s="160">
        <f t="shared" si="808"/>
        <v>2.1376090616868209</v>
      </c>
      <c r="AF204" s="159">
        <f t="shared" si="808"/>
        <v>7.8471609296852023</v>
      </c>
      <c r="AG204" s="161">
        <f t="shared" si="808"/>
        <v>2.0314021421616362</v>
      </c>
      <c r="AH204" s="160">
        <f t="shared" si="808"/>
        <v>2.3753041362530412</v>
      </c>
      <c r="AI204" s="160">
        <f t="shared" si="808"/>
        <v>2.2144380140115749</v>
      </c>
      <c r="AJ204" s="160">
        <f t="shared" si="808"/>
        <v>1.7347560975609757</v>
      </c>
      <c r="AK204" s="159">
        <f t="shared" si="808"/>
        <v>8.3587088915956151</v>
      </c>
      <c r="AL204" s="160">
        <f t="shared" si="808"/>
        <v>2.3322096230462765</v>
      </c>
      <c r="AM204" s="160">
        <f t="shared" si="808"/>
        <v>2.6357778459650203</v>
      </c>
      <c r="AN204" s="160">
        <f t="shared" si="808"/>
        <v>2.5709923664122138</v>
      </c>
      <c r="AO204" s="160">
        <f t="shared" si="808"/>
        <v>1.4955562365920931</v>
      </c>
      <c r="AP204" s="159">
        <f t="shared" si="808"/>
        <v>9.036722817764165</v>
      </c>
      <c r="AQ204" s="160">
        <f t="shared" si="808"/>
        <v>2.8698861888649643</v>
      </c>
      <c r="AR204" s="160">
        <f t="shared" si="808"/>
        <v>2.7600124185035702</v>
      </c>
      <c r="AS204" s="160">
        <f t="shared" ref="AS204:BF204" si="809">AS203/AS226</f>
        <v>2.7594779366065878</v>
      </c>
      <c r="AT204" s="160">
        <f t="shared" si="809"/>
        <v>2.8197130380536493</v>
      </c>
      <c r="AU204" s="159">
        <f t="shared" si="809"/>
        <v>11.20967741935484</v>
      </c>
      <c r="AV204" s="160">
        <f>AV203/AV226</f>
        <v>2.7420362273579015</v>
      </c>
      <c r="AW204" s="160">
        <f>AW203/AW226</f>
        <v>2.9389433723505216</v>
      </c>
      <c r="AX204" s="160">
        <f>AX203/AX226</f>
        <v>2.7662296130476496</v>
      </c>
      <c r="AY204" s="160">
        <f>AY203/AY226</f>
        <v>3.0077369439071568</v>
      </c>
      <c r="AZ204" s="159">
        <f>AZ203/AZ226</f>
        <v>11.455354305687957</v>
      </c>
      <c r="BA204" s="159">
        <f t="shared" ref="BA204" si="810">BA203/BA226</f>
        <v>9.036722817764165</v>
      </c>
      <c r="BB204" s="160">
        <f t="shared" si="809"/>
        <v>2.8698861888649643</v>
      </c>
      <c r="BC204" s="160">
        <f t="shared" si="809"/>
        <v>2.7600124185035702</v>
      </c>
      <c r="BD204" s="160">
        <f t="shared" si="809"/>
        <v>2.7594779366065878</v>
      </c>
      <c r="BE204" s="160">
        <f t="shared" si="809"/>
        <v>2.8197130380536493</v>
      </c>
      <c r="BF204" s="159">
        <f t="shared" si="809"/>
        <v>11.211197270471464</v>
      </c>
      <c r="BG204" s="160">
        <f t="shared" ref="BG204:BJ204" si="811">BG203/BG226</f>
        <v>2.7420362273579015</v>
      </c>
      <c r="BH204" s="160">
        <f t="shared" si="811"/>
        <v>2.9389433723505216</v>
      </c>
      <c r="BI204" s="160">
        <f t="shared" si="811"/>
        <v>2.7662296130476496</v>
      </c>
      <c r="BJ204" s="160">
        <f t="shared" si="811"/>
        <v>3.0077369439071568</v>
      </c>
      <c r="BK204" s="159">
        <f t="shared" ref="BK204:BM204" si="812">BK203/BK226</f>
        <v>11.456911344137273</v>
      </c>
      <c r="BL204" s="160">
        <f t="shared" si="812"/>
        <v>2.5795971410006495</v>
      </c>
      <c r="BM204" s="160">
        <f t="shared" si="812"/>
        <v>3.3246499511559748</v>
      </c>
      <c r="BN204" s="160"/>
      <c r="BO204" s="160"/>
      <c r="BP204" s="159"/>
      <c r="BQ204" s="1264">
        <f t="shared" ref="BQ204" si="813">BQ203/BQ226</f>
        <v>10.091470223325063</v>
      </c>
      <c r="BR204" s="1216">
        <f t="shared" ref="BR204:BY204" si="814">BR203/BR226</f>
        <v>2.3048094940662085</v>
      </c>
      <c r="BS204" s="1216">
        <f t="shared" si="814"/>
        <v>2.5782980069598227</v>
      </c>
      <c r="BT204" s="1216">
        <f t="shared" si="814"/>
        <v>2.417652702270547</v>
      </c>
      <c r="BU204" s="1216">
        <f t="shared" si="814"/>
        <v>2.6337846550612509</v>
      </c>
      <c r="BV204" s="1264">
        <f t="shared" si="814"/>
        <v>9.9348268191928817</v>
      </c>
      <c r="BW204" s="1216">
        <f t="shared" si="814"/>
        <v>2.6109491415613864</v>
      </c>
      <c r="BX204" s="1216">
        <f t="shared" si="814"/>
        <v>2.9273852165418428</v>
      </c>
      <c r="BY204" s="1216">
        <f t="shared" si="814"/>
        <v>3.6059602649006623</v>
      </c>
      <c r="BZ204" s="1216">
        <f>BZ203/BZ226</f>
        <v>3.2486449864498645</v>
      </c>
      <c r="CA204" s="1264">
        <f>CA203/CA226</f>
        <v>12.382052128010557</v>
      </c>
      <c r="CB204" s="1216">
        <f t="shared" ref="CB204:CD204" si="815">CB203/CB226</f>
        <v>2.6058743169398908</v>
      </c>
      <c r="CC204" s="1216">
        <f t="shared" si="815"/>
        <v>3.2348901098901099</v>
      </c>
      <c r="CD204" s="1216">
        <f t="shared" si="815"/>
        <v>3.2379310344827585</v>
      </c>
      <c r="CE204" s="1216">
        <f>CE203/CE226</f>
        <v>-2.5008744316194478</v>
      </c>
      <c r="CF204" s="1264">
        <f>CF203/CF226</f>
        <v>6.6385614729415803</v>
      </c>
      <c r="CG204" s="1216"/>
      <c r="CH204" s="1216"/>
      <c r="CI204" s="1216"/>
      <c r="CJ204" s="1216"/>
      <c r="CK204" s="1264">
        <f>CK203/CK226</f>
        <v>12.128010557571757</v>
      </c>
      <c r="CL204" s="1216"/>
      <c r="CM204" s="1216"/>
      <c r="CN204" s="1216"/>
      <c r="CO204" s="1216"/>
      <c r="CP204" s="1264">
        <f>CP203/CP226</f>
        <v>6.5679273853566214</v>
      </c>
      <c r="CQ204" s="160">
        <f t="shared" ref="CQ204:CU204" si="816">CQ203/CQ226</f>
        <v>3.4459587233210693</v>
      </c>
      <c r="CR204" s="160">
        <f t="shared" si="816"/>
        <v>3.9588856923324705</v>
      </c>
      <c r="CS204" s="160">
        <f t="shared" si="816"/>
        <v>3.7451606639778103</v>
      </c>
      <c r="CT204" s="160">
        <f t="shared" si="816"/>
        <v>4.6157097085098009</v>
      </c>
      <c r="CU204" s="159">
        <f t="shared" si="816"/>
        <v>15.761591346640028</v>
      </c>
      <c r="CV204" s="774"/>
      <c r="CW204" s="775"/>
      <c r="CX204" s="775"/>
      <c r="CY204" s="776"/>
      <c r="CZ204" s="159">
        <f>CZ203/CZ226</f>
        <v>17.76067852158193</v>
      </c>
      <c r="DA204" s="774"/>
      <c r="DB204" s="775"/>
      <c r="DC204" s="775"/>
      <c r="DD204" s="776"/>
      <c r="DE204" s="159">
        <f>DE203/DE226</f>
        <v>24.047698384127681</v>
      </c>
      <c r="DF204" s="774"/>
      <c r="DG204" s="775"/>
      <c r="DH204" s="775"/>
      <c r="DI204" s="776"/>
      <c r="DJ204" s="159">
        <f>DJ203/DJ226</f>
        <v>25.517810284861991</v>
      </c>
      <c r="DK204" s="757"/>
      <c r="DL204" s="495"/>
      <c r="DM204" s="1089"/>
      <c r="DN204" s="1089"/>
      <c r="DO204" s="1089"/>
      <c r="DP204" s="1105"/>
      <c r="DQ204" s="1054"/>
      <c r="DR204" s="1185"/>
      <c r="DS204" s="1185"/>
      <c r="DT204" s="1185"/>
      <c r="DU204" s="1185"/>
      <c r="DV204" s="810"/>
      <c r="DW204" s="1185"/>
      <c r="DX204" s="1089"/>
      <c r="DY204" s="496"/>
      <c r="DZ204" s="497"/>
      <c r="EA204" s="497"/>
      <c r="EB204"/>
      <c r="EC204"/>
      <c r="ED204"/>
      <c r="EE204"/>
      <c r="EF204"/>
      <c r="EG204"/>
    </row>
    <row r="205" spans="1:137" s="398" customFormat="1">
      <c r="A205" s="97" t="s">
        <v>53</v>
      </c>
      <c r="B205" s="80"/>
      <c r="C205" s="80">
        <f>C204/B204</f>
        <v>1.827976813524915</v>
      </c>
      <c r="D205" s="80">
        <f>D204/C204</f>
        <v>1.984390243902439</v>
      </c>
      <c r="E205" s="80">
        <f>E204/D204</f>
        <v>1.2100774793684659</v>
      </c>
      <c r="F205" s="80">
        <f>F204/E204</f>
        <v>1.4462385116863401</v>
      </c>
      <c r="G205" s="80">
        <f>G204/F204</f>
        <v>1.4151260625541477</v>
      </c>
      <c r="H205" s="82"/>
      <c r="I205" s="82"/>
      <c r="J205" s="82"/>
      <c r="K205" s="82"/>
      <c r="L205" s="80">
        <f>L204/G204-1</f>
        <v>0.22540247018916792</v>
      </c>
      <c r="M205" s="82">
        <f t="shared" ref="M205:AP205" si="817">M204/H204-1</f>
        <v>9.6807282539152606E-2</v>
      </c>
      <c r="N205" s="82">
        <f t="shared" si="817"/>
        <v>0.18073956891437604</v>
      </c>
      <c r="O205" s="82">
        <f t="shared" si="817"/>
        <v>6.4521839182192231E-2</v>
      </c>
      <c r="P205" s="82">
        <f t="shared" si="817"/>
        <v>8.8390060822846728E-2</v>
      </c>
      <c r="Q205" s="80">
        <f t="shared" si="817"/>
        <v>0.10652284244745669</v>
      </c>
      <c r="R205" s="82">
        <f t="shared" si="817"/>
        <v>-4.325416999122822E-2</v>
      </c>
      <c r="S205" s="82">
        <f t="shared" si="817"/>
        <v>-0.13176552278624409</v>
      </c>
      <c r="T205" s="82">
        <f t="shared" si="817"/>
        <v>6.1432822156099798E-2</v>
      </c>
      <c r="U205" s="83">
        <f t="shared" si="817"/>
        <v>6.5801007115092958E-2</v>
      </c>
      <c r="V205" s="80">
        <f t="shared" si="817"/>
        <v>-1.1792217544948413E-2</v>
      </c>
      <c r="W205" s="83">
        <f t="shared" si="817"/>
        <v>-0.17997206897127471</v>
      </c>
      <c r="X205" s="82">
        <f t="shared" si="817"/>
        <v>2.7197477335435538E-2</v>
      </c>
      <c r="Y205" s="83">
        <f t="shared" si="817"/>
        <v>-0.24936771307408689</v>
      </c>
      <c r="Z205" s="83">
        <f t="shared" si="817"/>
        <v>4.2668132534687819E-2</v>
      </c>
      <c r="AA205" s="84">
        <f t="shared" si="817"/>
        <v>-8.7035983505645009E-2</v>
      </c>
      <c r="AB205" s="83">
        <f t="shared" si="817"/>
        <v>0.14651933285027141</v>
      </c>
      <c r="AC205" s="82">
        <f t="shared" si="817"/>
        <v>0.12260473656344595</v>
      </c>
      <c r="AD205" s="82">
        <f t="shared" si="817"/>
        <v>0.30134206512055584</v>
      </c>
      <c r="AE205" s="82">
        <f t="shared" si="817"/>
        <v>-6.3461657139160188E-2</v>
      </c>
      <c r="AF205" s="80">
        <f t="shared" si="817"/>
        <v>0.10689749919688252</v>
      </c>
      <c r="AG205" s="83">
        <f t="shared" si="817"/>
        <v>0.28941925351249864</v>
      </c>
      <c r="AH205" s="82">
        <f t="shared" si="817"/>
        <v>0.10150558634214613</v>
      </c>
      <c r="AI205" s="82">
        <f t="shared" si="817"/>
        <v>0.11185116477776047</v>
      </c>
      <c r="AJ205" s="82">
        <f t="shared" si="817"/>
        <v>-0.18845960720616872</v>
      </c>
      <c r="AK205" s="80">
        <f t="shared" si="817"/>
        <v>6.5188922018314388E-2</v>
      </c>
      <c r="AL205" s="82">
        <f t="shared" si="817"/>
        <v>0.14807874553314582</v>
      </c>
      <c r="AM205" s="82">
        <f t="shared" si="817"/>
        <v>0.10965909827567066</v>
      </c>
      <c r="AN205" s="82">
        <f t="shared" si="817"/>
        <v>0.16101347165492408</v>
      </c>
      <c r="AO205" s="82">
        <f t="shared" si="817"/>
        <v>-0.1378867388361924</v>
      </c>
      <c r="AP205" s="80">
        <f t="shared" si="817"/>
        <v>8.1114671531421489E-2</v>
      </c>
      <c r="AQ205" s="82">
        <f t="shared" ref="AQ205:AZ205" si="818">AQ204/AL204-1</f>
        <v>0.23054384155931373</v>
      </c>
      <c r="AR205" s="82">
        <f t="shared" si="818"/>
        <v>4.7133931537035378E-2</v>
      </c>
      <c r="AS205" s="82">
        <f t="shared" si="818"/>
        <v>7.3312380330947002E-2</v>
      </c>
      <c r="AT205" s="82">
        <f t="shared" si="818"/>
        <v>0.88539418917398716</v>
      </c>
      <c r="AU205" s="80">
        <f t="shared" si="818"/>
        <v>0.24045825521162767</v>
      </c>
      <c r="AV205" s="82">
        <f t="shared" si="818"/>
        <v>-4.454879151762714E-2</v>
      </c>
      <c r="AW205" s="82">
        <f t="shared" si="818"/>
        <v>6.482976404286056E-2</v>
      </c>
      <c r="AX205" s="82">
        <f t="shared" si="818"/>
        <v>2.4467223859614418E-3</v>
      </c>
      <c r="AY205" s="82">
        <f t="shared" si="818"/>
        <v>6.6681929443179744E-2</v>
      </c>
      <c r="AZ205" s="80">
        <f t="shared" si="818"/>
        <v>2.1916499212450757E-2</v>
      </c>
      <c r="BA205" s="80"/>
      <c r="BB205" s="82">
        <f>BB204/BA204-1</f>
        <v>-0.68241958431839767</v>
      </c>
      <c r="BC205" s="82">
        <f>BC204/AQ204-1</f>
        <v>-3.8285061891199623E-2</v>
      </c>
      <c r="BD205" s="82">
        <f>BD204/AR204-1</f>
        <v>-1.93651989896515E-4</v>
      </c>
      <c r="BE205" s="82">
        <f>BE204/AS204-1</f>
        <v>2.182844104241477E-2</v>
      </c>
      <c r="BF205" s="80"/>
      <c r="BG205" s="82">
        <f>BG204/BF204-1</f>
        <v>-0.75541985737955075</v>
      </c>
      <c r="BH205" s="82">
        <f>BH204/AV204-1</f>
        <v>7.1810555611203863E-2</v>
      </c>
      <c r="BI205" s="82">
        <f>BI204/AW204-1</f>
        <v>-5.8767297433409915E-2</v>
      </c>
      <c r="BJ205" s="82">
        <f>BJ204/AX204-1</f>
        <v>8.7305598103778026E-2</v>
      </c>
      <c r="BK205" s="80"/>
      <c r="BL205" s="82">
        <f>BL204/BK204-1</f>
        <v>-0.77484358013115984</v>
      </c>
      <c r="BM205" s="82">
        <f>BM204/BA204-1</f>
        <v>-0.63209561494788125</v>
      </c>
      <c r="BN205" s="82"/>
      <c r="BO205" s="82"/>
      <c r="BP205" s="80"/>
      <c r="BQ205" s="34"/>
      <c r="BR205" s="27"/>
      <c r="BS205" s="27"/>
      <c r="BT205" s="27"/>
      <c r="BU205" s="27"/>
      <c r="BV205" s="34"/>
      <c r="BW205" s="27">
        <f>+BW204/BR204-1</f>
        <v>0.13282644326281301</v>
      </c>
      <c r="BX205" s="27">
        <f t="shared" ref="BX205" si="819">+BX204/BS204-1</f>
        <v>0.13539443797408168</v>
      </c>
      <c r="BY205" s="27">
        <f t="shared" ref="BY205" si="820">+BY204/BT204-1</f>
        <v>0.49151292967518123</v>
      </c>
      <c r="BZ205" s="27">
        <f>+BZ204/BU204-1</f>
        <v>0.23345125434118486</v>
      </c>
      <c r="CA205" s="34">
        <f>+CA204/BV204-1</f>
        <v>0.24632792834294115</v>
      </c>
      <c r="CB205" s="27">
        <f>+CB204/BW204-1</f>
        <v>-1.943670422649757E-3</v>
      </c>
      <c r="CC205" s="27">
        <f t="shared" ref="CC205:CD205" si="821">+CC204/BX204-1</f>
        <v>0.10504421885122683</v>
      </c>
      <c r="CD205" s="27">
        <f t="shared" si="821"/>
        <v>-0.1020613660112093</v>
      </c>
      <c r="CE205" s="27">
        <f>+CE204/BZ204-1</f>
        <v>-1.7698207843733691</v>
      </c>
      <c r="CF205" s="34">
        <f>+CF204/CA204-1</f>
        <v>-0.46385611978454755</v>
      </c>
      <c r="CG205" s="27"/>
      <c r="CH205" s="27"/>
      <c r="CI205" s="27"/>
      <c r="CJ205" s="27"/>
      <c r="CK205" s="34"/>
      <c r="CL205" s="27"/>
      <c r="CM205" s="27"/>
      <c r="CN205" s="27"/>
      <c r="CO205" s="27"/>
      <c r="CP205" s="34">
        <f>+CP204/CK204-1</f>
        <v>-0.45844973054907723</v>
      </c>
      <c r="CQ205" s="82"/>
      <c r="CR205" s="82"/>
      <c r="CS205" s="82"/>
      <c r="CT205" s="82"/>
      <c r="CU205" s="34">
        <f>+CU204/CP204-1</f>
        <v>1.3997816086975838</v>
      </c>
      <c r="CV205" s="85"/>
      <c r="CW205" s="82"/>
      <c r="CX205" s="82"/>
      <c r="CY205" s="81"/>
      <c r="CZ205" s="80">
        <f>CZ204/CU204-1</f>
        <v>0.12683282613897084</v>
      </c>
      <c r="DA205" s="85"/>
      <c r="DB205" s="82"/>
      <c r="DC205" s="82"/>
      <c r="DD205" s="81"/>
      <c r="DE205" s="80">
        <f>DE204/CZ204-1</f>
        <v>0.35398534210875243</v>
      </c>
      <c r="DF205" s="85"/>
      <c r="DG205" s="82"/>
      <c r="DH205" s="82"/>
      <c r="DI205" s="81"/>
      <c r="DJ205" s="80">
        <f>DJ204/DE204-1</f>
        <v>6.1133164482162439E-2</v>
      </c>
      <c r="DK205" s="397"/>
      <c r="DL205" s="74"/>
      <c r="DM205" s="867"/>
      <c r="DN205" s="809"/>
      <c r="DO205" s="809"/>
      <c r="DP205" s="1054"/>
      <c r="DQ205" s="1055"/>
      <c r="DR205" s="1185"/>
      <c r="DS205" s="1185"/>
      <c r="DT205" s="1185"/>
      <c r="DU205" s="1185"/>
      <c r="DV205" s="810"/>
      <c r="DW205" s="1185"/>
      <c r="DX205" s="1085"/>
      <c r="DY205" s="360"/>
      <c r="DZ205" s="167"/>
      <c r="EA205" s="167"/>
      <c r="EB205"/>
      <c r="EC205"/>
      <c r="ED205"/>
      <c r="EE205"/>
      <c r="EF205"/>
      <c r="EG205"/>
    </row>
    <row r="206" spans="1:137" s="398" customFormat="1" ht="11.25" customHeight="1">
      <c r="A206" s="158" t="s">
        <v>348</v>
      </c>
      <c r="B206" s="159">
        <f t="shared" ref="B206:AG206" si="822">B203/B224</f>
        <v>0.65278427702386521</v>
      </c>
      <c r="C206" s="159">
        <f t="shared" si="822"/>
        <v>1.1974837115254999</v>
      </c>
      <c r="D206" s="159">
        <f t="shared" si="822"/>
        <v>2.3583426651735722</v>
      </c>
      <c r="E206" s="159">
        <f t="shared" si="822"/>
        <v>2.8571428571428572</v>
      </c>
      <c r="F206" s="159">
        <f t="shared" si="822"/>
        <v>4.144901203724733</v>
      </c>
      <c r="G206" s="159">
        <f t="shared" si="822"/>
        <v>5.9074982480728799</v>
      </c>
      <c r="H206" s="161">
        <f t="shared" si="822"/>
        <v>1.6373991457047936</v>
      </c>
      <c r="I206" s="161">
        <f t="shared" si="822"/>
        <v>1.8670506359491241</v>
      </c>
      <c r="J206" s="161">
        <f t="shared" si="822"/>
        <v>1.8524788391777509</v>
      </c>
      <c r="K206" s="161">
        <f t="shared" si="822"/>
        <v>1.9379092893524132</v>
      </c>
      <c r="L206" s="159">
        <f t="shared" si="822"/>
        <v>7.290865384615385</v>
      </c>
      <c r="M206" s="161">
        <f t="shared" si="822"/>
        <v>1.7953762911952778</v>
      </c>
      <c r="N206" s="161">
        <f t="shared" si="822"/>
        <v>2.2088655146506384</v>
      </c>
      <c r="O206" s="161">
        <f t="shared" si="822"/>
        <v>1.9677906391545044</v>
      </c>
      <c r="P206" s="161">
        <f t="shared" si="822"/>
        <v>2.0793329964628602</v>
      </c>
      <c r="Q206" s="162">
        <f t="shared" si="822"/>
        <v>8.0485364023017265</v>
      </c>
      <c r="R206" s="161">
        <f t="shared" si="822"/>
        <v>1.6929334011184547</v>
      </c>
      <c r="S206" s="161">
        <f t="shared" si="822"/>
        <v>1.8893771000258466</v>
      </c>
      <c r="T206" s="160">
        <f t="shared" si="822"/>
        <v>2.0608285264813846</v>
      </c>
      <c r="U206" s="160">
        <f t="shared" si="822"/>
        <v>2.2133968758273763</v>
      </c>
      <c r="V206" s="162">
        <f t="shared" si="822"/>
        <v>7.8469074844074838</v>
      </c>
      <c r="W206" s="161">
        <f t="shared" si="822"/>
        <v>1.3895582329317269</v>
      </c>
      <c r="X206" s="161">
        <f t="shared" si="822"/>
        <v>1.9423286180631119</v>
      </c>
      <c r="Y206" s="161">
        <f t="shared" si="822"/>
        <v>1.5467925576228825</v>
      </c>
      <c r="Z206" s="161">
        <f t="shared" si="822"/>
        <v>2.3074761101742549</v>
      </c>
      <c r="AA206" s="162">
        <f t="shared" si="822"/>
        <v>7.1691378363536522</v>
      </c>
      <c r="AB206" s="161">
        <f t="shared" si="822"/>
        <v>1.593974175035868</v>
      </c>
      <c r="AC206" s="161">
        <f t="shared" si="822"/>
        <v>2.1805717619603264</v>
      </c>
      <c r="AD206" s="160">
        <f t="shared" si="822"/>
        <v>2.0148574893875075</v>
      </c>
      <c r="AE206" s="160">
        <f t="shared" si="822"/>
        <v>2.1651162790697676</v>
      </c>
      <c r="AF206" s="162">
        <f t="shared" si="822"/>
        <v>7.9406073236082175</v>
      </c>
      <c r="AG206" s="161">
        <f t="shared" si="822"/>
        <v>2.0598580684973773</v>
      </c>
      <c r="AH206" s="161">
        <f t="shared" ref="AH206:BM206" si="823">AH203/AH224</f>
        <v>2.406779661016949</v>
      </c>
      <c r="AI206" s="160">
        <f t="shared" si="823"/>
        <v>2.2472952086553324</v>
      </c>
      <c r="AJ206" s="160">
        <f t="shared" si="823"/>
        <v>1.7632475983885962</v>
      </c>
      <c r="AK206" s="162">
        <f t="shared" si="823"/>
        <v>8.4800741427247459</v>
      </c>
      <c r="AL206" s="160">
        <f t="shared" si="823"/>
        <v>2.3655579732670189</v>
      </c>
      <c r="AM206" s="160">
        <f t="shared" si="823"/>
        <v>2.6776807980049875</v>
      </c>
      <c r="AN206" s="160">
        <f t="shared" si="823"/>
        <v>2.6206037970743852</v>
      </c>
      <c r="AO206" s="160">
        <f t="shared" si="823"/>
        <v>1.5254767114723353</v>
      </c>
      <c r="AP206" s="162">
        <f t="shared" si="823"/>
        <v>9.1944219382985359</v>
      </c>
      <c r="AQ206" s="160">
        <f t="shared" si="823"/>
        <v>2.9238483234095893</v>
      </c>
      <c r="AR206" s="160">
        <f t="shared" si="823"/>
        <v>2.8061868686868685</v>
      </c>
      <c r="AS206" s="160">
        <f t="shared" si="823"/>
        <v>2.8074612709453048</v>
      </c>
      <c r="AT206" s="160">
        <f t="shared" si="823"/>
        <v>2.8689304982545223</v>
      </c>
      <c r="AU206" s="162">
        <f t="shared" si="823"/>
        <v>11.407828282828282</v>
      </c>
      <c r="AV206" s="160">
        <f t="shared" si="823"/>
        <v>2.7837666455294867</v>
      </c>
      <c r="AW206" s="160">
        <f t="shared" si="823"/>
        <v>2.9775641025641026</v>
      </c>
      <c r="AX206" s="160">
        <f t="shared" si="823"/>
        <v>2.8047989623865113</v>
      </c>
      <c r="AY206" s="160">
        <f t="shared" si="823"/>
        <v>3.0500163452108535</v>
      </c>
      <c r="AZ206" s="162">
        <f t="shared" si="823"/>
        <v>11.617789236223009</v>
      </c>
      <c r="BA206" s="162">
        <f t="shared" si="823"/>
        <v>9.1944219382985359</v>
      </c>
      <c r="BB206" s="160">
        <f t="shared" si="823"/>
        <v>2.9238483234095893</v>
      </c>
      <c r="BC206" s="160">
        <f t="shared" si="823"/>
        <v>2.8061868686868685</v>
      </c>
      <c r="BD206" s="160">
        <f t="shared" si="823"/>
        <v>2.8074612709453048</v>
      </c>
      <c r="BE206" s="160">
        <f t="shared" si="823"/>
        <v>2.8689304982545223</v>
      </c>
      <c r="BF206" s="162">
        <f t="shared" si="823"/>
        <v>11.409374999999999</v>
      </c>
      <c r="BG206" s="160">
        <f t="shared" si="823"/>
        <v>2.7837666455294867</v>
      </c>
      <c r="BH206" s="160">
        <f t="shared" si="823"/>
        <v>2.9775641025641026</v>
      </c>
      <c r="BI206" s="160">
        <f t="shared" si="823"/>
        <v>2.8047989623865113</v>
      </c>
      <c r="BJ206" s="160">
        <f t="shared" si="823"/>
        <v>3.0500163452108535</v>
      </c>
      <c r="BK206" s="162">
        <f t="shared" si="823"/>
        <v>11.614689538535879</v>
      </c>
      <c r="BL206" s="160">
        <f t="shared" si="823"/>
        <v>2.6075533661740558</v>
      </c>
      <c r="BM206" s="160">
        <f t="shared" si="823"/>
        <v>3.3685252391949847</v>
      </c>
      <c r="BN206" s="160"/>
      <c r="BO206" s="160"/>
      <c r="BP206" s="162"/>
      <c r="BQ206" s="1265">
        <f t="shared" ref="BQ206:CC206" si="824">BQ203/BQ224</f>
        <v>10.269854797979797</v>
      </c>
      <c r="BR206" s="1216">
        <f t="shared" si="824"/>
        <v>2.3398858592263792</v>
      </c>
      <c r="BS206" s="1216">
        <f t="shared" si="824"/>
        <v>2.6121794871794872</v>
      </c>
      <c r="BT206" s="1216">
        <f t="shared" si="824"/>
        <v>2.4513618677042803</v>
      </c>
      <c r="BU206" s="1216">
        <f t="shared" si="824"/>
        <v>2.6708074534161494</v>
      </c>
      <c r="BV206" s="1265">
        <f t="shared" si="824"/>
        <v>10.071643714262706</v>
      </c>
      <c r="BW206" s="1216">
        <f t="shared" si="824"/>
        <v>2.6469622331691296</v>
      </c>
      <c r="BX206" s="1216">
        <f t="shared" si="824"/>
        <v>2.966017815902342</v>
      </c>
      <c r="BY206" s="1216">
        <f t="shared" si="824"/>
        <v>3.6482412060301508</v>
      </c>
      <c r="BZ206" s="1216">
        <f>BZ203/BZ224</f>
        <v>3.2864976010966416</v>
      </c>
      <c r="CA206" s="1265">
        <f>CA203/CA224</f>
        <v>12.539258269295022</v>
      </c>
      <c r="CB206" s="1216">
        <f t="shared" si="824"/>
        <v>2.6310344827586207</v>
      </c>
      <c r="CC206" s="1216">
        <f t="shared" si="824"/>
        <v>3.2651646447140381</v>
      </c>
      <c r="CD206" s="1216">
        <f t="shared" ref="CD206" si="825">CD203/CD224</f>
        <v>3.2706374085684429</v>
      </c>
      <c r="CE206" s="1216">
        <f>CE203/CE224</f>
        <v>-2.5008744316194478</v>
      </c>
      <c r="CF206" s="1265">
        <f>CF203/CF224</f>
        <v>6.7008250108554064</v>
      </c>
      <c r="CG206" s="1216"/>
      <c r="CH206" s="1216"/>
      <c r="CI206" s="1216"/>
      <c r="CJ206" s="1216"/>
      <c r="CK206" s="1265">
        <f>CK203/CK224</f>
        <v>12.281991313063815</v>
      </c>
      <c r="CL206" s="1216"/>
      <c r="CM206" s="1216"/>
      <c r="CN206" s="1216"/>
      <c r="CO206" s="1216"/>
      <c r="CP206" s="1265">
        <f>CP203/CP224</f>
        <v>6.6295284411637008</v>
      </c>
      <c r="CQ206" s="160">
        <f t="shared" ref="CQ206:CU206" si="826">CQ203/CQ224</f>
        <v>3.4580844713087675</v>
      </c>
      <c r="CR206" s="160">
        <f t="shared" si="826"/>
        <v>3.9728513809575396</v>
      </c>
      <c r="CS206" s="160">
        <f t="shared" si="826"/>
        <v>3.7584056279506401</v>
      </c>
      <c r="CT206" s="160">
        <f t="shared" si="826"/>
        <v>4.6320744730298999</v>
      </c>
      <c r="CU206" s="162">
        <f t="shared" si="826"/>
        <v>15.817262884164673</v>
      </c>
      <c r="CV206" s="759"/>
      <c r="CW206" s="163"/>
      <c r="CX206" s="163"/>
      <c r="CY206" s="164"/>
      <c r="CZ206" s="162">
        <f>CZ203/CZ224</f>
        <v>17.824402243962197</v>
      </c>
      <c r="DA206" s="759"/>
      <c r="DB206" s="163"/>
      <c r="DC206" s="163"/>
      <c r="DD206" s="164"/>
      <c r="DE206" s="162">
        <f>DE203/DE224</f>
        <v>24.13574665375366</v>
      </c>
      <c r="DF206" s="759"/>
      <c r="DG206" s="163"/>
      <c r="DH206" s="163"/>
      <c r="DI206" s="164"/>
      <c r="DJ206" s="162">
        <f>DJ203/DJ224</f>
        <v>25.612911590252153</v>
      </c>
      <c r="DK206" s="397"/>
      <c r="DL206" s="1285"/>
      <c r="DM206" s="809"/>
      <c r="DN206" s="867"/>
      <c r="DO206" s="809"/>
      <c r="DP206" s="1053"/>
      <c r="DQ206" s="1053"/>
      <c r="DR206" s="1053"/>
      <c r="DS206" s="809"/>
      <c r="DT206" s="809"/>
      <c r="DU206" s="809"/>
      <c r="DV206" s="810"/>
      <c r="DW206" s="809"/>
      <c r="DX206" s="809"/>
      <c r="DY206" s="360"/>
      <c r="DZ206" s="167"/>
      <c r="EA206" s="167"/>
      <c r="EB206"/>
      <c r="EC206"/>
      <c r="ED206"/>
      <c r="EE206"/>
      <c r="EF206"/>
      <c r="EG206"/>
    </row>
    <row r="207" spans="1:137" s="398" customFormat="1">
      <c r="A207" s="97" t="s">
        <v>53</v>
      </c>
      <c r="B207" s="80"/>
      <c r="C207" s="80">
        <f>C206/B206-1</f>
        <v>0.83442486848028197</v>
      </c>
      <c r="D207" s="80">
        <f>D206/C206-1</f>
        <v>0.96941523502581028</v>
      </c>
      <c r="E207" s="80">
        <f>E206/D206-1</f>
        <v>0.21150454483787828</v>
      </c>
      <c r="F207" s="80">
        <f>F206/E206-1</f>
        <v>0.4507154213036566</v>
      </c>
      <c r="G207" s="80">
        <f>G206/F206-1</f>
        <v>0.42524464582273369</v>
      </c>
      <c r="H207" s="82"/>
      <c r="I207" s="82"/>
      <c r="J207" s="82"/>
      <c r="K207" s="82"/>
      <c r="L207" s="80">
        <f t="shared" ref="L207:AP207" si="827">L206/G206-1</f>
        <v>0.23417140021899829</v>
      </c>
      <c r="M207" s="82">
        <f t="shared" si="827"/>
        <v>9.6480534941579821E-2</v>
      </c>
      <c r="N207" s="82">
        <f t="shared" si="827"/>
        <v>0.18307745495491123</v>
      </c>
      <c r="O207" s="82">
        <f t="shared" si="827"/>
        <v>6.2247296723743517E-2</v>
      </c>
      <c r="P207" s="82">
        <f t="shared" si="827"/>
        <v>7.2977464883150489E-2</v>
      </c>
      <c r="Q207" s="80">
        <f t="shared" si="827"/>
        <v>0.10392058798467452</v>
      </c>
      <c r="R207" s="82">
        <f t="shared" si="827"/>
        <v>-5.7059286445529156E-2</v>
      </c>
      <c r="S207" s="82">
        <f t="shared" si="827"/>
        <v>-0.14463914281142787</v>
      </c>
      <c r="T207" s="82">
        <f t="shared" si="827"/>
        <v>4.7280379058442623E-2</v>
      </c>
      <c r="U207" s="83">
        <f t="shared" si="827"/>
        <v>6.4474463490249656E-2</v>
      </c>
      <c r="V207" s="80">
        <f t="shared" si="827"/>
        <v>-2.5051625266499511E-2</v>
      </c>
      <c r="W207" s="83">
        <f t="shared" si="827"/>
        <v>-0.17920088763462272</v>
      </c>
      <c r="X207" s="82">
        <f t="shared" si="827"/>
        <v>2.8025912898246075E-2</v>
      </c>
      <c r="Y207" s="83">
        <f t="shared" si="827"/>
        <v>-0.24943170295500339</v>
      </c>
      <c r="Z207" s="83">
        <f t="shared" si="827"/>
        <v>4.2504457910067073E-2</v>
      </c>
      <c r="AA207" s="84">
        <f t="shared" si="827"/>
        <v>-8.6374109724196568E-2</v>
      </c>
      <c r="AB207" s="83">
        <f t="shared" si="827"/>
        <v>0.1471085826125178</v>
      </c>
      <c r="AC207" s="82">
        <f t="shared" si="827"/>
        <v>0.12265851498125513</v>
      </c>
      <c r="AD207" s="82">
        <f>AD206/Y206-1</f>
        <v>0.30260355821982321</v>
      </c>
      <c r="AE207" s="82">
        <f t="shared" si="827"/>
        <v>-6.1695040081579333E-2</v>
      </c>
      <c r="AF207" s="80">
        <f t="shared" si="827"/>
        <v>0.10760979979245988</v>
      </c>
      <c r="AG207" s="83">
        <f t="shared" si="827"/>
        <v>0.29227819418782364</v>
      </c>
      <c r="AH207" s="82">
        <f t="shared" si="827"/>
        <v>0.10373788333994671</v>
      </c>
      <c r="AI207" s="82">
        <f t="shared" si="827"/>
        <v>0.11536186578559615</v>
      </c>
      <c r="AJ207" s="82">
        <f t="shared" si="827"/>
        <v>-0.18561066884307587</v>
      </c>
      <c r="AK207" s="80">
        <f t="shared" si="827"/>
        <v>6.7937727825003957E-2</v>
      </c>
      <c r="AL207" s="82">
        <f t="shared" si="827"/>
        <v>0.1484082371717208</v>
      </c>
      <c r="AM207" s="82">
        <f>AM206/AH206-1</f>
        <v>0.11255751466404429</v>
      </c>
      <c r="AN207" s="82">
        <f>AN206/AI206-1</f>
        <v>0.16611461946845063</v>
      </c>
      <c r="AO207" s="82">
        <f t="shared" si="827"/>
        <v>-0.13484826925813254</v>
      </c>
      <c r="AP207" s="80">
        <f t="shared" si="827"/>
        <v>8.4238390319575807E-2</v>
      </c>
      <c r="AQ207" s="82">
        <f t="shared" ref="AQ207:AZ207" si="828">AQ206/AL206-1</f>
        <v>0.23600789177511805</v>
      </c>
      <c r="AR207" s="82">
        <f t="shared" si="828"/>
        <v>4.7991557013675745E-2</v>
      </c>
      <c r="AS207" s="82">
        <f t="shared" si="828"/>
        <v>7.1303214198012554E-2</v>
      </c>
      <c r="AT207" s="82">
        <f t="shared" si="828"/>
        <v>0.88067800490086379</v>
      </c>
      <c r="AU207" s="80">
        <f t="shared" si="828"/>
        <v>0.2407336055907987</v>
      </c>
      <c r="AV207" s="82">
        <f t="shared" si="828"/>
        <v>-4.7910035810868945E-2</v>
      </c>
      <c r="AW207" s="82">
        <f t="shared" si="828"/>
        <v>6.1071212252314711E-2</v>
      </c>
      <c r="AX207" s="82">
        <f t="shared" si="828"/>
        <v>-9.4829751930902706E-4</v>
      </c>
      <c r="AY207" s="82">
        <f t="shared" si="828"/>
        <v>6.3119635371615024E-2</v>
      </c>
      <c r="AZ207" s="80">
        <f t="shared" si="828"/>
        <v>1.8404988941740363E-2</v>
      </c>
      <c r="BA207" s="80"/>
      <c r="BB207" s="82">
        <f>BB206/BA206-1</f>
        <v>-0.6819975912536097</v>
      </c>
      <c r="BC207" s="82">
        <f>BC206/AQ206-1</f>
        <v>-4.0241983067545783E-2</v>
      </c>
      <c r="BD207" s="82">
        <f>BD206/AR206-1</f>
        <v>4.5414019738210243E-4</v>
      </c>
      <c r="BE207" s="82">
        <f>BE206/AS206-1</f>
        <v>2.1894951123767381E-2</v>
      </c>
      <c r="BF207" s="80"/>
      <c r="BG207" s="82">
        <f>BG206/BF206-1</f>
        <v>-0.75601059255835779</v>
      </c>
      <c r="BH207" s="82">
        <f>BH206/AV206-1</f>
        <v>6.9616990829974856E-2</v>
      </c>
      <c r="BI207" s="82">
        <f>BI206/AW206-1</f>
        <v>-5.8022307573098453E-2</v>
      </c>
      <c r="BJ207" s="82">
        <f>BJ206/AX206-1</f>
        <v>8.7427792905233614E-2</v>
      </c>
      <c r="BK207" s="80"/>
      <c r="BL207" s="82">
        <f>BL206/BK206-1</f>
        <v>-0.77549521599156257</v>
      </c>
      <c r="BM207" s="82">
        <f>BM206/BA206-1</f>
        <v>-0.63363382039672378</v>
      </c>
      <c r="BN207" s="82"/>
      <c r="BO207" s="82"/>
      <c r="BP207" s="80"/>
      <c r="BQ207" s="80"/>
      <c r="BR207" s="82"/>
      <c r="BS207" s="82"/>
      <c r="BT207" s="82"/>
      <c r="BU207" s="82"/>
      <c r="BV207" s="80"/>
      <c r="BW207" s="27">
        <f>+BW206/BR206-1</f>
        <v>0.13123562105900199</v>
      </c>
      <c r="BX207" s="27">
        <f t="shared" ref="BX207" si="829">+BX206/BS206-1</f>
        <v>0.13545712706936275</v>
      </c>
      <c r="BY207" s="27">
        <f t="shared" ref="BY207" si="830">+BY206/BT206-1</f>
        <v>0.48825077769801384</v>
      </c>
      <c r="BZ207" s="27">
        <f>+BZ206/BU206-1</f>
        <v>0.2305258459919981</v>
      </c>
      <c r="CA207" s="34">
        <f>+CA206/BV206-1</f>
        <v>0.24500614051089453</v>
      </c>
      <c r="CB207" s="27">
        <f>+CB206/BW206-1</f>
        <v>-6.0173697270471393E-3</v>
      </c>
      <c r="CC207" s="27">
        <f t="shared" ref="CC207:CD207" si="831">+CC206/BX206-1</f>
        <v>0.10085806875731373</v>
      </c>
      <c r="CD207" s="27">
        <f t="shared" si="831"/>
        <v>-0.103502969276694</v>
      </c>
      <c r="CE207" s="27">
        <f>+CE206/BZ206-1</f>
        <v>-1.7609542848243533</v>
      </c>
      <c r="CF207" s="34">
        <f>+CF206/CA206-1</f>
        <v>-0.46561232993631152</v>
      </c>
      <c r="CG207" s="27"/>
      <c r="CH207" s="27"/>
      <c r="CI207" s="27"/>
      <c r="CJ207" s="27"/>
      <c r="CK207" s="34"/>
      <c r="CL207" s="27"/>
      <c r="CM207" s="27"/>
      <c r="CN207" s="27"/>
      <c r="CO207" s="27"/>
      <c r="CP207" s="34">
        <f>+CP206/CK206-1</f>
        <v>-0.46022365004344512</v>
      </c>
      <c r="CQ207" s="82"/>
      <c r="CR207" s="82"/>
      <c r="CS207" s="82"/>
      <c r="CT207" s="82"/>
      <c r="CU207" s="34">
        <f>+CU206/CP206-1</f>
        <v>1.3858805380414392</v>
      </c>
      <c r="CV207" s="82"/>
      <c r="CW207" s="82"/>
      <c r="CX207" s="82"/>
      <c r="CY207" s="81"/>
      <c r="CZ207" s="80">
        <f>CZ206/CU206-1</f>
        <v>0.12689549225403307</v>
      </c>
      <c r="DA207" s="82"/>
      <c r="DB207" s="82"/>
      <c r="DC207" s="82"/>
      <c r="DD207" s="81"/>
      <c r="DE207" s="80">
        <f>DE206/CZ206-1</f>
        <v>0.35408449177752122</v>
      </c>
      <c r="DF207" s="82"/>
      <c r="DG207" s="82"/>
      <c r="DH207" s="82"/>
      <c r="DI207" s="81"/>
      <c r="DJ207" s="80">
        <f>DJ206/DE206-1</f>
        <v>6.1202371639443864E-2</v>
      </c>
      <c r="DK207" s="397"/>
      <c r="DL207" s="74"/>
      <c r="DM207" s="867"/>
      <c r="DN207" s="809"/>
      <c r="DO207" s="809"/>
      <c r="DP207" s="1099"/>
      <c r="DQ207" s="1099"/>
      <c r="DR207" s="1099"/>
      <c r="DS207" s="809"/>
      <c r="DT207" s="809"/>
      <c r="DU207" s="809"/>
      <c r="DV207" s="810"/>
      <c r="DW207" s="809"/>
      <c r="DX207" s="809"/>
      <c r="DY207" s="360"/>
      <c r="DZ207" s="167"/>
      <c r="EA207" s="167"/>
      <c r="EB207"/>
      <c r="EC207"/>
      <c r="ED207"/>
      <c r="EE207"/>
      <c r="EF207"/>
      <c r="EG207"/>
    </row>
    <row r="208" spans="1:137" s="473" customFormat="1">
      <c r="A208" s="734" t="s">
        <v>98</v>
      </c>
      <c r="B208" s="462">
        <f t="shared" ref="B208:AG208" si="832">-0.65*B180</f>
        <v>-55.9</v>
      </c>
      <c r="C208" s="462">
        <f t="shared" si="832"/>
        <v>-157.95000000000002</v>
      </c>
      <c r="D208" s="462">
        <f t="shared" si="832"/>
        <v>195</v>
      </c>
      <c r="E208" s="462">
        <f t="shared" si="832"/>
        <v>386.75</v>
      </c>
      <c r="F208" s="462">
        <f t="shared" si="832"/>
        <v>406.90000000000003</v>
      </c>
      <c r="G208" s="462">
        <f t="shared" si="832"/>
        <v>178.75</v>
      </c>
      <c r="H208" s="463">
        <f t="shared" si="832"/>
        <v>9.1</v>
      </c>
      <c r="I208" s="463">
        <f t="shared" si="832"/>
        <v>9.1</v>
      </c>
      <c r="J208" s="463">
        <f t="shared" si="832"/>
        <v>11.700000000000001</v>
      </c>
      <c r="K208" s="463">
        <f t="shared" si="832"/>
        <v>7.8000000000000007</v>
      </c>
      <c r="L208" s="462">
        <f t="shared" si="832"/>
        <v>37.700000000000003</v>
      </c>
      <c r="M208" s="463">
        <f t="shared" si="832"/>
        <v>-20.8</v>
      </c>
      <c r="N208" s="463">
        <f t="shared" si="832"/>
        <v>-20.8</v>
      </c>
      <c r="O208" s="463">
        <f t="shared" si="832"/>
        <v>-20.8</v>
      </c>
      <c r="P208" s="463">
        <f t="shared" si="832"/>
        <v>-20.8</v>
      </c>
      <c r="Q208" s="462">
        <f t="shared" si="832"/>
        <v>-83.2</v>
      </c>
      <c r="R208" s="463">
        <f t="shared" si="832"/>
        <v>74.100000000000009</v>
      </c>
      <c r="S208" s="463">
        <f t="shared" si="832"/>
        <v>74.75</v>
      </c>
      <c r="T208" s="463">
        <f t="shared" si="832"/>
        <v>73.45</v>
      </c>
      <c r="U208" s="464">
        <f t="shared" si="832"/>
        <v>74.100000000000009</v>
      </c>
      <c r="V208" s="462">
        <f t="shared" si="832"/>
        <v>296.40000000000003</v>
      </c>
      <c r="W208" s="464">
        <f t="shared" si="832"/>
        <v>71.5</v>
      </c>
      <c r="X208" s="463">
        <f t="shared" si="832"/>
        <v>71.5</v>
      </c>
      <c r="Y208" s="464">
        <f t="shared" si="832"/>
        <v>72.150000000000006</v>
      </c>
      <c r="Z208" s="464">
        <f t="shared" si="832"/>
        <v>79.95</v>
      </c>
      <c r="AA208" s="465">
        <f t="shared" si="832"/>
        <v>295.10000000000002</v>
      </c>
      <c r="AB208" s="464">
        <f t="shared" si="832"/>
        <v>150.15</v>
      </c>
      <c r="AC208" s="463">
        <f t="shared" si="832"/>
        <v>149.5</v>
      </c>
      <c r="AD208" s="463">
        <f t="shared" si="832"/>
        <v>150.15</v>
      </c>
      <c r="AE208" s="463">
        <f t="shared" si="832"/>
        <v>149.5</v>
      </c>
      <c r="AF208" s="462">
        <f t="shared" si="832"/>
        <v>599.30000000000007</v>
      </c>
      <c r="AG208" s="464">
        <f t="shared" si="832"/>
        <v>134.55000000000001</v>
      </c>
      <c r="AH208" s="463">
        <f t="shared" ref="AH208:BM208" si="833">-0.65*AH180</f>
        <v>135.20000000000002</v>
      </c>
      <c r="AI208" s="463">
        <f t="shared" si="833"/>
        <v>134.55000000000001</v>
      </c>
      <c r="AJ208" s="463">
        <f t="shared" si="833"/>
        <v>135.20000000000002</v>
      </c>
      <c r="AK208" s="462">
        <f t="shared" si="833"/>
        <v>539.5</v>
      </c>
      <c r="AL208" s="463">
        <f t="shared" si="833"/>
        <v>78.650000000000006</v>
      </c>
      <c r="AM208" s="463">
        <f t="shared" si="833"/>
        <v>78</v>
      </c>
      <c r="AN208" s="463">
        <f t="shared" si="833"/>
        <v>78.650000000000006</v>
      </c>
      <c r="AO208" s="463">
        <f t="shared" si="833"/>
        <v>78</v>
      </c>
      <c r="AP208" s="462">
        <f t="shared" si="833"/>
        <v>313.3</v>
      </c>
      <c r="AQ208" s="463">
        <f t="shared" si="833"/>
        <v>-55.9</v>
      </c>
      <c r="AR208" s="463">
        <f t="shared" si="833"/>
        <v>-55.25</v>
      </c>
      <c r="AS208" s="463">
        <f t="shared" si="833"/>
        <v>-54.6</v>
      </c>
      <c r="AT208" s="463">
        <f t="shared" si="833"/>
        <v>-78.650000000000006</v>
      </c>
      <c r="AU208" s="462">
        <f t="shared" si="833"/>
        <v>-244.4</v>
      </c>
      <c r="AV208" s="463">
        <f t="shared" si="833"/>
        <v>-77.350000000000009</v>
      </c>
      <c r="AW208" s="463">
        <f t="shared" si="833"/>
        <v>-78</v>
      </c>
      <c r="AX208" s="463">
        <f t="shared" si="833"/>
        <v>-77.350000000000009</v>
      </c>
      <c r="AY208" s="463">
        <f t="shared" si="833"/>
        <v>-73.45</v>
      </c>
      <c r="AZ208" s="462">
        <f t="shared" si="833"/>
        <v>-306.15000000000003</v>
      </c>
      <c r="BA208" s="462">
        <f t="shared" si="833"/>
        <v>313.3</v>
      </c>
      <c r="BB208" s="463">
        <f t="shared" si="833"/>
        <v>-55.9</v>
      </c>
      <c r="BC208" s="463">
        <f t="shared" si="833"/>
        <v>-55.25</v>
      </c>
      <c r="BD208" s="463">
        <f t="shared" si="833"/>
        <v>-54.6</v>
      </c>
      <c r="BE208" s="463">
        <f t="shared" si="833"/>
        <v>-78.650000000000006</v>
      </c>
      <c r="BF208" s="462">
        <f t="shared" si="833"/>
        <v>-244.4</v>
      </c>
      <c r="BG208" s="463">
        <f t="shared" si="833"/>
        <v>-77.350000000000009</v>
      </c>
      <c r="BH208" s="463">
        <f t="shared" si="833"/>
        <v>-78</v>
      </c>
      <c r="BI208" s="463">
        <f t="shared" si="833"/>
        <v>-77.350000000000009</v>
      </c>
      <c r="BJ208" s="463">
        <f t="shared" si="833"/>
        <v>-73.45</v>
      </c>
      <c r="BK208" s="462">
        <f t="shared" si="833"/>
        <v>-306.15000000000003</v>
      </c>
      <c r="BL208" s="463">
        <f t="shared" si="833"/>
        <v>-159.9</v>
      </c>
      <c r="BM208" s="463">
        <f t="shared" si="833"/>
        <v>-157.95000000000002</v>
      </c>
      <c r="BN208" s="463"/>
      <c r="BO208" s="463"/>
      <c r="BP208" s="462"/>
      <c r="BQ208" s="462">
        <f t="shared" ref="BQ208:CF208" si="834">-0.65*BQ180</f>
        <v>-206.05</v>
      </c>
      <c r="BR208" s="463">
        <f t="shared" si="834"/>
        <v>-77.350000000000009</v>
      </c>
      <c r="BS208" s="463">
        <f t="shared" si="834"/>
        <v>-78</v>
      </c>
      <c r="BT208" s="463">
        <f t="shared" si="834"/>
        <v>-77.350000000000009</v>
      </c>
      <c r="BU208" s="463">
        <f t="shared" si="834"/>
        <v>-27.3</v>
      </c>
      <c r="BV208" s="462">
        <f t="shared" si="834"/>
        <v>-260</v>
      </c>
      <c r="BW208" s="584">
        <f t="shared" si="834"/>
        <v>-145.6</v>
      </c>
      <c r="BX208" s="584">
        <f t="shared" si="834"/>
        <v>-144.30000000000001</v>
      </c>
      <c r="BY208" s="584">
        <f t="shared" si="834"/>
        <v>-146.9</v>
      </c>
      <c r="BZ208" s="584">
        <f t="shared" si="834"/>
        <v>-149.5</v>
      </c>
      <c r="CA208" s="585">
        <f t="shared" si="834"/>
        <v>-586.30000000000007</v>
      </c>
      <c r="CB208" s="584">
        <f t="shared" si="834"/>
        <v>-141.05000000000001</v>
      </c>
      <c r="CC208" s="584">
        <f t="shared" si="834"/>
        <v>-142.35</v>
      </c>
      <c r="CD208" s="584">
        <f t="shared" si="834"/>
        <v>-143</v>
      </c>
      <c r="CE208" s="584">
        <f t="shared" si="834"/>
        <v>-143</v>
      </c>
      <c r="CF208" s="585">
        <f t="shared" si="834"/>
        <v>-569.4</v>
      </c>
      <c r="CG208" s="584"/>
      <c r="CH208" s="584"/>
      <c r="CI208" s="584"/>
      <c r="CJ208" s="584"/>
      <c r="CK208" s="585">
        <f>-0.65*CK180</f>
        <v>-586.30000000000007</v>
      </c>
      <c r="CL208" s="584"/>
      <c r="CM208" s="584"/>
      <c r="CN208" s="584"/>
      <c r="CO208" s="584"/>
      <c r="CP208" s="585">
        <f t="shared" ref="CP208:CU208" si="835">-0.65*CP180</f>
        <v>-569.4</v>
      </c>
      <c r="CQ208" s="463">
        <f t="shared" si="835"/>
        <v>-165.75</v>
      </c>
      <c r="CR208" s="463">
        <f t="shared" si="835"/>
        <v>-165.75</v>
      </c>
      <c r="CS208" s="463">
        <f t="shared" si="835"/>
        <v>-165.75</v>
      </c>
      <c r="CT208" s="463">
        <f t="shared" si="835"/>
        <v>-159.25</v>
      </c>
      <c r="CU208" s="462">
        <f t="shared" si="835"/>
        <v>-656.5</v>
      </c>
      <c r="CV208" s="463"/>
      <c r="CW208" s="463"/>
      <c r="CX208" s="463"/>
      <c r="CY208" s="467"/>
      <c r="CZ208" s="462">
        <f>-0.65*CZ180</f>
        <v>-682.5</v>
      </c>
      <c r="DA208" s="463"/>
      <c r="DB208" s="463"/>
      <c r="DC208" s="463"/>
      <c r="DD208" s="467"/>
      <c r="DE208" s="462">
        <f>-0.65*DE180</f>
        <v>-1690</v>
      </c>
      <c r="DF208" s="463"/>
      <c r="DG208" s="463"/>
      <c r="DH208" s="463"/>
      <c r="DI208" s="467"/>
      <c r="DJ208" s="462">
        <f>-0.65*DJ180</f>
        <v>-1690</v>
      </c>
      <c r="DK208" s="412"/>
      <c r="DL208" s="471"/>
      <c r="DM208" s="1098"/>
      <c r="DN208" s="864"/>
      <c r="DO208" s="864"/>
      <c r="DP208" s="1059"/>
      <c r="DQ208" s="1059"/>
      <c r="DR208" s="1059"/>
      <c r="DS208" s="864"/>
      <c r="DT208" s="864"/>
      <c r="DU208" s="864"/>
      <c r="DV208" s="810"/>
      <c r="DW208" s="864"/>
      <c r="DX208" s="864"/>
      <c r="DY208" s="472"/>
      <c r="DZ208" s="464"/>
      <c r="EA208" s="464"/>
      <c r="EB208"/>
      <c r="EC208"/>
      <c r="ED208"/>
      <c r="EE208"/>
      <c r="EF208"/>
      <c r="EG208"/>
    </row>
    <row r="209" spans="1:137" s="473" customFormat="1">
      <c r="A209" s="735" t="s">
        <v>7</v>
      </c>
      <c r="B209" s="462">
        <f t="shared" ref="B209:AR209" si="836">SUM(B199,B208)</f>
        <v>-12.899999999999999</v>
      </c>
      <c r="C209" s="462">
        <f t="shared" si="836"/>
        <v>375.04999999999995</v>
      </c>
      <c r="D209" s="462">
        <f t="shared" si="836"/>
        <v>1248</v>
      </c>
      <c r="E209" s="462">
        <f t="shared" si="836"/>
        <v>1652.75</v>
      </c>
      <c r="F209" s="462">
        <f t="shared" si="836"/>
        <v>2231.9</v>
      </c>
      <c r="G209" s="462">
        <f t="shared" si="836"/>
        <v>2707.75</v>
      </c>
      <c r="H209" s="463">
        <f t="shared" si="836"/>
        <v>699.1</v>
      </c>
      <c r="I209" s="463">
        <f t="shared" si="836"/>
        <v>787.1</v>
      </c>
      <c r="J209" s="463">
        <f t="shared" si="836"/>
        <v>777.7</v>
      </c>
      <c r="K209" s="463">
        <f t="shared" si="836"/>
        <v>806.8</v>
      </c>
      <c r="L209" s="462">
        <f t="shared" si="836"/>
        <v>3070.7</v>
      </c>
      <c r="M209" s="463">
        <f t="shared" si="836"/>
        <v>709.2</v>
      </c>
      <c r="N209" s="463">
        <f t="shared" si="836"/>
        <v>861.2</v>
      </c>
      <c r="O209" s="463">
        <f t="shared" si="836"/>
        <v>761.2</v>
      </c>
      <c r="P209" s="463">
        <f t="shared" si="836"/>
        <v>802.2</v>
      </c>
      <c r="Q209" s="462">
        <f t="shared" si="836"/>
        <v>3133.8</v>
      </c>
      <c r="R209" s="463">
        <f t="shared" si="836"/>
        <v>740.1</v>
      </c>
      <c r="S209" s="463">
        <f t="shared" si="836"/>
        <v>805.75</v>
      </c>
      <c r="T209" s="463">
        <f t="shared" si="836"/>
        <v>859.45</v>
      </c>
      <c r="U209" s="464">
        <f t="shared" si="836"/>
        <v>910.1</v>
      </c>
      <c r="V209" s="462">
        <f t="shared" si="836"/>
        <v>3315.89</v>
      </c>
      <c r="W209" s="464">
        <f t="shared" si="836"/>
        <v>590.5</v>
      </c>
      <c r="X209" s="463">
        <f t="shared" si="836"/>
        <v>785.5</v>
      </c>
      <c r="Y209" s="464">
        <f t="shared" si="836"/>
        <v>629.15</v>
      </c>
      <c r="Z209" s="464">
        <f t="shared" si="836"/>
        <v>900.95</v>
      </c>
      <c r="AA209" s="465">
        <f t="shared" si="836"/>
        <v>2906.1</v>
      </c>
      <c r="AB209" s="464">
        <f t="shared" si="836"/>
        <v>705.65</v>
      </c>
      <c r="AC209" s="463">
        <f t="shared" si="836"/>
        <v>897</v>
      </c>
      <c r="AD209" s="463">
        <f t="shared" si="836"/>
        <v>814.65</v>
      </c>
      <c r="AE209" s="463">
        <f t="shared" si="836"/>
        <v>847.75</v>
      </c>
      <c r="AF209" s="462">
        <f t="shared" si="836"/>
        <v>3266.55</v>
      </c>
      <c r="AG209" s="464">
        <f t="shared" si="836"/>
        <v>802.15000000000009</v>
      </c>
      <c r="AH209" s="463">
        <f t="shared" si="836"/>
        <v>916.2</v>
      </c>
      <c r="AI209" s="463">
        <f t="shared" si="836"/>
        <v>861.55</v>
      </c>
      <c r="AJ209" s="463">
        <f t="shared" si="836"/>
        <v>763.2</v>
      </c>
      <c r="AK209" s="462">
        <f t="shared" si="836"/>
        <v>3343.5</v>
      </c>
      <c r="AL209" s="463">
        <f t="shared" si="836"/>
        <v>839.65</v>
      </c>
      <c r="AM209" s="463">
        <f t="shared" si="836"/>
        <v>937</v>
      </c>
      <c r="AN209" s="463">
        <f t="shared" si="836"/>
        <v>920.65</v>
      </c>
      <c r="AO209" s="463">
        <f t="shared" si="836"/>
        <v>742</v>
      </c>
      <c r="AP209" s="462">
        <f t="shared" si="836"/>
        <v>3439.79</v>
      </c>
      <c r="AQ209" s="463">
        <f t="shared" si="836"/>
        <v>877.1</v>
      </c>
      <c r="AR209" s="463">
        <f t="shared" si="836"/>
        <v>833.75</v>
      </c>
      <c r="AS209" s="463">
        <f t="shared" ref="AS209:BF209" si="837">SUM(AS199,AS208)</f>
        <v>833.4</v>
      </c>
      <c r="AT209" s="463">
        <f t="shared" si="837"/>
        <v>944.35</v>
      </c>
      <c r="AU209" s="462">
        <f t="shared" si="837"/>
        <v>3488.6</v>
      </c>
      <c r="AV209" s="463">
        <f>SUM(AV199,AV208)</f>
        <v>800.65</v>
      </c>
      <c r="AW209" s="463">
        <f>SUM(AW199,AW208)</f>
        <v>851</v>
      </c>
      <c r="AX209" s="463">
        <f>SUM(AX199,AX208)</f>
        <v>787.65</v>
      </c>
      <c r="AY209" s="463">
        <f>SUM(AY199,AY208)</f>
        <v>859.55</v>
      </c>
      <c r="AZ209" s="462">
        <f>SUM(AZ199,AZ208)</f>
        <v>3298.85</v>
      </c>
      <c r="BA209" s="462">
        <f t="shared" ref="BA209" si="838">SUM(BA199,BA208)</f>
        <v>3439.79</v>
      </c>
      <c r="BB209" s="463">
        <f t="shared" si="837"/>
        <v>877.1</v>
      </c>
      <c r="BC209" s="463">
        <f t="shared" si="837"/>
        <v>833.75</v>
      </c>
      <c r="BD209" s="463">
        <f t="shared" si="837"/>
        <v>833.4</v>
      </c>
      <c r="BE209" s="463">
        <f t="shared" si="837"/>
        <v>944.35</v>
      </c>
      <c r="BF209" s="462">
        <f t="shared" si="837"/>
        <v>3489.0899999999997</v>
      </c>
      <c r="BG209" s="463">
        <f t="shared" ref="BG209:BJ209" si="839">SUM(BG199,BG208)</f>
        <v>800.65</v>
      </c>
      <c r="BH209" s="463">
        <f t="shared" si="839"/>
        <v>851</v>
      </c>
      <c r="BI209" s="463">
        <f t="shared" si="839"/>
        <v>787.65</v>
      </c>
      <c r="BJ209" s="463">
        <f t="shared" si="839"/>
        <v>859.55</v>
      </c>
      <c r="BK209" s="462">
        <f t="shared" ref="BK209:BM209" si="840">SUM(BK199,BK208)</f>
        <v>3299.3399999999997</v>
      </c>
      <c r="BL209" s="463">
        <f t="shared" si="840"/>
        <v>634.1</v>
      </c>
      <c r="BM209" s="463">
        <f t="shared" si="840"/>
        <v>863.05</v>
      </c>
      <c r="BN209" s="463"/>
      <c r="BO209" s="463"/>
      <c r="BP209" s="462"/>
      <c r="BQ209" s="462">
        <f t="shared" ref="BQ209" si="841">SUM(BQ199,BQ208)</f>
        <v>3047.4399999999996</v>
      </c>
      <c r="BR209" s="463">
        <f t="shared" ref="BR209:BY209" si="842">SUM(BR199,BR208)</f>
        <v>660.65</v>
      </c>
      <c r="BS209" s="463">
        <f t="shared" si="842"/>
        <v>737</v>
      </c>
      <c r="BT209" s="463">
        <f t="shared" si="842"/>
        <v>678.65</v>
      </c>
      <c r="BU209" s="463">
        <f t="shared" si="842"/>
        <v>789.7</v>
      </c>
      <c r="BV209" s="462">
        <f t="shared" si="842"/>
        <v>2866.49</v>
      </c>
      <c r="BW209" s="584">
        <f t="shared" si="842"/>
        <v>660.4</v>
      </c>
      <c r="BX209" s="584">
        <f t="shared" si="842"/>
        <v>754.7</v>
      </c>
      <c r="BY209" s="584">
        <f t="shared" si="842"/>
        <v>942.1</v>
      </c>
      <c r="BZ209" s="584">
        <f>SUM(BZ199,BZ208)</f>
        <v>809.5</v>
      </c>
      <c r="CA209" s="585">
        <f>SUM(CA199,CA208)</f>
        <v>3166.7</v>
      </c>
      <c r="CB209" s="584">
        <f t="shared" ref="CB209:CD209" si="843">SUM(CB199,CB208)</f>
        <v>621.95000000000005</v>
      </c>
      <c r="CC209" s="584">
        <f t="shared" si="843"/>
        <v>799.65</v>
      </c>
      <c r="CD209" s="584">
        <f t="shared" si="843"/>
        <v>796</v>
      </c>
      <c r="CE209" s="584">
        <f>SUM(CE199,CE208)</f>
        <v>1086</v>
      </c>
      <c r="CF209" s="585">
        <f>SUM(CF199,CF208)</f>
        <v>3303.6</v>
      </c>
      <c r="CG209" s="584"/>
      <c r="CH209" s="584"/>
      <c r="CI209" s="584"/>
      <c r="CJ209" s="584"/>
      <c r="CK209" s="585">
        <f>SUM(CK199,CK208)</f>
        <v>3089.7</v>
      </c>
      <c r="CL209" s="584"/>
      <c r="CM209" s="584"/>
      <c r="CN209" s="584"/>
      <c r="CO209" s="584"/>
      <c r="CP209" s="585">
        <f>SUM(CP199,CP208)</f>
        <v>3297.0755000000004</v>
      </c>
      <c r="CQ209" s="463">
        <f t="shared" ref="CQ209:CT209" si="844">SUM(CQ199,CQ208)</f>
        <v>816.98659999999995</v>
      </c>
      <c r="CR209" s="463">
        <f t="shared" si="844"/>
        <v>960.4432663745356</v>
      </c>
      <c r="CS209" s="463">
        <f t="shared" si="844"/>
        <v>896.98093274907114</v>
      </c>
      <c r="CT209" s="463">
        <f t="shared" si="844"/>
        <v>1147.2344953586203</v>
      </c>
      <c r="CU209" s="761">
        <f>SUM(CU199,CU208)</f>
        <v>3821.6452944822267</v>
      </c>
      <c r="CV209" s="463"/>
      <c r="CW209" s="463"/>
      <c r="CX209" s="463"/>
      <c r="CY209" s="467"/>
      <c r="CZ209" s="761">
        <f>SUM(CZ199,CZ208)</f>
        <v>4285.4062407126848</v>
      </c>
      <c r="DA209" s="463"/>
      <c r="DB209" s="463"/>
      <c r="DC209" s="463"/>
      <c r="DD209" s="467"/>
      <c r="DE209" s="761">
        <f>SUM(DE199,DE208)</f>
        <v>4901.9427862776593</v>
      </c>
      <c r="DF209" s="463"/>
      <c r="DG209" s="463"/>
      <c r="DH209" s="463"/>
      <c r="DI209" s="467"/>
      <c r="DJ209" s="761">
        <f>SUM(DJ199,DJ208)</f>
        <v>5182.5178494826323</v>
      </c>
      <c r="DK209" s="412"/>
      <c r="DL209" s="471"/>
      <c r="DM209" s="1098"/>
      <c r="DN209" s="864"/>
      <c r="DO209" s="864"/>
      <c r="DP209" s="1059"/>
      <c r="DQ209" s="1059"/>
      <c r="DR209" s="1184"/>
      <c r="DS209" s="1184"/>
      <c r="DT209" s="1184"/>
      <c r="DU209" s="1184"/>
      <c r="DV209" s="1184"/>
      <c r="DW209" s="1184"/>
      <c r="DX209" s="864"/>
      <c r="DY209" s="472"/>
      <c r="DZ209" s="464"/>
      <c r="EA209" s="464"/>
      <c r="EB209"/>
      <c r="EC209"/>
      <c r="ED209"/>
      <c r="EE209"/>
      <c r="EF209"/>
      <c r="EG209"/>
    </row>
    <row r="210" spans="1:137" s="398" customFormat="1" ht="11.25" customHeight="1">
      <c r="A210" s="442" t="s">
        <v>260</v>
      </c>
      <c r="B210" s="159">
        <f>(B209/B226)</f>
        <v>-2.9826589595375718E-2</v>
      </c>
      <c r="C210" s="159">
        <f t="shared" ref="C210:AR210" si="845">(C209/C226)</f>
        <v>0.82975663716814152</v>
      </c>
      <c r="D210" s="159">
        <f t="shared" si="845"/>
        <v>2.7733333333333334</v>
      </c>
      <c r="E210" s="159">
        <f t="shared" si="845"/>
        <v>3.6966003131290539</v>
      </c>
      <c r="F210" s="159">
        <f t="shared" si="845"/>
        <v>5.0081902838550434</v>
      </c>
      <c r="G210" s="159">
        <f t="shared" si="845"/>
        <v>6.2047433547204403</v>
      </c>
      <c r="H210" s="161">
        <f t="shared" si="845"/>
        <v>1.617912520249942</v>
      </c>
      <c r="I210" s="161">
        <f t="shared" si="845"/>
        <v>1.8454865181711606</v>
      </c>
      <c r="J210" s="161">
        <f t="shared" si="845"/>
        <v>1.8320376914016492</v>
      </c>
      <c r="K210" s="161">
        <f t="shared" si="845"/>
        <v>1.9055266887104394</v>
      </c>
      <c r="L210" s="159">
        <f t="shared" si="845"/>
        <v>7.1896511355654402</v>
      </c>
      <c r="M210" s="161">
        <f t="shared" si="845"/>
        <v>1.7015355086372361</v>
      </c>
      <c r="N210" s="161">
        <f t="shared" si="845"/>
        <v>2.1030525030525031</v>
      </c>
      <c r="O210" s="161">
        <f t="shared" si="845"/>
        <v>1.8698108572832228</v>
      </c>
      <c r="P210" s="161">
        <f t="shared" si="845"/>
        <v>2.0019965061143004</v>
      </c>
      <c r="Q210" s="162">
        <f t="shared" si="845"/>
        <v>7.6546165119687357</v>
      </c>
      <c r="R210" s="161">
        <f t="shared" si="845"/>
        <v>1.86212102151214</v>
      </c>
      <c r="S210" s="161">
        <f t="shared" si="845"/>
        <v>2.0612688667178309</v>
      </c>
      <c r="T210" s="160">
        <f t="shared" si="845"/>
        <v>2.2294422827496758</v>
      </c>
      <c r="U210" s="160">
        <f t="shared" si="845"/>
        <v>2.383084577114428</v>
      </c>
      <c r="V210" s="162">
        <f t="shared" si="845"/>
        <v>8.5274270284171259</v>
      </c>
      <c r="W210" s="161">
        <f t="shared" si="845"/>
        <v>1.5634101138469685</v>
      </c>
      <c r="X210" s="161">
        <f t="shared" si="845"/>
        <v>2.1132633844498252</v>
      </c>
      <c r="Y210" s="161">
        <f t="shared" si="845"/>
        <v>1.7287190196186184</v>
      </c>
      <c r="Z210" s="161">
        <f t="shared" si="845"/>
        <v>2.5047261606894637</v>
      </c>
      <c r="AA210" s="162">
        <f t="shared" si="845"/>
        <v>7.8905783328808035</v>
      </c>
      <c r="AB210" s="161">
        <f t="shared" si="845"/>
        <v>2.0012762336925691</v>
      </c>
      <c r="AC210" s="161">
        <f t="shared" si="845"/>
        <v>2.5876990537733673</v>
      </c>
      <c r="AD210" s="160">
        <f t="shared" si="845"/>
        <v>2.4417036326579549</v>
      </c>
      <c r="AE210" s="160">
        <f t="shared" si="845"/>
        <v>2.5952854737486608</v>
      </c>
      <c r="AF210" s="162">
        <f t="shared" si="845"/>
        <v>9.6103265666372479</v>
      </c>
      <c r="AG210" s="161">
        <f t="shared" si="845"/>
        <v>2.4408166991236615</v>
      </c>
      <c r="AH210" s="161">
        <f t="shared" si="845"/>
        <v>2.7864963503649633</v>
      </c>
      <c r="AI210" s="161">
        <f t="shared" si="845"/>
        <v>2.6242765763021625</v>
      </c>
      <c r="AJ210" s="161">
        <f t="shared" si="845"/>
        <v>2.3268292682926832</v>
      </c>
      <c r="AK210" s="162">
        <f t="shared" si="845"/>
        <v>10.181181485992692</v>
      </c>
      <c r="AL210" s="160">
        <f t="shared" si="845"/>
        <v>2.5732454796199815</v>
      </c>
      <c r="AM210" s="160">
        <f t="shared" si="845"/>
        <v>2.8751150659711571</v>
      </c>
      <c r="AN210" s="160">
        <f t="shared" si="845"/>
        <v>2.8111450381679388</v>
      </c>
      <c r="AO210" s="160">
        <f t="shared" si="845"/>
        <v>2.2739809990806008</v>
      </c>
      <c r="AP210" s="162">
        <f t="shared" si="845"/>
        <v>10.535344563552833</v>
      </c>
      <c r="AQ210" s="160">
        <f t="shared" si="845"/>
        <v>2.697939095662873</v>
      </c>
      <c r="AR210" s="160">
        <f t="shared" si="845"/>
        <v>2.5884818379385282</v>
      </c>
      <c r="AS210" s="160">
        <f t="shared" ref="AS210:BF210" si="846">(AS209/AS226)</f>
        <v>2.589807333747669</v>
      </c>
      <c r="AT210" s="160">
        <f t="shared" si="846"/>
        <v>2.9455708047411102</v>
      </c>
      <c r="AU210" s="162">
        <f t="shared" si="846"/>
        <v>10.820719602977668</v>
      </c>
      <c r="AV210" s="160">
        <f>(AV209/AV226)</f>
        <v>2.5004684572142413</v>
      </c>
      <c r="AW210" s="160">
        <f>(AW209/AW226)</f>
        <v>2.6921860170832015</v>
      </c>
      <c r="AX210" s="160">
        <f>(AX209/AX226)</f>
        <v>2.5188679245283021</v>
      </c>
      <c r="AY210" s="160">
        <f>(AY209/AY226)</f>
        <v>2.7709542230818824</v>
      </c>
      <c r="AZ210" s="162">
        <f>(AZ209/AZ226)</f>
        <v>10.482523037813792</v>
      </c>
      <c r="BA210" s="162">
        <f t="shared" ref="BA210" si="847">(BA209/BA226)</f>
        <v>10.535344563552833</v>
      </c>
      <c r="BB210" s="160">
        <f t="shared" si="846"/>
        <v>2.697939095662873</v>
      </c>
      <c r="BC210" s="160">
        <f t="shared" si="846"/>
        <v>2.5884818379385282</v>
      </c>
      <c r="BD210" s="160">
        <f t="shared" si="846"/>
        <v>2.589807333747669</v>
      </c>
      <c r="BE210" s="160">
        <f t="shared" si="846"/>
        <v>2.9455708047411102</v>
      </c>
      <c r="BF210" s="162">
        <f t="shared" si="846"/>
        <v>10.822239454094293</v>
      </c>
      <c r="BG210" s="160">
        <f t="shared" ref="BG210:BJ210" si="848">(BG209/BG226)</f>
        <v>2.5004684572142413</v>
      </c>
      <c r="BH210" s="160">
        <f t="shared" si="848"/>
        <v>2.6921860170832015</v>
      </c>
      <c r="BI210" s="160">
        <f t="shared" si="848"/>
        <v>2.5188679245283021</v>
      </c>
      <c r="BJ210" s="160">
        <f t="shared" si="848"/>
        <v>2.7709542230818824</v>
      </c>
      <c r="BK210" s="162">
        <f t="shared" ref="BK210:BM210" si="849">(BK209/BK226)</f>
        <v>10.484080076263107</v>
      </c>
      <c r="BL210" s="160">
        <f t="shared" si="849"/>
        <v>2.0601039636127356</v>
      </c>
      <c r="BM210" s="160">
        <f t="shared" si="849"/>
        <v>2.810322370563334</v>
      </c>
      <c r="BN210" s="160"/>
      <c r="BO210" s="160"/>
      <c r="BP210" s="162"/>
      <c r="BQ210" s="162">
        <f t="shared" ref="BQ210" si="850">(BQ209/BQ226)</f>
        <v>9.4523573200992548</v>
      </c>
      <c r="BR210" s="160">
        <f t="shared" ref="BR210:BY210" si="851">(BR209/BR226)</f>
        <v>2.0632417239225482</v>
      </c>
      <c r="BS210" s="160">
        <f t="shared" si="851"/>
        <v>2.3315406516925021</v>
      </c>
      <c r="BT210" s="160">
        <f t="shared" si="851"/>
        <v>2.170291013751199</v>
      </c>
      <c r="BU210" s="160">
        <f t="shared" si="851"/>
        <v>2.545776918117344</v>
      </c>
      <c r="BV210" s="162">
        <f t="shared" si="851"/>
        <v>9.1086431522084528</v>
      </c>
      <c r="BW210" s="160">
        <f t="shared" si="851"/>
        <v>2.1392938127632006</v>
      </c>
      <c r="BX210" s="160">
        <f t="shared" si="851"/>
        <v>2.457505698469554</v>
      </c>
      <c r="BY210" s="160">
        <f t="shared" si="851"/>
        <v>3.1195364238410597</v>
      </c>
      <c r="BZ210" s="160">
        <f>(BZ209/BZ226)</f>
        <v>2.7422086720867211</v>
      </c>
      <c r="CA210" s="162">
        <f>(CA209/CA226)</f>
        <v>10.4477070273837</v>
      </c>
      <c r="CB210" s="160">
        <f t="shared" ref="CB210:CD210" si="852">(CB209/CB226)</f>
        <v>2.1241461748633879</v>
      </c>
      <c r="CC210" s="160">
        <f t="shared" si="852"/>
        <v>2.7460508241758244</v>
      </c>
      <c r="CD210" s="160">
        <f t="shared" si="852"/>
        <v>2.7448275862068967</v>
      </c>
      <c r="CE210" s="160">
        <f>(CE209/CE226)</f>
        <v>3.7985309548793289</v>
      </c>
      <c r="CF210" s="162">
        <f>(CF209/CF226)</f>
        <v>11.369181794717369</v>
      </c>
      <c r="CG210" s="160"/>
      <c r="CH210" s="160"/>
      <c r="CI210" s="160"/>
      <c r="CJ210" s="160"/>
      <c r="CK210" s="162">
        <f>(CK209/CK226)</f>
        <v>10.193665456944901</v>
      </c>
      <c r="CL210" s="160"/>
      <c r="CM210" s="160"/>
      <c r="CN210" s="160"/>
      <c r="CO210" s="160"/>
      <c r="CP210" s="162">
        <f>(CP209/CP226)</f>
        <v>11.346728039232556</v>
      </c>
      <c r="CQ210" s="160">
        <f t="shared" ref="CQ210:CU210" si="853">(CQ209/CQ226)</f>
        <v>2.8647575567109449</v>
      </c>
      <c r="CR210" s="160">
        <f t="shared" si="853"/>
        <v>3.376227881194501</v>
      </c>
      <c r="CS210" s="160">
        <f t="shared" si="853"/>
        <v>3.1610425575738308</v>
      </c>
      <c r="CT210" s="160">
        <f t="shared" si="853"/>
        <v>4.0530916493659612</v>
      </c>
      <c r="CU210" s="162">
        <f t="shared" si="853"/>
        <v>13.4509283291138</v>
      </c>
      <c r="CV210" s="163"/>
      <c r="CW210" s="163"/>
      <c r="CX210" s="163"/>
      <c r="CY210" s="164"/>
      <c r="CZ210" s="162">
        <f>(CZ209/CZ226)</f>
        <v>15.320684185207192</v>
      </c>
      <c r="DA210" s="163"/>
      <c r="DB210" s="163"/>
      <c r="DC210" s="163"/>
      <c r="DD210" s="164"/>
      <c r="DE210" s="162">
        <f>(DE209/DE226)</f>
        <v>17.882503753831941</v>
      </c>
      <c r="DF210" s="163"/>
      <c r="DG210" s="163"/>
      <c r="DH210" s="163"/>
      <c r="DI210" s="164"/>
      <c r="DJ210" s="162">
        <f>(DJ209/DJ226)</f>
        <v>19.242803027563525</v>
      </c>
      <c r="DK210" s="397"/>
      <c r="DL210" s="1285"/>
      <c r="DM210" s="809"/>
      <c r="DN210" s="867"/>
      <c r="DO210" s="809"/>
      <c r="DP210" s="1054"/>
      <c r="DQ210" s="1054"/>
      <c r="DR210" s="1182"/>
      <c r="DS210" s="1182"/>
      <c r="DT210" s="1182"/>
      <c r="DU210" s="1182"/>
      <c r="DV210" s="1182"/>
      <c r="DW210" s="1182"/>
      <c r="DX210" s="809"/>
      <c r="DY210" s="360"/>
      <c r="DZ210" s="167"/>
      <c r="EA210" s="167"/>
      <c r="EB210"/>
      <c r="EC210"/>
      <c r="ED210"/>
      <c r="EE210"/>
      <c r="EF210"/>
      <c r="EG210"/>
    </row>
    <row r="211" spans="1:137" s="398" customFormat="1">
      <c r="A211" s="97" t="s">
        <v>53</v>
      </c>
      <c r="B211" s="80"/>
      <c r="C211" s="80">
        <f>C210/B210-1</f>
        <v>-28.819360122110176</v>
      </c>
      <c r="D211" s="80">
        <f>D210/C210-1</f>
        <v>2.3423454650491049</v>
      </c>
      <c r="E211" s="80">
        <f>E210/D210-1</f>
        <v>0.33290876675326464</v>
      </c>
      <c r="F211" s="80">
        <f>F210/E210-1</f>
        <v>0.35480978727066392</v>
      </c>
      <c r="G211" s="80">
        <f>G210/F210-1</f>
        <v>0.23891925087645682</v>
      </c>
      <c r="H211" s="82"/>
      <c r="I211" s="82"/>
      <c r="J211" s="82"/>
      <c r="K211" s="82"/>
      <c r="L211" s="80">
        <f t="shared" ref="L211:AP211" si="854">L210/G210-1</f>
        <v>0.15873465259376163</v>
      </c>
      <c r="M211" s="82">
        <f t="shared" si="854"/>
        <v>5.1685729197753938E-2</v>
      </c>
      <c r="N211" s="82">
        <f t="shared" si="854"/>
        <v>0.13956535707266249</v>
      </c>
      <c r="O211" s="82">
        <f t="shared" si="854"/>
        <v>2.0618116133120701E-2</v>
      </c>
      <c r="P211" s="82">
        <f t="shared" si="854"/>
        <v>5.0626327080806499E-2</v>
      </c>
      <c r="Q211" s="80">
        <f t="shared" si="854"/>
        <v>6.4671479552495414E-2</v>
      </c>
      <c r="R211" s="82">
        <f t="shared" si="854"/>
        <v>9.4376821441426895E-2</v>
      </c>
      <c r="S211" s="82">
        <f t="shared" si="854"/>
        <v>-1.9868089966382119E-2</v>
      </c>
      <c r="T211" s="82">
        <f t="shared" si="854"/>
        <v>0.19233572426089474</v>
      </c>
      <c r="U211" s="83">
        <f t="shared" si="854"/>
        <v>0.19035401402362395</v>
      </c>
      <c r="V211" s="80">
        <f t="shared" si="854"/>
        <v>0.11402406836236234</v>
      </c>
      <c r="W211" s="83">
        <f t="shared" si="854"/>
        <v>-0.16041433624040324</v>
      </c>
      <c r="X211" s="82">
        <f t="shared" si="854"/>
        <v>2.5224519989372141E-2</v>
      </c>
      <c r="Y211" s="83">
        <f t="shared" si="854"/>
        <v>-0.22459575069756543</v>
      </c>
      <c r="Z211" s="83">
        <f t="shared" si="854"/>
        <v>5.1043754276789421E-2</v>
      </c>
      <c r="AA211" s="84">
        <f t="shared" si="854"/>
        <v>-7.4682397564243441E-2</v>
      </c>
      <c r="AB211" s="83">
        <f t="shared" si="854"/>
        <v>0.28007118283773647</v>
      </c>
      <c r="AC211" s="82">
        <f t="shared" si="854"/>
        <v>0.22450380431261685</v>
      </c>
      <c r="AD211" s="82">
        <f t="shared" si="854"/>
        <v>0.41243522223561335</v>
      </c>
      <c r="AE211" s="82">
        <f t="shared" si="854"/>
        <v>3.615537477928088E-2</v>
      </c>
      <c r="AF211" s="80">
        <f t="shared" si="854"/>
        <v>0.2179495800187532</v>
      </c>
      <c r="AG211" s="83">
        <f t="shared" si="854"/>
        <v>0.21963008305959497</v>
      </c>
      <c r="AH211" s="82">
        <f t="shared" si="854"/>
        <v>7.6823963088640923E-2</v>
      </c>
      <c r="AI211" s="82">
        <f t="shared" si="854"/>
        <v>7.4772769799856809E-2</v>
      </c>
      <c r="AJ211" s="82">
        <f t="shared" si="854"/>
        <v>-0.10343995224086711</v>
      </c>
      <c r="AK211" s="80">
        <f t="shared" si="854"/>
        <v>5.9400158298178685E-2</v>
      </c>
      <c r="AL211" s="82">
        <f t="shared" si="854"/>
        <v>5.4255930215434178E-2</v>
      </c>
      <c r="AM211" s="82">
        <f t="shared" si="854"/>
        <v>3.1802918239812739E-2</v>
      </c>
      <c r="AN211" s="82">
        <f t="shared" si="854"/>
        <v>7.1207609576384945E-2</v>
      </c>
      <c r="AO211" s="82">
        <f t="shared" si="854"/>
        <v>-2.2712568529301702E-2</v>
      </c>
      <c r="AP211" s="80">
        <f t="shared" si="854"/>
        <v>3.4786048951921833E-2</v>
      </c>
      <c r="AQ211" s="82">
        <f t="shared" ref="AQ211:AZ211" si="855">AQ210/AL210-1</f>
        <v>4.8457722759239541E-2</v>
      </c>
      <c r="AR211" s="82">
        <f t="shared" si="855"/>
        <v>-9.9694524029705134E-2</v>
      </c>
      <c r="AS211" s="82">
        <f t="shared" si="855"/>
        <v>-7.8735782542375898E-2</v>
      </c>
      <c r="AT211" s="82">
        <f t="shared" si="855"/>
        <v>0.29533659513076049</v>
      </c>
      <c r="AU211" s="80">
        <f t="shared" si="855"/>
        <v>2.7087394978242418E-2</v>
      </c>
      <c r="AV211" s="82">
        <f t="shared" si="855"/>
        <v>-7.3193141671018314E-2</v>
      </c>
      <c r="AW211" s="82">
        <f t="shared" si="855"/>
        <v>4.0063707469264465E-2</v>
      </c>
      <c r="AX211" s="82">
        <f t="shared" si="855"/>
        <v>-2.739177092247691E-2</v>
      </c>
      <c r="AY211" s="82">
        <f t="shared" si="855"/>
        <v>-5.9281067485517425E-2</v>
      </c>
      <c r="AZ211" s="80">
        <f t="shared" si="855"/>
        <v>-3.1254535518211779E-2</v>
      </c>
      <c r="BA211" s="80"/>
      <c r="BB211" s="82">
        <f>BB210/BA210-1</f>
        <v>-0.74391543822909889</v>
      </c>
      <c r="BC211" s="82">
        <f>BC210/AQ210-1</f>
        <v>-4.057069260766677E-2</v>
      </c>
      <c r="BD211" s="82">
        <f>BD210/AR210-1</f>
        <v>5.120746028477452E-4</v>
      </c>
      <c r="BE211" s="82">
        <f>BE210/AS210-1</f>
        <v>0.13737063230824265</v>
      </c>
      <c r="BF211" s="80"/>
      <c r="BG211" s="82">
        <f>BG210/BF210-1</f>
        <v>-0.76895092112674901</v>
      </c>
      <c r="BH211" s="82">
        <f>BH210/AV210-1</f>
        <v>7.6672656803898231E-2</v>
      </c>
      <c r="BI211" s="82">
        <f>BI210/AW210-1</f>
        <v>-6.4378201006584868E-2</v>
      </c>
      <c r="BJ211" s="82">
        <f>BJ210/AX210-1</f>
        <v>0.10007920466921161</v>
      </c>
      <c r="BK211" s="80"/>
      <c r="BL211" s="82">
        <f>BL210/BK210-1</f>
        <v>-0.8035016950817655</v>
      </c>
      <c r="BM211" s="82">
        <f>BM210/BA210-1</f>
        <v>-0.73324817678145227</v>
      </c>
      <c r="BN211" s="82"/>
      <c r="BO211" s="82"/>
      <c r="BP211" s="80"/>
      <c r="BQ211" s="80"/>
      <c r="BR211" s="82"/>
      <c r="BS211" s="82"/>
      <c r="BT211" s="82"/>
      <c r="BU211" s="82"/>
      <c r="BV211" s="80"/>
      <c r="BW211" s="82">
        <f>+BW210/BR210-1</f>
        <v>3.6860484139524585E-2</v>
      </c>
      <c r="BX211" s="82">
        <f t="shared" ref="BX211" si="856">+BX210/BS210-1</f>
        <v>5.4026528203834578E-2</v>
      </c>
      <c r="BY211" s="82">
        <f t="shared" ref="BY211" si="857">+BY210/BT210-1</f>
        <v>0.43738162489515875</v>
      </c>
      <c r="BZ211" s="82">
        <f>+BZ210/BU210-1</f>
        <v>7.7159845613905098E-2</v>
      </c>
      <c r="CA211" s="80">
        <f>+CA210/BV210-1</f>
        <v>0.14701024650972094</v>
      </c>
      <c r="CB211" s="82">
        <f>+CB210/BW210-1</f>
        <v>-7.0806720467477824E-3</v>
      </c>
      <c r="CC211" s="82">
        <f t="shared" ref="CC211:CD211" si="858">+CC210/BX210-1</f>
        <v>0.11741381754921898</v>
      </c>
      <c r="CD211" s="82">
        <f t="shared" si="858"/>
        <v>-0.12011683363285974</v>
      </c>
      <c r="CE211" s="82">
        <f>+CE210/BZ210-1</f>
        <v>0.38520857057489533</v>
      </c>
      <c r="CF211" s="80">
        <f>+CF210/CA210-1</f>
        <v>8.8198756427459113E-2</v>
      </c>
      <c r="CG211" s="82"/>
      <c r="CH211" s="82"/>
      <c r="CI211" s="82"/>
      <c r="CJ211" s="82"/>
      <c r="CK211" s="80"/>
      <c r="CL211" s="82"/>
      <c r="CM211" s="82"/>
      <c r="CN211" s="82"/>
      <c r="CO211" s="82"/>
      <c r="CP211" s="80">
        <f>+CP210/CK210-1</f>
        <v>0.11311559979654606</v>
      </c>
      <c r="CQ211" s="82"/>
      <c r="CR211" s="82"/>
      <c r="CS211" s="82"/>
      <c r="CT211" s="82"/>
      <c r="CU211" s="80">
        <f>+CU210/CP210-1</f>
        <v>0.18544555598810009</v>
      </c>
      <c r="CV211" s="82"/>
      <c r="CW211" s="82"/>
      <c r="CX211" s="82"/>
      <c r="CY211" s="81"/>
      <c r="CZ211" s="80">
        <f>CZ210/CU210-1</f>
        <v>0.13900571100705417</v>
      </c>
      <c r="DA211" s="82"/>
      <c r="DB211" s="82"/>
      <c r="DC211" s="82"/>
      <c r="DD211" s="81"/>
      <c r="DE211" s="80">
        <f>DE210/CZ210-1</f>
        <v>0.16721313080118838</v>
      </c>
      <c r="DF211" s="82"/>
      <c r="DG211" s="82"/>
      <c r="DH211" s="82"/>
      <c r="DI211" s="81"/>
      <c r="DJ211" s="80">
        <f>DJ210/DE210-1</f>
        <v>7.6068725747651111E-2</v>
      </c>
      <c r="DK211" s="397"/>
      <c r="DL211" s="74"/>
      <c r="DM211" s="867"/>
      <c r="DN211" s="809"/>
      <c r="DO211" s="809"/>
      <c r="DP211" s="1182"/>
      <c r="DQ211" s="1135"/>
      <c r="DR211" s="1135"/>
      <c r="DS211" s="1135"/>
      <c r="DT211" s="1135"/>
      <c r="DU211" s="1135"/>
      <c r="DV211" s="1135"/>
      <c r="DW211" s="1182"/>
      <c r="DX211" s="809"/>
      <c r="DY211" s="360"/>
      <c r="DZ211" s="167"/>
      <c r="EA211" s="167"/>
      <c r="EB211"/>
      <c r="EC211"/>
      <c r="ED211"/>
      <c r="EE211"/>
      <c r="EF211"/>
      <c r="EG211"/>
    </row>
    <row r="212" spans="1:137" s="224" customFormat="1">
      <c r="A212" s="238" t="s">
        <v>233</v>
      </c>
      <c r="B212" s="232"/>
      <c r="C212" s="232"/>
      <c r="D212" s="232"/>
      <c r="E212" s="232"/>
      <c r="F212" s="232"/>
      <c r="G212" s="232"/>
      <c r="H212" s="234"/>
      <c r="I212" s="235"/>
      <c r="J212" s="235"/>
      <c r="K212" s="234"/>
      <c r="L212" s="232"/>
      <c r="M212" s="235"/>
      <c r="N212" s="235"/>
      <c r="O212" s="235"/>
      <c r="P212" s="234"/>
      <c r="Q212" s="232"/>
      <c r="R212" s="235"/>
      <c r="S212" s="235"/>
      <c r="T212" s="235"/>
      <c r="U212" s="234"/>
      <c r="V212" s="232"/>
      <c r="W212" s="235"/>
      <c r="X212" s="235"/>
      <c r="Y212" s="235"/>
      <c r="Z212" s="443"/>
      <c r="AA212" s="232"/>
      <c r="AB212" s="235"/>
      <c r="AC212" s="235"/>
      <c r="AD212" s="235"/>
      <c r="AE212" s="234"/>
      <c r="AF212" s="232"/>
      <c r="AG212" s="234"/>
      <c r="AH212" s="235"/>
      <c r="AI212" s="235"/>
      <c r="AJ212" s="443"/>
      <c r="AK212" s="232"/>
      <c r="AL212" s="235"/>
      <c r="AM212" s="235"/>
      <c r="AN212" s="235"/>
      <c r="AO212" s="234"/>
      <c r="AP212" s="232"/>
      <c r="AQ212" s="236"/>
      <c r="AR212" s="235"/>
      <c r="AS212" s="235"/>
      <c r="AT212" s="234"/>
      <c r="AU212" s="232"/>
      <c r="AV212" s="236"/>
      <c r="AW212" s="235"/>
      <c r="AX212" s="235"/>
      <c r="AY212" s="234"/>
      <c r="AZ212" s="232"/>
      <c r="BA212" s="232"/>
      <c r="BB212" s="236"/>
      <c r="BC212" s="235"/>
      <c r="BD212" s="235"/>
      <c r="BE212" s="234"/>
      <c r="BF212" s="232"/>
      <c r="BG212" s="236"/>
      <c r="BH212" s="235"/>
      <c r="BI212" s="235"/>
      <c r="BJ212" s="234"/>
      <c r="BK212" s="232"/>
      <c r="BL212" s="236"/>
      <c r="BM212" s="235"/>
      <c r="BN212" s="235"/>
      <c r="BO212" s="234"/>
      <c r="BP212" s="232"/>
      <c r="BQ212" s="232"/>
      <c r="BR212" s="236"/>
      <c r="BS212" s="235"/>
      <c r="BT212" s="235"/>
      <c r="BU212" s="234"/>
      <c r="BV212" s="232"/>
      <c r="BW212" s="236"/>
      <c r="BX212" s="235"/>
      <c r="BY212" s="235"/>
      <c r="BZ212" s="234"/>
      <c r="CA212" s="232"/>
      <c r="CB212" s="236"/>
      <c r="CC212" s="235"/>
      <c r="CD212" s="235"/>
      <c r="CE212" s="234"/>
      <c r="CF212" s="232"/>
      <c r="CG212" s="236"/>
      <c r="CH212" s="235"/>
      <c r="CI212" s="235"/>
      <c r="CJ212" s="234"/>
      <c r="CK212" s="232"/>
      <c r="CL212" s="236"/>
      <c r="CM212" s="235"/>
      <c r="CN212" s="235"/>
      <c r="CO212" s="234"/>
      <c r="CP212" s="232"/>
      <c r="CQ212" s="234"/>
      <c r="CR212" s="234"/>
      <c r="CS212" s="234"/>
      <c r="CT212" s="233"/>
      <c r="CU212" s="232"/>
      <c r="CV212" s="234"/>
      <c r="CW212" s="234"/>
      <c r="CX212" s="234"/>
      <c r="CY212" s="233"/>
      <c r="CZ212" s="232"/>
      <c r="DA212" s="234"/>
      <c r="DB212" s="234"/>
      <c r="DC212" s="234"/>
      <c r="DD212" s="233"/>
      <c r="DE212" s="232"/>
      <c r="DF212" s="234"/>
      <c r="DG212" s="234"/>
      <c r="DH212" s="234"/>
      <c r="DI212" s="233"/>
      <c r="DJ212" s="232"/>
      <c r="DK212" s="217"/>
      <c r="DL212" s="1286"/>
      <c r="DM212" s="810"/>
      <c r="DN212" s="810"/>
      <c r="DO212" s="810"/>
      <c r="DP212" s="1180"/>
      <c r="DQ212" s="1206"/>
      <c r="DR212" s="1206"/>
      <c r="DS212" s="1206"/>
      <c r="DT212" s="1206"/>
      <c r="DU212" s="1206"/>
      <c r="DV212" s="1206"/>
      <c r="DW212" s="1181"/>
      <c r="DX212" s="810"/>
      <c r="DY212" s="228"/>
      <c r="DZ212" s="216"/>
      <c r="EA212" s="216"/>
      <c r="EB212"/>
      <c r="EC212"/>
      <c r="ED212"/>
      <c r="EE212"/>
      <c r="EF212"/>
      <c r="EG212"/>
    </row>
    <row r="213" spans="1:137" s="596" customFormat="1">
      <c r="A213" s="590" t="s">
        <v>162</v>
      </c>
      <c r="B213" s="591">
        <f>215+21</f>
        <v>236</v>
      </c>
      <c r="C213" s="591">
        <v>0</v>
      </c>
      <c r="D213" s="591">
        <v>0</v>
      </c>
      <c r="E213" s="591">
        <v>0</v>
      </c>
      <c r="F213" s="591">
        <v>0</v>
      </c>
      <c r="G213" s="591">
        <v>0</v>
      </c>
      <c r="H213" s="592">
        <v>0</v>
      </c>
      <c r="I213" s="592">
        <v>0</v>
      </c>
      <c r="J213" s="592">
        <v>0</v>
      </c>
      <c r="K213" s="592">
        <v>0</v>
      </c>
      <c r="L213" s="591">
        <v>0</v>
      </c>
      <c r="M213" s="592">
        <v>0</v>
      </c>
      <c r="N213" s="592">
        <v>0</v>
      </c>
      <c r="O213" s="592">
        <v>0</v>
      </c>
      <c r="P213" s="592">
        <v>0</v>
      </c>
      <c r="Q213" s="591">
        <v>0</v>
      </c>
      <c r="R213" s="592">
        <v>0</v>
      </c>
      <c r="S213" s="592">
        <v>0</v>
      </c>
      <c r="T213" s="592">
        <v>0</v>
      </c>
      <c r="U213" s="592">
        <v>0</v>
      </c>
      <c r="V213" s="591">
        <v>0</v>
      </c>
      <c r="W213" s="592">
        <v>0</v>
      </c>
      <c r="X213" s="592">
        <v>0</v>
      </c>
      <c r="Y213" s="592">
        <v>0</v>
      </c>
      <c r="Z213" s="592">
        <v>0</v>
      </c>
      <c r="AA213" s="591">
        <v>0</v>
      </c>
      <c r="AB213" s="592">
        <v>0</v>
      </c>
      <c r="AC213" s="592">
        <v>0</v>
      </c>
      <c r="AD213" s="592">
        <v>0</v>
      </c>
      <c r="AE213" s="592">
        <v>0</v>
      </c>
      <c r="AF213" s="591">
        <f>SUM(AB213:AE213)</f>
        <v>0</v>
      </c>
      <c r="AG213" s="592">
        <v>0</v>
      </c>
      <c r="AH213" s="592">
        <v>0</v>
      </c>
      <c r="AI213" s="592">
        <v>0</v>
      </c>
      <c r="AJ213" s="593">
        <v>-59</v>
      </c>
      <c r="AK213" s="555">
        <f>SUM(AG213:AJ213)</f>
        <v>-59</v>
      </c>
      <c r="AL213" s="592">
        <v>0</v>
      </c>
      <c r="AM213" s="592">
        <v>0</v>
      </c>
      <c r="AN213" s="556">
        <v>0</v>
      </c>
      <c r="AO213" s="556">
        <v>-176</v>
      </c>
      <c r="AP213" s="555">
        <f>SUM(AL213:AO213)</f>
        <v>-176</v>
      </c>
      <c r="AQ213" s="737">
        <v>0</v>
      </c>
      <c r="AR213" s="796">
        <v>0</v>
      </c>
      <c r="AS213" s="803">
        <v>0</v>
      </c>
      <c r="AT213" s="797">
        <v>-119</v>
      </c>
      <c r="AU213" s="555">
        <f>SUM(AQ213:AT213)</f>
        <v>-119</v>
      </c>
      <c r="AV213" s="848">
        <v>0</v>
      </c>
      <c r="AW213" s="796">
        <v>0</v>
      </c>
      <c r="AX213" s="803">
        <v>0</v>
      </c>
      <c r="AY213" s="797">
        <v>0</v>
      </c>
      <c r="AZ213" s="555">
        <f>SUM(AV213:AY213)</f>
        <v>0</v>
      </c>
      <c r="BA213" s="555">
        <v>-176</v>
      </c>
      <c r="BB213" s="848">
        <v>0</v>
      </c>
      <c r="BC213" s="796">
        <v>0</v>
      </c>
      <c r="BD213" s="803">
        <v>0</v>
      </c>
      <c r="BE213" s="797">
        <v>-119</v>
      </c>
      <c r="BF213" s="555">
        <f>+AU213</f>
        <v>-119</v>
      </c>
      <c r="BG213" s="848">
        <v>0</v>
      </c>
      <c r="BH213" s="796">
        <v>0</v>
      </c>
      <c r="BI213" s="803">
        <v>0</v>
      </c>
      <c r="BJ213" s="797">
        <v>0</v>
      </c>
      <c r="BK213" s="555">
        <f>+AZ213</f>
        <v>0</v>
      </c>
      <c r="BL213" s="848">
        <v>0</v>
      </c>
      <c r="BM213" s="796">
        <v>0</v>
      </c>
      <c r="BN213" s="803"/>
      <c r="BO213" s="797"/>
      <c r="BP213" s="264"/>
      <c r="BQ213" s="555">
        <v>0</v>
      </c>
      <c r="BR213" s="848">
        <v>0</v>
      </c>
      <c r="BS213" s="796">
        <v>0</v>
      </c>
      <c r="BT213" s="803">
        <v>0</v>
      </c>
      <c r="BU213" s="797">
        <v>0</v>
      </c>
      <c r="BV213" s="555">
        <f>+SUM(BR213:BU213)</f>
        <v>0</v>
      </c>
      <c r="BW213" s="848">
        <v>0</v>
      </c>
      <c r="BX213" s="796">
        <v>0</v>
      </c>
      <c r="BY213" s="803">
        <v>0</v>
      </c>
      <c r="BZ213" s="797">
        <v>0</v>
      </c>
      <c r="CA213" s="555">
        <f>+SUM(BW213:BZ213)</f>
        <v>0</v>
      </c>
      <c r="CB213" s="848">
        <v>0</v>
      </c>
      <c r="CC213" s="797">
        <v>0</v>
      </c>
      <c r="CD213" s="803">
        <v>0</v>
      </c>
      <c r="CE213" s="797">
        <v>-1944</v>
      </c>
      <c r="CF213" s="555">
        <f>+SUM(CB213:CE213)</f>
        <v>-1944</v>
      </c>
      <c r="CG213" s="848"/>
      <c r="CH213" s="796"/>
      <c r="CI213" s="803"/>
      <c r="CJ213" s="797"/>
      <c r="CK213" s="555">
        <v>0</v>
      </c>
      <c r="CL213" s="848"/>
      <c r="CM213" s="797"/>
      <c r="CN213" s="803"/>
      <c r="CO213" s="797"/>
      <c r="CP213" s="555">
        <v>-1958</v>
      </c>
      <c r="CQ213" s="594">
        <v>0</v>
      </c>
      <c r="CR213" s="594">
        <v>0</v>
      </c>
      <c r="CS213" s="594">
        <v>0</v>
      </c>
      <c r="CT213" s="594">
        <v>0</v>
      </c>
      <c r="CU213" s="555">
        <f>+SUM(CQ213:CT213)</f>
        <v>0</v>
      </c>
      <c r="CV213" s="594"/>
      <c r="CW213" s="594"/>
      <c r="CX213" s="594"/>
      <c r="CY213" s="594"/>
      <c r="CZ213" s="264">
        <v>0</v>
      </c>
      <c r="DA213" s="594"/>
      <c r="DB213" s="594"/>
      <c r="DC213" s="594"/>
      <c r="DD213" s="594"/>
      <c r="DE213" s="264">
        <v>0</v>
      </c>
      <c r="DF213" s="594"/>
      <c r="DG213" s="594"/>
      <c r="DH213" s="594"/>
      <c r="DI213" s="594"/>
      <c r="DJ213" s="264">
        <v>0</v>
      </c>
      <c r="DK213" s="587"/>
      <c r="DL213" s="471"/>
      <c r="DM213" s="588"/>
      <c r="DN213" s="589"/>
      <c r="DO213" s="589"/>
      <c r="DP213" s="1180"/>
      <c r="DQ213" s="1206"/>
      <c r="DR213" s="1206"/>
      <c r="DS213" s="1206"/>
      <c r="DT213" s="1206"/>
      <c r="DU213" s="1206"/>
      <c r="DV213" s="1206"/>
      <c r="DW213" s="1183"/>
      <c r="DX213" s="589"/>
      <c r="DY213" s="595"/>
      <c r="DZ213" s="574"/>
      <c r="EA213" s="574"/>
      <c r="EB213"/>
      <c r="EC213"/>
      <c r="ED213"/>
      <c r="EE213"/>
      <c r="EF213"/>
      <c r="EG213"/>
    </row>
    <row r="214" spans="1:137" s="548" customFormat="1" ht="12.75" customHeight="1">
      <c r="A214" s="554" t="s">
        <v>234</v>
      </c>
      <c r="B214" s="555">
        <v>-1089</v>
      </c>
      <c r="C214" s="555">
        <v>-33</v>
      </c>
      <c r="D214" s="555">
        <v>0</v>
      </c>
      <c r="E214" s="555">
        <v>0</v>
      </c>
      <c r="F214" s="555">
        <v>0</v>
      </c>
      <c r="G214" s="555">
        <v>0</v>
      </c>
      <c r="H214" s="556">
        <v>0</v>
      </c>
      <c r="I214" s="556">
        <v>0</v>
      </c>
      <c r="J214" s="556">
        <v>0</v>
      </c>
      <c r="K214" s="556">
        <v>0</v>
      </c>
      <c r="L214" s="555">
        <f>SUM(H214:K214)</f>
        <v>0</v>
      </c>
      <c r="M214" s="556">
        <v>0</v>
      </c>
      <c r="N214" s="556">
        <v>0</v>
      </c>
      <c r="O214" s="556">
        <v>0</v>
      </c>
      <c r="P214" s="556">
        <v>0</v>
      </c>
      <c r="Q214" s="555">
        <f>SUM(M214:P214)</f>
        <v>0</v>
      </c>
      <c r="R214" s="556">
        <v>0</v>
      </c>
      <c r="S214" s="556">
        <v>3</v>
      </c>
      <c r="T214" s="556">
        <v>11</v>
      </c>
      <c r="U214" s="556">
        <v>-9</v>
      </c>
      <c r="V214" s="555">
        <f>SUM(R214:U214)+0.49</f>
        <v>5.49</v>
      </c>
      <c r="W214" s="556">
        <v>14</v>
      </c>
      <c r="X214" s="556">
        <v>110</v>
      </c>
      <c r="Y214" s="556">
        <v>3</v>
      </c>
      <c r="Z214" s="556">
        <v>140</v>
      </c>
      <c r="AA214" s="555">
        <f>SUM(W214:Z214)</f>
        <v>267</v>
      </c>
      <c r="AB214" s="556">
        <v>-25.5</v>
      </c>
      <c r="AC214" s="556">
        <v>-5.5</v>
      </c>
      <c r="AD214" s="556">
        <v>34.5</v>
      </c>
      <c r="AE214" s="556">
        <v>-15</v>
      </c>
      <c r="AF214" s="555">
        <v>-12</v>
      </c>
      <c r="AG214" s="556">
        <v>0</v>
      </c>
      <c r="AH214" s="556">
        <v>0</v>
      </c>
      <c r="AI214" s="556">
        <v>0</v>
      </c>
      <c r="AJ214" s="556">
        <v>0</v>
      </c>
      <c r="AK214" s="555">
        <v>0</v>
      </c>
      <c r="AL214" s="556">
        <v>0</v>
      </c>
      <c r="AM214" s="556">
        <v>0</v>
      </c>
      <c r="AN214" s="556">
        <v>31</v>
      </c>
      <c r="AO214" s="556">
        <v>0</v>
      </c>
      <c r="AP214" s="555">
        <f>SUM(AL214:AO214)</f>
        <v>31</v>
      </c>
      <c r="AQ214" s="737">
        <v>0</v>
      </c>
      <c r="AR214" s="797">
        <v>0</v>
      </c>
      <c r="AS214" s="803">
        <v>0</v>
      </c>
      <c r="AT214" s="556">
        <v>0</v>
      </c>
      <c r="AU214" s="555">
        <f>SUM(AQ214:AT214)</f>
        <v>0</v>
      </c>
      <c r="AV214" s="848">
        <v>0</v>
      </c>
      <c r="AW214" s="797">
        <v>0</v>
      </c>
      <c r="AX214" s="803">
        <v>0</v>
      </c>
      <c r="AY214" s="556">
        <v>0</v>
      </c>
      <c r="AZ214" s="555">
        <f>SUM(AV214:AY214)</f>
        <v>0</v>
      </c>
      <c r="BA214" s="555">
        <v>31</v>
      </c>
      <c r="BB214" s="848">
        <v>0</v>
      </c>
      <c r="BC214" s="797">
        <v>0</v>
      </c>
      <c r="BD214" s="803">
        <v>0</v>
      </c>
      <c r="BE214" s="556">
        <v>0</v>
      </c>
      <c r="BF214" s="555">
        <f>+AU214</f>
        <v>0</v>
      </c>
      <c r="BG214" s="848">
        <v>0</v>
      </c>
      <c r="BH214" s="797">
        <v>0</v>
      </c>
      <c r="BI214" s="803">
        <v>0</v>
      </c>
      <c r="BJ214" s="556">
        <v>0</v>
      </c>
      <c r="BK214" s="555">
        <f>+AZ214</f>
        <v>0</v>
      </c>
      <c r="BL214" s="848">
        <v>0</v>
      </c>
      <c r="BM214" s="797">
        <v>0</v>
      </c>
      <c r="BN214" s="803"/>
      <c r="BO214" s="556"/>
      <c r="BP214" s="264"/>
      <c r="BQ214" s="555">
        <v>361</v>
      </c>
      <c r="BR214" s="848">
        <v>140</v>
      </c>
      <c r="BS214" s="797">
        <v>114</v>
      </c>
      <c r="BT214" s="803">
        <v>109</v>
      </c>
      <c r="BU214" s="556">
        <v>116</v>
      </c>
      <c r="BV214" s="555">
        <f>+SUM(BR214:BU214)</f>
        <v>479</v>
      </c>
      <c r="BW214" s="850">
        <v>92</v>
      </c>
      <c r="BX214" s="803">
        <v>122</v>
      </c>
      <c r="BY214" s="803">
        <v>1306</v>
      </c>
      <c r="BZ214" s="803">
        <v>29</v>
      </c>
      <c r="CA214" s="814">
        <f>+SUM(BW214:BZ214)</f>
        <v>1549</v>
      </c>
      <c r="CB214" s="850">
        <v>0</v>
      </c>
      <c r="CC214" s="803">
        <v>0</v>
      </c>
      <c r="CD214" s="803">
        <v>0</v>
      </c>
      <c r="CE214" s="803">
        <v>73</v>
      </c>
      <c r="CF214" s="814">
        <f>+SUM(CB214:CE214)</f>
        <v>73</v>
      </c>
      <c r="CG214" s="850"/>
      <c r="CH214" s="803"/>
      <c r="CI214" s="803"/>
      <c r="CJ214" s="803"/>
      <c r="CK214" s="814">
        <f>1549-37</f>
        <v>1512</v>
      </c>
      <c r="CL214" s="850"/>
      <c r="CM214" s="803"/>
      <c r="CN214" s="803"/>
      <c r="CO214" s="803"/>
      <c r="CP214" s="814">
        <v>73</v>
      </c>
      <c r="CQ214" s="1227">
        <v>0</v>
      </c>
      <c r="CR214" s="263">
        <v>0</v>
      </c>
      <c r="CS214" s="263">
        <v>0</v>
      </c>
      <c r="CT214" s="265">
        <v>0</v>
      </c>
      <c r="CU214" s="555">
        <f>+SUM(CQ214:CT214)</f>
        <v>0</v>
      </c>
      <c r="CV214" s="263"/>
      <c r="CW214" s="263"/>
      <c r="CX214" s="263"/>
      <c r="CY214" s="265"/>
      <c r="CZ214" s="264">
        <v>0</v>
      </c>
      <c r="DA214" s="263"/>
      <c r="DB214" s="263"/>
      <c r="DC214" s="263"/>
      <c r="DD214" s="265"/>
      <c r="DE214" s="264">
        <v>0</v>
      </c>
      <c r="DF214" s="263"/>
      <c r="DG214" s="263"/>
      <c r="DH214" s="263"/>
      <c r="DI214" s="265"/>
      <c r="DJ214" s="264">
        <v>0</v>
      </c>
      <c r="DK214" s="546"/>
      <c r="DL214" s="1289"/>
      <c r="DM214" s="810"/>
      <c r="DN214" s="810"/>
      <c r="DO214" s="810"/>
      <c r="DP214" s="1101"/>
      <c r="DQ214" s="1101"/>
      <c r="DR214" s="1182"/>
      <c r="DS214" s="1102"/>
      <c r="DT214" s="1102"/>
      <c r="DU214" s="1102"/>
      <c r="DV214" s="1102"/>
      <c r="DW214" s="810"/>
      <c r="DX214" s="810"/>
      <c r="DY214" s="547"/>
      <c r="DZ214" s="545"/>
      <c r="EA214" s="545"/>
      <c r="EB214"/>
      <c r="EC214"/>
      <c r="ED214"/>
      <c r="EE214"/>
      <c r="EF214"/>
      <c r="EG214"/>
    </row>
    <row r="215" spans="1:137" s="144" customFormat="1" ht="12.75" customHeight="1">
      <c r="A215" s="241" t="s">
        <v>215</v>
      </c>
      <c r="B215" s="139">
        <f t="shared" ref="B215:AR215" si="859">B199+SUM(B213:B214)</f>
        <v>-810</v>
      </c>
      <c r="C215" s="139">
        <f t="shared" si="859"/>
        <v>500</v>
      </c>
      <c r="D215" s="139">
        <f t="shared" si="859"/>
        <v>1053</v>
      </c>
      <c r="E215" s="139">
        <f t="shared" si="859"/>
        <v>1266</v>
      </c>
      <c r="F215" s="139">
        <f t="shared" si="859"/>
        <v>1825</v>
      </c>
      <c r="G215" s="139">
        <f t="shared" si="859"/>
        <v>2529</v>
      </c>
      <c r="H215" s="137">
        <f t="shared" si="859"/>
        <v>690</v>
      </c>
      <c r="I215" s="137">
        <f t="shared" si="859"/>
        <v>778</v>
      </c>
      <c r="J215" s="137">
        <f t="shared" si="859"/>
        <v>766</v>
      </c>
      <c r="K215" s="137">
        <f t="shared" si="859"/>
        <v>799</v>
      </c>
      <c r="L215" s="139">
        <f t="shared" si="859"/>
        <v>3033</v>
      </c>
      <c r="M215" s="141">
        <f t="shared" si="859"/>
        <v>730</v>
      </c>
      <c r="N215" s="141">
        <f t="shared" si="859"/>
        <v>882</v>
      </c>
      <c r="O215" s="141">
        <f t="shared" si="859"/>
        <v>782</v>
      </c>
      <c r="P215" s="137">
        <f t="shared" si="859"/>
        <v>823</v>
      </c>
      <c r="Q215" s="139">
        <f t="shared" si="859"/>
        <v>3217</v>
      </c>
      <c r="R215" s="141">
        <f t="shared" si="859"/>
        <v>666</v>
      </c>
      <c r="S215" s="141">
        <f t="shared" si="859"/>
        <v>734</v>
      </c>
      <c r="T215" s="141">
        <f t="shared" si="859"/>
        <v>797</v>
      </c>
      <c r="U215" s="141">
        <f t="shared" si="859"/>
        <v>827</v>
      </c>
      <c r="V215" s="142">
        <f t="shared" si="859"/>
        <v>3024.9799999999996</v>
      </c>
      <c r="W215" s="137">
        <f t="shared" si="859"/>
        <v>533</v>
      </c>
      <c r="X215" s="137">
        <f t="shared" si="859"/>
        <v>824</v>
      </c>
      <c r="Y215" s="137">
        <f t="shared" si="859"/>
        <v>560</v>
      </c>
      <c r="Z215" s="137">
        <f t="shared" si="859"/>
        <v>961</v>
      </c>
      <c r="AA215" s="142">
        <f t="shared" si="859"/>
        <v>2878</v>
      </c>
      <c r="AB215" s="137">
        <f t="shared" si="859"/>
        <v>530</v>
      </c>
      <c r="AC215" s="137">
        <f t="shared" si="859"/>
        <v>742</v>
      </c>
      <c r="AD215" s="141">
        <f t="shared" si="859"/>
        <v>699</v>
      </c>
      <c r="AE215" s="141">
        <f t="shared" si="859"/>
        <v>683.25</v>
      </c>
      <c r="AF215" s="142">
        <f t="shared" si="859"/>
        <v>2655.25</v>
      </c>
      <c r="AG215" s="137">
        <f t="shared" si="859"/>
        <v>667.6</v>
      </c>
      <c r="AH215" s="137">
        <f t="shared" si="859"/>
        <v>781</v>
      </c>
      <c r="AI215" s="141">
        <f t="shared" si="859"/>
        <v>727</v>
      </c>
      <c r="AJ215" s="141">
        <f t="shared" si="859"/>
        <v>569</v>
      </c>
      <c r="AK215" s="142">
        <f t="shared" si="859"/>
        <v>2745</v>
      </c>
      <c r="AL215" s="141">
        <f t="shared" si="859"/>
        <v>761</v>
      </c>
      <c r="AM215" s="141">
        <f t="shared" si="859"/>
        <v>859</v>
      </c>
      <c r="AN215" s="141">
        <f t="shared" si="859"/>
        <v>873</v>
      </c>
      <c r="AO215" s="141">
        <f t="shared" si="859"/>
        <v>488</v>
      </c>
      <c r="AP215" s="142">
        <f t="shared" si="859"/>
        <v>2981.49</v>
      </c>
      <c r="AQ215" s="141">
        <f t="shared" si="859"/>
        <v>933</v>
      </c>
      <c r="AR215" s="141">
        <f t="shared" si="859"/>
        <v>889</v>
      </c>
      <c r="AS215" s="141">
        <f t="shared" ref="AS215:BF215" si="860">AS199+SUM(AS213:AS214)</f>
        <v>888</v>
      </c>
      <c r="AT215" s="141">
        <f t="shared" si="860"/>
        <v>904</v>
      </c>
      <c r="AU215" s="142">
        <f t="shared" si="860"/>
        <v>3614</v>
      </c>
      <c r="AV215" s="141">
        <f>AV199+SUM(AV213:AV214)</f>
        <v>878</v>
      </c>
      <c r="AW215" s="141">
        <f>AW199+SUM(AW213:AW214)</f>
        <v>929</v>
      </c>
      <c r="AX215" s="141">
        <f>AX199+SUM(AX213:AX214)</f>
        <v>865</v>
      </c>
      <c r="AY215" s="141">
        <f>AY199+SUM(AY213:AY214)</f>
        <v>933</v>
      </c>
      <c r="AZ215" s="142">
        <f>AZ199+SUM(AZ213:AZ214)</f>
        <v>3605</v>
      </c>
      <c r="BA215" s="142">
        <f t="shared" ref="BA215" si="861">BA199+SUM(BA213:BA214)</f>
        <v>2981.49</v>
      </c>
      <c r="BB215" s="141">
        <f>BB199+SUM(BB213:BB214)</f>
        <v>933</v>
      </c>
      <c r="BC215" s="141">
        <f t="shared" si="860"/>
        <v>889</v>
      </c>
      <c r="BD215" s="141">
        <f t="shared" si="860"/>
        <v>888</v>
      </c>
      <c r="BE215" s="141">
        <f t="shared" si="860"/>
        <v>904</v>
      </c>
      <c r="BF215" s="142">
        <f t="shared" si="860"/>
        <v>3614.49</v>
      </c>
      <c r="BG215" s="141">
        <f t="shared" ref="BG215:BJ215" si="862">BG199+SUM(BG213:BG214)</f>
        <v>878</v>
      </c>
      <c r="BH215" s="141">
        <f t="shared" si="862"/>
        <v>929</v>
      </c>
      <c r="BI215" s="141">
        <f t="shared" si="862"/>
        <v>865</v>
      </c>
      <c r="BJ215" s="141">
        <f t="shared" si="862"/>
        <v>933</v>
      </c>
      <c r="BK215" s="142">
        <f t="shared" ref="BK215:BM215" si="863">BK199+SUM(BK213:BK214)</f>
        <v>3605.49</v>
      </c>
      <c r="BL215" s="141">
        <f t="shared" si="863"/>
        <v>794</v>
      </c>
      <c r="BM215" s="141">
        <f t="shared" si="863"/>
        <v>1021</v>
      </c>
      <c r="BN215" s="141"/>
      <c r="BO215" s="141"/>
      <c r="BP215" s="142"/>
      <c r="BQ215" s="142">
        <f t="shared" ref="BQ215" si="864">BQ199+SUM(BQ213:BQ214)</f>
        <v>3614.49</v>
      </c>
      <c r="BR215" s="141">
        <f t="shared" ref="BR215:BY215" si="865">BR199+SUM(BR213:BR214)</f>
        <v>878</v>
      </c>
      <c r="BS215" s="141">
        <f t="shared" si="865"/>
        <v>929</v>
      </c>
      <c r="BT215" s="141">
        <f t="shared" si="865"/>
        <v>865</v>
      </c>
      <c r="BU215" s="141">
        <f t="shared" si="865"/>
        <v>933</v>
      </c>
      <c r="BV215" s="142">
        <f t="shared" si="865"/>
        <v>3605.49</v>
      </c>
      <c r="BW215" s="197">
        <f t="shared" si="865"/>
        <v>898</v>
      </c>
      <c r="BX215" s="197">
        <f t="shared" si="865"/>
        <v>1021</v>
      </c>
      <c r="BY215" s="197">
        <f t="shared" si="865"/>
        <v>2395</v>
      </c>
      <c r="BZ215" s="197">
        <f>BZ199+SUM(BZ213:BZ214)</f>
        <v>988</v>
      </c>
      <c r="CA215" s="174">
        <f>CA199+SUM(CA213:CA214)</f>
        <v>5302</v>
      </c>
      <c r="CB215" s="197">
        <f t="shared" ref="CB215:CT215" si="866">CB199+SUM(CB213:CB214)</f>
        <v>763</v>
      </c>
      <c r="CC215" s="197">
        <f t="shared" si="866"/>
        <v>942</v>
      </c>
      <c r="CD215" s="197">
        <f t="shared" si="866"/>
        <v>939</v>
      </c>
      <c r="CE215" s="197">
        <f>CE199+SUM(CE213:CE214)</f>
        <v>-642</v>
      </c>
      <c r="CF215" s="174">
        <f>CF199+SUM(CF213:CF214)</f>
        <v>2002</v>
      </c>
      <c r="CG215" s="197"/>
      <c r="CH215" s="197"/>
      <c r="CI215" s="197"/>
      <c r="CJ215" s="197"/>
      <c r="CK215" s="174">
        <f>CK199+SUM(CK213:CK214)</f>
        <v>5188</v>
      </c>
      <c r="CL215" s="197"/>
      <c r="CM215" s="197"/>
      <c r="CN215" s="197"/>
      <c r="CO215" s="197"/>
      <c r="CP215" s="174">
        <f>CP199+SUM(CP213:CP214)</f>
        <v>1981.4755000000005</v>
      </c>
      <c r="CQ215" s="197">
        <f t="shared" si="866"/>
        <v>982.73659999999995</v>
      </c>
      <c r="CR215" s="141">
        <f t="shared" si="866"/>
        <v>1126.1932663745356</v>
      </c>
      <c r="CS215" s="141">
        <f t="shared" si="866"/>
        <v>1062.7309327490711</v>
      </c>
      <c r="CT215" s="141">
        <f t="shared" si="866"/>
        <v>1306.4844953586203</v>
      </c>
      <c r="CU215" s="142">
        <f>CU199+SUM(CU213:CU214)</f>
        <v>4478.1452944822267</v>
      </c>
      <c r="CV215" s="137"/>
      <c r="CW215" s="137"/>
      <c r="CX215" s="137"/>
      <c r="CY215" s="138"/>
      <c r="CZ215" s="142">
        <f>CZ199+SUM(CZ213:CZ214)</f>
        <v>4967.9062407126848</v>
      </c>
      <c r="DA215" s="137"/>
      <c r="DB215" s="137"/>
      <c r="DC215" s="137"/>
      <c r="DD215" s="138"/>
      <c r="DE215" s="142">
        <f>DE199+SUM(DE213:DE214)</f>
        <v>6591.9427862776593</v>
      </c>
      <c r="DF215" s="137"/>
      <c r="DG215" s="137"/>
      <c r="DH215" s="137"/>
      <c r="DI215" s="138"/>
      <c r="DJ215" s="142">
        <f>DJ199+SUM(DJ213:DJ214)</f>
        <v>6872.5178494826323</v>
      </c>
      <c r="DK215" s="399"/>
      <c r="DL215" s="1282"/>
      <c r="DM215" s="810"/>
      <c r="DN215" s="810"/>
      <c r="DO215" s="810"/>
      <c r="DP215" s="1182"/>
      <c r="DQ215" s="1103"/>
      <c r="DR215" s="1182"/>
      <c r="DS215" s="1135"/>
      <c r="DT215" s="1135"/>
      <c r="DU215" s="1135"/>
      <c r="DV215" s="1135"/>
      <c r="DW215" s="810"/>
      <c r="DX215" s="810"/>
      <c r="DY215" s="357"/>
      <c r="DZ215" s="143"/>
      <c r="EA215" s="143"/>
      <c r="EB215"/>
      <c r="EC215"/>
      <c r="ED215"/>
      <c r="EE215"/>
      <c r="EF215"/>
      <c r="EG215"/>
    </row>
    <row r="216" spans="1:137" s="355" customFormat="1">
      <c r="A216" s="239" t="s">
        <v>235</v>
      </c>
      <c r="B216" s="350">
        <f>+SUM(B213:B214)/B226</f>
        <v>-1.9722543352601156</v>
      </c>
      <c r="C216" s="350">
        <f t="shared" ref="C216:BK216" si="867">+SUM(C213:C214)/C226</f>
        <v>-7.3008849557522126E-2</v>
      </c>
      <c r="D216" s="350">
        <f t="shared" si="867"/>
        <v>0</v>
      </c>
      <c r="E216" s="350">
        <f t="shared" si="867"/>
        <v>0</v>
      </c>
      <c r="F216" s="350">
        <f t="shared" si="867"/>
        <v>0</v>
      </c>
      <c r="G216" s="351">
        <f t="shared" si="867"/>
        <v>0</v>
      </c>
      <c r="H216" s="352">
        <f t="shared" si="867"/>
        <v>0</v>
      </c>
      <c r="I216" s="352">
        <f t="shared" si="867"/>
        <v>0</v>
      </c>
      <c r="J216" s="352">
        <f t="shared" si="867"/>
        <v>0</v>
      </c>
      <c r="K216" s="352">
        <f t="shared" si="867"/>
        <v>0</v>
      </c>
      <c r="L216" s="351">
        <f t="shared" si="867"/>
        <v>0</v>
      </c>
      <c r="M216" s="352">
        <f t="shared" si="867"/>
        <v>0</v>
      </c>
      <c r="N216" s="352">
        <f t="shared" si="867"/>
        <v>0</v>
      </c>
      <c r="O216" s="352">
        <f t="shared" si="867"/>
        <v>0</v>
      </c>
      <c r="P216" s="352">
        <f t="shared" si="867"/>
        <v>0</v>
      </c>
      <c r="Q216" s="351">
        <f t="shared" si="867"/>
        <v>0</v>
      </c>
      <c r="R216" s="352">
        <f t="shared" si="867"/>
        <v>0</v>
      </c>
      <c r="S216" s="352">
        <f t="shared" si="867"/>
        <v>7.6745970836531088E-3</v>
      </c>
      <c r="T216" s="352">
        <f t="shared" si="867"/>
        <v>2.8534370946822308E-2</v>
      </c>
      <c r="U216" s="352">
        <f t="shared" si="867"/>
        <v>-2.3566378633150042E-2</v>
      </c>
      <c r="V216" s="351">
        <f t="shared" si="867"/>
        <v>1.4118554712614119E-2</v>
      </c>
      <c r="W216" s="352">
        <f t="shared" si="867"/>
        <v>3.7066454858353193E-2</v>
      </c>
      <c r="X216" s="352">
        <f t="shared" si="867"/>
        <v>0.29593758407317733</v>
      </c>
      <c r="Y216" s="352">
        <f t="shared" si="867"/>
        <v>8.2431169973072489E-3</v>
      </c>
      <c r="Z216" s="352">
        <f t="shared" si="867"/>
        <v>0.38921323324993051</v>
      </c>
      <c r="AA216" s="351">
        <f t="shared" si="867"/>
        <v>0.72495248438772741</v>
      </c>
      <c r="AB216" s="352">
        <f t="shared" si="867"/>
        <v>-7.231990924560408E-2</v>
      </c>
      <c r="AC216" s="352">
        <f t="shared" si="867"/>
        <v>-1.5866605123471038E-2</v>
      </c>
      <c r="AD216" s="352">
        <f t="shared" si="867"/>
        <v>0.10340486752187987</v>
      </c>
      <c r="AE216" s="352">
        <f t="shared" si="867"/>
        <v>-4.5920710240318387E-2</v>
      </c>
      <c r="AF216" s="351">
        <f t="shared" si="867"/>
        <v>-3.5304501323918804E-2</v>
      </c>
      <c r="AG216" s="352">
        <f t="shared" si="867"/>
        <v>0</v>
      </c>
      <c r="AH216" s="352">
        <f t="shared" si="867"/>
        <v>0</v>
      </c>
      <c r="AI216" s="352">
        <f t="shared" si="867"/>
        <v>0</v>
      </c>
      <c r="AJ216" s="352">
        <f t="shared" si="867"/>
        <v>-0.1798780487804878</v>
      </c>
      <c r="AK216" s="351">
        <f t="shared" si="867"/>
        <v>-0.17965895249695493</v>
      </c>
      <c r="AL216" s="352">
        <f t="shared" si="867"/>
        <v>0</v>
      </c>
      <c r="AM216" s="352">
        <f t="shared" si="867"/>
        <v>0</v>
      </c>
      <c r="AN216" s="352">
        <f t="shared" si="867"/>
        <v>9.465648854961832E-2</v>
      </c>
      <c r="AO216" s="352">
        <f t="shared" si="867"/>
        <v>-0.53938093778731222</v>
      </c>
      <c r="AP216" s="351">
        <f t="shared" si="867"/>
        <v>-0.444104134762634</v>
      </c>
      <c r="AQ216" s="352">
        <f t="shared" si="867"/>
        <v>0</v>
      </c>
      <c r="AR216" s="352">
        <f t="shared" si="867"/>
        <v>0</v>
      </c>
      <c r="AS216" s="352">
        <f t="shared" si="867"/>
        <v>0</v>
      </c>
      <c r="AT216" s="352">
        <f t="shared" si="867"/>
        <v>-0.37117903930131002</v>
      </c>
      <c r="AU216" s="351">
        <f t="shared" si="867"/>
        <v>-0.36910669975186106</v>
      </c>
      <c r="AV216" s="352">
        <f t="shared" ref="AV216:BA216" si="868">+SUM(AV213:AV214)/AV226</f>
        <v>0</v>
      </c>
      <c r="AW216" s="352">
        <f t="shared" si="868"/>
        <v>0</v>
      </c>
      <c r="AX216" s="352">
        <f t="shared" si="868"/>
        <v>0</v>
      </c>
      <c r="AY216" s="352">
        <f t="shared" si="868"/>
        <v>0</v>
      </c>
      <c r="AZ216" s="351">
        <f t="shared" si="868"/>
        <v>0</v>
      </c>
      <c r="BA216" s="351">
        <f t="shared" si="868"/>
        <v>-0.444104134762634</v>
      </c>
      <c r="BB216" s="352">
        <f t="shared" si="867"/>
        <v>0</v>
      </c>
      <c r="BC216" s="352">
        <f t="shared" si="867"/>
        <v>0</v>
      </c>
      <c r="BD216" s="352">
        <f t="shared" si="867"/>
        <v>0</v>
      </c>
      <c r="BE216" s="352">
        <f t="shared" si="867"/>
        <v>-0.37117903930131002</v>
      </c>
      <c r="BF216" s="351">
        <f t="shared" si="867"/>
        <v>-0.36910669975186106</v>
      </c>
      <c r="BG216" s="352">
        <f t="shared" si="867"/>
        <v>0</v>
      </c>
      <c r="BH216" s="352">
        <f t="shared" si="867"/>
        <v>0</v>
      </c>
      <c r="BI216" s="352">
        <f t="shared" si="867"/>
        <v>0</v>
      </c>
      <c r="BJ216" s="352">
        <f t="shared" si="867"/>
        <v>0</v>
      </c>
      <c r="BK216" s="351">
        <f t="shared" si="867"/>
        <v>0</v>
      </c>
      <c r="BL216" s="352">
        <f t="shared" ref="BL216:BM216" si="869">+SUM(BL213:BL214)/BL226</f>
        <v>0</v>
      </c>
      <c r="BM216" s="352">
        <f t="shared" si="869"/>
        <v>0</v>
      </c>
      <c r="BN216" s="352"/>
      <c r="BO216" s="352"/>
      <c r="BP216" s="351"/>
      <c r="BQ216" s="351">
        <f>+SUM(BQ213:BQ214)/BQ226</f>
        <v>1.119727047146402</v>
      </c>
      <c r="BR216" s="352">
        <f t="shared" ref="BR216:DJ216" si="870">+SUM(BR213:BR214)/BR226</f>
        <v>0.4372267332916927</v>
      </c>
      <c r="BS216" s="352">
        <f t="shared" si="870"/>
        <v>0.36064536539069914</v>
      </c>
      <c r="BT216" s="352">
        <f t="shared" si="870"/>
        <v>0.34857691077710268</v>
      </c>
      <c r="BU216" s="352">
        <f t="shared" si="870"/>
        <v>0.37395228884590587</v>
      </c>
      <c r="BV216" s="351">
        <f t="shared" si="870"/>
        <v>1.5220845249443915</v>
      </c>
      <c r="BW216" s="311">
        <f t="shared" si="870"/>
        <v>0.29802397149335924</v>
      </c>
      <c r="BX216" s="311">
        <f t="shared" si="870"/>
        <v>0.3972647346141322</v>
      </c>
      <c r="BY216" s="311">
        <f t="shared" si="870"/>
        <v>4.3245033112582778</v>
      </c>
      <c r="BZ216" s="311">
        <f>+SUM(BZ213:BZ214)/BZ226</f>
        <v>9.8238482384823855E-2</v>
      </c>
      <c r="CA216" s="310">
        <f>+SUM(CA213:CA214)/CA226</f>
        <v>5.11052457934675</v>
      </c>
      <c r="CB216" s="311">
        <f t="shared" ref="CB216:CD216" si="871">+SUM(CB213:CB214)/CB226</f>
        <v>0</v>
      </c>
      <c r="CC216" s="311">
        <f t="shared" si="871"/>
        <v>0</v>
      </c>
      <c r="CD216" s="311">
        <f t="shared" si="871"/>
        <v>0</v>
      </c>
      <c r="CE216" s="311">
        <f>+SUM(CE213:CE214)/CE226</f>
        <v>-6.5442462399440373</v>
      </c>
      <c r="CF216" s="310">
        <f>+SUM(CF213:CF214)/CF226</f>
        <v>-6.4389572399552604</v>
      </c>
      <c r="CG216" s="311"/>
      <c r="CH216" s="311"/>
      <c r="CI216" s="311"/>
      <c r="CJ216" s="311"/>
      <c r="CK216" s="310">
        <f>+SUM(CK213:CK214)/CK226</f>
        <v>4.9884526558891453</v>
      </c>
      <c r="CL216" s="311"/>
      <c r="CM216" s="311"/>
      <c r="CN216" s="311"/>
      <c r="CO216" s="311"/>
      <c r="CP216" s="310">
        <f>+SUM(CP213:CP214)/CP226</f>
        <v>-6.4871375720554063</v>
      </c>
      <c r="CQ216" s="311">
        <f t="shared" si="870"/>
        <v>0</v>
      </c>
      <c r="CR216" s="352">
        <f t="shared" si="870"/>
        <v>0</v>
      </c>
      <c r="CS216" s="352">
        <f t="shared" si="870"/>
        <v>0</v>
      </c>
      <c r="CT216" s="352">
        <f t="shared" si="870"/>
        <v>0</v>
      </c>
      <c r="CU216" s="351">
        <f t="shared" ref="CU216" si="872">+SUM(CU213:CU214)/CU226</f>
        <v>0</v>
      </c>
      <c r="CV216" s="352" t="e">
        <f t="shared" si="870"/>
        <v>#DIV/0!</v>
      </c>
      <c r="CW216" s="352" t="e">
        <f t="shared" si="870"/>
        <v>#DIV/0!</v>
      </c>
      <c r="CX216" s="352" t="e">
        <f t="shared" si="870"/>
        <v>#DIV/0!</v>
      </c>
      <c r="CY216" s="354" t="e">
        <f t="shared" si="870"/>
        <v>#DIV/0!</v>
      </c>
      <c r="CZ216" s="351">
        <f t="shared" si="870"/>
        <v>0</v>
      </c>
      <c r="DA216" s="352" t="e">
        <f t="shared" si="870"/>
        <v>#DIV/0!</v>
      </c>
      <c r="DB216" s="352" t="e">
        <f t="shared" si="870"/>
        <v>#DIV/0!</v>
      </c>
      <c r="DC216" s="352" t="e">
        <f t="shared" si="870"/>
        <v>#DIV/0!</v>
      </c>
      <c r="DD216" s="354" t="e">
        <f t="shared" si="870"/>
        <v>#DIV/0!</v>
      </c>
      <c r="DE216" s="351">
        <f t="shared" si="870"/>
        <v>0</v>
      </c>
      <c r="DF216" s="352" t="e">
        <f t="shared" si="870"/>
        <v>#DIV/0!</v>
      </c>
      <c r="DG216" s="352" t="e">
        <f t="shared" si="870"/>
        <v>#DIV/0!</v>
      </c>
      <c r="DH216" s="352" t="e">
        <f t="shared" si="870"/>
        <v>#DIV/0!</v>
      </c>
      <c r="DI216" s="354" t="e">
        <f t="shared" si="870"/>
        <v>#DIV/0!</v>
      </c>
      <c r="DJ216" s="351">
        <f t="shared" si="870"/>
        <v>0</v>
      </c>
      <c r="DK216" s="353"/>
      <c r="DL216" s="1290"/>
      <c r="DM216" s="1104"/>
      <c r="DN216" s="1083"/>
      <c r="DO216" s="1083"/>
      <c r="DP216" s="1180"/>
      <c r="DQ216" s="1206"/>
      <c r="DR216" s="1206"/>
      <c r="DS216" s="1206"/>
      <c r="DT216" s="1206"/>
      <c r="DU216" s="1206"/>
      <c r="DV216" s="1206"/>
      <c r="DW216" s="1083"/>
      <c r="DX216" s="1083"/>
      <c r="DY216" s="358"/>
      <c r="DZ216" s="352"/>
      <c r="EA216" s="352"/>
      <c r="EB216"/>
      <c r="EC216"/>
      <c r="ED216"/>
      <c r="EE216"/>
      <c r="EF216"/>
      <c r="EG216"/>
    </row>
    <row r="217" spans="1:137" s="398" customFormat="1">
      <c r="A217" s="240" t="s">
        <v>212</v>
      </c>
      <c r="B217" s="159">
        <f t="shared" ref="B217:AQ217" si="873">B215/B226</f>
        <v>-1.8728323699421965</v>
      </c>
      <c r="C217" s="159">
        <f t="shared" si="873"/>
        <v>1.1061946902654867</v>
      </c>
      <c r="D217" s="159">
        <f t="shared" si="873"/>
        <v>2.34</v>
      </c>
      <c r="E217" s="159">
        <f t="shared" si="873"/>
        <v>2.8315813017222098</v>
      </c>
      <c r="F217" s="159">
        <f t="shared" si="873"/>
        <v>4.0951419275215981</v>
      </c>
      <c r="G217" s="159">
        <f t="shared" si="873"/>
        <v>5.795142071494042</v>
      </c>
      <c r="H217" s="161">
        <f t="shared" si="873"/>
        <v>1.5968525804211988</v>
      </c>
      <c r="I217" s="161">
        <f t="shared" si="873"/>
        <v>1.824150058616647</v>
      </c>
      <c r="J217" s="161">
        <f t="shared" si="873"/>
        <v>1.8044758539458186</v>
      </c>
      <c r="K217" s="161">
        <f t="shared" si="873"/>
        <v>1.887104393008975</v>
      </c>
      <c r="L217" s="159">
        <f t="shared" si="873"/>
        <v>7.1013814095059704</v>
      </c>
      <c r="M217" s="161">
        <f t="shared" si="873"/>
        <v>1.7514395393474087</v>
      </c>
      <c r="N217" s="161">
        <f t="shared" si="873"/>
        <v>2.1538461538461537</v>
      </c>
      <c r="O217" s="161">
        <f t="shared" si="873"/>
        <v>1.9209039548022597</v>
      </c>
      <c r="P217" s="161">
        <f t="shared" si="873"/>
        <v>2.0539056650860994</v>
      </c>
      <c r="Q217" s="159">
        <f t="shared" si="873"/>
        <v>7.8578407425500734</v>
      </c>
      <c r="R217" s="161">
        <f t="shared" si="873"/>
        <v>1.6756824757831175</v>
      </c>
      <c r="S217" s="160">
        <f>S215/S226</f>
        <v>1.8777180864671272</v>
      </c>
      <c r="T217" s="160">
        <f>T215/T226</f>
        <v>2.0674448767833984</v>
      </c>
      <c r="U217" s="160">
        <f>U215/U226</f>
        <v>2.1654883477350091</v>
      </c>
      <c r="V217" s="162">
        <f>V215/V226</f>
        <v>7.7792979297929774</v>
      </c>
      <c r="W217" s="161">
        <f t="shared" si="873"/>
        <v>1.411172888535875</v>
      </c>
      <c r="X217" s="161">
        <f t="shared" si="873"/>
        <v>2.2168415388754372</v>
      </c>
      <c r="Y217" s="161">
        <f t="shared" si="873"/>
        <v>1.5387151728306865</v>
      </c>
      <c r="Z217" s="161">
        <f t="shared" si="873"/>
        <v>2.6716708368084516</v>
      </c>
      <c r="AA217" s="162">
        <f>AA215/AA226</f>
        <v>7.8142818354602221</v>
      </c>
      <c r="AB217" s="161">
        <f t="shared" si="873"/>
        <v>1.5031196823596142</v>
      </c>
      <c r="AC217" s="161">
        <f t="shared" si="873"/>
        <v>2.1405492730210018</v>
      </c>
      <c r="AD217" s="160">
        <f t="shared" si="873"/>
        <v>2.0950725332693922</v>
      </c>
      <c r="AE217" s="160">
        <f t="shared" si="873"/>
        <v>2.0916883514465026</v>
      </c>
      <c r="AF217" s="162">
        <f>AF215/AF226</f>
        <v>7.811856428361283</v>
      </c>
      <c r="AG217" s="161">
        <f t="shared" si="873"/>
        <v>2.0314021421616362</v>
      </c>
      <c r="AH217" s="161">
        <f t="shared" si="873"/>
        <v>2.3753041362530412</v>
      </c>
      <c r="AI217" s="161">
        <f t="shared" si="873"/>
        <v>2.2144380140115749</v>
      </c>
      <c r="AJ217" s="161">
        <f t="shared" si="873"/>
        <v>1.7347560975609757</v>
      </c>
      <c r="AK217" s="162">
        <f t="shared" si="873"/>
        <v>8.3587088915956151</v>
      </c>
      <c r="AL217" s="161">
        <f t="shared" si="873"/>
        <v>2.3322096230462765</v>
      </c>
      <c r="AM217" s="161">
        <f t="shared" si="873"/>
        <v>2.6357778459650203</v>
      </c>
      <c r="AN217" s="161">
        <f>AN215/AN226</f>
        <v>2.665648854961832</v>
      </c>
      <c r="AO217" s="161">
        <f>AO215/AO226</f>
        <v>1.4955562365920931</v>
      </c>
      <c r="AP217" s="162">
        <f t="shared" si="873"/>
        <v>9.1316692189892787</v>
      </c>
      <c r="AQ217" s="160">
        <f t="shared" si="873"/>
        <v>2.8698861888649643</v>
      </c>
      <c r="AR217" s="161">
        <f t="shared" ref="AR217:BF217" si="874">AR215/AR226</f>
        <v>2.7600124185035702</v>
      </c>
      <c r="AS217" s="161">
        <f t="shared" si="874"/>
        <v>2.7594779366065878</v>
      </c>
      <c r="AT217" s="161">
        <f t="shared" si="874"/>
        <v>2.8197130380536493</v>
      </c>
      <c r="AU217" s="162">
        <f t="shared" si="874"/>
        <v>11.20967741935484</v>
      </c>
      <c r="AV217" s="160">
        <f>AV215/AV226</f>
        <v>2.7420362273579015</v>
      </c>
      <c r="AW217" s="161">
        <f>AW215/AW226</f>
        <v>2.9389433723505216</v>
      </c>
      <c r="AX217" s="161">
        <f>AX215/AX226</f>
        <v>2.7662296130476496</v>
      </c>
      <c r="AY217" s="161">
        <f>AY215/AY226</f>
        <v>3.0077369439071568</v>
      </c>
      <c r="AZ217" s="162">
        <f>AZ215/AZ226</f>
        <v>11.455354305687957</v>
      </c>
      <c r="BA217" s="162">
        <f t="shared" ref="BA217" si="875">BA215/BA226</f>
        <v>9.1316692189892787</v>
      </c>
      <c r="BB217" s="160">
        <f t="shared" si="874"/>
        <v>2.8698861888649643</v>
      </c>
      <c r="BC217" s="161">
        <f t="shared" si="874"/>
        <v>2.7600124185035702</v>
      </c>
      <c r="BD217" s="161">
        <f t="shared" si="874"/>
        <v>2.7594779366065878</v>
      </c>
      <c r="BE217" s="161">
        <f t="shared" si="874"/>
        <v>2.8197130380536493</v>
      </c>
      <c r="BF217" s="162">
        <f t="shared" si="874"/>
        <v>11.211197270471464</v>
      </c>
      <c r="BG217" s="160">
        <f t="shared" ref="BG217:BJ217" si="876">BG215/BG226</f>
        <v>2.7420362273579015</v>
      </c>
      <c r="BH217" s="161">
        <f t="shared" si="876"/>
        <v>2.9389433723505216</v>
      </c>
      <c r="BI217" s="161">
        <f t="shared" si="876"/>
        <v>2.7662296130476496</v>
      </c>
      <c r="BJ217" s="161">
        <f t="shared" si="876"/>
        <v>3.0077369439071568</v>
      </c>
      <c r="BK217" s="162">
        <f t="shared" ref="BK217:BM217" si="877">BK215/BK226</f>
        <v>11.456911344137273</v>
      </c>
      <c r="BL217" s="160">
        <f t="shared" si="877"/>
        <v>2.5795971410006495</v>
      </c>
      <c r="BM217" s="161">
        <f t="shared" si="877"/>
        <v>3.3246499511559748</v>
      </c>
      <c r="BN217" s="161"/>
      <c r="BO217" s="161"/>
      <c r="BP217" s="162"/>
      <c r="BQ217" s="1265">
        <f t="shared" ref="BQ217" si="878">BQ215/BQ226</f>
        <v>11.211197270471464</v>
      </c>
      <c r="BR217" s="1216">
        <f t="shared" ref="BR217:BY217" si="879">BR215/BR226</f>
        <v>2.7420362273579015</v>
      </c>
      <c r="BS217" s="1228">
        <f t="shared" si="879"/>
        <v>2.9389433723505216</v>
      </c>
      <c r="BT217" s="1228">
        <f t="shared" si="879"/>
        <v>2.7662296130476496</v>
      </c>
      <c r="BU217" s="1228">
        <f t="shared" si="879"/>
        <v>3.0077369439071568</v>
      </c>
      <c r="BV217" s="1265">
        <f t="shared" si="879"/>
        <v>11.456911344137273</v>
      </c>
      <c r="BW217" s="1216">
        <f t="shared" si="879"/>
        <v>2.9089731130547456</v>
      </c>
      <c r="BX217" s="1228">
        <f t="shared" si="879"/>
        <v>3.3246499511559748</v>
      </c>
      <c r="BY217" s="1228">
        <f t="shared" si="879"/>
        <v>7.9304635761589406</v>
      </c>
      <c r="BZ217" s="1228">
        <f>BZ215/BZ226</f>
        <v>3.3468834688346885</v>
      </c>
      <c r="CA217" s="1265">
        <f>CA215/CA226</f>
        <v>17.492576707357305</v>
      </c>
      <c r="CB217" s="1216">
        <f t="shared" ref="CB217:CD217" si="880">CB215/CB226</f>
        <v>2.6058743169398908</v>
      </c>
      <c r="CC217" s="1228">
        <f t="shared" si="880"/>
        <v>3.2348901098901099</v>
      </c>
      <c r="CD217" s="1228">
        <f t="shared" si="880"/>
        <v>3.2379310344827585</v>
      </c>
      <c r="CE217" s="1228">
        <f>CE215/CE226</f>
        <v>-2.2455403987408187</v>
      </c>
      <c r="CF217" s="1265">
        <f>CF215/CF226</f>
        <v>6.8897874903209146</v>
      </c>
      <c r="CG217" s="1216"/>
      <c r="CH217" s="1228"/>
      <c r="CI217" s="1228"/>
      <c r="CJ217" s="1228"/>
      <c r="CK217" s="1265">
        <f>CK215/CK226</f>
        <v>17.116463213460904</v>
      </c>
      <c r="CL217" s="1216"/>
      <c r="CM217" s="1228"/>
      <c r="CN217" s="1228"/>
      <c r="CO217" s="1228"/>
      <c r="CP217" s="1265">
        <f>CP215/CP226</f>
        <v>6.8191534027359548</v>
      </c>
      <c r="CQ217" s="1228">
        <f t="shared" ref="CQ217:CT217" si="881">CQ215/CQ226</f>
        <v>3.4459587233210693</v>
      </c>
      <c r="CR217" s="161">
        <f t="shared" si="881"/>
        <v>3.9588856923324705</v>
      </c>
      <c r="CS217" s="161">
        <f t="shared" si="881"/>
        <v>3.7451606639778103</v>
      </c>
      <c r="CT217" s="161">
        <f t="shared" si="881"/>
        <v>4.6157097085098009</v>
      </c>
      <c r="CU217" s="162">
        <f>CU215/CU226</f>
        <v>15.761591346640028</v>
      </c>
      <c r="CV217" s="163"/>
      <c r="CW217" s="163"/>
      <c r="CX217" s="163"/>
      <c r="CY217" s="164"/>
      <c r="CZ217" s="162">
        <f>CZ215/CZ226</f>
        <v>17.76067852158193</v>
      </c>
      <c r="DA217" s="163"/>
      <c r="DB217" s="163"/>
      <c r="DC217" s="163"/>
      <c r="DD217" s="164"/>
      <c r="DE217" s="162">
        <f>DE215/DE226</f>
        <v>24.047698384127681</v>
      </c>
      <c r="DF217" s="163"/>
      <c r="DG217" s="163"/>
      <c r="DH217" s="163"/>
      <c r="DI217" s="164"/>
      <c r="DJ217" s="162">
        <f>DJ215/DJ226</f>
        <v>25.517810284861991</v>
      </c>
      <c r="DK217" s="397"/>
      <c r="DL217" s="1285"/>
      <c r="DM217" s="1100"/>
      <c r="DN217" s="809"/>
      <c r="DO217" s="809"/>
      <c r="DP217" s="1180"/>
      <c r="DQ217" s="1206"/>
      <c r="DR217" s="1206"/>
      <c r="DS217" s="1206"/>
      <c r="DT217" s="1206"/>
      <c r="DU217" s="1206"/>
      <c r="DV217" s="1206"/>
      <c r="DW217" s="809"/>
      <c r="DX217" s="809"/>
      <c r="DY217" s="360"/>
      <c r="DZ217" s="167"/>
      <c r="EA217" s="167"/>
      <c r="EB217"/>
      <c r="EC217"/>
      <c r="ED217"/>
      <c r="EE217"/>
      <c r="EF217"/>
      <c r="EG217"/>
    </row>
    <row r="218" spans="1:137" s="398" customFormat="1">
      <c r="A218" s="97" t="s">
        <v>53</v>
      </c>
      <c r="B218" s="80"/>
      <c r="C218" s="80">
        <f>C217/B217-1</f>
        <v>-1.5906533377034853</v>
      </c>
      <c r="D218" s="80">
        <f>D217/C217-1</f>
        <v>1.1153599999999999</v>
      </c>
      <c r="E218" s="80">
        <f>E217/D217-1</f>
        <v>0.21007747936846588</v>
      </c>
      <c r="F218" s="80">
        <f>F217/E217-1</f>
        <v>0.4462385116863401</v>
      </c>
      <c r="G218" s="80">
        <f>G217/F217-1</f>
        <v>0.41512606255414775</v>
      </c>
      <c r="H218" s="82"/>
      <c r="I218" s="82"/>
      <c r="J218" s="82"/>
      <c r="K218" s="82"/>
      <c r="L218" s="80">
        <f t="shared" ref="L218:AP218" si="882">L217/G217-1</f>
        <v>0.22540247018916792</v>
      </c>
      <c r="M218" s="82">
        <f t="shared" si="882"/>
        <v>9.6807282539152606E-2</v>
      </c>
      <c r="N218" s="82">
        <f t="shared" si="882"/>
        <v>0.18073956891437604</v>
      </c>
      <c r="O218" s="82">
        <f t="shared" si="882"/>
        <v>6.4521839182192231E-2</v>
      </c>
      <c r="P218" s="82">
        <f t="shared" si="882"/>
        <v>8.8390060822846728E-2</v>
      </c>
      <c r="Q218" s="80">
        <f t="shared" si="882"/>
        <v>0.10652284244745669</v>
      </c>
      <c r="R218" s="82">
        <f t="shared" si="882"/>
        <v>-4.325416999122822E-2</v>
      </c>
      <c r="S218" s="82">
        <f t="shared" si="882"/>
        <v>-0.12820231699740514</v>
      </c>
      <c r="T218" s="82">
        <f t="shared" si="882"/>
        <v>7.6287479972533934E-2</v>
      </c>
      <c r="U218" s="83">
        <f t="shared" si="882"/>
        <v>5.4327072827968559E-2</v>
      </c>
      <c r="V218" s="80">
        <f t="shared" si="882"/>
        <v>-9.9954701718231176E-3</v>
      </c>
      <c r="W218" s="83">
        <f t="shared" si="882"/>
        <v>-0.15785185503215693</v>
      </c>
      <c r="X218" s="82">
        <f t="shared" si="882"/>
        <v>0.1806040293547797</v>
      </c>
      <c r="Y218" s="83">
        <f t="shared" si="882"/>
        <v>-0.25574065354299924</v>
      </c>
      <c r="Z218" s="83">
        <f t="shared" si="882"/>
        <v>0.2337498096458861</v>
      </c>
      <c r="AA218" s="84">
        <f t="shared" si="882"/>
        <v>4.4970517883451411E-3</v>
      </c>
      <c r="AB218" s="83">
        <f>AB217/W217-1</f>
        <v>6.5156292734008137E-2</v>
      </c>
      <c r="AC218" s="82">
        <f t="shared" si="882"/>
        <v>-3.4414848565647582E-2</v>
      </c>
      <c r="AD218" s="82">
        <f t="shared" si="882"/>
        <v>0.36157267456796882</v>
      </c>
      <c r="AE218" s="82">
        <f t="shared" si="882"/>
        <v>-0.21708605617553911</v>
      </c>
      <c r="AF218" s="80">
        <f t="shared" si="882"/>
        <v>-3.1038131846394812E-4</v>
      </c>
      <c r="AG218" s="83">
        <f t="shared" si="882"/>
        <v>0.3514573496720621</v>
      </c>
      <c r="AH218" s="82">
        <f t="shared" si="882"/>
        <v>0.10967038516274141</v>
      </c>
      <c r="AI218" s="82">
        <f t="shared" si="882"/>
        <v>5.6974390550531995E-2</v>
      </c>
      <c r="AJ218" s="82">
        <f t="shared" si="882"/>
        <v>-0.17064313316020097</v>
      </c>
      <c r="AK218" s="80">
        <f t="shared" si="882"/>
        <v>7.0002881933282968E-2</v>
      </c>
      <c r="AL218" s="82">
        <f t="shared" si="882"/>
        <v>0.14807874553314582</v>
      </c>
      <c r="AM218" s="82">
        <f>AM217/AH217-1</f>
        <v>0.10965909827567066</v>
      </c>
      <c r="AN218" s="82">
        <f>AN217/AI217-1</f>
        <v>0.20375862322416705</v>
      </c>
      <c r="AO218" s="82">
        <f t="shared" si="882"/>
        <v>-0.1378867388361924</v>
      </c>
      <c r="AP218" s="80">
        <f t="shared" si="882"/>
        <v>9.2473650825529718E-2</v>
      </c>
      <c r="AQ218" s="82">
        <f t="shared" ref="AQ218:AZ218" si="883">AQ217/AL217-1</f>
        <v>0.23054384155931373</v>
      </c>
      <c r="AR218" s="82">
        <f t="shared" si="883"/>
        <v>4.7133931537035378E-2</v>
      </c>
      <c r="AS218" s="82">
        <f t="shared" si="883"/>
        <v>3.5199340479561858E-2</v>
      </c>
      <c r="AT218" s="82">
        <f t="shared" si="883"/>
        <v>0.88539418917398716</v>
      </c>
      <c r="AU218" s="80">
        <f t="shared" si="883"/>
        <v>0.22756060809171119</v>
      </c>
      <c r="AV218" s="82">
        <f t="shared" si="883"/>
        <v>-4.454879151762714E-2</v>
      </c>
      <c r="AW218" s="82">
        <f t="shared" si="883"/>
        <v>6.482976404286056E-2</v>
      </c>
      <c r="AX218" s="82">
        <f t="shared" si="883"/>
        <v>2.4467223859614418E-3</v>
      </c>
      <c r="AY218" s="82">
        <f t="shared" si="883"/>
        <v>6.6681929443179744E-2</v>
      </c>
      <c r="AZ218" s="80">
        <f t="shared" si="883"/>
        <v>2.1916499212450757E-2</v>
      </c>
      <c r="BA218" s="80"/>
      <c r="BB218" s="82">
        <f>BB217/BA217-1</f>
        <v>-0.68572162218742605</v>
      </c>
      <c r="BC218" s="82">
        <f>BC217/AQ217-1</f>
        <v>-3.8285061891199623E-2</v>
      </c>
      <c r="BD218" s="82">
        <f>BD217/AR217-1</f>
        <v>-1.93651989896515E-4</v>
      </c>
      <c r="BE218" s="82">
        <f>BE217/AS217-1</f>
        <v>2.182844104241477E-2</v>
      </c>
      <c r="BF218" s="80"/>
      <c r="BG218" s="82">
        <f>BG217/BF217-1</f>
        <v>-0.75541985737955075</v>
      </c>
      <c r="BH218" s="82">
        <f>BH217/AV217-1</f>
        <v>7.1810555611203863E-2</v>
      </c>
      <c r="BI218" s="82">
        <f>BI217/AW217-1</f>
        <v>-5.8767297433409915E-2</v>
      </c>
      <c r="BJ218" s="82">
        <f>BJ217/AX217-1</f>
        <v>8.7305598103778026E-2</v>
      </c>
      <c r="BK218" s="80"/>
      <c r="BL218" s="82">
        <f>BL217/BK217-1</f>
        <v>-0.77484358013115984</v>
      </c>
      <c r="BM218" s="82">
        <f>BM217/BA217-1</f>
        <v>-0.6359208955748884</v>
      </c>
      <c r="BN218" s="82"/>
      <c r="BO218" s="82"/>
      <c r="BP218" s="80"/>
      <c r="BQ218" s="34"/>
      <c r="BR218" s="27"/>
      <c r="BS218" s="27"/>
      <c r="BT218" s="27"/>
      <c r="BU218" s="27"/>
      <c r="BV218" s="34"/>
      <c r="BW218" s="27">
        <f>+BW217/BR217-1</f>
        <v>6.0880627334999327E-2</v>
      </c>
      <c r="BX218" s="27">
        <f t="shared" ref="BX218:BY218" si="884">+BX217/BS217-1</f>
        <v>0.13123988111991802</v>
      </c>
      <c r="BY218" s="27">
        <f t="shared" si="884"/>
        <v>1.8668855031964169</v>
      </c>
      <c r="BZ218" s="27">
        <f>+BZ217/BU217-1</f>
        <v>0.11275804076368745</v>
      </c>
      <c r="CA218" s="34">
        <f>+CA217/BV217-1</f>
        <v>0.52681435527635467</v>
      </c>
      <c r="CB218" s="27">
        <f>+CB217/BW217-1</f>
        <v>-0.10419443024571906</v>
      </c>
      <c r="CC218" s="27">
        <f t="shared" ref="CC218:CD218" si="885">+CC217/BX217-1</f>
        <v>-2.6998283303376169E-2</v>
      </c>
      <c r="CD218" s="27">
        <f t="shared" si="885"/>
        <v>-0.59170974011950184</v>
      </c>
      <c r="CE218" s="27">
        <f>+CE217/BZ217-1</f>
        <v>-1.6709347426197265</v>
      </c>
      <c r="CF218" s="34">
        <f>+CF217/CA217-1</f>
        <v>-0.60613078304106571</v>
      </c>
      <c r="CG218" s="27"/>
      <c r="CH218" s="27"/>
      <c r="CI218" s="27"/>
      <c r="CJ218" s="27"/>
      <c r="CK218" s="34"/>
      <c r="CL218" s="27"/>
      <c r="CM218" s="27"/>
      <c r="CN218" s="27"/>
      <c r="CO218" s="27"/>
      <c r="CP218" s="34">
        <f>+CP217/CK217-1</f>
        <v>-0.60160266068441248</v>
      </c>
      <c r="CQ218" s="82"/>
      <c r="CR218" s="82"/>
      <c r="CS218" s="82"/>
      <c r="CT218" s="82"/>
      <c r="CU218" s="80">
        <f>CU217/CP217-1</f>
        <v>1.3113706960040261</v>
      </c>
      <c r="CV218" s="82"/>
      <c r="CW218" s="82"/>
      <c r="CX218" s="82"/>
      <c r="CY218" s="81"/>
      <c r="CZ218" s="80">
        <f>CZ217/CU217-1</f>
        <v>0.12683282613897084</v>
      </c>
      <c r="DA218" s="82"/>
      <c r="DB218" s="82"/>
      <c r="DC218" s="82"/>
      <c r="DD218" s="81"/>
      <c r="DE218" s="80">
        <f>DE217/CZ217-1</f>
        <v>0.35398534210875243</v>
      </c>
      <c r="DF218" s="82"/>
      <c r="DG218" s="82"/>
      <c r="DH218" s="82"/>
      <c r="DI218" s="81"/>
      <c r="DJ218" s="80">
        <f>DJ217/DE217-1</f>
        <v>6.1133164482162439E-2</v>
      </c>
      <c r="DK218" s="397"/>
      <c r="DL218" s="74"/>
      <c r="DM218" s="867"/>
      <c r="DN218" s="809"/>
      <c r="DO218" s="809"/>
      <c r="DP218" s="1054"/>
      <c r="DQ218" s="1054"/>
      <c r="DR218" s="1182"/>
      <c r="DS218" s="809"/>
      <c r="DT218" s="1083"/>
      <c r="DU218" s="809"/>
      <c r="DV218" s="809"/>
      <c r="DW218" s="809"/>
      <c r="DX218" s="809"/>
      <c r="DY218" s="360"/>
      <c r="DZ218" s="167"/>
      <c r="EA218" s="167"/>
      <c r="EB218"/>
      <c r="EC218"/>
      <c r="ED218"/>
      <c r="EE218"/>
      <c r="EF218"/>
      <c r="EG218"/>
    </row>
    <row r="219" spans="1:137" s="224" customFormat="1">
      <c r="A219" s="86" t="s">
        <v>236</v>
      </c>
      <c r="B219" s="232"/>
      <c r="C219" s="232"/>
      <c r="D219" s="232"/>
      <c r="E219" s="232"/>
      <c r="F219" s="232"/>
      <c r="G219" s="232"/>
      <c r="H219" s="234"/>
      <c r="I219" s="235"/>
      <c r="J219" s="235"/>
      <c r="K219" s="234"/>
      <c r="L219" s="232"/>
      <c r="M219" s="235"/>
      <c r="N219" s="235"/>
      <c r="O219" s="235"/>
      <c r="P219" s="234"/>
      <c r="Q219" s="232"/>
      <c r="R219" s="235"/>
      <c r="S219" s="235"/>
      <c r="T219" s="235"/>
      <c r="U219" s="234"/>
      <c r="V219" s="232"/>
      <c r="W219" s="235"/>
      <c r="X219" s="235"/>
      <c r="Y219" s="235"/>
      <c r="Z219" s="234"/>
      <c r="AA219" s="232"/>
      <c r="AB219" s="235"/>
      <c r="AC219" s="235"/>
      <c r="AD219" s="235"/>
      <c r="AE219" s="234"/>
      <c r="AF219" s="232"/>
      <c r="AG219" s="234"/>
      <c r="AH219" s="235"/>
      <c r="AI219" s="235"/>
      <c r="AJ219" s="234"/>
      <c r="AK219" s="232"/>
      <c r="AL219" s="235"/>
      <c r="AM219" s="235"/>
      <c r="AN219" s="235"/>
      <c r="AO219" s="234"/>
      <c r="AP219" s="232"/>
      <c r="AQ219" s="236"/>
      <c r="AR219" s="235"/>
      <c r="AS219" s="235"/>
      <c r="AT219" s="234"/>
      <c r="AU219" s="232"/>
      <c r="AV219" s="236"/>
      <c r="AW219" s="235"/>
      <c r="AX219" s="235"/>
      <c r="AY219" s="234"/>
      <c r="AZ219" s="232"/>
      <c r="BA219" s="232"/>
      <c r="BB219" s="236"/>
      <c r="BC219" s="235"/>
      <c r="BD219" s="235"/>
      <c r="BE219" s="234"/>
      <c r="BF219" s="232"/>
      <c r="BG219" s="236"/>
      <c r="BH219" s="235"/>
      <c r="BI219" s="235"/>
      <c r="BJ219" s="234"/>
      <c r="BK219" s="232"/>
      <c r="BL219" s="236"/>
      <c r="BM219" s="235"/>
      <c r="BN219" s="235"/>
      <c r="BO219" s="234"/>
      <c r="BP219" s="232"/>
      <c r="BQ219" s="232"/>
      <c r="BR219" s="236"/>
      <c r="BS219" s="235"/>
      <c r="BT219" s="235"/>
      <c r="BU219" s="234"/>
      <c r="BV219" s="232"/>
      <c r="BW219" s="236"/>
      <c r="BX219" s="235"/>
      <c r="BY219" s="235"/>
      <c r="BZ219" s="234"/>
      <c r="CA219" s="232"/>
      <c r="CB219" s="236"/>
      <c r="CC219" s="235"/>
      <c r="CD219" s="235"/>
      <c r="CE219" s="234"/>
      <c r="CF219" s="232"/>
      <c r="CG219" s="236"/>
      <c r="CH219" s="235"/>
      <c r="CI219" s="235"/>
      <c r="CJ219" s="234"/>
      <c r="CK219" s="232"/>
      <c r="CL219" s="236"/>
      <c r="CM219" s="235"/>
      <c r="CN219" s="235"/>
      <c r="CO219" s="234"/>
      <c r="CP219" s="232"/>
      <c r="CQ219" s="234"/>
      <c r="CR219" s="234"/>
      <c r="CS219" s="234"/>
      <c r="CT219" s="233"/>
      <c r="CU219" s="232"/>
      <c r="CV219" s="234"/>
      <c r="CW219" s="234"/>
      <c r="CX219" s="234"/>
      <c r="CY219" s="233"/>
      <c r="CZ219" s="232"/>
      <c r="DA219" s="234"/>
      <c r="DB219" s="234"/>
      <c r="DC219" s="234"/>
      <c r="DD219" s="233"/>
      <c r="DE219" s="232"/>
      <c r="DF219" s="234"/>
      <c r="DG219" s="234"/>
      <c r="DH219" s="234"/>
      <c r="DI219" s="233"/>
      <c r="DJ219" s="232"/>
      <c r="DK219" s="217"/>
      <c r="DL219" s="1286"/>
      <c r="DM219" s="810"/>
      <c r="DN219" s="810"/>
      <c r="DO219" s="810"/>
      <c r="DP219" s="1054"/>
      <c r="DQ219" s="1053"/>
      <c r="DR219" s="1182"/>
      <c r="DS219" s="1135"/>
      <c r="DT219" s="1135"/>
      <c r="DU219" s="1135"/>
      <c r="DV219" s="1135"/>
      <c r="DW219" s="810"/>
      <c r="DX219" s="810"/>
      <c r="DY219" s="228"/>
      <c r="DZ219" s="216"/>
      <c r="EA219" s="216"/>
      <c r="EB219"/>
      <c r="EC219"/>
      <c r="ED219"/>
      <c r="EE219"/>
      <c r="EF219"/>
      <c r="EG219"/>
    </row>
    <row r="220" spans="1:137" s="603" customFormat="1">
      <c r="A220" s="629" t="s">
        <v>237</v>
      </c>
      <c r="B220" s="630">
        <v>443.38600000000002</v>
      </c>
      <c r="C220" s="630">
        <v>455.70944300000002</v>
      </c>
      <c r="D220" s="630">
        <v>447.25299999999999</v>
      </c>
      <c r="E220" s="630">
        <v>441.14133800000002</v>
      </c>
      <c r="F220" s="630">
        <v>436.911542</v>
      </c>
      <c r="G220" s="630">
        <v>422.48200000000003</v>
      </c>
      <c r="H220" s="631">
        <v>419.62441999999999</v>
      </c>
      <c r="I220" s="632">
        <v>413.35346399999997</v>
      </c>
      <c r="J220" s="632">
        <v>413.148976</v>
      </c>
      <c r="K220" s="631">
        <v>409.4</v>
      </c>
      <c r="L220" s="630">
        <v>408.12299999999999</v>
      </c>
      <c r="M220" s="632">
        <v>402.12312800000001</v>
      </c>
      <c r="N220" s="632">
        <v>396.35163399999999</v>
      </c>
      <c r="O220" s="632">
        <v>400.60775699999999</v>
      </c>
      <c r="P220" s="631">
        <v>392.7</v>
      </c>
      <c r="Q220" s="630">
        <v>395.27160900000001</v>
      </c>
      <c r="R220" s="632">
        <v>388.88500099999999</v>
      </c>
      <c r="S220" s="632">
        <v>384.355119</v>
      </c>
      <c r="T220" s="632">
        <v>380.78267799999998</v>
      </c>
      <c r="U220" s="631">
        <v>372.9</v>
      </c>
      <c r="V220" s="630">
        <v>375.42867999999999</v>
      </c>
      <c r="W220" s="633">
        <v>370.99792000000002</v>
      </c>
      <c r="X220" s="633">
        <v>362.49818399999998</v>
      </c>
      <c r="Y220" s="637">
        <v>360.12840399999999</v>
      </c>
      <c r="Z220" s="631">
        <f>AA220</f>
        <v>349.85517900000002</v>
      </c>
      <c r="AA220" s="634">
        <v>349.85517900000002</v>
      </c>
      <c r="AB220" s="633">
        <v>347.29917799999998</v>
      </c>
      <c r="AC220" s="633">
        <v>335.62253099999998</v>
      </c>
      <c r="AD220" s="633">
        <v>323.57048300000002</v>
      </c>
      <c r="AE220" s="635">
        <v>321.10000000000002</v>
      </c>
      <c r="AF220" s="634">
        <v>325.10550000000001</v>
      </c>
      <c r="AG220" s="635">
        <v>324.63673299999999</v>
      </c>
      <c r="AH220" s="633">
        <v>324.41627</v>
      </c>
      <c r="AI220" s="633">
        <v>323.58743700000002</v>
      </c>
      <c r="AJ220" s="635">
        <f>AK220</f>
        <v>322.58333399999998</v>
      </c>
      <c r="AK220" s="634">
        <v>322.58333399999998</v>
      </c>
      <c r="AL220" s="633">
        <v>320.40532200000001</v>
      </c>
      <c r="AM220" s="633">
        <v>320.93659000000002</v>
      </c>
      <c r="AN220" s="633">
        <v>320.30724800000002</v>
      </c>
      <c r="AO220" s="633">
        <v>319</v>
      </c>
      <c r="AP220" s="638">
        <f>+AK220+AP221</f>
        <v>319</v>
      </c>
      <c r="AQ220" s="801">
        <v>317.37700000000001</v>
      </c>
      <c r="AR220" s="798">
        <v>316.8</v>
      </c>
      <c r="AS220" s="633">
        <v>315.925164</v>
      </c>
      <c r="AT220" s="798">
        <v>315.10000000000002</v>
      </c>
      <c r="AU220" s="638">
        <f>+AP220+AU221</f>
        <v>315.10000000000002</v>
      </c>
      <c r="AV220" s="801">
        <v>314.76054199999999</v>
      </c>
      <c r="AW220" s="798">
        <v>310.53453000000002</v>
      </c>
      <c r="AX220" s="798">
        <v>307.29549400000002</v>
      </c>
      <c r="AY220" s="798">
        <v>304.960849</v>
      </c>
      <c r="AZ220" s="638">
        <f>+AU220+AZ221</f>
        <v>304.960849</v>
      </c>
      <c r="BA220" s="638">
        <f t="shared" ref="BA220:BA229" si="886">+AP220</f>
        <v>319</v>
      </c>
      <c r="BB220" s="801">
        <v>317.37700000000001</v>
      </c>
      <c r="BC220" s="798">
        <v>316.8</v>
      </c>
      <c r="BD220" s="633">
        <v>315.925164</v>
      </c>
      <c r="BE220" s="798">
        <v>315.10000000000002</v>
      </c>
      <c r="BF220" s="638">
        <f>+AU220</f>
        <v>315.10000000000002</v>
      </c>
      <c r="BG220" s="801">
        <v>314.76054199999999</v>
      </c>
      <c r="BH220" s="798">
        <v>310.53453000000002</v>
      </c>
      <c r="BI220" s="798">
        <v>307.29549400000002</v>
      </c>
      <c r="BJ220" s="798">
        <v>304.960849</v>
      </c>
      <c r="BK220" s="638">
        <f t="shared" ref="BK220:BK228" si="887">+AZ220</f>
        <v>304.960849</v>
      </c>
      <c r="BL220" s="801">
        <v>304.45301899999998</v>
      </c>
      <c r="BM220" s="798">
        <v>302.90578599999998</v>
      </c>
      <c r="BN220" s="798"/>
      <c r="BO220" s="798"/>
      <c r="BP220" s="751"/>
      <c r="BQ220" s="638">
        <f t="shared" ref="BQ220:BQ226" si="888">+BF220</f>
        <v>315.10000000000002</v>
      </c>
      <c r="BR220" s="801">
        <v>314.76054199999999</v>
      </c>
      <c r="BS220" s="798">
        <v>310.53453000000002</v>
      </c>
      <c r="BT220" s="798">
        <v>307.29549400000002</v>
      </c>
      <c r="BU220" s="798">
        <v>304.960849</v>
      </c>
      <c r="BV220" s="638">
        <f>BU220</f>
        <v>304.960849</v>
      </c>
      <c r="BW220" s="801">
        <v>304.45301899999998</v>
      </c>
      <c r="BX220" s="798">
        <v>302.90578599999998</v>
      </c>
      <c r="BY220" s="798">
        <v>292.97735399999999</v>
      </c>
      <c r="BZ220" s="798">
        <v>290.30496199999999</v>
      </c>
      <c r="CA220" s="751">
        <f>+BZ220</f>
        <v>290.30496199999999</v>
      </c>
      <c r="CB220" s="801">
        <v>289.44305300000002</v>
      </c>
      <c r="CC220" s="1065">
        <v>287.99086499999999</v>
      </c>
      <c r="CD220" s="633">
        <v>286.73418099999998</v>
      </c>
      <c r="CE220" s="633">
        <v>285.30051009499999</v>
      </c>
      <c r="CF220" s="751">
        <f>+CE220</f>
        <v>285.30051009499999</v>
      </c>
      <c r="CG220" s="801"/>
      <c r="CH220" s="798"/>
      <c r="CI220" s="798"/>
      <c r="CJ220" s="798"/>
      <c r="CK220" s="751">
        <v>290.30496199999999</v>
      </c>
      <c r="CL220" s="801"/>
      <c r="CM220" s="1065"/>
      <c r="CN220" s="633"/>
      <c r="CO220" s="633"/>
      <c r="CP220" s="751">
        <f>+CF220</f>
        <v>285.30051009499999</v>
      </c>
      <c r="CQ220" s="798">
        <f>+CE220*(1+CQ227/4)</f>
        <v>284.5872588197625</v>
      </c>
      <c r="CR220" s="798">
        <f>+CQ220*(1+CR227/4)</f>
        <v>283.87579067271309</v>
      </c>
      <c r="CS220" s="798">
        <f t="shared" ref="CS220:CT220" si="889">+CR220*(1+CS227/4)</f>
        <v>283.16610119603132</v>
      </c>
      <c r="CT220" s="798">
        <f t="shared" si="889"/>
        <v>282.45818594304126</v>
      </c>
      <c r="CU220" s="751">
        <f>+CT220</f>
        <v>282.45818594304126</v>
      </c>
      <c r="CV220" s="749"/>
      <c r="CW220" s="749"/>
      <c r="CX220" s="749"/>
      <c r="CY220" s="750"/>
      <c r="CZ220" s="751">
        <f>CU220*(1+CZ227)</f>
        <v>278.08008406092415</v>
      </c>
      <c r="DA220" s="749"/>
      <c r="DB220" s="749"/>
      <c r="DC220" s="749"/>
      <c r="DD220" s="750"/>
      <c r="DE220" s="751">
        <f>CZ220*(1+DE227)</f>
        <v>272.51848237970569</v>
      </c>
      <c r="DF220" s="749"/>
      <c r="DG220" s="749"/>
      <c r="DH220" s="749"/>
      <c r="DI220" s="750"/>
      <c r="DJ220" s="751">
        <f>DE220*(1+DJ227)</f>
        <v>267.74940893806087</v>
      </c>
      <c r="DK220" s="600"/>
      <c r="DL220" s="1291"/>
      <c r="DM220" s="831"/>
      <c r="DN220" s="831"/>
      <c r="DO220" s="831"/>
      <c r="DP220" s="1106"/>
      <c r="DQ220" s="1207"/>
      <c r="DR220" s="1207"/>
      <c r="DS220" s="1207"/>
      <c r="DT220" s="1207"/>
      <c r="DU220" s="1207"/>
      <c r="DV220" s="1207"/>
      <c r="DW220" s="831"/>
      <c r="DX220" s="831"/>
      <c r="DY220" s="601"/>
      <c r="DZ220" s="602"/>
      <c r="EA220" s="602"/>
      <c r="EB220"/>
      <c r="EC220"/>
      <c r="ED220"/>
      <c r="EE220"/>
      <c r="EF220"/>
      <c r="EG220"/>
    </row>
    <row r="221" spans="1:137" s="242" customFormat="1">
      <c r="A221" s="242" t="s">
        <v>238</v>
      </c>
      <c r="B221" s="266"/>
      <c r="C221" s="266">
        <f>C220-B220</f>
        <v>12.323442999999997</v>
      </c>
      <c r="D221" s="266">
        <f>D220-C220</f>
        <v>-8.4564430000000357</v>
      </c>
      <c r="E221" s="266">
        <f>E220-D220</f>
        <v>-6.1116619999999671</v>
      </c>
      <c r="F221" s="266">
        <f>F220-E220</f>
        <v>-4.2297960000000216</v>
      </c>
      <c r="G221" s="266">
        <f>G220-F220</f>
        <v>-14.429541999999969</v>
      </c>
      <c r="H221" s="267"/>
      <c r="I221" s="267">
        <f>I220-H220</f>
        <v>-6.2709560000000124</v>
      </c>
      <c r="J221" s="267">
        <f>J220-I220</f>
        <v>-0.20448799999996936</v>
      </c>
      <c r="K221" s="267">
        <f>K220-J220</f>
        <v>-3.7489760000000274</v>
      </c>
      <c r="L221" s="266">
        <f>L220-G220</f>
        <v>-14.359000000000037</v>
      </c>
      <c r="M221" s="267">
        <f>M220-K220</f>
        <v>-7.2768719999999689</v>
      </c>
      <c r="N221" s="267">
        <f>N220-M220</f>
        <v>-5.7714940000000183</v>
      </c>
      <c r="O221" s="267">
        <f>O220-N220</f>
        <v>4.2561230000000023</v>
      </c>
      <c r="P221" s="267">
        <f>P220-O220</f>
        <v>-7.9077570000000037</v>
      </c>
      <c r="Q221" s="266">
        <f>Q220-L220</f>
        <v>-12.851390999999978</v>
      </c>
      <c r="R221" s="267">
        <f>R220-P220</f>
        <v>-3.8149990000000003</v>
      </c>
      <c r="S221" s="267">
        <f>S220-R220</f>
        <v>-4.5298819999999864</v>
      </c>
      <c r="T221" s="267">
        <f>T220-S220</f>
        <v>-3.5724410000000262</v>
      </c>
      <c r="U221" s="267">
        <f>U220-T220</f>
        <v>-7.8826779999999985</v>
      </c>
      <c r="V221" s="266">
        <f>V220-Q220</f>
        <v>-19.842929000000026</v>
      </c>
      <c r="W221" s="267">
        <f>W220-U220</f>
        <v>-1.9020799999999554</v>
      </c>
      <c r="X221" s="267">
        <f>X220-W220</f>
        <v>-8.4997360000000413</v>
      </c>
      <c r="Y221" s="267">
        <f>Y220-X220</f>
        <v>-2.3697799999999916</v>
      </c>
      <c r="Z221" s="267">
        <f>Z220-Y220</f>
        <v>-10.273224999999968</v>
      </c>
      <c r="AA221" s="266">
        <f>AA220-V220</f>
        <v>-25.573500999999965</v>
      </c>
      <c r="AB221" s="267">
        <f>AB220-Z220</f>
        <v>-2.5560010000000375</v>
      </c>
      <c r="AC221" s="267">
        <f>AC220-AB220</f>
        <v>-11.676647000000003</v>
      </c>
      <c r="AD221" s="267">
        <f>AD220-AC220</f>
        <v>-12.052047999999957</v>
      </c>
      <c r="AE221" s="267">
        <f>AE220-AD220</f>
        <v>-2.4704830000000015</v>
      </c>
      <c r="AF221" s="266">
        <f>AF220-AA220</f>
        <v>-24.749679000000015</v>
      </c>
      <c r="AG221" s="267">
        <f>AG220-AE220</f>
        <v>3.5367329999999697</v>
      </c>
      <c r="AH221" s="267">
        <f>AH220-AG220</f>
        <v>-0.22046299999999519</v>
      </c>
      <c r="AI221" s="267">
        <f>AI220-AH220</f>
        <v>-0.82883299999997462</v>
      </c>
      <c r="AJ221" s="267">
        <f>AJ220-AI220</f>
        <v>-1.0041030000000433</v>
      </c>
      <c r="AK221" s="266">
        <f>AK220-AF220</f>
        <v>-2.522166000000027</v>
      </c>
      <c r="AL221" s="267">
        <f>AL220-AJ220</f>
        <v>-2.178011999999967</v>
      </c>
      <c r="AM221" s="267">
        <f>AM220-AL220</f>
        <v>0.5312680000000114</v>
      </c>
      <c r="AN221" s="267">
        <f>AN220-AM220</f>
        <v>-0.62934200000000828</v>
      </c>
      <c r="AO221" s="267">
        <f>AO220-AN220</f>
        <v>-1.3072480000000155</v>
      </c>
      <c r="AP221" s="266">
        <f>SUM(AL221:AO221)</f>
        <v>-3.5833339999999794</v>
      </c>
      <c r="AQ221" s="747">
        <f>AQ220-AO220</f>
        <v>-1.6229999999999905</v>
      </c>
      <c r="AR221" s="267">
        <f>AR220-AQ220</f>
        <v>-0.57699999999999818</v>
      </c>
      <c r="AS221" s="267">
        <f>AS220-AR220</f>
        <v>-0.87483600000001616</v>
      </c>
      <c r="AT221" s="267">
        <f>AT220-AS220</f>
        <v>-0.82516399999997248</v>
      </c>
      <c r="AU221" s="266">
        <f>SUM(AQ221:AT221)</f>
        <v>-3.8999999999999773</v>
      </c>
      <c r="AV221" s="747">
        <f>AV220-AT220</f>
        <v>-0.33945800000003601</v>
      </c>
      <c r="AW221" s="267">
        <f>AW220-AV220</f>
        <v>-4.2260119999999688</v>
      </c>
      <c r="AX221" s="862">
        <f>AX220-AW220</f>
        <v>-3.2390359999999987</v>
      </c>
      <c r="AY221" s="862">
        <f>AY220-AX220</f>
        <v>-2.3346450000000232</v>
      </c>
      <c r="AZ221" s="266">
        <f>SUM(AV221:AY221)</f>
        <v>-10.139151000000027</v>
      </c>
      <c r="BA221" s="266">
        <f t="shared" si="886"/>
        <v>-3.5833339999999794</v>
      </c>
      <c r="BB221" s="747">
        <f>BB220-AS220</f>
        <v>1.4518360000000143</v>
      </c>
      <c r="BC221" s="267">
        <f>BC220-BB220</f>
        <v>-0.57699999999999818</v>
      </c>
      <c r="BD221" s="267">
        <f>BD220-BC220</f>
        <v>-0.87483600000001616</v>
      </c>
      <c r="BE221" s="267">
        <f>BE220-BD220</f>
        <v>-0.82516399999997248</v>
      </c>
      <c r="BF221" s="266">
        <f t="shared" ref="BF221:BF228" si="890">+AU221</f>
        <v>-3.8999999999999773</v>
      </c>
      <c r="BG221" s="747">
        <f>BG220-AX220</f>
        <v>7.4650479999999675</v>
      </c>
      <c r="BH221" s="267">
        <f>BH220-BG220</f>
        <v>-4.2260119999999688</v>
      </c>
      <c r="BI221" s="862">
        <f>BI220-BH220</f>
        <v>-3.2390359999999987</v>
      </c>
      <c r="BJ221" s="862">
        <f>BJ220-BI220</f>
        <v>-2.3346450000000232</v>
      </c>
      <c r="BK221" s="266">
        <f t="shared" si="887"/>
        <v>-10.139151000000027</v>
      </c>
      <c r="BL221" s="747">
        <f>BL220-BC220</f>
        <v>-12.346981000000028</v>
      </c>
      <c r="BM221" s="267">
        <f>BM220-BL220</f>
        <v>-1.5472330000000056</v>
      </c>
      <c r="BN221" s="862"/>
      <c r="BO221" s="862"/>
      <c r="BP221" s="266"/>
      <c r="BQ221" s="266">
        <f t="shared" si="888"/>
        <v>-3.8999999999999773</v>
      </c>
      <c r="BR221" s="747">
        <f>BR220-BF220</f>
        <v>-0.33945800000003601</v>
      </c>
      <c r="BS221" s="267">
        <f>BS220-BR220</f>
        <v>-4.2260119999999688</v>
      </c>
      <c r="BT221" s="862">
        <f>BT220-BS220</f>
        <v>-3.2390359999999987</v>
      </c>
      <c r="BU221" s="862">
        <f>BU220-BT220</f>
        <v>-2.3346450000000232</v>
      </c>
      <c r="BV221" s="266">
        <f>BV220-BQ220</f>
        <v>-10.139151000000027</v>
      </c>
      <c r="BW221" s="747">
        <f>BW220-BV220</f>
        <v>-0.50783000000001266</v>
      </c>
      <c r="BX221" s="267">
        <f>BX220-BW220</f>
        <v>-1.5472330000000056</v>
      </c>
      <c r="BY221" s="862">
        <f>BY220-BX220</f>
        <v>-9.9284319999999866</v>
      </c>
      <c r="BZ221" s="862">
        <f>BZ220-BY220</f>
        <v>-2.6723920000000021</v>
      </c>
      <c r="CA221" s="266">
        <f>CA220-BV220</f>
        <v>-14.655887000000007</v>
      </c>
      <c r="CB221" s="747">
        <f>CB220-BZ220</f>
        <v>-0.86190899999996873</v>
      </c>
      <c r="CC221" s="267">
        <f>CC220-CB220</f>
        <v>-1.4521880000000351</v>
      </c>
      <c r="CD221" s="862">
        <f>CD220-CC220</f>
        <v>-1.256684000000007</v>
      </c>
      <c r="CE221" s="748">
        <f>CE220-CD220</f>
        <v>-1.4336709049999854</v>
      </c>
      <c r="CF221" s="266">
        <f>CF220-CA220</f>
        <v>-5.0044519049999963</v>
      </c>
      <c r="CG221" s="747"/>
      <c r="CH221" s="267"/>
      <c r="CI221" s="862"/>
      <c r="CJ221" s="862"/>
      <c r="CK221" s="266">
        <f>CK220-BV220</f>
        <v>-14.655887000000007</v>
      </c>
      <c r="CL221" s="747"/>
      <c r="CM221" s="267"/>
      <c r="CN221" s="862"/>
      <c r="CO221" s="748"/>
      <c r="CP221" s="266">
        <f>CP220-CK220</f>
        <v>-5.0044519049999963</v>
      </c>
      <c r="CQ221" s="862">
        <f>CQ220-CE220</f>
        <v>-0.71325127523749643</v>
      </c>
      <c r="CR221" s="862">
        <f>CR220-CQ220</f>
        <v>-0.71146814704940198</v>
      </c>
      <c r="CS221" s="862">
        <f t="shared" ref="CS221:CT221" si="891">CS220-CR220</f>
        <v>-0.70968947668177407</v>
      </c>
      <c r="CT221" s="862">
        <f t="shared" si="891"/>
        <v>-0.70791525299006253</v>
      </c>
      <c r="CU221" s="266">
        <f>CU220-CF220</f>
        <v>-2.842324151958735</v>
      </c>
      <c r="CV221" s="267"/>
      <c r="CW221" s="267"/>
      <c r="CX221" s="267"/>
      <c r="CY221" s="752"/>
      <c r="CZ221" s="266">
        <f>CZ220-CU220</f>
        <v>-4.3781018821171074</v>
      </c>
      <c r="DA221" s="267"/>
      <c r="DB221" s="267"/>
      <c r="DC221" s="267"/>
      <c r="DD221" s="752"/>
      <c r="DE221" s="266">
        <f>DE220-CZ220</f>
        <v>-5.5616016812184625</v>
      </c>
      <c r="DF221" s="267"/>
      <c r="DG221" s="267"/>
      <c r="DH221" s="267"/>
      <c r="DI221" s="752"/>
      <c r="DJ221" s="266">
        <f>DJ220-DE220</f>
        <v>-4.7690734416448208</v>
      </c>
      <c r="DK221" s="423"/>
      <c r="DL221" s="424"/>
      <c r="DM221" s="866"/>
      <c r="DN221" s="866"/>
      <c r="DO221" s="866"/>
      <c r="DP221" s="1106"/>
      <c r="DQ221" s="1207"/>
      <c r="DR221" s="1207"/>
      <c r="DS221" s="1207"/>
      <c r="DT221" s="1207"/>
      <c r="DU221" s="1207"/>
      <c r="DV221" s="1207"/>
      <c r="DW221" s="866"/>
      <c r="DX221" s="866"/>
      <c r="DY221" s="425"/>
      <c r="DZ221" s="268"/>
      <c r="EA221" s="268"/>
      <c r="EB221"/>
      <c r="EC221"/>
      <c r="ED221"/>
      <c r="EE221"/>
      <c r="EF221"/>
      <c r="EG221"/>
    </row>
    <row r="222" spans="1:137" s="242" customFormat="1">
      <c r="A222" s="549" t="s">
        <v>15</v>
      </c>
      <c r="B222" s="266"/>
      <c r="C222" s="266">
        <f>C221+C223</f>
        <v>13.323442999999997</v>
      </c>
      <c r="D222" s="266">
        <f>D221+D223</f>
        <v>2.2435569999999636</v>
      </c>
      <c r="E222" s="266">
        <f>E221+E223</f>
        <v>8.5883380000000322</v>
      </c>
      <c r="F222" s="266">
        <f>F221+F223</f>
        <v>15.470203999999978</v>
      </c>
      <c r="G222" s="266">
        <f>G221+G223</f>
        <v>13.170458000000032</v>
      </c>
      <c r="H222" s="267"/>
      <c r="I222" s="267"/>
      <c r="J222" s="267"/>
      <c r="K222" s="267"/>
      <c r="L222" s="266">
        <f>L221+L223</f>
        <v>7.2409999999999641</v>
      </c>
      <c r="M222" s="267"/>
      <c r="N222" s="267"/>
      <c r="O222" s="267"/>
      <c r="P222" s="267"/>
      <c r="Q222" s="266">
        <f>Q221+Q223</f>
        <v>16.148609000000022</v>
      </c>
      <c r="R222" s="267"/>
      <c r="S222" s="267"/>
      <c r="T222" s="267"/>
      <c r="U222" s="267"/>
      <c r="V222" s="266">
        <f>V221+V223</f>
        <v>5.0570709999999721</v>
      </c>
      <c r="W222" s="267"/>
      <c r="X222" s="267"/>
      <c r="Y222" s="267"/>
      <c r="Z222" s="267"/>
      <c r="AA222" s="266">
        <f>AA221+AA223</f>
        <v>7.4264990000000353</v>
      </c>
      <c r="AB222" s="267"/>
      <c r="AC222" s="267"/>
      <c r="AD222" s="267"/>
      <c r="AE222" s="267"/>
      <c r="AF222" s="266">
        <f t="shared" ref="AF222:AO222" si="892">AF221+AF223</f>
        <v>7.0503209999999861</v>
      </c>
      <c r="AG222" s="267">
        <f t="shared" si="892"/>
        <v>6.2367329999999699</v>
      </c>
      <c r="AH222" s="267">
        <f t="shared" si="892"/>
        <v>1.979537000000005</v>
      </c>
      <c r="AI222" s="267">
        <f t="shared" si="892"/>
        <v>2.4711670000000252</v>
      </c>
      <c r="AJ222" s="267">
        <f t="shared" si="892"/>
        <v>2.0958969999999568</v>
      </c>
      <c r="AK222" s="266">
        <f t="shared" si="892"/>
        <v>8.7778339999999719</v>
      </c>
      <c r="AL222" s="267">
        <f t="shared" si="892"/>
        <v>2.9219880000000327</v>
      </c>
      <c r="AM222" s="267">
        <f t="shared" si="892"/>
        <v>5.0312680000000114</v>
      </c>
      <c r="AN222" s="267">
        <f t="shared" si="892"/>
        <v>4.2706579999999921</v>
      </c>
      <c r="AO222" s="267">
        <f t="shared" si="892"/>
        <v>0.39275199999998378</v>
      </c>
      <c r="AP222" s="266">
        <f>SUM(AL222:AO222)</f>
        <v>12.61666600000002</v>
      </c>
      <c r="AQ222" s="748">
        <f>AQ221+AQ223</f>
        <v>5.3770000000000095</v>
      </c>
      <c r="AR222" s="748">
        <f>AR221+AR223</f>
        <v>0.22300000000000186</v>
      </c>
      <c r="AS222" s="267">
        <f>AS221+AS223</f>
        <v>1.7469289999999837</v>
      </c>
      <c r="AT222" s="267">
        <f>AT221+AT223</f>
        <v>0.25307100000002691</v>
      </c>
      <c r="AU222" s="266">
        <f>SUM(AQ222:AT222)</f>
        <v>7.6000000000000218</v>
      </c>
      <c r="AV222" s="748">
        <f>AV221+AV223</f>
        <v>2.660541999999964</v>
      </c>
      <c r="AW222" s="748">
        <f>AW221+AW223</f>
        <v>0.67398800000003156</v>
      </c>
      <c r="AX222" s="862">
        <f>AX221+AX223</f>
        <v>0.86096400000000095</v>
      </c>
      <c r="AY222" s="862">
        <f>AY221+AY223</f>
        <v>0.95133199999997675</v>
      </c>
      <c r="AZ222" s="266">
        <f>SUM(AV222:AY222)</f>
        <v>5.1468259999999733</v>
      </c>
      <c r="BA222" s="266">
        <f t="shared" si="886"/>
        <v>12.61666600000002</v>
      </c>
      <c r="BB222" s="748">
        <f>BB221+BB223</f>
        <v>8.4518360000000143</v>
      </c>
      <c r="BC222" s="748">
        <f>BC221+BC223</f>
        <v>0.22300000000000186</v>
      </c>
      <c r="BD222" s="267">
        <f>BD221+BD223</f>
        <v>1.7469289999999837</v>
      </c>
      <c r="BE222" s="267">
        <f>BE221+BE223</f>
        <v>0.25307100000002691</v>
      </c>
      <c r="BF222" s="266">
        <f t="shared" si="890"/>
        <v>7.6000000000000218</v>
      </c>
      <c r="BG222" s="748">
        <f>BG221+BG223</f>
        <v>10.465047999999967</v>
      </c>
      <c r="BH222" s="748">
        <f>BH221+BH223</f>
        <v>0.67398800000003156</v>
      </c>
      <c r="BI222" s="862">
        <f>BI221+BI223</f>
        <v>0.86096400000000095</v>
      </c>
      <c r="BJ222" s="862">
        <f>BJ221+BJ223</f>
        <v>0.95133199999997675</v>
      </c>
      <c r="BK222" s="266">
        <f t="shared" si="887"/>
        <v>5.1468259999999733</v>
      </c>
      <c r="BL222" s="748">
        <f>BL221+BL223</f>
        <v>-9.9469810000000276</v>
      </c>
      <c r="BM222" s="748">
        <f>BM221+BM223</f>
        <v>0.55276699999999446</v>
      </c>
      <c r="BN222" s="862"/>
      <c r="BO222" s="862"/>
      <c r="BP222" s="753"/>
      <c r="BQ222" s="266">
        <f t="shared" si="888"/>
        <v>7.6000000000000218</v>
      </c>
      <c r="BR222" s="748">
        <f>BR221+BR223</f>
        <v>2.660541999999964</v>
      </c>
      <c r="BS222" s="748">
        <f>BS221+BS223</f>
        <v>0.67398800000003156</v>
      </c>
      <c r="BT222" s="862">
        <f>BT221+BT223</f>
        <v>0.86096400000000095</v>
      </c>
      <c r="BU222" s="862">
        <f>BU221+BU223</f>
        <v>0.95133199999997675</v>
      </c>
      <c r="BV222" s="1266">
        <f>+SUM(BR222:BU222)</f>
        <v>5.1468259999999733</v>
      </c>
      <c r="BW222" s="748">
        <f>BW221+BW223</f>
        <v>1.8921699999999873</v>
      </c>
      <c r="BX222" s="748">
        <f>BX221+BX223</f>
        <v>0.55276699999999446</v>
      </c>
      <c r="BY222" s="748">
        <f>BY221+BY223</f>
        <v>-8.7284319999999873</v>
      </c>
      <c r="BZ222" s="748">
        <f>BZ221+BZ223</f>
        <v>0.52760799999999763</v>
      </c>
      <c r="CA222" s="1266">
        <f>+SUM(BW222:BZ222)</f>
        <v>-5.7558870000000084</v>
      </c>
      <c r="CB222" s="748">
        <f>CB221+CB223</f>
        <v>1.0380910000000312</v>
      </c>
      <c r="CC222" s="1067">
        <f>CC221+CC223</f>
        <v>0.44781199999996479</v>
      </c>
      <c r="CD222" s="748">
        <f>CD221+CD223</f>
        <v>0.34331599999999352</v>
      </c>
      <c r="CE222" s="748">
        <f>CE221+CE223</f>
        <v>1</v>
      </c>
      <c r="CF222" s="1266">
        <f>+SUM(CB222:CE222)</f>
        <v>2.8292189999999895</v>
      </c>
      <c r="CG222" s="748"/>
      <c r="CH222" s="748"/>
      <c r="CI222" s="862"/>
      <c r="CJ222" s="862"/>
      <c r="CK222" s="266">
        <f>CK221+CK223</f>
        <v>-5.7558870000000066</v>
      </c>
      <c r="CL222" s="748"/>
      <c r="CM222" s="1067"/>
      <c r="CN222" s="862"/>
      <c r="CO222" s="748"/>
      <c r="CP222" s="266">
        <f>CF222</f>
        <v>2.8292189999999895</v>
      </c>
      <c r="CQ222" s="754">
        <v>0.5</v>
      </c>
      <c r="CR222" s="754">
        <v>0.5</v>
      </c>
      <c r="CS222" s="754">
        <v>0.5</v>
      </c>
      <c r="CT222" s="755">
        <v>0.5</v>
      </c>
      <c r="CU222" s="266">
        <f>+SUM(CQ222:CT222)</f>
        <v>2</v>
      </c>
      <c r="CV222" s="754"/>
      <c r="CW222" s="754"/>
      <c r="CX222" s="754"/>
      <c r="CY222" s="755"/>
      <c r="CZ222" s="1015">
        <f>+CU222</f>
        <v>2</v>
      </c>
      <c r="DA222" s="1068"/>
      <c r="DB222" s="1068"/>
      <c r="DC222" s="1068"/>
      <c r="DD222" s="1301"/>
      <c r="DE222" s="1015">
        <f>+CZ222</f>
        <v>2</v>
      </c>
      <c r="DF222" s="1068"/>
      <c r="DG222" s="1068"/>
      <c r="DH222" s="1068"/>
      <c r="DI222" s="1301"/>
      <c r="DJ222" s="1015">
        <f>+DE222</f>
        <v>2</v>
      </c>
      <c r="DK222" s="423"/>
      <c r="DL222" s="424"/>
      <c r="DM222" s="866"/>
      <c r="DN222" s="866"/>
      <c r="DO222" s="866"/>
      <c r="DP222" s="1060"/>
      <c r="DQ222" s="1060"/>
      <c r="DR222" s="1182"/>
      <c r="DS222" s="1060"/>
      <c r="DT222" s="1060"/>
      <c r="DU222" s="1060"/>
      <c r="DV222" s="1060"/>
      <c r="DW222" s="866"/>
      <c r="DX222" s="866"/>
      <c r="DY222" s="425"/>
      <c r="DZ222" s="268"/>
      <c r="EA222" s="268"/>
      <c r="EB222"/>
      <c r="EC222"/>
      <c r="ED222"/>
      <c r="EE222"/>
      <c r="EF222"/>
      <c r="EG222"/>
    </row>
    <row r="223" spans="1:137" s="242" customFormat="1">
      <c r="A223" s="549" t="s">
        <v>16</v>
      </c>
      <c r="B223" s="266"/>
      <c r="C223" s="266">
        <v>1</v>
      </c>
      <c r="D223" s="266">
        <v>10.7</v>
      </c>
      <c r="E223" s="266">
        <v>14.7</v>
      </c>
      <c r="F223" s="266">
        <v>19.7</v>
      </c>
      <c r="G223" s="266">
        <v>27.6</v>
      </c>
      <c r="H223" s="267"/>
      <c r="I223" s="267"/>
      <c r="J223" s="267"/>
      <c r="K223" s="267"/>
      <c r="L223" s="266">
        <v>21.6</v>
      </c>
      <c r="M223" s="267"/>
      <c r="N223" s="267"/>
      <c r="O223" s="267"/>
      <c r="P223" s="267"/>
      <c r="Q223" s="266">
        <v>29</v>
      </c>
      <c r="R223" s="267"/>
      <c r="S223" s="267"/>
      <c r="T223" s="267"/>
      <c r="U223" s="267"/>
      <c r="V223" s="266">
        <v>24.9</v>
      </c>
      <c r="W223" s="267"/>
      <c r="X223" s="267"/>
      <c r="Y223" s="267"/>
      <c r="Z223" s="267"/>
      <c r="AA223" s="266">
        <v>33</v>
      </c>
      <c r="AB223" s="267"/>
      <c r="AC223" s="267"/>
      <c r="AD223" s="267"/>
      <c r="AE223" s="267"/>
      <c r="AF223" s="550">
        <v>31.8</v>
      </c>
      <c r="AG223" s="267">
        <v>2.7</v>
      </c>
      <c r="AH223" s="267">
        <v>2.2000000000000002</v>
      </c>
      <c r="AI223" s="267">
        <v>3.3</v>
      </c>
      <c r="AJ223" s="267">
        <v>3.1</v>
      </c>
      <c r="AK223" s="266">
        <f>SUM(AG223:AJ223)</f>
        <v>11.299999999999999</v>
      </c>
      <c r="AL223" s="267">
        <v>5.0999999999999996</v>
      </c>
      <c r="AM223" s="267">
        <v>4.5</v>
      </c>
      <c r="AN223" s="267">
        <v>4.9000000000000004</v>
      </c>
      <c r="AO223" s="268">
        <f>AP223-SUM(AL223:AN223)</f>
        <v>1.6999999999999993</v>
      </c>
      <c r="AP223" s="266">
        <v>16.2</v>
      </c>
      <c r="AQ223" s="747">
        <v>7</v>
      </c>
      <c r="AR223" s="748">
        <v>0.8</v>
      </c>
      <c r="AS223" s="748">
        <v>2.6217649999999999</v>
      </c>
      <c r="AT223" s="268">
        <f>AU223-SUM(AQ223:AS223)</f>
        <v>1.0782349999999994</v>
      </c>
      <c r="AU223" s="266">
        <v>11.5</v>
      </c>
      <c r="AV223" s="847">
        <v>3</v>
      </c>
      <c r="AW223" s="862">
        <f>7.9-AV223</f>
        <v>4.9000000000000004</v>
      </c>
      <c r="AX223" s="862">
        <f>12-AW223-AV223</f>
        <v>4.0999999999999996</v>
      </c>
      <c r="AY223" s="998">
        <v>3.2859769999999999</v>
      </c>
      <c r="AZ223" s="999">
        <f>+SUM(AV223:AY223)</f>
        <v>15.285976999999999</v>
      </c>
      <c r="BA223" s="266">
        <f t="shared" si="886"/>
        <v>16.2</v>
      </c>
      <c r="BB223" s="747">
        <v>7</v>
      </c>
      <c r="BC223" s="748">
        <v>0.8</v>
      </c>
      <c r="BD223" s="748">
        <v>2.6217649999999999</v>
      </c>
      <c r="BE223" s="268">
        <f>BF223-SUM(BB223:BD223)</f>
        <v>1.0782349999999994</v>
      </c>
      <c r="BF223" s="266">
        <f t="shared" si="890"/>
        <v>11.5</v>
      </c>
      <c r="BG223" s="847">
        <v>3</v>
      </c>
      <c r="BH223" s="862">
        <f>7.9-BG223</f>
        <v>4.9000000000000004</v>
      </c>
      <c r="BI223" s="862">
        <f>12-BH223-BG223</f>
        <v>4.0999999999999996</v>
      </c>
      <c r="BJ223" s="998">
        <v>3.2859769999999999</v>
      </c>
      <c r="BK223" s="266">
        <f t="shared" si="887"/>
        <v>15.285976999999999</v>
      </c>
      <c r="BL223" s="847">
        <v>2.4</v>
      </c>
      <c r="BM223" s="862">
        <f>4.5-BL223</f>
        <v>2.1</v>
      </c>
      <c r="BN223" s="862"/>
      <c r="BO223" s="998"/>
      <c r="BP223" s="266"/>
      <c r="BQ223" s="266">
        <f t="shared" si="888"/>
        <v>11.5</v>
      </c>
      <c r="BR223" s="847">
        <v>3</v>
      </c>
      <c r="BS223" s="862">
        <f>7.9-BR223</f>
        <v>4.9000000000000004</v>
      </c>
      <c r="BT223" s="862">
        <f>12-BS223-BR223</f>
        <v>4.0999999999999996</v>
      </c>
      <c r="BU223" s="998">
        <v>3.2859769999999999</v>
      </c>
      <c r="BV223" s="1266">
        <f>BV222-BV221</f>
        <v>15.285976999999999</v>
      </c>
      <c r="BW223" s="747">
        <v>2.4</v>
      </c>
      <c r="BX223" s="748">
        <f>4.5-BW223</f>
        <v>2.1</v>
      </c>
      <c r="BY223" s="748">
        <f>5.7-BX223-BW223</f>
        <v>1.2000000000000002</v>
      </c>
      <c r="BZ223" s="255">
        <f>8.9-BY223-BX223-BW223</f>
        <v>3.1999999999999997</v>
      </c>
      <c r="CA223" s="1266">
        <f>CA222-CA221</f>
        <v>8.8999999999999986</v>
      </c>
      <c r="CB223" s="747">
        <v>1.9</v>
      </c>
      <c r="CC223" s="1067">
        <f>3.8-CB223</f>
        <v>1.9</v>
      </c>
      <c r="CD223" s="748">
        <f>5.4-CC223-CB223</f>
        <v>1.6000000000000005</v>
      </c>
      <c r="CE223" s="255">
        <v>2.4336709049999854</v>
      </c>
      <c r="CF223" s="1266">
        <f>CF222-CF221</f>
        <v>7.8336709049999858</v>
      </c>
      <c r="CG223" s="847"/>
      <c r="CH223" s="862"/>
      <c r="CI223" s="862"/>
      <c r="CJ223" s="998"/>
      <c r="CK223" s="266">
        <v>8.9</v>
      </c>
      <c r="CL223" s="747"/>
      <c r="CM223" s="1067"/>
      <c r="CN223" s="748"/>
      <c r="CO223" s="255"/>
      <c r="CP223" s="266">
        <f>CP222-CP221</f>
        <v>7.8336709049999858</v>
      </c>
      <c r="CQ223" s="267">
        <f t="shared" ref="CQ223:CT223" si="893">CQ222-CQ221</f>
        <v>1.2132512752374964</v>
      </c>
      <c r="CR223" s="267">
        <f t="shared" si="893"/>
        <v>1.211468147049402</v>
      </c>
      <c r="CS223" s="267">
        <f t="shared" si="893"/>
        <v>1.2096894766817741</v>
      </c>
      <c r="CT223" s="752">
        <f t="shared" si="893"/>
        <v>1.2079152529900625</v>
      </c>
      <c r="CU223" s="266">
        <f>CU222-CU221</f>
        <v>4.842324151958735</v>
      </c>
      <c r="CV223" s="267"/>
      <c r="CW223" s="267"/>
      <c r="CX223" s="267"/>
      <c r="CY223" s="752"/>
      <c r="CZ223" s="266">
        <f>CZ222-CZ221</f>
        <v>6.3781018821171074</v>
      </c>
      <c r="DA223" s="267"/>
      <c r="DB223" s="267"/>
      <c r="DC223" s="267"/>
      <c r="DD223" s="752"/>
      <c r="DE223" s="266">
        <f>DE222-DE221</f>
        <v>7.5616016812184625</v>
      </c>
      <c r="DF223" s="267"/>
      <c r="DG223" s="267"/>
      <c r="DH223" s="267"/>
      <c r="DI223" s="752"/>
      <c r="DJ223" s="266">
        <f>DJ222-DJ221</f>
        <v>6.7690734416448208</v>
      </c>
      <c r="DK223" s="423"/>
      <c r="DL223" s="424"/>
      <c r="DM223" s="866"/>
      <c r="DN223" s="866"/>
      <c r="DO223" s="866"/>
      <c r="DP223" s="1053"/>
      <c r="DQ223" s="866"/>
      <c r="DR223" s="1182"/>
      <c r="DS223" s="1135"/>
      <c r="DT223" s="1135"/>
      <c r="DU223" s="1135"/>
      <c r="DV223" s="1135"/>
      <c r="DW223" s="866"/>
      <c r="DX223" s="866"/>
      <c r="DY223" s="425"/>
      <c r="DZ223" s="268"/>
      <c r="EA223" s="268"/>
      <c r="EB223"/>
      <c r="EC223"/>
      <c r="ED223"/>
      <c r="EE223"/>
      <c r="EF223"/>
      <c r="EG223"/>
    </row>
    <row r="224" spans="1:137" s="603" customFormat="1" collapsed="1">
      <c r="A224" s="629" t="s">
        <v>239</v>
      </c>
      <c r="B224" s="630">
        <v>427.4</v>
      </c>
      <c r="C224" s="630">
        <v>445.1</v>
      </c>
      <c r="D224" s="630">
        <v>446.5</v>
      </c>
      <c r="E224" s="630">
        <v>443.1</v>
      </c>
      <c r="F224" s="630">
        <v>440.3</v>
      </c>
      <c r="G224" s="630">
        <v>428.1</v>
      </c>
      <c r="H224" s="631">
        <v>421.4</v>
      </c>
      <c r="I224" s="632">
        <v>416.7</v>
      </c>
      <c r="J224" s="632">
        <v>413.5</v>
      </c>
      <c r="K224" s="631">
        <v>412.3</v>
      </c>
      <c r="L224" s="630">
        <v>416</v>
      </c>
      <c r="M224" s="632">
        <v>406.6</v>
      </c>
      <c r="N224" s="632">
        <v>399.3</v>
      </c>
      <c r="O224" s="632">
        <v>397.4</v>
      </c>
      <c r="P224" s="631">
        <v>395.8</v>
      </c>
      <c r="Q224" s="630">
        <v>399.7</v>
      </c>
      <c r="R224" s="632">
        <v>393.4</v>
      </c>
      <c r="S224" s="632">
        <v>386.9</v>
      </c>
      <c r="T224" s="632">
        <v>381.4</v>
      </c>
      <c r="U224" s="631">
        <v>377.7</v>
      </c>
      <c r="V224" s="630">
        <v>384.8</v>
      </c>
      <c r="W224" s="633">
        <v>373.5</v>
      </c>
      <c r="X224" s="633">
        <v>367.6</v>
      </c>
      <c r="Y224" s="633">
        <v>360.1</v>
      </c>
      <c r="Z224" s="631">
        <v>355.8</v>
      </c>
      <c r="AA224" s="634">
        <v>364.2</v>
      </c>
      <c r="AB224" s="633">
        <v>348.5</v>
      </c>
      <c r="AC224" s="633">
        <v>342.8</v>
      </c>
      <c r="AD224" s="633">
        <v>329.8</v>
      </c>
      <c r="AE224" s="635">
        <v>322.5</v>
      </c>
      <c r="AF224" s="634">
        <v>335.9</v>
      </c>
      <c r="AG224" s="635">
        <v>324.10000000000002</v>
      </c>
      <c r="AH224" s="633">
        <v>324.5</v>
      </c>
      <c r="AI224" s="633">
        <v>323.5</v>
      </c>
      <c r="AJ224" s="635">
        <v>322.7</v>
      </c>
      <c r="AK224" s="634">
        <v>323.7</v>
      </c>
      <c r="AL224" s="633">
        <v>321.7</v>
      </c>
      <c r="AM224" s="633">
        <v>320.8</v>
      </c>
      <c r="AN224" s="633">
        <v>321.3</v>
      </c>
      <c r="AO224" s="633">
        <v>319.89999999999998</v>
      </c>
      <c r="AP224" s="634">
        <v>320.89999999999998</v>
      </c>
      <c r="AQ224" s="636">
        <v>319.10000000000002</v>
      </c>
      <c r="AR224" s="798">
        <v>316.8</v>
      </c>
      <c r="AS224" s="633">
        <v>316.3</v>
      </c>
      <c r="AT224" s="798">
        <v>315.10000000000002</v>
      </c>
      <c r="AU224" s="634">
        <v>316.8</v>
      </c>
      <c r="AV224" s="801">
        <v>315.39999999999998</v>
      </c>
      <c r="AW224" s="798">
        <v>312</v>
      </c>
      <c r="AX224" s="798">
        <v>308.39999999999998</v>
      </c>
      <c r="AY224" s="798">
        <v>305.89999999999998</v>
      </c>
      <c r="AZ224" s="634">
        <v>310.3</v>
      </c>
      <c r="BA224" s="634">
        <f t="shared" si="886"/>
        <v>320.89999999999998</v>
      </c>
      <c r="BB224" s="636">
        <v>319.10000000000002</v>
      </c>
      <c r="BC224" s="798">
        <v>316.8</v>
      </c>
      <c r="BD224" s="633">
        <v>316.3</v>
      </c>
      <c r="BE224" s="798">
        <v>315.10000000000002</v>
      </c>
      <c r="BF224" s="634">
        <f t="shared" si="890"/>
        <v>316.8</v>
      </c>
      <c r="BG224" s="801">
        <v>315.39999999999998</v>
      </c>
      <c r="BH224" s="798">
        <v>312</v>
      </c>
      <c r="BI224" s="798">
        <v>308.39999999999998</v>
      </c>
      <c r="BJ224" s="798">
        <v>305.89999999999998</v>
      </c>
      <c r="BK224" s="634">
        <f>AVERAGE(BG224:BJ224)</f>
        <v>310.42499999999995</v>
      </c>
      <c r="BL224" s="801">
        <v>304.5</v>
      </c>
      <c r="BM224" s="798">
        <v>303.10000000000002</v>
      </c>
      <c r="BN224" s="798"/>
      <c r="BO224" s="798"/>
      <c r="BP224" s="751"/>
      <c r="BQ224" s="634">
        <f t="shared" si="888"/>
        <v>316.8</v>
      </c>
      <c r="BR224" s="801">
        <v>315.39999999999998</v>
      </c>
      <c r="BS224" s="798">
        <v>312</v>
      </c>
      <c r="BT224" s="798">
        <v>308.39999999999998</v>
      </c>
      <c r="BU224" s="798">
        <v>305.89999999999998</v>
      </c>
      <c r="BV224" s="1235">
        <f>AVERAGE(BR224:BU224)</f>
        <v>310.42499999999995</v>
      </c>
      <c r="BW224" s="636">
        <v>304.5</v>
      </c>
      <c r="BX224" s="633">
        <v>303.10000000000002</v>
      </c>
      <c r="BY224" s="633">
        <v>298.5</v>
      </c>
      <c r="BZ224" s="633">
        <v>291.8</v>
      </c>
      <c r="CA224" s="1235">
        <v>299.3</v>
      </c>
      <c r="CB224" s="636">
        <v>290</v>
      </c>
      <c r="CC224" s="1267">
        <v>288.5</v>
      </c>
      <c r="CD224" s="633">
        <v>287.10000000000002</v>
      </c>
      <c r="CE224" s="633">
        <v>285.89999999999998</v>
      </c>
      <c r="CF224" s="1235">
        <f>AVERAGE(CB224:CE224)</f>
        <v>287.875</v>
      </c>
      <c r="CG224" s="801"/>
      <c r="CH224" s="798"/>
      <c r="CI224" s="798"/>
      <c r="CJ224" s="798"/>
      <c r="CK224" s="751">
        <v>299.3</v>
      </c>
      <c r="CL224" s="801"/>
      <c r="CM224" s="1065"/>
      <c r="CN224" s="633"/>
      <c r="CO224" s="633"/>
      <c r="CP224" s="634">
        <f>CF224</f>
        <v>287.875</v>
      </c>
      <c r="CQ224" s="749">
        <f t="shared" ref="CQ224:CT224" si="894">+CQ226-CQ225</f>
        <v>284.18525</v>
      </c>
      <c r="CR224" s="1066">
        <f t="shared" si="894"/>
        <v>283.47228687500001</v>
      </c>
      <c r="CS224" s="749">
        <f t="shared" si="894"/>
        <v>282.76110615781255</v>
      </c>
      <c r="CT224" s="750">
        <f t="shared" si="894"/>
        <v>282.05170339241801</v>
      </c>
      <c r="CU224" s="751">
        <f>CU226-CU225</f>
        <v>283.11758660630761</v>
      </c>
      <c r="CV224" s="749"/>
      <c r="CW224" s="749"/>
      <c r="CX224" s="749"/>
      <c r="CY224" s="750"/>
      <c r="CZ224" s="751">
        <f>CZ226-CZ225</f>
        <v>278.71376401390984</v>
      </c>
      <c r="DA224" s="749"/>
      <c r="DB224" s="749"/>
      <c r="DC224" s="749"/>
      <c r="DD224" s="750"/>
      <c r="DE224" s="751">
        <f>DE226-DE225</f>
        <v>273.11948873363161</v>
      </c>
      <c r="DF224" s="749"/>
      <c r="DG224" s="749"/>
      <c r="DH224" s="749"/>
      <c r="DI224" s="750"/>
      <c r="DJ224" s="751">
        <f>DJ226-DJ225</f>
        <v>268.32239768079307</v>
      </c>
      <c r="DK224" s="600"/>
      <c r="DL224" s="1291"/>
      <c r="DM224" s="831"/>
      <c r="DN224" s="831"/>
      <c r="DO224" s="831"/>
      <c r="DP224" s="1060"/>
      <c r="DQ224" s="1106"/>
      <c r="DR224" s="1182"/>
      <c r="DS224" s="1207"/>
      <c r="DT224" s="1207"/>
      <c r="DU224" s="1207"/>
      <c r="DV224" s="1207"/>
      <c r="DW224" s="831"/>
      <c r="DX224" s="831"/>
      <c r="DY224" s="601"/>
      <c r="DZ224" s="602"/>
      <c r="EA224" s="602"/>
      <c r="EB224"/>
      <c r="EC224"/>
      <c r="ED224"/>
      <c r="EE224"/>
      <c r="EF224"/>
      <c r="EG224"/>
    </row>
    <row r="225" spans="1:137" s="242" customFormat="1">
      <c r="A225" s="243" t="s">
        <v>240</v>
      </c>
      <c r="B225" s="266">
        <f t="shared" ref="B225:AL225" si="895">B226-B224</f>
        <v>5.1000000000000227</v>
      </c>
      <c r="C225" s="266">
        <f t="shared" si="895"/>
        <v>6.8999999999999773</v>
      </c>
      <c r="D225" s="266">
        <f t="shared" si="895"/>
        <v>3.5</v>
      </c>
      <c r="E225" s="266">
        <f t="shared" si="895"/>
        <v>4</v>
      </c>
      <c r="F225" s="266">
        <f t="shared" si="895"/>
        <v>5.3499999999999659</v>
      </c>
      <c r="G225" s="266">
        <f t="shared" si="895"/>
        <v>8.2999999999999545</v>
      </c>
      <c r="H225" s="267">
        <f t="shared" si="895"/>
        <v>10.700000000000045</v>
      </c>
      <c r="I225" s="267">
        <f t="shared" si="895"/>
        <v>9.8000000000000114</v>
      </c>
      <c r="J225" s="267">
        <f t="shared" si="895"/>
        <v>11</v>
      </c>
      <c r="K225" s="267">
        <f t="shared" si="895"/>
        <v>11.099999999999966</v>
      </c>
      <c r="L225" s="266">
        <f t="shared" si="895"/>
        <v>11.100000000000023</v>
      </c>
      <c r="M225" s="267">
        <f t="shared" si="895"/>
        <v>10.199999999999989</v>
      </c>
      <c r="N225" s="267">
        <f t="shared" si="895"/>
        <v>10.199999999999989</v>
      </c>
      <c r="O225" s="267">
        <f t="shared" si="895"/>
        <v>9.7000000000000455</v>
      </c>
      <c r="P225" s="267">
        <f t="shared" si="895"/>
        <v>4.8999999999999773</v>
      </c>
      <c r="Q225" s="266">
        <f t="shared" si="895"/>
        <v>9.6999999999999886</v>
      </c>
      <c r="R225" s="267">
        <f t="shared" si="895"/>
        <v>4.0500000000000114</v>
      </c>
      <c r="S225" s="267">
        <f t="shared" si="895"/>
        <v>4</v>
      </c>
      <c r="T225" s="267">
        <f t="shared" si="895"/>
        <v>4.1000000000000227</v>
      </c>
      <c r="U225" s="268">
        <f t="shared" si="895"/>
        <v>4.1999999999999886</v>
      </c>
      <c r="V225" s="266">
        <f t="shared" si="895"/>
        <v>4.0500000000000114</v>
      </c>
      <c r="W225" s="268">
        <f t="shared" si="895"/>
        <v>4.1999999999999886</v>
      </c>
      <c r="X225" s="267">
        <f t="shared" si="895"/>
        <v>4.0999999999999659</v>
      </c>
      <c r="Y225" s="268">
        <f t="shared" si="895"/>
        <v>3.839999999999975</v>
      </c>
      <c r="Z225" s="268">
        <f t="shared" si="895"/>
        <v>3.8999999999999773</v>
      </c>
      <c r="AA225" s="253">
        <f t="shared" si="895"/>
        <v>4.1000000000000227</v>
      </c>
      <c r="AB225" s="268">
        <f t="shared" si="895"/>
        <v>4.1000000000000227</v>
      </c>
      <c r="AC225" s="267">
        <f t="shared" si="895"/>
        <v>3.839999999999975</v>
      </c>
      <c r="AD225" s="267">
        <f t="shared" si="895"/>
        <v>3.839999999999975</v>
      </c>
      <c r="AE225" s="267">
        <f t="shared" si="895"/>
        <v>4.1499999999999773</v>
      </c>
      <c r="AF225" s="266">
        <f>AF226-AF224</f>
        <v>4</v>
      </c>
      <c r="AG225" s="268">
        <f t="shared" si="895"/>
        <v>4.5399999999999636</v>
      </c>
      <c r="AH225" s="267">
        <f t="shared" si="895"/>
        <v>4.3000000000000114</v>
      </c>
      <c r="AI225" s="267">
        <f t="shared" si="895"/>
        <v>4.8000000000000114</v>
      </c>
      <c r="AJ225" s="267">
        <f t="shared" si="895"/>
        <v>5.3000000000000114</v>
      </c>
      <c r="AK225" s="266">
        <f>AK226-AK224</f>
        <v>4.6999999999999886</v>
      </c>
      <c r="AL225" s="267">
        <f t="shared" si="895"/>
        <v>4.6000000000000227</v>
      </c>
      <c r="AM225" s="267">
        <f t="shared" ref="AM225:AR225" si="896">AM226-AM224</f>
        <v>5.0999999999999659</v>
      </c>
      <c r="AN225" s="267">
        <f t="shared" si="896"/>
        <v>6.1999999999999886</v>
      </c>
      <c r="AO225" s="267">
        <f t="shared" si="896"/>
        <v>6.4000000000000341</v>
      </c>
      <c r="AP225" s="266">
        <f t="shared" si="896"/>
        <v>5.6000000000000227</v>
      </c>
      <c r="AQ225" s="267">
        <f t="shared" si="896"/>
        <v>6</v>
      </c>
      <c r="AR225" s="267">
        <f t="shared" si="896"/>
        <v>5.3000000000000114</v>
      </c>
      <c r="AS225" s="267">
        <f t="shared" ref="AS225:BC225" si="897">AS226-AS224</f>
        <v>5.5</v>
      </c>
      <c r="AT225" s="267">
        <f t="shared" si="897"/>
        <v>5.5</v>
      </c>
      <c r="AU225" s="266">
        <f t="shared" si="897"/>
        <v>5.5999999999999659</v>
      </c>
      <c r="AV225" s="267">
        <f>AV226-AV224</f>
        <v>4.8000000000000114</v>
      </c>
      <c r="AW225" s="267">
        <f>AW226-AW224</f>
        <v>4.1000000000000227</v>
      </c>
      <c r="AX225" s="267">
        <f>AX226-AX224</f>
        <v>4.3000000000000114</v>
      </c>
      <c r="AY225" s="267">
        <f>AY226-AY224</f>
        <v>4.3000000000000114</v>
      </c>
      <c r="AZ225" s="266">
        <f>AZ226-AZ224</f>
        <v>4.3999999999999773</v>
      </c>
      <c r="BA225" s="266">
        <f t="shared" si="886"/>
        <v>5.6000000000000227</v>
      </c>
      <c r="BB225" s="267">
        <f t="shared" si="897"/>
        <v>6</v>
      </c>
      <c r="BC225" s="267">
        <f t="shared" si="897"/>
        <v>5.3000000000000114</v>
      </c>
      <c r="BD225" s="267">
        <f t="shared" ref="BD225:BE225" si="898">BD226-BD224</f>
        <v>5.5</v>
      </c>
      <c r="BE225" s="267">
        <f t="shared" si="898"/>
        <v>5.5</v>
      </c>
      <c r="BF225" s="266">
        <f t="shared" si="890"/>
        <v>5.5999999999999659</v>
      </c>
      <c r="BG225" s="267">
        <f t="shared" ref="BG225:BI225" si="899">BG226-BG224</f>
        <v>4.8000000000000114</v>
      </c>
      <c r="BH225" s="267">
        <f t="shared" si="899"/>
        <v>4.1000000000000227</v>
      </c>
      <c r="BI225" s="267">
        <f t="shared" si="899"/>
        <v>4.3000000000000114</v>
      </c>
      <c r="BJ225" s="267">
        <f>BJ226-BJ224</f>
        <v>4.3000000000000114</v>
      </c>
      <c r="BK225" s="266">
        <f t="shared" si="887"/>
        <v>4.3999999999999773</v>
      </c>
      <c r="BL225" s="267">
        <f t="shared" ref="BL225:BM225" si="900">BL226-BL224</f>
        <v>3.3000000000000114</v>
      </c>
      <c r="BM225" s="267">
        <f t="shared" si="900"/>
        <v>4</v>
      </c>
      <c r="BN225" s="267"/>
      <c r="BO225" s="267"/>
      <c r="BP225" s="753"/>
      <c r="BQ225" s="266">
        <f t="shared" si="888"/>
        <v>5.5999999999999659</v>
      </c>
      <c r="BR225" s="267">
        <f t="shared" ref="BR225:BT225" si="901">BR226-BR224</f>
        <v>4.8000000000000114</v>
      </c>
      <c r="BS225" s="267">
        <f t="shared" si="901"/>
        <v>4.1000000000000227</v>
      </c>
      <c r="BT225" s="267">
        <f t="shared" si="901"/>
        <v>4.3000000000000114</v>
      </c>
      <c r="BU225" s="267">
        <f>BU226-BU224</f>
        <v>4.3000000000000114</v>
      </c>
      <c r="BV225" s="1268">
        <f>BV226-BV224</f>
        <v>4.2750000000000341</v>
      </c>
      <c r="BW225" s="748">
        <f t="shared" ref="BW225:BY225" si="902">BW226-BW224</f>
        <v>4.1999999999999886</v>
      </c>
      <c r="BX225" s="748">
        <f t="shared" si="902"/>
        <v>4</v>
      </c>
      <c r="BY225" s="748">
        <f t="shared" si="902"/>
        <v>3.5</v>
      </c>
      <c r="BZ225" s="748">
        <f>BZ226-BZ224</f>
        <v>3.3999999999999773</v>
      </c>
      <c r="CA225" s="1268">
        <f>CA226-CA224</f>
        <v>3.8000000000000114</v>
      </c>
      <c r="CB225" s="748">
        <f t="shared" ref="CB225:CD225" si="903">CB226-CB224</f>
        <v>2.8000000000000114</v>
      </c>
      <c r="CC225" s="1067">
        <f t="shared" si="903"/>
        <v>2.6999999999999886</v>
      </c>
      <c r="CD225" s="748">
        <f t="shared" si="903"/>
        <v>2.8999999999999773</v>
      </c>
      <c r="CE225" s="748">
        <f>CE226-CE224</f>
        <v>0</v>
      </c>
      <c r="CF225" s="1268">
        <f>CF226-CF224</f>
        <v>2.7000000000000455</v>
      </c>
      <c r="CG225" s="267"/>
      <c r="CH225" s="267"/>
      <c r="CI225" s="267"/>
      <c r="CJ225" s="267"/>
      <c r="CK225" s="1015">
        <f>CK226-CK224</f>
        <v>3.8000000000000114</v>
      </c>
      <c r="CL225" s="267"/>
      <c r="CM225" s="1068"/>
      <c r="CN225" s="267"/>
      <c r="CO225" s="267"/>
      <c r="CP225" s="1015">
        <f>CP226-CP224</f>
        <v>2.7000000000000455</v>
      </c>
      <c r="CQ225" s="754">
        <f>4/4</f>
        <v>1</v>
      </c>
      <c r="CR225" s="754">
        <f t="shared" ref="CR225:CT225" si="904">4/4</f>
        <v>1</v>
      </c>
      <c r="CS225" s="754">
        <f t="shared" si="904"/>
        <v>1</v>
      </c>
      <c r="CT225" s="755">
        <f t="shared" si="904"/>
        <v>1</v>
      </c>
      <c r="CU225" s="1015">
        <f>+AVERAGE(CQ225:CT225)</f>
        <v>1</v>
      </c>
      <c r="CV225" s="754"/>
      <c r="CW225" s="754"/>
      <c r="CX225" s="754"/>
      <c r="CY225" s="755"/>
      <c r="CZ225" s="753">
        <f>CU225</f>
        <v>1</v>
      </c>
      <c r="DA225" s="754"/>
      <c r="DB225" s="754"/>
      <c r="DC225" s="754"/>
      <c r="DD225" s="755"/>
      <c r="DE225" s="753">
        <f>CZ225</f>
        <v>1</v>
      </c>
      <c r="DF225" s="754"/>
      <c r="DG225" s="754"/>
      <c r="DH225" s="754"/>
      <c r="DI225" s="755"/>
      <c r="DJ225" s="753">
        <f>DE225</f>
        <v>1</v>
      </c>
      <c r="DK225" s="423"/>
      <c r="DL225" s="424"/>
      <c r="DM225" s="866"/>
      <c r="DN225" s="866"/>
      <c r="DO225" s="866"/>
      <c r="DP225" s="1060"/>
      <c r="DQ225" s="1207"/>
      <c r="DR225" s="1207"/>
      <c r="DS225" s="1207"/>
      <c r="DT225" s="1207"/>
      <c r="DU225" s="1207"/>
      <c r="DV225" s="1207"/>
      <c r="DW225" s="1060"/>
      <c r="DX225" s="866"/>
      <c r="DY225" s="425"/>
      <c r="DZ225" s="268"/>
      <c r="EA225" s="268"/>
      <c r="EB225"/>
      <c r="EC225"/>
      <c r="ED225"/>
      <c r="EE225"/>
      <c r="EF225"/>
      <c r="EG225"/>
    </row>
    <row r="226" spans="1:137" s="628" customFormat="1">
      <c r="A226" s="616" t="s">
        <v>216</v>
      </c>
      <c r="B226" s="617">
        <v>432.5</v>
      </c>
      <c r="C226" s="617">
        <v>452</v>
      </c>
      <c r="D226" s="617">
        <v>450</v>
      </c>
      <c r="E226" s="617">
        <v>447.1</v>
      </c>
      <c r="F226" s="617">
        <v>445.65</v>
      </c>
      <c r="G226" s="617">
        <v>436.4</v>
      </c>
      <c r="H226" s="618">
        <v>432.1</v>
      </c>
      <c r="I226" s="619">
        <v>426.5</v>
      </c>
      <c r="J226" s="619">
        <v>424.5</v>
      </c>
      <c r="K226" s="618">
        <v>423.4</v>
      </c>
      <c r="L226" s="617">
        <v>427.1</v>
      </c>
      <c r="M226" s="619">
        <v>416.8</v>
      </c>
      <c r="N226" s="619">
        <v>409.5</v>
      </c>
      <c r="O226" s="619">
        <v>407.1</v>
      </c>
      <c r="P226" s="618">
        <v>400.7</v>
      </c>
      <c r="Q226" s="617">
        <v>409.4</v>
      </c>
      <c r="R226" s="619">
        <v>397.45</v>
      </c>
      <c r="S226" s="619">
        <v>390.9</v>
      </c>
      <c r="T226" s="619">
        <v>385.5</v>
      </c>
      <c r="U226" s="618">
        <v>381.9</v>
      </c>
      <c r="V226" s="617">
        <v>388.85</v>
      </c>
      <c r="W226" s="620">
        <v>377.7</v>
      </c>
      <c r="X226" s="620">
        <v>371.7</v>
      </c>
      <c r="Y226" s="620">
        <v>363.94</v>
      </c>
      <c r="Z226" s="618">
        <v>359.7</v>
      </c>
      <c r="AA226" s="621">
        <v>368.3</v>
      </c>
      <c r="AB226" s="620">
        <v>352.6</v>
      </c>
      <c r="AC226" s="620">
        <v>346.64</v>
      </c>
      <c r="AD226" s="620">
        <v>333.64</v>
      </c>
      <c r="AE226" s="622">
        <v>326.64999999999998</v>
      </c>
      <c r="AF226" s="621">
        <v>339.9</v>
      </c>
      <c r="AG226" s="622">
        <v>328.64</v>
      </c>
      <c r="AH226" s="620">
        <v>328.8</v>
      </c>
      <c r="AI226" s="620">
        <v>328.3</v>
      </c>
      <c r="AJ226" s="622">
        <v>328</v>
      </c>
      <c r="AK226" s="621">
        <v>328.4</v>
      </c>
      <c r="AL226" s="620">
        <v>326.3</v>
      </c>
      <c r="AM226" s="620">
        <v>325.89999999999998</v>
      </c>
      <c r="AN226" s="620">
        <v>327.5</v>
      </c>
      <c r="AO226" s="620">
        <v>326.3</v>
      </c>
      <c r="AP226" s="621">
        <v>326.5</v>
      </c>
      <c r="AQ226" s="623">
        <v>325.10000000000002</v>
      </c>
      <c r="AR226" s="620">
        <v>322.10000000000002</v>
      </c>
      <c r="AS226" s="620">
        <v>321.8</v>
      </c>
      <c r="AT226" s="620">
        <v>320.60000000000002</v>
      </c>
      <c r="AU226" s="621">
        <v>322.39999999999998</v>
      </c>
      <c r="AV226" s="623">
        <v>320.2</v>
      </c>
      <c r="AW226" s="620">
        <v>316.10000000000002</v>
      </c>
      <c r="AX226" s="620">
        <v>312.7</v>
      </c>
      <c r="AY226" s="620">
        <v>310.2</v>
      </c>
      <c r="AZ226" s="621">
        <v>314.7</v>
      </c>
      <c r="BA226" s="621">
        <f t="shared" si="886"/>
        <v>326.5</v>
      </c>
      <c r="BB226" s="623">
        <v>325.10000000000002</v>
      </c>
      <c r="BC226" s="620">
        <v>322.10000000000002</v>
      </c>
      <c r="BD226" s="620">
        <v>321.8</v>
      </c>
      <c r="BE226" s="620">
        <v>320.60000000000002</v>
      </c>
      <c r="BF226" s="621">
        <f t="shared" si="890"/>
        <v>322.39999999999998</v>
      </c>
      <c r="BG226" s="623">
        <v>320.2</v>
      </c>
      <c r="BH226" s="620">
        <v>316.10000000000002</v>
      </c>
      <c r="BI226" s="620">
        <v>312.7</v>
      </c>
      <c r="BJ226" s="620">
        <v>310.2</v>
      </c>
      <c r="BK226" s="621">
        <f t="shared" si="887"/>
        <v>314.7</v>
      </c>
      <c r="BL226" s="623">
        <v>307.8</v>
      </c>
      <c r="BM226" s="620">
        <v>307.10000000000002</v>
      </c>
      <c r="BN226" s="620"/>
      <c r="BO226" s="620"/>
      <c r="BP226" s="621"/>
      <c r="BQ226" s="621">
        <f t="shared" si="888"/>
        <v>322.39999999999998</v>
      </c>
      <c r="BR226" s="623">
        <v>320.2</v>
      </c>
      <c r="BS226" s="620">
        <v>316.10000000000002</v>
      </c>
      <c r="BT226" s="620">
        <v>312.7</v>
      </c>
      <c r="BU226" s="620">
        <v>310.2</v>
      </c>
      <c r="BV226" s="621">
        <f t="shared" ref="BV226:BV229" si="905">+BK226</f>
        <v>314.7</v>
      </c>
      <c r="BW226" s="623">
        <v>308.7</v>
      </c>
      <c r="BX226" s="620">
        <v>307.10000000000002</v>
      </c>
      <c r="BY226" s="620">
        <v>302</v>
      </c>
      <c r="BZ226" s="620">
        <v>295.2</v>
      </c>
      <c r="CA226" s="621">
        <v>303.10000000000002</v>
      </c>
      <c r="CB226" s="623">
        <v>292.8</v>
      </c>
      <c r="CC226" s="620">
        <v>291.2</v>
      </c>
      <c r="CD226" s="620">
        <v>290</v>
      </c>
      <c r="CE226" s="620">
        <v>285.89999999999998</v>
      </c>
      <c r="CF226" s="621">
        <f>+AVERAGE(CB226:CE226)+0.6</f>
        <v>290.57500000000005</v>
      </c>
      <c r="CG226" s="623"/>
      <c r="CH226" s="620"/>
      <c r="CI226" s="620"/>
      <c r="CJ226" s="620"/>
      <c r="CK226" s="621">
        <v>303.10000000000002</v>
      </c>
      <c r="CL226" s="623"/>
      <c r="CM226" s="620"/>
      <c r="CN226" s="620"/>
      <c r="CO226" s="620"/>
      <c r="CP226" s="621">
        <f>CF226</f>
        <v>290.57500000000005</v>
      </c>
      <c r="CQ226" s="620">
        <f>+CE226*(1+CQ227/4)</f>
        <v>285.18525</v>
      </c>
      <c r="CR226" s="620">
        <f>+CQ226*(1+CR227/4)</f>
        <v>284.47228687500001</v>
      </c>
      <c r="CS226" s="620">
        <f t="shared" ref="CS226:CT226" si="906">+CR226*(1+CS227/4)</f>
        <v>283.76110615781255</v>
      </c>
      <c r="CT226" s="620">
        <f t="shared" si="906"/>
        <v>283.05170339241801</v>
      </c>
      <c r="CU226" s="621">
        <f>+AVERAGE(CQ226:CT226)</f>
        <v>284.11758660630761</v>
      </c>
      <c r="CV226" s="622"/>
      <c r="CW226" s="622"/>
      <c r="CX226" s="622"/>
      <c r="CY226" s="624"/>
      <c r="CZ226" s="621">
        <f>CU226*(1+CZ227)</f>
        <v>279.71376401390984</v>
      </c>
      <c r="DA226" s="622"/>
      <c r="DB226" s="622"/>
      <c r="DC226" s="622"/>
      <c r="DD226" s="624"/>
      <c r="DE226" s="621">
        <f>CZ226*(1+DE227)</f>
        <v>274.11948873363161</v>
      </c>
      <c r="DF226" s="622"/>
      <c r="DG226" s="622"/>
      <c r="DH226" s="622"/>
      <c r="DI226" s="624"/>
      <c r="DJ226" s="621">
        <f>DE226*(1+DJ227)</f>
        <v>269.32239768079307</v>
      </c>
      <c r="DK226" s="625"/>
      <c r="DL226" s="626"/>
      <c r="DM226" s="1107"/>
      <c r="DN226" s="1107"/>
      <c r="DO226" s="1107"/>
      <c r="DP226" s="1127"/>
      <c r="DQ226" s="1127"/>
      <c r="DR226" s="1182"/>
      <c r="DS226" s="1107"/>
      <c r="DT226" s="1107"/>
      <c r="DU226" s="1107"/>
      <c r="DV226" s="1107"/>
      <c r="DW226" s="1107"/>
      <c r="DX226" s="1107"/>
      <c r="DY226" s="626"/>
      <c r="DZ226" s="627"/>
      <c r="EA226" s="627"/>
      <c r="EB226"/>
      <c r="EC226"/>
      <c r="ED226"/>
      <c r="EE226"/>
      <c r="EF226"/>
      <c r="EG226"/>
    </row>
    <row r="227" spans="1:137" s="429" customFormat="1">
      <c r="A227" s="244" t="s">
        <v>161</v>
      </c>
      <c r="B227" s="269"/>
      <c r="C227" s="270">
        <f>C226/B226-1</f>
        <v>4.5086705202312061E-2</v>
      </c>
      <c r="D227" s="270">
        <f>D226/C226-1</f>
        <v>-4.4247787610619538E-3</v>
      </c>
      <c r="E227" s="270">
        <f>E226/D226-1</f>
        <v>-6.4444444444443638E-3</v>
      </c>
      <c r="F227" s="270">
        <f>F226/E226-1</f>
        <v>-3.2431223439947088E-3</v>
      </c>
      <c r="G227" s="270">
        <f>G226/F226-1</f>
        <v>-2.0756198810725879E-2</v>
      </c>
      <c r="H227" s="272"/>
      <c r="I227" s="272">
        <f>(I226/H226-1)*4</f>
        <v>-5.1839851886137822E-2</v>
      </c>
      <c r="J227" s="272">
        <f>(J226/I226-1)*4</f>
        <v>-1.8757327080891173E-2</v>
      </c>
      <c r="K227" s="272">
        <f>(K226/J226-1)*4</f>
        <v>-1.0365135453474839E-2</v>
      </c>
      <c r="L227" s="270">
        <f>L226/G226-1</f>
        <v>-2.1310724106324397E-2</v>
      </c>
      <c r="M227" s="272">
        <f>(M226/K226-1)*4</f>
        <v>-6.2352385451109882E-2</v>
      </c>
      <c r="N227" s="272">
        <f>(N226/M226-1)*4</f>
        <v>-7.005758157389641E-2</v>
      </c>
      <c r="O227" s="272">
        <f>(O226/N226-1)*4</f>
        <v>-2.344322344322336E-2</v>
      </c>
      <c r="P227" s="272">
        <f>(P226/O226-1)*4</f>
        <v>-6.2883812331123057E-2</v>
      </c>
      <c r="Q227" s="270">
        <f>Q226/L226-1</f>
        <v>-4.1442285179115079E-2</v>
      </c>
      <c r="R227" s="272">
        <f>(R226/P226-1)*4</f>
        <v>-3.2443224357374678E-2</v>
      </c>
      <c r="S227" s="272">
        <f>(S226/R226-1)*4</f>
        <v>-6.5920241539816349E-2</v>
      </c>
      <c r="T227" s="272">
        <f>(T226/S226-1)*4</f>
        <v>-5.5257099002302024E-2</v>
      </c>
      <c r="U227" s="272">
        <f>(U226/T226-1)*4</f>
        <v>-3.7354085603113152E-2</v>
      </c>
      <c r="V227" s="273">
        <f>V226/Q226-1</f>
        <v>-5.019540791402044E-2</v>
      </c>
      <c r="W227" s="272">
        <f>(W226/U226-1)*4</f>
        <v>-4.3990573448546844E-2</v>
      </c>
      <c r="X227" s="272">
        <f>(X226/W226-1)*4</f>
        <v>-6.3542494042891029E-2</v>
      </c>
      <c r="Y227" s="272">
        <f>(Y226/X226-1)*4</f>
        <v>-8.3508205542103919E-2</v>
      </c>
      <c r="Z227" s="272">
        <f>(Z226/Y226-1)*4</f>
        <v>-4.660108809144381E-2</v>
      </c>
      <c r="AA227" s="273">
        <f>AA226/V226-1</f>
        <v>-5.2848141957052897E-2</v>
      </c>
      <c r="AB227" s="272">
        <f>(AB226/Z226-1)*4</f>
        <v>-7.8954684459271451E-2</v>
      </c>
      <c r="AC227" s="272">
        <f>(AC226/AB226-1)*4</f>
        <v>-6.7612024957459216E-2</v>
      </c>
      <c r="AD227" s="272">
        <f>(AD226/AC226-1)*4</f>
        <v>-0.15001153934918054</v>
      </c>
      <c r="AE227" s="272">
        <f>(AE226/AD226-1)*4</f>
        <v>-8.3802901330775725E-2</v>
      </c>
      <c r="AF227" s="273">
        <f>AF226/AA226-1</f>
        <v>-7.711105077382574E-2</v>
      </c>
      <c r="AG227" s="272">
        <f>(AG226/AE226-1)*4</f>
        <v>2.4368590234195686E-2</v>
      </c>
      <c r="AH227" s="272">
        <f>(AH226/AG226-1)*4</f>
        <v>1.9474196689390766E-3</v>
      </c>
      <c r="AI227" s="272">
        <f>(AI226/AH226-1)*4</f>
        <v>-6.0827250608270766E-3</v>
      </c>
      <c r="AJ227" s="272">
        <f>(AJ226/AI226-1)*4</f>
        <v>-3.6551934206521253E-3</v>
      </c>
      <c r="AK227" s="273">
        <f>AK226/AF226-1</f>
        <v>-3.3833480435422225E-2</v>
      </c>
      <c r="AL227" s="272">
        <f>(AL226/AJ226-1)*4</f>
        <v>-2.0731707317072967E-2</v>
      </c>
      <c r="AM227" s="272">
        <f>(AM226/AL226-1)*4</f>
        <v>-4.9034630707942561E-3</v>
      </c>
      <c r="AN227" s="272">
        <f>(AN226/AM226-1)*4</f>
        <v>1.9637925744093288E-2</v>
      </c>
      <c r="AO227" s="272">
        <f>(AO226/AN226-1)*4</f>
        <v>-1.4656488549618096E-2</v>
      </c>
      <c r="AP227" s="273">
        <f>AP226/AK226-1</f>
        <v>-5.7856272838001654E-3</v>
      </c>
      <c r="AQ227" s="272">
        <f>(AQ226/AO226-1)*4</f>
        <v>-1.4710389212380992E-2</v>
      </c>
      <c r="AR227" s="272">
        <f>(AR226/AQ226-1)*4</f>
        <v>-3.6911719470932081E-2</v>
      </c>
      <c r="AS227" s="272">
        <f>(AS226/AR226-1)*4</f>
        <v>-3.7255510710960671E-3</v>
      </c>
      <c r="AT227" s="272">
        <f>(AT226/AS226-1)*4</f>
        <v>-1.4916096954630031E-2</v>
      </c>
      <c r="AU227" s="273">
        <f>AU226/AP226-1</f>
        <v>-1.2557427258805598E-2</v>
      </c>
      <c r="AV227" s="272">
        <f>(AV226/AT226-1)*4</f>
        <v>-4.9906425452279635E-3</v>
      </c>
      <c r="AW227" s="272">
        <f>(AW226/AV226-1)*4</f>
        <v>-5.1217988757026323E-2</v>
      </c>
      <c r="AX227" s="272">
        <f>(AX226/AW226-1)*4</f>
        <v>-4.3024359379943533E-2</v>
      </c>
      <c r="AY227" s="272">
        <f>(AY226/AX226-1)*4</f>
        <v>-3.1979533098816848E-2</v>
      </c>
      <c r="AZ227" s="273">
        <f>AZ226/AU226-1</f>
        <v>-2.3883374689826264E-2</v>
      </c>
      <c r="BA227" s="273">
        <f t="shared" si="886"/>
        <v>-5.7856272838001654E-3</v>
      </c>
      <c r="BB227" s="272">
        <f>(BB226/AO226-1)*4</f>
        <v>-1.4710389212380992E-2</v>
      </c>
      <c r="BC227" s="272">
        <f>(BC226/BB226-1)*4</f>
        <v>-3.6911719470932081E-2</v>
      </c>
      <c r="BD227" s="272">
        <f>(BD226/BC226-1)*4</f>
        <v>-3.7255510710960671E-3</v>
      </c>
      <c r="BE227" s="272">
        <f>(BE226/BD226-1)*4</f>
        <v>-1.4916096954630031E-2</v>
      </c>
      <c r="BF227" s="273">
        <f t="shared" si="890"/>
        <v>-1.2557427258805598E-2</v>
      </c>
      <c r="BG227" s="272">
        <f>(BG226/AX226-1)*4</f>
        <v>9.59385992964501E-2</v>
      </c>
      <c r="BH227" s="272">
        <f>(BH226/BG226-1)*4</f>
        <v>-5.1217988757026323E-2</v>
      </c>
      <c r="BI227" s="272">
        <f>(BI226/BH226-1)*4</f>
        <v>-4.3024359379943533E-2</v>
      </c>
      <c r="BJ227" s="272">
        <f>(BJ226/BI226-1)*4</f>
        <v>-3.1979533098816848E-2</v>
      </c>
      <c r="BK227" s="273">
        <f t="shared" si="887"/>
        <v>-2.3883374689826264E-2</v>
      </c>
      <c r="BL227" s="272">
        <f>(BL226/BC226-1)*4</f>
        <v>-0.17758460105557283</v>
      </c>
      <c r="BM227" s="272">
        <f>(BM226/BL226-1)*4</f>
        <v>-9.0968161143596404E-3</v>
      </c>
      <c r="BN227" s="272"/>
      <c r="BO227" s="272"/>
      <c r="BP227" s="558"/>
      <c r="BQ227" s="28">
        <f>BQ226/BA226-1</f>
        <v>-1.2557427258805598E-2</v>
      </c>
      <c r="BR227" s="272">
        <f t="shared" ref="BR227:BY227" si="907">(BR226/BQ226-1)*4</f>
        <v>-2.7295285359801191E-2</v>
      </c>
      <c r="BS227" s="272">
        <f t="shared" si="907"/>
        <v>-5.1217988757026323E-2</v>
      </c>
      <c r="BT227" s="272">
        <f t="shared" si="907"/>
        <v>-4.3024359379943533E-2</v>
      </c>
      <c r="BU227" s="272">
        <f t="shared" si="907"/>
        <v>-3.1979533098816848E-2</v>
      </c>
      <c r="BV227" s="28">
        <f>BV226/BQ226-1</f>
        <v>-2.3883374689826264E-2</v>
      </c>
      <c r="BW227" s="1269">
        <f>(BW226/BU226-1)*4</f>
        <v>-1.9342359767891892E-2</v>
      </c>
      <c r="BX227" s="1269">
        <f t="shared" si="907"/>
        <v>-2.0732102364755089E-2</v>
      </c>
      <c r="BY227" s="1269">
        <f t="shared" si="907"/>
        <v>-6.6427873656789593E-2</v>
      </c>
      <c r="BZ227" s="1269">
        <f>(BZ226/BY226-1)*4</f>
        <v>-9.0066225165563285E-2</v>
      </c>
      <c r="CA227" s="28">
        <f>CA226/BV226-1</f>
        <v>-3.68605020654591E-2</v>
      </c>
      <c r="CB227" s="1269">
        <f>(CB226/BZ226-1)*4</f>
        <v>-3.2520325203251765E-2</v>
      </c>
      <c r="CC227" s="1269">
        <f t="shared" ref="CC227:CD227" si="908">(CC226/CB226-1)*4</f>
        <v>-2.1857923497268228E-2</v>
      </c>
      <c r="CD227" s="1269">
        <f t="shared" si="908"/>
        <v>-1.6483516483516425E-2</v>
      </c>
      <c r="CE227" s="1269">
        <f>(CE226/CD226-1)*4</f>
        <v>-5.6551724137931192E-2</v>
      </c>
      <c r="CF227" s="28">
        <f>CF226/CA226-1</f>
        <v>-4.132299571098641E-2</v>
      </c>
      <c r="CG227" s="272"/>
      <c r="CH227" s="272"/>
      <c r="CI227" s="272"/>
      <c r="CJ227" s="272"/>
      <c r="CK227" s="28">
        <f>CK226/BV226-1</f>
        <v>-3.68605020654591E-2</v>
      </c>
      <c r="CL227" s="272"/>
      <c r="CM227" s="272"/>
      <c r="CN227" s="272"/>
      <c r="CO227" s="272"/>
      <c r="CP227" s="28">
        <f>CP226/CK226-1</f>
        <v>-4.132299571098641E-2</v>
      </c>
      <c r="CQ227" s="274">
        <v>-0.01</v>
      </c>
      <c r="CR227" s="274">
        <v>-0.01</v>
      </c>
      <c r="CS227" s="274">
        <v>-0.01</v>
      </c>
      <c r="CT227" s="275">
        <v>-0.01</v>
      </c>
      <c r="CU227" s="28">
        <f>CU226/CF226-1</f>
        <v>-2.2222880129716738E-2</v>
      </c>
      <c r="CV227" s="274"/>
      <c r="CW227" s="274"/>
      <c r="CX227" s="274"/>
      <c r="CY227" s="275"/>
      <c r="CZ227" s="558">
        <v>-1.55E-2</v>
      </c>
      <c r="DA227" s="274"/>
      <c r="DB227" s="274"/>
      <c r="DC227" s="274"/>
      <c r="DD227" s="275"/>
      <c r="DE227" s="558">
        <v>-0.02</v>
      </c>
      <c r="DF227" s="274"/>
      <c r="DG227" s="274"/>
      <c r="DH227" s="274"/>
      <c r="DI227" s="275"/>
      <c r="DJ227" s="558">
        <v>-1.7500000000000002E-2</v>
      </c>
      <c r="DK227" s="426"/>
      <c r="DL227" s="1283"/>
      <c r="DM227" s="830"/>
      <c r="DN227" s="830"/>
      <c r="DO227" s="830"/>
      <c r="DP227" s="1145"/>
      <c r="DQ227" s="1084"/>
      <c r="DR227" s="1182"/>
      <c r="DS227" s="830"/>
      <c r="DT227" s="830"/>
      <c r="DU227" s="830"/>
      <c r="DV227" s="830"/>
      <c r="DW227" s="830"/>
      <c r="DX227" s="830"/>
      <c r="DY227" s="427"/>
      <c r="DZ227" s="428"/>
      <c r="EA227" s="428"/>
      <c r="EB227"/>
      <c r="EC227"/>
      <c r="ED227"/>
      <c r="EE227"/>
      <c r="EF227"/>
      <c r="EG227"/>
    </row>
    <row r="228" spans="1:137" s="355" customFormat="1">
      <c r="A228" s="245" t="s">
        <v>241</v>
      </c>
      <c r="B228" s="306">
        <v>39.627413201612931</v>
      </c>
      <c r="C228" s="306">
        <v>58.870589265872979</v>
      </c>
      <c r="D228" s="306">
        <v>48.49848582936503</v>
      </c>
      <c r="E228" s="306">
        <v>51.884557083333313</v>
      </c>
      <c r="F228" s="306">
        <v>61.26396196428567</v>
      </c>
      <c r="G228" s="306">
        <v>78.599794219123439</v>
      </c>
      <c r="H228" s="307">
        <v>98.069501245901634</v>
      </c>
      <c r="I228" s="308">
        <v>96.514438142857159</v>
      </c>
      <c r="J228" s="308">
        <v>98.85269369841275</v>
      </c>
      <c r="K228" s="307">
        <v>109.38109187499997</v>
      </c>
      <c r="L228" s="306">
        <f>AVERAGE(H228:K228)</f>
        <v>100.70443124054287</v>
      </c>
      <c r="M228" s="307">
        <v>104.68016078688525</v>
      </c>
      <c r="N228" s="308">
        <v>105.03796537499998</v>
      </c>
      <c r="O228" s="308">
        <v>109.33234124999996</v>
      </c>
      <c r="P228" s="307">
        <v>81.715305609374994</v>
      </c>
      <c r="Q228" s="306">
        <f>AVERAGE(M228:P228)</f>
        <v>100.19144325531504</v>
      </c>
      <c r="R228" s="307">
        <v>73.865567016393456</v>
      </c>
      <c r="S228" s="308">
        <v>79.54872300000001</v>
      </c>
      <c r="T228" s="308">
        <v>76.614681421875019</v>
      </c>
      <c r="U228" s="307">
        <v>74.964055078125014</v>
      </c>
      <c r="V228" s="310">
        <f>AVERAGE(R228:U228)</f>
        <v>76.248256629098378</v>
      </c>
      <c r="W228" s="307">
        <v>78.937492359375042</v>
      </c>
      <c r="X228" s="308">
        <v>81.495231968254004</v>
      </c>
      <c r="Y228" s="308">
        <v>72.813586890625032</v>
      </c>
      <c r="Z228" s="307">
        <v>70.029055093750017</v>
      </c>
      <c r="AA228" s="310">
        <f>AVERAGE(W228:Z228)</f>
        <v>75.818841578001027</v>
      </c>
      <c r="AB228" s="307">
        <v>78.981283580645197</v>
      </c>
      <c r="AC228" s="308">
        <v>79.104438412698414</v>
      </c>
      <c r="AD228" s="308">
        <v>74.508586500000035</v>
      </c>
      <c r="AE228" s="307">
        <v>76.746977523809548</v>
      </c>
      <c r="AF228" s="310">
        <f>AVERAGE(AB228:AE228)</f>
        <v>77.335321504288302</v>
      </c>
      <c r="AG228" s="307">
        <v>86.16547788709677</v>
      </c>
      <c r="AH228" s="308">
        <v>86.286341809523847</v>
      </c>
      <c r="AI228" s="308">
        <v>90.331105063492075</v>
      </c>
      <c r="AJ228" s="307">
        <v>92.222896435483904</v>
      </c>
      <c r="AK228" s="310">
        <f>AVERAGE(AG228:AJ228)</f>
        <v>88.751455298899145</v>
      </c>
      <c r="AL228" s="307">
        <v>90.704159266666693</v>
      </c>
      <c r="AM228" s="308">
        <v>102.151401515625</v>
      </c>
      <c r="AN228" s="309">
        <v>121.2985692063492</v>
      </c>
      <c r="AO228" s="309">
        <v>135.6921504615384</v>
      </c>
      <c r="AP228" s="310">
        <f>AVERAGE(AL228:AO228)</f>
        <v>112.46157011254482</v>
      </c>
      <c r="AQ228" s="738">
        <v>158.89312145833335</v>
      </c>
      <c r="AR228" s="799">
        <v>166.83777753125003</v>
      </c>
      <c r="AS228" s="832">
        <v>171.54</v>
      </c>
      <c r="AT228" s="841">
        <v>185.23</v>
      </c>
      <c r="AU228" s="310">
        <f>AVERAGE(AQ228:AT228)</f>
        <v>170.62522474739583</v>
      </c>
      <c r="AV228" s="799">
        <v>197.35097322580646</v>
      </c>
      <c r="AW228" s="799">
        <v>192.72719249999994</v>
      </c>
      <c r="AX228" s="832">
        <v>203.19169630769233</v>
      </c>
      <c r="AY228" s="841">
        <v>216.8421580000001</v>
      </c>
      <c r="AZ228" s="310">
        <f>AVERAGE(AV228:AY228)</f>
        <v>202.52800500837469</v>
      </c>
      <c r="BA228" s="310">
        <f t="shared" si="886"/>
        <v>112.46157011254482</v>
      </c>
      <c r="BB228" s="799">
        <f>+AQ228</f>
        <v>158.89312145833335</v>
      </c>
      <c r="BC228" s="799">
        <f t="shared" ref="BC228:BE228" si="909">+AR228</f>
        <v>166.83777753125003</v>
      </c>
      <c r="BD228" s="832">
        <f t="shared" si="909"/>
        <v>171.54</v>
      </c>
      <c r="BE228" s="841">
        <f t="shared" si="909"/>
        <v>185.23</v>
      </c>
      <c r="BF228" s="310">
        <f t="shared" si="890"/>
        <v>170.62522474739583</v>
      </c>
      <c r="BG228" s="799">
        <v>197.35097322580646</v>
      </c>
      <c r="BH228" s="799">
        <v>192.72719249999994</v>
      </c>
      <c r="BI228" s="832">
        <v>203.19169630769233</v>
      </c>
      <c r="BJ228" s="841">
        <v>216.8421580000001</v>
      </c>
      <c r="BK228" s="310">
        <f t="shared" si="887"/>
        <v>202.52800500837469</v>
      </c>
      <c r="BL228" s="799">
        <v>215.1822620967742</v>
      </c>
      <c r="BM228" s="799">
        <v>235.53723538461546</v>
      </c>
      <c r="BN228" s="832"/>
      <c r="BO228" s="841"/>
      <c r="BP228" s="310"/>
      <c r="BQ228" s="310">
        <f>+BF228</f>
        <v>170.62522474739583</v>
      </c>
      <c r="BR228" s="799">
        <f>+BG228</f>
        <v>197.35097322580646</v>
      </c>
      <c r="BS228" s="799">
        <f>+BH228</f>
        <v>192.72719249999994</v>
      </c>
      <c r="BT228" s="832">
        <f>+BI228</f>
        <v>203.19169630769233</v>
      </c>
      <c r="BU228" s="841">
        <f>+BJ228</f>
        <v>216.8421580000001</v>
      </c>
      <c r="BV228" s="310">
        <f t="shared" si="905"/>
        <v>202.52800500837469</v>
      </c>
      <c r="BW228" s="1146">
        <v>215.1822620967742</v>
      </c>
      <c r="BX228" s="1146">
        <v>235.53723538461546</v>
      </c>
      <c r="BY228" s="1147">
        <v>250.23877230769241</v>
      </c>
      <c r="BZ228" s="1148">
        <v>249.74874984375001</v>
      </c>
      <c r="CA228" s="310">
        <f>+AVERAGE(BW228:BZ228)</f>
        <v>237.67675490820804</v>
      </c>
      <c r="CB228" s="1146">
        <v>261.9001683870967</v>
      </c>
      <c r="CC228" s="1146">
        <v>274.61047796874999</v>
      </c>
      <c r="CD228" s="1147">
        <v>274.61047796874999</v>
      </c>
      <c r="CE228" s="1214">
        <v>315.26095238095252</v>
      </c>
      <c r="CF228" s="310">
        <f>+AVERAGE(CB228:CE228)</f>
        <v>281.59551917638726</v>
      </c>
      <c r="CG228" s="1146"/>
      <c r="CH228" s="1146"/>
      <c r="CI228" s="1147"/>
      <c r="CJ228" s="1148"/>
      <c r="CK228" s="310">
        <f>CA228</f>
        <v>237.67675490820804</v>
      </c>
      <c r="CL228" s="1146"/>
      <c r="CM228" s="1146"/>
      <c r="CN228" s="1147"/>
      <c r="CO228" s="1214"/>
      <c r="CP228" s="310">
        <f>CF228</f>
        <v>281.59551917638726</v>
      </c>
      <c r="CQ228" s="1148">
        <f>+CE228*(1+CQ229)</f>
        <v>346.78704761904777</v>
      </c>
      <c r="CR228" s="1148">
        <f>+CQ228*(1+CR229)</f>
        <v>355.45672380952391</v>
      </c>
      <c r="CS228" s="1148">
        <f t="shared" ref="CS228:CT228" si="910">+CR228*(1+CS229)</f>
        <v>364.34314190476198</v>
      </c>
      <c r="CT228" s="1148">
        <f t="shared" si="910"/>
        <v>373.45172045238098</v>
      </c>
      <c r="CU228" s="310">
        <f>+AVERAGE(CQ228:CT228)</f>
        <v>360.0096584464286</v>
      </c>
      <c r="CV228" s="311"/>
      <c r="CW228" s="311"/>
      <c r="CX228" s="311"/>
      <c r="CY228" s="312"/>
      <c r="CZ228" s="310">
        <f>CU228*(1+CZ229)</f>
        <v>396.01062429107151</v>
      </c>
      <c r="DA228" s="311"/>
      <c r="DB228" s="311"/>
      <c r="DC228" s="311"/>
      <c r="DD228" s="312"/>
      <c r="DE228" s="310">
        <f>CZ228*(1+DE229)</f>
        <v>435.61168672017868</v>
      </c>
      <c r="DF228" s="311"/>
      <c r="DG228" s="311"/>
      <c r="DH228" s="311"/>
      <c r="DI228" s="312"/>
      <c r="DJ228" s="310">
        <f>DE228*(1+DJ229)</f>
        <v>479.1728553921966</v>
      </c>
      <c r="DK228" s="353"/>
      <c r="DL228" s="1290"/>
      <c r="DM228" s="830"/>
      <c r="DN228" s="830"/>
      <c r="DO228" s="1083"/>
      <c r="DP228" s="1105"/>
      <c r="DQ228" s="1180"/>
      <c r="DR228" s="1208"/>
      <c r="DS228" s="1181"/>
      <c r="DT228" s="1181"/>
      <c r="DU228" s="1181"/>
      <c r="DV228" s="1181"/>
      <c r="DW228" s="1083"/>
      <c r="DX228" s="1083"/>
      <c r="DY228" s="358"/>
      <c r="DZ228" s="352"/>
      <c r="EA228" s="352"/>
      <c r="EB228"/>
      <c r="EC228"/>
      <c r="ED228"/>
      <c r="EE228"/>
      <c r="EF228"/>
      <c r="EG228"/>
    </row>
    <row r="229" spans="1:137" s="398" customFormat="1">
      <c r="A229" s="246" t="s">
        <v>242</v>
      </c>
      <c r="B229" s="19"/>
      <c r="C229" s="34">
        <f>C228/B228-1</f>
        <v>0.48560262983496494</v>
      </c>
      <c r="D229" s="34">
        <f>D228/C228-1</f>
        <v>-0.1761848074879151</v>
      </c>
      <c r="E229" s="34">
        <f>E228/D228-1</f>
        <v>6.9818081865105741E-2</v>
      </c>
      <c r="F229" s="34">
        <f>F228/E228-1</f>
        <v>0.18077450031784648</v>
      </c>
      <c r="G229" s="34">
        <f>G228/F228-1</f>
        <v>0.28296949297767959</v>
      </c>
      <c r="H229" s="37"/>
      <c r="I229" s="37">
        <f>I228/H228-1</f>
        <v>-1.5856745300919517E-2</v>
      </c>
      <c r="J229" s="37">
        <f>J228/I228-1</f>
        <v>2.4227002721547208E-2</v>
      </c>
      <c r="K229" s="37">
        <f>K228/J228-1</f>
        <v>0.10650593102407546</v>
      </c>
      <c r="L229" s="28">
        <f>L228/G228-1</f>
        <v>0.28123021492645783</v>
      </c>
      <c r="M229" s="37">
        <f>M228/K228-1</f>
        <v>-4.2977547650437709E-2</v>
      </c>
      <c r="N229" s="37">
        <f>N228/M228-1</f>
        <v>3.4180744987883926E-3</v>
      </c>
      <c r="O229" s="37">
        <f>O228/N228-1</f>
        <v>4.0884035212110703E-2</v>
      </c>
      <c r="P229" s="37">
        <f>P228/O228-1</f>
        <v>-0.25259713022586505</v>
      </c>
      <c r="Q229" s="28">
        <f>Q228/L228-1</f>
        <v>-5.0939961519916865E-3</v>
      </c>
      <c r="R229" s="37">
        <f>R228/P228-1</f>
        <v>-9.6062035556787495E-2</v>
      </c>
      <c r="S229" s="37">
        <f>S228/R228-1</f>
        <v>7.6939177659669955E-2</v>
      </c>
      <c r="T229" s="37">
        <f>T228/S228-1</f>
        <v>-3.6883578610369283E-2</v>
      </c>
      <c r="U229" s="37">
        <f>U228/T228-1</f>
        <v>-2.1544517488246262E-2</v>
      </c>
      <c r="V229" s="28">
        <f>V228/Q228-1</f>
        <v>-0.23897436595661081</v>
      </c>
      <c r="W229" s="37">
        <f>W228/U228-1</f>
        <v>5.3004567016939674E-2</v>
      </c>
      <c r="X229" s="37">
        <f>X228/W228-1</f>
        <v>3.2402088442770038E-2</v>
      </c>
      <c r="Y229" s="37">
        <f>Y228/X228-1</f>
        <v>-0.10652948482938063</v>
      </c>
      <c r="Z229" s="37">
        <f>Z228/Y228-1</f>
        <v>-3.8241925934204057E-2</v>
      </c>
      <c r="AA229" s="28">
        <f>AA228/V228-1</f>
        <v>-5.6318015661157572E-3</v>
      </c>
      <c r="AB229" s="37">
        <f>AB228/Z228-1</f>
        <v>0.12783591717624287</v>
      </c>
      <c r="AC229" s="37">
        <f>AC228/AB228-1</f>
        <v>1.559291346885594E-3</v>
      </c>
      <c r="AD229" s="37">
        <f>AD228/AC228-1</f>
        <v>-5.8098534101477362E-2</v>
      </c>
      <c r="AE229" s="37">
        <f>AE228/AD228-1</f>
        <v>3.004205460010323E-2</v>
      </c>
      <c r="AF229" s="28">
        <f>AF228/AA228-1</f>
        <v>2.0001359750757342E-2</v>
      </c>
      <c r="AG229" s="37">
        <f>AG228/AE228-1</f>
        <v>0.12272144997977641</v>
      </c>
      <c r="AH229" s="37">
        <f>AH228/AG228-1</f>
        <v>1.402695434306489E-3</v>
      </c>
      <c r="AI229" s="37">
        <f>AI228/AH228-1</f>
        <v>4.6876054415390556E-2</v>
      </c>
      <c r="AJ229" s="37">
        <f>AJ228/AI228-1</f>
        <v>2.0942856512849328E-2</v>
      </c>
      <c r="AK229" s="28">
        <f>AK228/AF228-1</f>
        <v>0.14761862461485742</v>
      </c>
      <c r="AL229" s="37">
        <f>AL228/AJ228-1</f>
        <v>-1.6468113966466746E-2</v>
      </c>
      <c r="AM229" s="37">
        <f>AM228/AL228-1</f>
        <v>0.12620416022272862</v>
      </c>
      <c r="AN229" s="37">
        <f>AN228/AM228-1</f>
        <v>0.18743910907375527</v>
      </c>
      <c r="AO229" s="37">
        <f>AO228/AN228-1</f>
        <v>0.11866241580066217</v>
      </c>
      <c r="AP229" s="28">
        <f>AP228/AK228-1</f>
        <v>0.26715184256747349</v>
      </c>
      <c r="AQ229" s="43">
        <f>AQ228/AO228-1</f>
        <v>0.17098241068388997</v>
      </c>
      <c r="AR229" s="37">
        <f>AR228/AQ228-1</f>
        <v>5.0000000000000044E-2</v>
      </c>
      <c r="AS229" s="37">
        <f>AS228/AR228-1</f>
        <v>2.8184398871347938E-2</v>
      </c>
      <c r="AT229" s="37">
        <f>AT228/AS228-1</f>
        <v>7.9806459134895702E-2</v>
      </c>
      <c r="AU229" s="28">
        <f>AU228/AP228-1</f>
        <v>0.51718693396014581</v>
      </c>
      <c r="AV229" s="43">
        <f>AV228/BE228-1</f>
        <v>6.5437419563820542E-2</v>
      </c>
      <c r="AW229" s="37">
        <f>AW228/AV228-1</f>
        <v>-2.342922687549176E-2</v>
      </c>
      <c r="AX229" s="37">
        <f>AX228/AW228-1</f>
        <v>5.4296976321555501E-2</v>
      </c>
      <c r="AY229" s="37">
        <f>AY228/AX228-1</f>
        <v>6.7180214252638315E-2</v>
      </c>
      <c r="AZ229" s="28">
        <f>AZ228/AU228-1</f>
        <v>0.18697575524492183</v>
      </c>
      <c r="BA229" s="28">
        <f t="shared" si="886"/>
        <v>0.26715184256747349</v>
      </c>
      <c r="BB229" s="43">
        <f>BB228/AO228-1</f>
        <v>0.17098241068388997</v>
      </c>
      <c r="BC229" s="37">
        <f>BC228/BB228-1</f>
        <v>5.0000000000000044E-2</v>
      </c>
      <c r="BD229" s="37">
        <f>BD228/BC228-1</f>
        <v>2.8184398871347938E-2</v>
      </c>
      <c r="BE229" s="37">
        <f>BE228/BD228-1</f>
        <v>7.9806459134895702E-2</v>
      </c>
      <c r="BF229" s="19">
        <f>BF228/BA228-1</f>
        <v>0.51718693396014581</v>
      </c>
      <c r="BG229" s="43">
        <f>BG228/BE228-1</f>
        <v>6.5437419563820542E-2</v>
      </c>
      <c r="BH229" s="37">
        <f>BH228/BG228-1</f>
        <v>-2.342922687549176E-2</v>
      </c>
      <c r="BI229" s="37">
        <f>BI228/BH228-1</f>
        <v>5.4296976321555501E-2</v>
      </c>
      <c r="BJ229" s="37">
        <f>BJ228/BI228-1</f>
        <v>6.7180214252638315E-2</v>
      </c>
      <c r="BK229" s="28">
        <f>BK228/BF228-1</f>
        <v>0.18697575524492183</v>
      </c>
      <c r="BL229" s="43">
        <f>BL228/BJ228-1</f>
        <v>-7.6548578861952432E-3</v>
      </c>
      <c r="BM229" s="37">
        <f>BM228/BL228-1</f>
        <v>9.4594104037659887E-2</v>
      </c>
      <c r="BN229" s="37"/>
      <c r="BO229" s="37"/>
      <c r="BP229" s="28"/>
      <c r="BQ229" s="28">
        <f>+BF229</f>
        <v>0.51718693396014581</v>
      </c>
      <c r="BR229" s="37">
        <f>BR228/BE228-1</f>
        <v>6.5437419563820542E-2</v>
      </c>
      <c r="BS229" s="37">
        <f>BS228/BR228-1</f>
        <v>-2.342922687549176E-2</v>
      </c>
      <c r="BT229" s="37">
        <f>BT228/BS228-1</f>
        <v>5.4296976321555501E-2</v>
      </c>
      <c r="BU229" s="37">
        <f>BU228/BT228-1</f>
        <v>6.7180214252638315E-2</v>
      </c>
      <c r="BV229" s="28">
        <f t="shared" si="905"/>
        <v>0.18697575524492183</v>
      </c>
      <c r="BW229" s="43">
        <f>BW228/BU228-1</f>
        <v>-7.6548578861952432E-3</v>
      </c>
      <c r="BX229" s="37">
        <f>BX228/BW228-1</f>
        <v>9.4594104037659887E-2</v>
      </c>
      <c r="BY229" s="37">
        <f>BY228/BX228-1</f>
        <v>6.2417039493014359E-2</v>
      </c>
      <c r="BZ229" s="37">
        <f>BZ228/BY228-1</f>
        <v>-1.9582195813360181E-3</v>
      </c>
      <c r="CA229" s="28">
        <f>CA228/BV228-1</f>
        <v>0.17355007224003383</v>
      </c>
      <c r="CB229" s="43">
        <f>CB228/BZ228-1</f>
        <v>4.8654572048704825E-2</v>
      </c>
      <c r="CC229" s="37">
        <f>CC228/CB228-1</f>
        <v>4.8531124129966408E-2</v>
      </c>
      <c r="CD229" s="37">
        <f>CD228/CC228-1</f>
        <v>0</v>
      </c>
      <c r="CE229" s="37">
        <f>CE228/CD228-1</f>
        <v>0.14802958253045406</v>
      </c>
      <c r="CF229" s="28">
        <f>CF228/CA228-1</f>
        <v>0.18478359099585018</v>
      </c>
      <c r="CG229" s="43"/>
      <c r="CH229" s="37"/>
      <c r="CI229" s="37"/>
      <c r="CJ229" s="37"/>
      <c r="CK229" s="28"/>
      <c r="CL229" s="43"/>
      <c r="CM229" s="37"/>
      <c r="CN229" s="37"/>
      <c r="CO229" s="37"/>
      <c r="CP229" s="28">
        <f>CP228/CK228-1</f>
        <v>0.18478359099585018</v>
      </c>
      <c r="CQ229" s="567">
        <v>0.1</v>
      </c>
      <c r="CR229" s="567">
        <v>2.5000000000000001E-2</v>
      </c>
      <c r="CS229" s="567">
        <v>2.5000000000000001E-2</v>
      </c>
      <c r="CT229" s="567">
        <v>2.5000000000000001E-2</v>
      </c>
      <c r="CU229" s="28">
        <f>CU228/CF228-1</f>
        <v>0.27846373230436194</v>
      </c>
      <c r="CV229" s="567"/>
      <c r="CW229" s="567"/>
      <c r="CX229" s="567"/>
      <c r="CY229" s="567"/>
      <c r="CZ229" s="566">
        <v>0.1</v>
      </c>
      <c r="DA229" s="567"/>
      <c r="DB229" s="567"/>
      <c r="DC229" s="567"/>
      <c r="DD229" s="567"/>
      <c r="DE229" s="566">
        <v>0.1</v>
      </c>
      <c r="DF229" s="567"/>
      <c r="DG229" s="567"/>
      <c r="DH229" s="567"/>
      <c r="DI229" s="567"/>
      <c r="DJ229" s="566">
        <v>0.1</v>
      </c>
      <c r="DK229" s="397"/>
      <c r="DL229" s="1285"/>
      <c r="DM229" s="830"/>
      <c r="DN229" s="1083"/>
      <c r="DO229" s="809"/>
      <c r="DP229" s="1054"/>
      <c r="DQ229" s="1180"/>
      <c r="DR229" s="1208"/>
      <c r="DS229" s="1181"/>
      <c r="DT229" s="1181"/>
      <c r="DU229" s="1181"/>
      <c r="DV229" s="1181"/>
      <c r="DW229" s="809"/>
      <c r="DX229" s="809"/>
      <c r="DY229" s="360"/>
      <c r="DZ229" s="167"/>
      <c r="EA229" s="167"/>
      <c r="EB229"/>
      <c r="EC229"/>
      <c r="ED229"/>
      <c r="EE229"/>
      <c r="EF229"/>
      <c r="EG229"/>
    </row>
    <row r="230" spans="1:137" s="224" customFormat="1">
      <c r="A230" s="86" t="s">
        <v>253</v>
      </c>
      <c r="B230" s="232"/>
      <c r="C230" s="232"/>
      <c r="D230" s="232"/>
      <c r="E230" s="232"/>
      <c r="F230" s="232"/>
      <c r="G230" s="232"/>
      <c r="H230" s="234"/>
      <c r="I230" s="235"/>
      <c r="J230" s="235"/>
      <c r="K230" s="234"/>
      <c r="L230" s="232"/>
      <c r="M230" s="235"/>
      <c r="N230" s="235"/>
      <c r="O230" s="235"/>
      <c r="P230" s="234"/>
      <c r="Q230" s="232"/>
      <c r="R230" s="235"/>
      <c r="S230" s="235"/>
      <c r="T230" s="235"/>
      <c r="U230" s="234"/>
      <c r="V230" s="232"/>
      <c r="W230" s="235"/>
      <c r="X230" s="235"/>
      <c r="Y230" s="235"/>
      <c r="Z230" s="234"/>
      <c r="AA230" s="232"/>
      <c r="AB230" s="235"/>
      <c r="AC230" s="235"/>
      <c r="AD230" s="235"/>
      <c r="AE230" s="234"/>
      <c r="AF230" s="232"/>
      <c r="AG230" s="234"/>
      <c r="AH230" s="235"/>
      <c r="AI230" s="235"/>
      <c r="AJ230" s="234"/>
      <c r="AK230" s="232"/>
      <c r="AL230" s="235"/>
      <c r="AM230" s="235"/>
      <c r="AN230" s="235"/>
      <c r="AO230" s="234"/>
      <c r="AP230" s="232"/>
      <c r="AQ230" s="236"/>
      <c r="AR230" s="235"/>
      <c r="AS230" s="235"/>
      <c r="AT230" s="234"/>
      <c r="AU230" s="232"/>
      <c r="AV230" s="236"/>
      <c r="AW230" s="235"/>
      <c r="AX230" s="235"/>
      <c r="AY230" s="234"/>
      <c r="AZ230" s="232"/>
      <c r="BA230" s="232"/>
      <c r="BB230" s="236"/>
      <c r="BC230" s="235"/>
      <c r="BD230" s="235"/>
      <c r="BE230" s="234"/>
      <c r="BF230" s="232"/>
      <c r="BG230" s="236"/>
      <c r="BH230" s="235"/>
      <c r="BI230" s="235"/>
      <c r="BJ230" s="234"/>
      <c r="BK230" s="232"/>
      <c r="BL230" s="236"/>
      <c r="BM230" s="235"/>
      <c r="BN230" s="235"/>
      <c r="BO230" s="234"/>
      <c r="BP230" s="232"/>
      <c r="BQ230" s="232"/>
      <c r="BR230" s="236"/>
      <c r="BS230" s="235"/>
      <c r="BT230" s="235"/>
      <c r="BU230" s="234"/>
      <c r="BV230" s="232"/>
      <c r="BW230" s="236"/>
      <c r="BX230" s="235"/>
      <c r="BY230" s="235"/>
      <c r="BZ230" s="234"/>
      <c r="CA230" s="232"/>
      <c r="CB230" s="236"/>
      <c r="CC230" s="235"/>
      <c r="CD230" s="235"/>
      <c r="CE230" s="234"/>
      <c r="CF230" s="232"/>
      <c r="CG230" s="236"/>
      <c r="CH230" s="235"/>
      <c r="CI230" s="235"/>
      <c r="CJ230" s="234"/>
      <c r="CK230" s="232"/>
      <c r="CL230" s="236"/>
      <c r="CM230" s="235"/>
      <c r="CN230" s="235"/>
      <c r="CO230" s="234"/>
      <c r="CP230" s="232"/>
      <c r="CQ230" s="234"/>
      <c r="CR230" s="234"/>
      <c r="CS230" s="234"/>
      <c r="CT230" s="233"/>
      <c r="CU230" s="232"/>
      <c r="CV230" s="234"/>
      <c r="CW230" s="234"/>
      <c r="CX230" s="234"/>
      <c r="CY230" s="233"/>
      <c r="CZ230" s="232"/>
      <c r="DA230" s="234"/>
      <c r="DB230" s="234"/>
      <c r="DC230" s="234"/>
      <c r="DD230" s="233"/>
      <c r="DE230" s="232"/>
      <c r="DF230" s="234"/>
      <c r="DG230" s="234"/>
      <c r="DH230" s="234"/>
      <c r="DI230" s="233"/>
      <c r="DJ230" s="232"/>
      <c r="DK230" s="217"/>
      <c r="DL230" s="1286"/>
      <c r="DM230" s="810"/>
      <c r="DN230" s="810"/>
      <c r="DO230" s="810"/>
      <c r="DP230" s="1053"/>
      <c r="DQ230" s="1053"/>
      <c r="DR230" s="1182"/>
      <c r="DS230" s="810"/>
      <c r="DT230" s="810"/>
      <c r="DU230" s="810"/>
      <c r="DV230" s="810"/>
      <c r="DW230" s="810"/>
      <c r="DX230" s="810"/>
      <c r="DY230" s="228"/>
      <c r="DZ230" s="216"/>
      <c r="EA230" s="216"/>
      <c r="EB230"/>
      <c r="EC230"/>
      <c r="ED230"/>
      <c r="EE230"/>
      <c r="EF230"/>
      <c r="EG230"/>
    </row>
    <row r="231" spans="1:137" s="355" customFormat="1">
      <c r="A231" s="304" t="s">
        <v>217</v>
      </c>
      <c r="B231" s="305"/>
      <c r="C231" s="306"/>
      <c r="D231" s="306"/>
      <c r="E231" s="313">
        <v>0.91</v>
      </c>
      <c r="F231" s="313">
        <v>1.05</v>
      </c>
      <c r="G231" s="313">
        <v>1.25</v>
      </c>
      <c r="H231" s="314">
        <v>0.35</v>
      </c>
      <c r="I231" s="315">
        <v>0.35</v>
      </c>
      <c r="J231" s="315">
        <v>0.35</v>
      </c>
      <c r="K231" s="314">
        <v>0.42</v>
      </c>
      <c r="L231" s="313">
        <v>1.47</v>
      </c>
      <c r="M231" s="316">
        <v>0.42</v>
      </c>
      <c r="N231" s="316">
        <v>0.42</v>
      </c>
      <c r="O231" s="316">
        <v>0.42</v>
      </c>
      <c r="P231" s="304">
        <v>0.56999999999999995</v>
      </c>
      <c r="Q231" s="313">
        <v>1.83</v>
      </c>
      <c r="R231" s="316">
        <v>0.56999999999999995</v>
      </c>
      <c r="S231" s="316">
        <v>0.56999999999999995</v>
      </c>
      <c r="T231" s="316">
        <v>0.63</v>
      </c>
      <c r="U231" s="304">
        <v>0.63</v>
      </c>
      <c r="V231" s="317">
        <v>2.4</v>
      </c>
      <c r="W231" s="315">
        <v>0.63</v>
      </c>
      <c r="X231" s="316">
        <v>0.63</v>
      </c>
      <c r="Y231" s="315">
        <v>0.63</v>
      </c>
      <c r="Z231" s="304">
        <v>0.75</v>
      </c>
      <c r="AA231" s="317">
        <v>2.64</v>
      </c>
      <c r="AB231" s="315">
        <v>0.75</v>
      </c>
      <c r="AC231" s="316">
        <v>0.75</v>
      </c>
      <c r="AD231" s="316">
        <v>1</v>
      </c>
      <c r="AE231" s="304">
        <v>1</v>
      </c>
      <c r="AF231" s="317">
        <v>3.5</v>
      </c>
      <c r="AG231" s="314">
        <v>1</v>
      </c>
      <c r="AH231" s="316">
        <v>1</v>
      </c>
      <c r="AI231" s="316">
        <v>1</v>
      </c>
      <c r="AJ231" s="304">
        <v>1</v>
      </c>
      <c r="AK231" s="317">
        <f>SUM(AG231:AJ231)</f>
        <v>4</v>
      </c>
      <c r="AL231" s="316">
        <v>1.1499999999999999</v>
      </c>
      <c r="AM231" s="316">
        <v>1.1499999999999999</v>
      </c>
      <c r="AN231" s="316">
        <v>1.1499999999999999</v>
      </c>
      <c r="AO231" s="314">
        <v>1.33</v>
      </c>
      <c r="AP231" s="317">
        <f>SUM(AL231:AO231)</f>
        <v>4.7799999999999994</v>
      </c>
      <c r="AQ231" s="578">
        <f>AO231</f>
        <v>1.33</v>
      </c>
      <c r="AR231" s="800">
        <v>1.33</v>
      </c>
      <c r="AS231" s="829">
        <v>1.33</v>
      </c>
      <c r="AT231" s="840">
        <v>1.5</v>
      </c>
      <c r="AU231" s="317">
        <f>SUM(AQ231:AT231)</f>
        <v>5.49</v>
      </c>
      <c r="AV231" s="863">
        <f>AT231</f>
        <v>1.5</v>
      </c>
      <c r="AW231" s="800">
        <v>1.5</v>
      </c>
      <c r="AX231" s="800">
        <v>1.5</v>
      </c>
      <c r="AY231" s="800">
        <v>1.65</v>
      </c>
      <c r="AZ231" s="317">
        <f>SUM(AV231:AY231)</f>
        <v>6.15</v>
      </c>
      <c r="BA231" s="317">
        <f>+AP231</f>
        <v>4.7799999999999994</v>
      </c>
      <c r="BB231" s="863">
        <f>AS231</f>
        <v>1.33</v>
      </c>
      <c r="BC231" s="800">
        <v>1.5</v>
      </c>
      <c r="BD231" s="800">
        <v>1.5</v>
      </c>
      <c r="BE231" s="800">
        <v>1.65</v>
      </c>
      <c r="BF231" s="317">
        <f>+AU231</f>
        <v>5.49</v>
      </c>
      <c r="BG231" s="863">
        <f>AX231</f>
        <v>1.5</v>
      </c>
      <c r="BH231" s="800">
        <v>1.5</v>
      </c>
      <c r="BI231" s="800">
        <v>1.5</v>
      </c>
      <c r="BJ231" s="800">
        <v>1.65</v>
      </c>
      <c r="BK231" s="317">
        <f>+AZ231</f>
        <v>6.15</v>
      </c>
      <c r="BL231" s="863">
        <v>1.65</v>
      </c>
      <c r="BM231" s="800">
        <v>1.65</v>
      </c>
      <c r="BN231" s="800"/>
      <c r="BO231" s="800"/>
      <c r="BP231" s="317"/>
      <c r="BQ231" s="317">
        <f>+BF231</f>
        <v>5.49</v>
      </c>
      <c r="BR231" s="863">
        <v>1.5</v>
      </c>
      <c r="BS231" s="800">
        <v>1.5</v>
      </c>
      <c r="BT231" s="800">
        <v>1.5</v>
      </c>
      <c r="BU231" s="800">
        <v>1.65</v>
      </c>
      <c r="BV231" s="317">
        <f>+SUM(BR231:BU231)</f>
        <v>6.15</v>
      </c>
      <c r="BW231" s="863">
        <v>1.65</v>
      </c>
      <c r="BX231" s="800">
        <v>1.65</v>
      </c>
      <c r="BY231" s="800">
        <v>1.65</v>
      </c>
      <c r="BZ231" s="800">
        <v>1.82</v>
      </c>
      <c r="CA231" s="317">
        <f>+SUM(BW231:BZ231)</f>
        <v>6.77</v>
      </c>
      <c r="CB231" s="863">
        <v>1.82</v>
      </c>
      <c r="CC231" s="1069">
        <v>1.82</v>
      </c>
      <c r="CD231" s="829">
        <v>1.82</v>
      </c>
      <c r="CE231" s="829">
        <v>2</v>
      </c>
      <c r="CF231" s="317">
        <f>+SUM(CB231:CE231)</f>
        <v>7.46</v>
      </c>
      <c r="CG231" s="863"/>
      <c r="CH231" s="800"/>
      <c r="CI231" s="800"/>
      <c r="CJ231" s="800"/>
      <c r="CK231" s="317">
        <v>6.77</v>
      </c>
      <c r="CL231" s="863"/>
      <c r="CM231" s="1069"/>
      <c r="CN231" s="829"/>
      <c r="CO231" s="829"/>
      <c r="CP231" s="317">
        <f>CF231</f>
        <v>7.46</v>
      </c>
      <c r="CQ231" s="1171">
        <v>2</v>
      </c>
      <c r="CR231" s="1171">
        <v>2</v>
      </c>
      <c r="CS231" s="1171">
        <v>2</v>
      </c>
      <c r="CT231" s="1172">
        <f>CS231*1.2</f>
        <v>2.4</v>
      </c>
      <c r="CU231" s="317">
        <f>+SUM(CQ231:CT231)</f>
        <v>8.4</v>
      </c>
      <c r="CV231" s="551"/>
      <c r="CW231" s="551"/>
      <c r="CX231" s="551"/>
      <c r="CY231" s="552"/>
      <c r="CZ231" s="317">
        <f>CU231*(1+CZ232)</f>
        <v>9.240000000000002</v>
      </c>
      <c r="DA231" s="551"/>
      <c r="DB231" s="551"/>
      <c r="DC231" s="551"/>
      <c r="DD231" s="552"/>
      <c r="DE231" s="317">
        <f>CZ231*(1+DE232)</f>
        <v>10.164000000000003</v>
      </c>
      <c r="DF231" s="551"/>
      <c r="DG231" s="551"/>
      <c r="DH231" s="551"/>
      <c r="DI231" s="552"/>
      <c r="DJ231" s="317">
        <f>DE231*(1+DJ232)</f>
        <v>11.180400000000004</v>
      </c>
      <c r="DK231" s="353"/>
      <c r="DL231" s="1290"/>
      <c r="DM231" s="1083"/>
      <c r="DN231" s="1083"/>
      <c r="DO231" s="1083"/>
      <c r="DP231" s="1105"/>
      <c r="DQ231" s="1170"/>
      <c r="DR231" s="1182"/>
      <c r="DS231" s="1083"/>
      <c r="DT231" s="1083"/>
      <c r="DU231" s="1083"/>
      <c r="DV231" s="1083"/>
      <c r="DW231" s="1083"/>
      <c r="DX231" s="1083"/>
      <c r="DY231" s="358"/>
      <c r="DZ231" s="352"/>
      <c r="EA231" s="352"/>
      <c r="EB231"/>
      <c r="EC231"/>
      <c r="ED231"/>
      <c r="EE231"/>
      <c r="EF231"/>
      <c r="EG231"/>
    </row>
    <row r="232" spans="1:137" s="398" customFormat="1">
      <c r="A232" s="246" t="s">
        <v>53</v>
      </c>
      <c r="B232" s="19"/>
      <c r="C232" s="34"/>
      <c r="D232" s="34"/>
      <c r="E232" s="34"/>
      <c r="F232" s="34">
        <f>F231/E231-1</f>
        <v>0.15384615384615397</v>
      </c>
      <c r="G232" s="34">
        <f>G231/F231-1</f>
        <v>0.19047619047619047</v>
      </c>
      <c r="H232" s="20"/>
      <c r="I232" s="23"/>
      <c r="J232" s="23"/>
      <c r="K232" s="20"/>
      <c r="L232" s="34">
        <f>L231/G231-1</f>
        <v>0.17599999999999993</v>
      </c>
      <c r="M232" s="37">
        <f t="shared" ref="M232:AN232" si="911">M231/H231-1</f>
        <v>0.19999999999999996</v>
      </c>
      <c r="N232" s="37">
        <f t="shared" si="911"/>
        <v>0.19999999999999996</v>
      </c>
      <c r="O232" s="37">
        <f t="shared" si="911"/>
        <v>0.19999999999999996</v>
      </c>
      <c r="P232" s="18">
        <f t="shared" si="911"/>
        <v>0.35714285714285698</v>
      </c>
      <c r="Q232" s="34">
        <f t="shared" si="911"/>
        <v>0.24489795918367352</v>
      </c>
      <c r="R232" s="37">
        <f t="shared" si="911"/>
        <v>0.35714285714285698</v>
      </c>
      <c r="S232" s="37">
        <f t="shared" si="911"/>
        <v>0.35714285714285698</v>
      </c>
      <c r="T232" s="37">
        <f t="shared" si="911"/>
        <v>0.5</v>
      </c>
      <c r="U232" s="18">
        <f t="shared" si="911"/>
        <v>0.10526315789473695</v>
      </c>
      <c r="V232" s="28">
        <f t="shared" si="911"/>
        <v>0.31147540983606548</v>
      </c>
      <c r="W232" s="23">
        <f t="shared" si="911"/>
        <v>0.10526315789473695</v>
      </c>
      <c r="X232" s="37">
        <f t="shared" si="911"/>
        <v>0.10526315789473695</v>
      </c>
      <c r="Y232" s="23">
        <f t="shared" si="911"/>
        <v>0</v>
      </c>
      <c r="Z232" s="18">
        <f t="shared" si="911"/>
        <v>0.19047619047619047</v>
      </c>
      <c r="AA232" s="28">
        <f t="shared" si="911"/>
        <v>0.10000000000000009</v>
      </c>
      <c r="AB232" s="23">
        <f t="shared" si="911"/>
        <v>0.19047619047619047</v>
      </c>
      <c r="AC232" s="37">
        <f t="shared" si="911"/>
        <v>0.19047619047619047</v>
      </c>
      <c r="AD232" s="37">
        <f t="shared" si="911"/>
        <v>0.58730158730158721</v>
      </c>
      <c r="AE232" s="18">
        <f t="shared" si="911"/>
        <v>0.33333333333333326</v>
      </c>
      <c r="AF232" s="28">
        <f t="shared" si="911"/>
        <v>0.32575757575757569</v>
      </c>
      <c r="AG232" s="20">
        <f t="shared" si="911"/>
        <v>0.33333333333333326</v>
      </c>
      <c r="AH232" s="37">
        <f t="shared" si="911"/>
        <v>0.33333333333333326</v>
      </c>
      <c r="AI232" s="37">
        <f t="shared" si="911"/>
        <v>0</v>
      </c>
      <c r="AJ232" s="18">
        <f t="shared" si="911"/>
        <v>0</v>
      </c>
      <c r="AK232" s="28">
        <f>AK231/AF231-1</f>
        <v>0.14285714285714279</v>
      </c>
      <c r="AL232" s="37">
        <f t="shared" si="911"/>
        <v>0.14999999999999991</v>
      </c>
      <c r="AM232" s="37">
        <f>AM231/AH231-1</f>
        <v>0.14999999999999991</v>
      </c>
      <c r="AN232" s="37">
        <f t="shared" si="911"/>
        <v>0.14999999999999991</v>
      </c>
      <c r="AO232" s="18">
        <f t="shared" ref="AO232:AP232" si="912">AO231/AJ231-1</f>
        <v>0.33000000000000007</v>
      </c>
      <c r="AP232" s="28">
        <f t="shared" si="912"/>
        <v>0.19499999999999984</v>
      </c>
      <c r="AQ232" s="37">
        <f t="shared" ref="AQ232:AZ232" si="913">AQ231/AL231-1</f>
        <v>0.15652173913043499</v>
      </c>
      <c r="AR232" s="37">
        <f t="shared" si="913"/>
        <v>0.15652173913043499</v>
      </c>
      <c r="AS232" s="37">
        <f t="shared" si="913"/>
        <v>0.15652173913043499</v>
      </c>
      <c r="AT232" s="18">
        <f t="shared" si="913"/>
        <v>0.1278195488721805</v>
      </c>
      <c r="AU232" s="28">
        <f t="shared" si="913"/>
        <v>0.14853556485355668</v>
      </c>
      <c r="AV232" s="37">
        <f t="shared" si="913"/>
        <v>0.1278195488721805</v>
      </c>
      <c r="AW232" s="37">
        <f t="shared" si="913"/>
        <v>0.1278195488721805</v>
      </c>
      <c r="AX232" s="37">
        <f t="shared" si="913"/>
        <v>0.1278195488721805</v>
      </c>
      <c r="AY232" s="18">
        <f t="shared" si="913"/>
        <v>9.9999999999999867E-2</v>
      </c>
      <c r="AZ232" s="28">
        <f t="shared" si="913"/>
        <v>0.12021857923497259</v>
      </c>
      <c r="BA232" s="28"/>
      <c r="BB232" s="37">
        <f>BB231/BA231-1</f>
        <v>-0.72175732217573219</v>
      </c>
      <c r="BC232" s="37">
        <f>BC231/AQ231-1</f>
        <v>0.1278195488721805</v>
      </c>
      <c r="BD232" s="37">
        <f>BD231/AR231-1</f>
        <v>0.1278195488721805</v>
      </c>
      <c r="BE232" s="18">
        <f>BE231/AS231-1</f>
        <v>0.24060150375939826</v>
      </c>
      <c r="BF232" s="28"/>
      <c r="BG232" s="37">
        <f>BG231/BF231-1</f>
        <v>-0.72677595628415304</v>
      </c>
      <c r="BH232" s="37">
        <f>BH231/AV231-1</f>
        <v>0</v>
      </c>
      <c r="BI232" s="37">
        <f>BI231/AW231-1</f>
        <v>0</v>
      </c>
      <c r="BJ232" s="18">
        <f>BJ231/AX231-1</f>
        <v>9.9999999999999867E-2</v>
      </c>
      <c r="BK232" s="28"/>
      <c r="BL232" s="37">
        <f>BL231/BK231-1</f>
        <v>-0.73170731707317072</v>
      </c>
      <c r="BM232" s="37">
        <f>BM231/BA231-1</f>
        <v>-0.65481171548117145</v>
      </c>
      <c r="BN232" s="37"/>
      <c r="BO232" s="18"/>
      <c r="BP232" s="29"/>
      <c r="BQ232" s="28"/>
      <c r="BR232" s="37"/>
      <c r="BS232" s="37"/>
      <c r="BT232" s="37"/>
      <c r="BU232" s="18"/>
      <c r="BV232" s="28"/>
      <c r="BW232" s="37">
        <f t="shared" ref="BW232:BY232" si="914">+BW231/BR231-1</f>
        <v>9.9999999999999867E-2</v>
      </c>
      <c r="BX232" s="37">
        <f t="shared" si="914"/>
        <v>9.9999999999999867E-2</v>
      </c>
      <c r="BY232" s="37">
        <f t="shared" si="914"/>
        <v>9.9999999999999867E-2</v>
      </c>
      <c r="BZ232" s="18">
        <f>+BZ231/BU231-1</f>
        <v>0.10303030303030303</v>
      </c>
      <c r="CA232" s="19">
        <f>+CA231/BV231-1</f>
        <v>0.10081300813008109</v>
      </c>
      <c r="CB232" s="37">
        <f t="shared" ref="CB232" si="915">+CB231/BW231-1</f>
        <v>0.10303030303030303</v>
      </c>
      <c r="CC232" s="37">
        <f t="shared" ref="CC232:CD232" si="916">+CC231/BX231-1</f>
        <v>0.10303030303030303</v>
      </c>
      <c r="CD232" s="37">
        <f t="shared" si="916"/>
        <v>0.10303030303030303</v>
      </c>
      <c r="CE232" s="18">
        <f>+CE231/BZ231-1</f>
        <v>9.8901098901098772E-2</v>
      </c>
      <c r="CF232" s="19">
        <f>+CF231/CA231-1</f>
        <v>0.10192023633677993</v>
      </c>
      <c r="CG232" s="37"/>
      <c r="CH232" s="37"/>
      <c r="CI232" s="37"/>
      <c r="CJ232" s="18"/>
      <c r="CK232" s="19"/>
      <c r="CL232" s="37"/>
      <c r="CM232" s="37"/>
      <c r="CN232" s="37"/>
      <c r="CO232" s="18"/>
      <c r="CP232" s="19">
        <f>+CP231/CK231-1</f>
        <v>0.10192023633677993</v>
      </c>
      <c r="CQ232" s="37"/>
      <c r="CR232" s="37"/>
      <c r="CS232" s="37"/>
      <c r="CT232" s="37"/>
      <c r="CU232" s="19">
        <f>+CU231/CP231-1</f>
        <v>0.12600536193029499</v>
      </c>
      <c r="CV232" s="32"/>
      <c r="CW232" s="32"/>
      <c r="CX232" s="32"/>
      <c r="CY232" s="44"/>
      <c r="CZ232" s="29">
        <v>0.1</v>
      </c>
      <c r="DA232" s="32"/>
      <c r="DB232" s="32"/>
      <c r="DC232" s="32"/>
      <c r="DD232" s="44"/>
      <c r="DE232" s="29">
        <v>0.1</v>
      </c>
      <c r="DF232" s="32"/>
      <c r="DG232" s="32"/>
      <c r="DH232" s="32"/>
      <c r="DI232" s="44"/>
      <c r="DJ232" s="29">
        <v>0.1</v>
      </c>
      <c r="DK232" s="397"/>
      <c r="DL232" s="1285"/>
      <c r="DM232" s="809"/>
      <c r="DN232" s="809"/>
      <c r="DO232" s="809"/>
      <c r="DP232" s="1054"/>
      <c r="DQ232" s="1054"/>
      <c r="DR232" s="1054"/>
      <c r="DS232" s="809"/>
      <c r="DT232" s="809"/>
      <c r="DU232" s="809"/>
      <c r="DV232" s="809"/>
      <c r="DW232" s="809"/>
      <c r="DX232" s="809"/>
      <c r="DY232" s="360"/>
      <c r="DZ232" s="167"/>
      <c r="EA232" s="167"/>
      <c r="EB232"/>
      <c r="EC232"/>
      <c r="ED232"/>
      <c r="EE232"/>
      <c r="EF232"/>
      <c r="EG232"/>
    </row>
    <row r="233" spans="1:137" s="459" customFormat="1">
      <c r="A233" s="341" t="s">
        <v>243</v>
      </c>
      <c r="B233" s="291"/>
      <c r="C233" s="292"/>
      <c r="D233" s="292"/>
      <c r="E233" s="608">
        <f t="shared" ref="E233:AQ233" si="917">E231/E200</f>
        <v>0.32137519747235388</v>
      </c>
      <c r="F233" s="608">
        <f t="shared" si="917"/>
        <v>0.25640136986301371</v>
      </c>
      <c r="G233" s="608">
        <f t="shared" si="917"/>
        <v>0.21569790431000396</v>
      </c>
      <c r="H233" s="609">
        <f t="shared" si="917"/>
        <v>0.21918115942028984</v>
      </c>
      <c r="I233" s="610">
        <f t="shared" si="917"/>
        <v>0.19187017994858613</v>
      </c>
      <c r="J233" s="610">
        <f t="shared" si="917"/>
        <v>0.1939621409921671</v>
      </c>
      <c r="K233" s="609">
        <f t="shared" si="917"/>
        <v>0.22256320400500623</v>
      </c>
      <c r="L233" s="608">
        <f t="shared" si="917"/>
        <v>0.20700197823936697</v>
      </c>
      <c r="M233" s="611">
        <f t="shared" si="917"/>
        <v>0.23980273972602739</v>
      </c>
      <c r="N233" s="611">
        <f t="shared" si="917"/>
        <v>0.19500000000000001</v>
      </c>
      <c r="O233" s="611">
        <f t="shared" si="917"/>
        <v>0.21864705882352942</v>
      </c>
      <c r="P233" s="612">
        <f t="shared" si="917"/>
        <v>0.2775200486026731</v>
      </c>
      <c r="Q233" s="608">
        <f t="shared" si="917"/>
        <v>0.23288840534659622</v>
      </c>
      <c r="R233" s="611">
        <f t="shared" si="917"/>
        <v>0.34015990990990985</v>
      </c>
      <c r="S233" s="611">
        <f t="shared" si="917"/>
        <v>0.30480574555403556</v>
      </c>
      <c r="T233" s="611">
        <f t="shared" si="917"/>
        <v>0.30898854961832062</v>
      </c>
      <c r="U233" s="612">
        <f t="shared" si="917"/>
        <v>0.28779545454545452</v>
      </c>
      <c r="V233" s="613">
        <f t="shared" si="917"/>
        <v>0.30907206183825747</v>
      </c>
      <c r="W233" s="610">
        <f t="shared" si="917"/>
        <v>0.45847976878612712</v>
      </c>
      <c r="X233" s="611">
        <f t="shared" si="917"/>
        <v>0.32797058823529412</v>
      </c>
      <c r="Y233" s="610">
        <f t="shared" si="917"/>
        <v>0.41163770197486538</v>
      </c>
      <c r="Z233" s="612">
        <f t="shared" si="917"/>
        <v>0.32859317904993912</v>
      </c>
      <c r="AA233" s="613">
        <f t="shared" si="917"/>
        <v>0.37239065492148604</v>
      </c>
      <c r="AB233" s="610">
        <f t="shared" si="917"/>
        <v>0.4760576057605761</v>
      </c>
      <c r="AC233" s="611">
        <f t="shared" si="917"/>
        <v>0.34779933110367894</v>
      </c>
      <c r="AD233" s="611">
        <f t="shared" si="917"/>
        <v>0.50209179834462003</v>
      </c>
      <c r="AE233" s="612">
        <f t="shared" si="917"/>
        <v>0.46781238811313997</v>
      </c>
      <c r="AF233" s="613">
        <f t="shared" si="917"/>
        <v>0.44602118286624798</v>
      </c>
      <c r="AG233" s="609">
        <f t="shared" si="917"/>
        <v>0.49227082085080881</v>
      </c>
      <c r="AH233" s="611">
        <f t="shared" si="917"/>
        <v>0.42099871959026891</v>
      </c>
      <c r="AI233" s="611">
        <f t="shared" si="917"/>
        <v>0.45158184319119665</v>
      </c>
      <c r="AJ233" s="612">
        <f t="shared" si="917"/>
        <v>0.52229299363057324</v>
      </c>
      <c r="AK233" s="613">
        <f t="shared" si="917"/>
        <v>0.46847360912981451</v>
      </c>
      <c r="AL233" s="611">
        <f t="shared" si="917"/>
        <v>0.49309461235216812</v>
      </c>
      <c r="AM233" s="611">
        <f t="shared" si="917"/>
        <v>0.43630384167636777</v>
      </c>
      <c r="AN233" s="611">
        <f t="shared" si="917"/>
        <v>0.44729809976247026</v>
      </c>
      <c r="AO233" s="612">
        <f t="shared" si="917"/>
        <v>0.65358283132530126</v>
      </c>
      <c r="AP233" s="613">
        <f t="shared" si="917"/>
        <v>0.49917639269596259</v>
      </c>
      <c r="AQ233" s="611">
        <f t="shared" si="917"/>
        <v>0.46343301178992508</v>
      </c>
      <c r="AR233" s="611">
        <f t="shared" ref="AR233:BF233" si="918">AR231/AR200</f>
        <v>0.4818818897637796</v>
      </c>
      <c r="AS233" s="611">
        <f t="shared" si="918"/>
        <v>0.48197522522522529</v>
      </c>
      <c r="AT233" s="612">
        <f t="shared" si="918"/>
        <v>0.4700879765395895</v>
      </c>
      <c r="AU233" s="613">
        <f t="shared" si="918"/>
        <v>0.47414304848647199</v>
      </c>
      <c r="AV233" s="611">
        <f>AV231/AV200</f>
        <v>0.54703872437357626</v>
      </c>
      <c r="AW233" s="611">
        <f>AW231/AW200</f>
        <v>0.5103875134553284</v>
      </c>
      <c r="AX233" s="611">
        <f>AX231/AX200</f>
        <v>0.54225433526011557</v>
      </c>
      <c r="AY233" s="612">
        <f>AY231/AY200</f>
        <v>0.54858520900321539</v>
      </c>
      <c r="AZ233" s="613">
        <f>AZ231/AZ200</f>
        <v>0.53686685159500702</v>
      </c>
      <c r="BA233" s="613">
        <f t="shared" ref="BA233" si="919">BA231/BA200</f>
        <v>0.49917639269596259</v>
      </c>
      <c r="BB233" s="611">
        <f t="shared" si="918"/>
        <v>0.46343301178992508</v>
      </c>
      <c r="BC233" s="611">
        <f t="shared" si="918"/>
        <v>0.54347581552305968</v>
      </c>
      <c r="BD233" s="611">
        <f t="shared" si="918"/>
        <v>0.54358108108108116</v>
      </c>
      <c r="BE233" s="612">
        <f t="shared" si="918"/>
        <v>0.51709677419354838</v>
      </c>
      <c r="BF233" s="613">
        <f t="shared" si="918"/>
        <v>0.47408081982273964</v>
      </c>
      <c r="BG233" s="611">
        <f t="shared" ref="BG233:BJ233" si="920">BG231/BG200</f>
        <v>0.54703872437357626</v>
      </c>
      <c r="BH233" s="611">
        <f t="shared" si="920"/>
        <v>0.5103875134553284</v>
      </c>
      <c r="BI233" s="611">
        <f t="shared" si="920"/>
        <v>0.54225433526011557</v>
      </c>
      <c r="BJ233" s="612">
        <f t="shared" si="920"/>
        <v>0.54858520900321539</v>
      </c>
      <c r="BK233" s="613">
        <f t="shared" ref="BK233:BM233" si="921">BK231/BK200</f>
        <v>0.53679388931878891</v>
      </c>
      <c r="BL233" s="611">
        <f t="shared" si="921"/>
        <v>0.63963476070528968</v>
      </c>
      <c r="BM233" s="611">
        <f t="shared" si="921"/>
        <v>0.49629285014691482</v>
      </c>
      <c r="BN233" s="611"/>
      <c r="BO233" s="612"/>
      <c r="BP233" s="613"/>
      <c r="BQ233" s="613">
        <f t="shared" ref="BQ233" si="922">BQ231/BQ200</f>
        <v>0.54402380213247925</v>
      </c>
      <c r="BR233" s="611">
        <f t="shared" ref="BR233:BY233" si="923">BR231/BR200</f>
        <v>0.65081300813008136</v>
      </c>
      <c r="BS233" s="611">
        <f t="shared" si="923"/>
        <v>0.58177914110429452</v>
      </c>
      <c r="BT233" s="611">
        <f t="shared" si="923"/>
        <v>0.62043650793650795</v>
      </c>
      <c r="BU233" s="612">
        <f t="shared" si="923"/>
        <v>0.62647490820073437</v>
      </c>
      <c r="BV233" s="613">
        <f t="shared" si="923"/>
        <v>0.61903444437692112</v>
      </c>
      <c r="BW233" s="611">
        <f t="shared" si="923"/>
        <v>0.63195409429280391</v>
      </c>
      <c r="BX233" s="611">
        <f t="shared" si="923"/>
        <v>0.563642936596218</v>
      </c>
      <c r="BY233" s="611">
        <f t="shared" si="923"/>
        <v>0.45757575757575752</v>
      </c>
      <c r="BZ233" s="612">
        <f>BZ231/BZ200</f>
        <v>0.56023357664233575</v>
      </c>
      <c r="CA233" s="613">
        <f>CA231/CA200</f>
        <v>0.54675912603250731</v>
      </c>
      <c r="CB233" s="611">
        <f t="shared" ref="CB233:CD233" si="924">CB231/CB200</f>
        <v>0.69842201834862383</v>
      </c>
      <c r="CC233" s="611">
        <f t="shared" si="924"/>
        <v>0.56261571125265397</v>
      </c>
      <c r="CD233" s="611">
        <f t="shared" si="924"/>
        <v>0.56208732694355701</v>
      </c>
      <c r="CE233" s="612">
        <f>CE231/CE200</f>
        <v>0.46525630593978839</v>
      </c>
      <c r="CF233" s="613">
        <f>CF231/CF200</f>
        <v>0.55969261554350647</v>
      </c>
      <c r="CG233" s="611"/>
      <c r="CH233" s="611"/>
      <c r="CI233" s="611"/>
      <c r="CJ233" s="612"/>
      <c r="CK233" s="613">
        <f>CK231/CK200</f>
        <v>0.55821191512513602</v>
      </c>
      <c r="CL233" s="611"/>
      <c r="CM233" s="611"/>
      <c r="CN233" s="611"/>
      <c r="CO233" s="612"/>
      <c r="CP233" s="613">
        <f>CP231/CP200</f>
        <v>0.56063707115175054</v>
      </c>
      <c r="CQ233" s="611">
        <f t="shared" ref="CQ233:CT233" si="925">CQ231/CQ200</f>
        <v>0.58039000480902003</v>
      </c>
      <c r="CR233" s="611">
        <f t="shared" si="925"/>
        <v>0.50519266163041276</v>
      </c>
      <c r="CS233" s="611">
        <f t="shared" si="925"/>
        <v>0.53402248379800077</v>
      </c>
      <c r="CT233" s="611">
        <f t="shared" si="925"/>
        <v>0.51996337542094884</v>
      </c>
      <c r="CU233" s="613">
        <f>CU231/CU200</f>
        <v>0.53294111078388462</v>
      </c>
      <c r="CV233" s="614"/>
      <c r="CW233" s="614"/>
      <c r="CX233" s="614"/>
      <c r="CY233" s="615"/>
      <c r="CZ233" s="613">
        <f>CZ231/CZ200</f>
        <v>0.52025039408105911</v>
      </c>
      <c r="DA233" s="614"/>
      <c r="DB233" s="614"/>
      <c r="DC233" s="614"/>
      <c r="DD233" s="615"/>
      <c r="DE233" s="613">
        <f>DE231/DE200</f>
        <v>0.42265999172330759</v>
      </c>
      <c r="DF233" s="614"/>
      <c r="DG233" s="614"/>
      <c r="DH233" s="614"/>
      <c r="DI233" s="615"/>
      <c r="DJ233" s="613">
        <f>DJ231/DJ200</f>
        <v>0.43814104247936148</v>
      </c>
      <c r="DK233" s="456"/>
      <c r="DL233" s="1284"/>
      <c r="DM233" s="812"/>
      <c r="DN233" s="812"/>
      <c r="DO233" s="812"/>
      <c r="DP233" s="1085"/>
      <c r="DQ233" s="1085"/>
      <c r="DR233" s="1085"/>
      <c r="DS233" s="812"/>
      <c r="DT233" s="1083"/>
      <c r="DU233" s="812"/>
      <c r="DV233" s="812"/>
      <c r="DW233" s="812"/>
      <c r="DX233" s="812"/>
      <c r="DY233" s="457"/>
      <c r="DZ233" s="458"/>
      <c r="EA233" s="458"/>
      <c r="EB233"/>
      <c r="EC233"/>
      <c r="ED233"/>
      <c r="EE233"/>
      <c r="EF233"/>
      <c r="EG233"/>
    </row>
    <row r="234" spans="1:137" s="398" customFormat="1">
      <c r="A234" s="511"/>
      <c r="B234" s="80"/>
      <c r="C234" s="80"/>
      <c r="D234" s="80"/>
      <c r="E234" s="80"/>
      <c r="F234" s="80"/>
      <c r="G234" s="80"/>
      <c r="H234" s="83"/>
      <c r="I234" s="512"/>
      <c r="J234" s="512"/>
      <c r="K234" s="83"/>
      <c r="L234" s="84"/>
      <c r="M234" s="513"/>
      <c r="N234" s="513"/>
      <c r="O234" s="513"/>
      <c r="P234" s="82"/>
      <c r="Q234" s="84"/>
      <c r="R234" s="513"/>
      <c r="S234" s="513"/>
      <c r="T234" s="513"/>
      <c r="U234" s="82"/>
      <c r="V234" s="84"/>
      <c r="W234" s="512"/>
      <c r="X234" s="513"/>
      <c r="Y234" s="512"/>
      <c r="Z234" s="82"/>
      <c r="AA234" s="84"/>
      <c r="AB234" s="512"/>
      <c r="AC234" s="513"/>
      <c r="AD234" s="513"/>
      <c r="AE234" s="82"/>
      <c r="AF234" s="84"/>
      <c r="AG234" s="83"/>
      <c r="AH234" s="513"/>
      <c r="AI234" s="513"/>
      <c r="AJ234" s="82"/>
      <c r="AK234" s="84"/>
      <c r="AL234" s="513"/>
      <c r="AM234" s="513"/>
      <c r="AN234" s="513"/>
      <c r="AO234" s="82"/>
      <c r="AP234" s="84"/>
      <c r="AQ234" s="461"/>
      <c r="AR234" s="513"/>
      <c r="AS234" s="513"/>
      <c r="AT234" s="514"/>
      <c r="AU234" s="84"/>
      <c r="AV234" s="461"/>
      <c r="AW234" s="513"/>
      <c r="AX234" s="83"/>
      <c r="AY234" s="514"/>
      <c r="AZ234" s="84"/>
      <c r="BA234" s="84"/>
      <c r="BB234" s="461"/>
      <c r="BC234" s="513"/>
      <c r="BD234" s="83"/>
      <c r="BE234" s="514"/>
      <c r="BF234" s="84"/>
      <c r="BG234" s="461"/>
      <c r="BH234" s="513"/>
      <c r="BI234" s="83"/>
      <c r="BJ234" s="514"/>
      <c r="BK234" s="84"/>
      <c r="BL234" s="461"/>
      <c r="BM234" s="513"/>
      <c r="BN234" s="83"/>
      <c r="BO234" s="514"/>
      <c r="BP234" s="84"/>
      <c r="BQ234" s="84"/>
      <c r="BR234" s="461"/>
      <c r="BS234" s="513"/>
      <c r="BT234" s="83"/>
      <c r="BU234" s="514"/>
      <c r="BV234" s="84"/>
      <c r="BW234" s="461"/>
      <c r="BX234" s="513"/>
      <c r="BY234" s="83"/>
      <c r="BZ234" s="514"/>
      <c r="CA234" s="84"/>
      <c r="CB234" s="461"/>
      <c r="CC234" s="513"/>
      <c r="CD234" s="83"/>
      <c r="CE234" s="514"/>
      <c r="CF234" s="84"/>
      <c r="CG234" s="461"/>
      <c r="CH234" s="513"/>
      <c r="CI234" s="83"/>
      <c r="CJ234" s="514"/>
      <c r="CK234" s="84"/>
      <c r="CL234" s="461"/>
      <c r="CM234" s="513"/>
      <c r="CN234" s="83"/>
      <c r="CO234" s="514"/>
      <c r="CP234" s="84"/>
      <c r="CQ234" s="83"/>
      <c r="CR234" s="83"/>
      <c r="CS234" s="83"/>
      <c r="CT234" s="514"/>
      <c r="CU234" s="84"/>
      <c r="CV234" s="83"/>
      <c r="CW234" s="83"/>
      <c r="CX234" s="83"/>
      <c r="CY234" s="514"/>
      <c r="CZ234" s="84"/>
      <c r="DA234" s="83"/>
      <c r="DB234" s="83"/>
      <c r="DC234" s="83"/>
      <c r="DD234" s="514"/>
      <c r="DE234" s="84"/>
      <c r="DF234" s="83"/>
      <c r="DG234" s="83"/>
      <c r="DH234" s="83"/>
      <c r="DI234" s="514"/>
      <c r="DJ234" s="84"/>
      <c r="DK234" s="397"/>
      <c r="DL234" s="1285"/>
      <c r="DM234" s="809"/>
      <c r="DN234" s="809"/>
      <c r="DO234" s="809"/>
      <c r="DP234" s="1054"/>
      <c r="DQ234" s="1054"/>
      <c r="DR234" s="1054"/>
      <c r="DS234" s="1185"/>
      <c r="DT234" s="1185"/>
      <c r="DU234" s="1185"/>
      <c r="DV234" s="1185"/>
      <c r="DW234" s="1185"/>
      <c r="DX234" s="809"/>
      <c r="DY234" s="360"/>
      <c r="DZ234" s="167"/>
      <c r="EA234" s="167"/>
      <c r="EB234"/>
      <c r="EC234"/>
      <c r="ED234"/>
      <c r="EE234"/>
      <c r="EF234"/>
      <c r="EG234"/>
    </row>
    <row r="235" spans="1:137" s="362" customFormat="1" ht="12" customHeight="1">
      <c r="A235" s="71" t="s">
        <v>229</v>
      </c>
      <c r="B235" s="76"/>
      <c r="C235" s="76"/>
      <c r="D235" s="76"/>
      <c r="E235" s="76"/>
      <c r="F235" s="76"/>
      <c r="G235" s="76"/>
      <c r="H235" s="74"/>
      <c r="I235" s="72"/>
      <c r="J235" s="72"/>
      <c r="K235" s="74"/>
      <c r="L235" s="76"/>
      <c r="M235" s="72"/>
      <c r="N235" s="72"/>
      <c r="O235" s="72"/>
      <c r="P235" s="74"/>
      <c r="Q235" s="76"/>
      <c r="R235" s="72"/>
      <c r="S235" s="72"/>
      <c r="T235" s="72"/>
      <c r="U235" s="74"/>
      <c r="V235" s="76"/>
      <c r="W235" s="72"/>
      <c r="X235" s="72"/>
      <c r="Y235" s="72"/>
      <c r="Z235" s="74"/>
      <c r="AA235" s="76"/>
      <c r="AB235" s="72"/>
      <c r="AC235" s="72"/>
      <c r="AD235" s="72"/>
      <c r="AE235" s="74"/>
      <c r="AF235" s="76"/>
      <c r="AG235" s="72"/>
      <c r="AH235" s="72"/>
      <c r="AI235" s="72"/>
      <c r="AJ235" s="74"/>
      <c r="AK235" s="76"/>
      <c r="AL235" s="72"/>
      <c r="AM235" s="568"/>
      <c r="AN235" s="72"/>
      <c r="AO235" s="74"/>
      <c r="AP235" s="76"/>
      <c r="AQ235" s="478"/>
      <c r="AR235" s="74"/>
      <c r="AS235" s="74"/>
      <c r="AT235" s="75"/>
      <c r="AU235" s="76"/>
      <c r="AV235" s="73"/>
      <c r="AW235" s="74"/>
      <c r="AX235" s="74"/>
      <c r="AY235" s="75"/>
      <c r="AZ235" s="76"/>
      <c r="BA235" s="76"/>
      <c r="BB235" s="73"/>
      <c r="BC235" s="74"/>
      <c r="BD235" s="74"/>
      <c r="BE235" s="75"/>
      <c r="BF235" s="76"/>
      <c r="BG235" s="73"/>
      <c r="BH235" s="74"/>
      <c r="BI235" s="74"/>
      <c r="BJ235" s="75"/>
      <c r="BK235" s="76"/>
      <c r="BL235" s="73"/>
      <c r="BM235" s="74"/>
      <c r="BN235" s="74"/>
      <c r="BO235" s="75"/>
      <c r="BP235" s="76"/>
      <c r="BQ235" s="76"/>
      <c r="BR235" s="73"/>
      <c r="BS235" s="74"/>
      <c r="BT235" s="74"/>
      <c r="BU235" s="75"/>
      <c r="BV235" s="76"/>
      <c r="BW235" s="73"/>
      <c r="BX235" s="74"/>
      <c r="BY235" s="74"/>
      <c r="BZ235" s="75"/>
      <c r="CA235" s="76"/>
      <c r="CB235" s="73"/>
      <c r="CC235" s="74"/>
      <c r="CD235" s="74"/>
      <c r="CE235" s="75"/>
      <c r="CF235" s="76"/>
      <c r="CG235" s="73"/>
      <c r="CH235" s="74"/>
      <c r="CI235" s="74"/>
      <c r="CJ235" s="75"/>
      <c r="CK235" s="76"/>
      <c r="CL235" s="73"/>
      <c r="CM235" s="74"/>
      <c r="CN235" s="74"/>
      <c r="CO235" s="75"/>
      <c r="CP235" s="76"/>
      <c r="CQ235" s="74"/>
      <c r="CR235" s="74"/>
      <c r="CS235" s="74"/>
      <c r="CT235" s="75"/>
      <c r="CU235" s="76"/>
      <c r="CV235" s="74"/>
      <c r="CW235" s="74"/>
      <c r="CX235" s="74"/>
      <c r="CY235" s="75"/>
      <c r="CZ235" s="76"/>
      <c r="DA235" s="74"/>
      <c r="DB235" s="74"/>
      <c r="DC235" s="74"/>
      <c r="DD235" s="75"/>
      <c r="DE235" s="76"/>
      <c r="DF235" s="74"/>
      <c r="DG235" s="74"/>
      <c r="DH235" s="74"/>
      <c r="DI235" s="75"/>
      <c r="DJ235" s="76"/>
      <c r="DK235" s="396"/>
      <c r="DL235" s="74"/>
      <c r="DM235" s="809"/>
      <c r="DN235" s="809"/>
      <c r="DO235" s="809"/>
      <c r="DP235" s="1054"/>
      <c r="DQ235" s="1054"/>
      <c r="DR235" s="1054"/>
      <c r="DS235" s="809"/>
      <c r="DT235" s="809"/>
      <c r="DU235" s="809"/>
      <c r="DV235" s="809"/>
      <c r="DW235" s="809"/>
      <c r="DX235" s="809"/>
      <c r="DY235" s="74"/>
      <c r="DZ235" s="361"/>
      <c r="EA235" s="361"/>
      <c r="EB235"/>
      <c r="EC235"/>
      <c r="ED235"/>
      <c r="EE235"/>
      <c r="EF235"/>
      <c r="EG235"/>
    </row>
    <row r="236" spans="1:137" s="224" customFormat="1">
      <c r="A236" s="187" t="s">
        <v>158</v>
      </c>
      <c r="B236" s="119">
        <f t="shared" ref="B236:G236" si="926">B199</f>
        <v>43</v>
      </c>
      <c r="C236" s="119">
        <f t="shared" si="926"/>
        <v>533</v>
      </c>
      <c r="D236" s="119">
        <f t="shared" si="926"/>
        <v>1053</v>
      </c>
      <c r="E236" s="119">
        <f t="shared" si="926"/>
        <v>1266</v>
      </c>
      <c r="F236" s="119">
        <f t="shared" si="926"/>
        <v>1825</v>
      </c>
      <c r="G236" s="119">
        <f t="shared" si="926"/>
        <v>2529</v>
      </c>
      <c r="H236" s="124">
        <f t="shared" ref="H236:AI236" si="927">H215</f>
        <v>690</v>
      </c>
      <c r="I236" s="123">
        <f t="shared" si="927"/>
        <v>778</v>
      </c>
      <c r="J236" s="125">
        <f t="shared" si="927"/>
        <v>766</v>
      </c>
      <c r="K236" s="121">
        <f t="shared" si="927"/>
        <v>799</v>
      </c>
      <c r="L236" s="119">
        <f t="shared" si="927"/>
        <v>3033</v>
      </c>
      <c r="M236" s="125">
        <f t="shared" si="927"/>
        <v>730</v>
      </c>
      <c r="N236" s="125">
        <f t="shared" si="927"/>
        <v>882</v>
      </c>
      <c r="O236" s="125">
        <f t="shared" si="927"/>
        <v>782</v>
      </c>
      <c r="P236" s="121">
        <f t="shared" si="927"/>
        <v>823</v>
      </c>
      <c r="Q236" s="122">
        <f t="shared" si="927"/>
        <v>3217</v>
      </c>
      <c r="R236" s="125">
        <f t="shared" si="927"/>
        <v>666</v>
      </c>
      <c r="S236" s="125">
        <f t="shared" si="927"/>
        <v>734</v>
      </c>
      <c r="T236" s="121">
        <f t="shared" si="927"/>
        <v>797</v>
      </c>
      <c r="U236" s="121">
        <f t="shared" si="927"/>
        <v>827</v>
      </c>
      <c r="V236" s="122">
        <f t="shared" si="927"/>
        <v>3024.9799999999996</v>
      </c>
      <c r="W236" s="125">
        <f t="shared" si="927"/>
        <v>533</v>
      </c>
      <c r="X236" s="125">
        <f t="shared" si="927"/>
        <v>824</v>
      </c>
      <c r="Y236" s="121">
        <f t="shared" si="927"/>
        <v>560</v>
      </c>
      <c r="Z236" s="121">
        <f t="shared" si="927"/>
        <v>961</v>
      </c>
      <c r="AA236" s="122">
        <f t="shared" si="927"/>
        <v>2878</v>
      </c>
      <c r="AB236" s="125">
        <f t="shared" si="927"/>
        <v>530</v>
      </c>
      <c r="AC236" s="125">
        <f t="shared" si="927"/>
        <v>742</v>
      </c>
      <c r="AD236" s="121">
        <f t="shared" si="927"/>
        <v>699</v>
      </c>
      <c r="AE236" s="121">
        <f t="shared" si="927"/>
        <v>683.25</v>
      </c>
      <c r="AF236" s="119">
        <f t="shared" si="927"/>
        <v>2655.25</v>
      </c>
      <c r="AG236" s="121">
        <f>AG215</f>
        <v>667.6</v>
      </c>
      <c r="AH236" s="125">
        <f t="shared" si="927"/>
        <v>781</v>
      </c>
      <c r="AI236" s="125">
        <f t="shared" si="927"/>
        <v>727</v>
      </c>
      <c r="AJ236" s="124">
        <f>AJ199</f>
        <v>628</v>
      </c>
      <c r="AK236" s="122">
        <f t="shared" ref="AK236:AT236" si="928">AK215</f>
        <v>2745</v>
      </c>
      <c r="AL236" s="121">
        <f t="shared" si="928"/>
        <v>761</v>
      </c>
      <c r="AM236" s="121">
        <f t="shared" si="928"/>
        <v>859</v>
      </c>
      <c r="AN236" s="121">
        <f t="shared" si="928"/>
        <v>873</v>
      </c>
      <c r="AO236" s="121">
        <f t="shared" si="928"/>
        <v>488</v>
      </c>
      <c r="AP236" s="122">
        <f t="shared" si="928"/>
        <v>2981.49</v>
      </c>
      <c r="AQ236" s="121">
        <f t="shared" si="928"/>
        <v>933</v>
      </c>
      <c r="AR236" s="802">
        <f t="shared" si="928"/>
        <v>889</v>
      </c>
      <c r="AS236" s="121">
        <f t="shared" si="928"/>
        <v>888</v>
      </c>
      <c r="AT236" s="802">
        <f t="shared" si="928"/>
        <v>904</v>
      </c>
      <c r="AU236" s="119">
        <f t="shared" ref="AU236:BB236" si="929">AU215</f>
        <v>3614</v>
      </c>
      <c r="AV236" s="849">
        <f t="shared" si="929"/>
        <v>878</v>
      </c>
      <c r="AW236" s="802">
        <f t="shared" si="929"/>
        <v>929</v>
      </c>
      <c r="AX236" s="990">
        <f t="shared" si="929"/>
        <v>865</v>
      </c>
      <c r="AY236" s="797">
        <f t="shared" si="929"/>
        <v>933</v>
      </c>
      <c r="AZ236" s="119">
        <f t="shared" si="929"/>
        <v>3605</v>
      </c>
      <c r="BA236" s="122">
        <f t="shared" si="929"/>
        <v>2981.49</v>
      </c>
      <c r="BB236" s="121">
        <f t="shared" si="929"/>
        <v>933</v>
      </c>
      <c r="BC236" s="802">
        <f t="shared" ref="BC236:BE236" si="930">BC215</f>
        <v>889</v>
      </c>
      <c r="BD236" s="121">
        <f t="shared" si="930"/>
        <v>888</v>
      </c>
      <c r="BE236" s="802">
        <f t="shared" si="930"/>
        <v>904</v>
      </c>
      <c r="BF236" s="119">
        <f t="shared" ref="BF236:BM236" si="931">BF215</f>
        <v>3614.49</v>
      </c>
      <c r="BG236" s="849">
        <f t="shared" si="931"/>
        <v>878</v>
      </c>
      <c r="BH236" s="802">
        <f t="shared" si="931"/>
        <v>929</v>
      </c>
      <c r="BI236" s="990">
        <f t="shared" si="931"/>
        <v>865</v>
      </c>
      <c r="BJ236" s="797">
        <f t="shared" si="931"/>
        <v>933</v>
      </c>
      <c r="BK236" s="119">
        <f t="shared" si="931"/>
        <v>3605.49</v>
      </c>
      <c r="BL236" s="849">
        <f t="shared" si="931"/>
        <v>794</v>
      </c>
      <c r="BM236" s="802">
        <f t="shared" si="931"/>
        <v>1021</v>
      </c>
      <c r="BN236" s="990"/>
      <c r="BO236" s="797"/>
      <c r="BP236" s="1010"/>
      <c r="BQ236" s="122">
        <f t="shared" ref="BQ236:CT236" si="932">BQ215</f>
        <v>3614.49</v>
      </c>
      <c r="BR236" s="849">
        <f t="shared" si="932"/>
        <v>878</v>
      </c>
      <c r="BS236" s="802">
        <f t="shared" si="932"/>
        <v>929</v>
      </c>
      <c r="BT236" s="990">
        <f t="shared" si="932"/>
        <v>865</v>
      </c>
      <c r="BU236" s="797">
        <f t="shared" si="932"/>
        <v>933</v>
      </c>
      <c r="BV236" s="119">
        <f t="shared" si="932"/>
        <v>3605.49</v>
      </c>
      <c r="BW236" s="849">
        <f t="shared" si="932"/>
        <v>898</v>
      </c>
      <c r="BX236" s="802">
        <f t="shared" si="932"/>
        <v>1021</v>
      </c>
      <c r="BY236" s="990">
        <f t="shared" si="932"/>
        <v>2395</v>
      </c>
      <c r="BZ236" s="797">
        <f>BZ215</f>
        <v>988</v>
      </c>
      <c r="CA236" s="1010">
        <f>CA215</f>
        <v>5302</v>
      </c>
      <c r="CB236" s="849">
        <f t="shared" si="932"/>
        <v>763</v>
      </c>
      <c r="CC236" s="802">
        <f t="shared" si="932"/>
        <v>942</v>
      </c>
      <c r="CD236" s="990">
        <f>CD215</f>
        <v>939</v>
      </c>
      <c r="CE236" s="797">
        <f>CE215</f>
        <v>-642</v>
      </c>
      <c r="CF236" s="119">
        <f>CF215</f>
        <v>2002</v>
      </c>
      <c r="CG236" s="849"/>
      <c r="CH236" s="802"/>
      <c r="CI236" s="990"/>
      <c r="CJ236" s="797"/>
      <c r="CK236" s="1010">
        <f>CK215</f>
        <v>5188</v>
      </c>
      <c r="CL236" s="849"/>
      <c r="CM236" s="802"/>
      <c r="CN236" s="990"/>
      <c r="CO236" s="797"/>
      <c r="CP236" s="119">
        <f>CP215</f>
        <v>1981.4755000000005</v>
      </c>
      <c r="CQ236" s="797">
        <f t="shared" si="932"/>
        <v>982.73659999999995</v>
      </c>
      <c r="CR236" s="797">
        <f t="shared" si="932"/>
        <v>1126.1932663745356</v>
      </c>
      <c r="CS236" s="797">
        <f t="shared" si="932"/>
        <v>1062.7309327490711</v>
      </c>
      <c r="CT236" s="797">
        <f t="shared" si="932"/>
        <v>1306.4844953586203</v>
      </c>
      <c r="CU236" s="119">
        <f t="shared" ref="CU236" si="933">CU215</f>
        <v>4478.1452944822267</v>
      </c>
      <c r="CV236" s="121"/>
      <c r="CW236" s="121"/>
      <c r="CX236" s="121"/>
      <c r="CY236" s="120"/>
      <c r="CZ236" s="119">
        <f>CZ215</f>
        <v>4967.9062407126848</v>
      </c>
      <c r="DA236" s="121"/>
      <c r="DB236" s="121"/>
      <c r="DC236" s="121"/>
      <c r="DD236" s="120"/>
      <c r="DE236" s="119">
        <f>DE215</f>
        <v>6591.9427862776593</v>
      </c>
      <c r="DF236" s="121"/>
      <c r="DG236" s="121"/>
      <c r="DH236" s="121"/>
      <c r="DI236" s="120"/>
      <c r="DJ236" s="119">
        <f>DJ215</f>
        <v>6872.5178494826323</v>
      </c>
      <c r="DK236" s="212"/>
      <c r="DL236" s="1286"/>
      <c r="DM236" s="810"/>
      <c r="DN236" s="810"/>
      <c r="DO236" s="810"/>
      <c r="DP236" s="1108"/>
      <c r="DQ236" s="1108"/>
      <c r="DR236" s="1108"/>
      <c r="DS236" s="1109"/>
      <c r="DT236" s="810"/>
      <c r="DU236" s="810"/>
      <c r="DV236" s="810"/>
      <c r="DW236" s="810"/>
      <c r="DX236" s="810"/>
      <c r="DY236" s="228"/>
      <c r="DZ236" s="216"/>
      <c r="EA236" s="216"/>
      <c r="EB236"/>
      <c r="EC236"/>
      <c r="ED236"/>
      <c r="EE236"/>
      <c r="EF236"/>
      <c r="EG236"/>
    </row>
    <row r="237" spans="1:137" s="224" customFormat="1">
      <c r="A237" s="187" t="s">
        <v>107</v>
      </c>
      <c r="B237" s="119">
        <v>579</v>
      </c>
      <c r="C237" s="119">
        <v>558</v>
      </c>
      <c r="D237" s="119">
        <v>609</v>
      </c>
      <c r="E237" s="119">
        <v>656</v>
      </c>
      <c r="F237" s="119">
        <v>705</v>
      </c>
      <c r="G237" s="119">
        <v>764</v>
      </c>
      <c r="H237" s="124">
        <v>185</v>
      </c>
      <c r="I237" s="123">
        <v>184</v>
      </c>
      <c r="J237" s="125">
        <v>202</v>
      </c>
      <c r="K237" s="121">
        <v>248</v>
      </c>
      <c r="L237" s="119">
        <v>819</v>
      </c>
      <c r="M237" s="125">
        <v>196</v>
      </c>
      <c r="N237" s="125">
        <v>202</v>
      </c>
      <c r="O237" s="125">
        <v>214</v>
      </c>
      <c r="P237" s="121">
        <v>233</v>
      </c>
      <c r="Q237" s="122">
        <v>845</v>
      </c>
      <c r="R237" s="125">
        <v>202</v>
      </c>
      <c r="S237" s="125">
        <v>208</v>
      </c>
      <c r="T237" s="121">
        <v>215</v>
      </c>
      <c r="U237" s="121">
        <v>234</v>
      </c>
      <c r="V237" s="122">
        <v>859</v>
      </c>
      <c r="W237" s="125">
        <f>172+27</f>
        <v>199</v>
      </c>
      <c r="X237" s="125">
        <f>351-W237</f>
        <v>152</v>
      </c>
      <c r="Y237" s="121">
        <f>539-SUM(W237:X237)</f>
        <v>188</v>
      </c>
      <c r="Z237" s="121">
        <v>439</v>
      </c>
      <c r="AA237" s="122">
        <f>SUM(W237:Z237)</f>
        <v>978</v>
      </c>
      <c r="AB237" s="123">
        <v>246</v>
      </c>
      <c r="AC237" s="123">
        <v>246</v>
      </c>
      <c r="AD237" s="210">
        <v>247</v>
      </c>
      <c r="AE237" s="210">
        <f>AF237-SUM(AB237:AD237)</f>
        <v>269</v>
      </c>
      <c r="AF237" s="208">
        <v>1008</v>
      </c>
      <c r="AG237" s="210">
        <v>231</v>
      </c>
      <c r="AH237" s="125">
        <v>233</v>
      </c>
      <c r="AI237" s="125">
        <v>247</v>
      </c>
      <c r="AJ237" s="121">
        <v>277</v>
      </c>
      <c r="AK237" s="119">
        <f>SUM(AG237:AJ237)</f>
        <v>988</v>
      </c>
      <c r="AL237" s="121">
        <v>232</v>
      </c>
      <c r="AM237" s="121">
        <v>240</v>
      </c>
      <c r="AN237" s="149">
        <f>704-AM237-AL237</f>
        <v>232</v>
      </c>
      <c r="AO237" s="149">
        <f>AP237-SUM(AL237:AN237)</f>
        <v>286</v>
      </c>
      <c r="AP237" s="152">
        <v>990</v>
      </c>
      <c r="AQ237" s="559">
        <v>237</v>
      </c>
      <c r="AR237" s="556">
        <f>479-AQ237</f>
        <v>242</v>
      </c>
      <c r="AS237" s="556">
        <f>726-SUM(AQ237:AR237)</f>
        <v>247</v>
      </c>
      <c r="AT237" s="556">
        <f>994-AQ237-AR237-AS237</f>
        <v>268</v>
      </c>
      <c r="AU237" s="119">
        <f t="shared" ref="AU237:AU242" si="934">SUM(AQ237:AT237)</f>
        <v>994</v>
      </c>
      <c r="AV237" s="850">
        <v>244</v>
      </c>
      <c r="AW237" s="803">
        <f>490-AV237</f>
        <v>246</v>
      </c>
      <c r="AX237" s="803">
        <f>726-SUM(AV237:AW237)</f>
        <v>236</v>
      </c>
      <c r="AY237" s="855">
        <f t="shared" ref="AY237:AY244" si="935">+AZ237-SUM(AV237:AX237)</f>
        <v>300</v>
      </c>
      <c r="AZ237" s="119">
        <v>1026</v>
      </c>
      <c r="BA237" s="152">
        <v>990</v>
      </c>
      <c r="BB237" s="559">
        <v>237</v>
      </c>
      <c r="BC237" s="556">
        <f>479-BB237</f>
        <v>242</v>
      </c>
      <c r="BD237" s="556">
        <f>726-SUM(BB237:BC237)</f>
        <v>247</v>
      </c>
      <c r="BE237" s="556">
        <f>994-BB237-BC237-BD237</f>
        <v>268</v>
      </c>
      <c r="BF237" s="119">
        <f t="shared" ref="BF237:BF239" si="936">SUM(BB237:BE237)</f>
        <v>994</v>
      </c>
      <c r="BG237" s="850">
        <v>244</v>
      </c>
      <c r="BH237" s="803">
        <f>490-BG237</f>
        <v>246</v>
      </c>
      <c r="BI237" s="803">
        <f>726-SUM(BG237:BH237)</f>
        <v>236</v>
      </c>
      <c r="BJ237" s="855">
        <f t="shared" ref="BJ237:BJ241" si="937">+BK237-SUM(BG237:BI237)</f>
        <v>300</v>
      </c>
      <c r="BK237" s="119">
        <v>1026</v>
      </c>
      <c r="BL237" s="850">
        <v>296</v>
      </c>
      <c r="BM237" s="803">
        <f>593-BL237</f>
        <v>297</v>
      </c>
      <c r="BN237" s="803"/>
      <c r="BO237" s="855"/>
      <c r="BP237" s="965"/>
      <c r="BQ237" s="152">
        <v>990</v>
      </c>
      <c r="BR237" s="850">
        <v>244</v>
      </c>
      <c r="BS237" s="803">
        <f>490-BR237</f>
        <v>246</v>
      </c>
      <c r="BT237" s="803">
        <f>726-SUM(BR237:BS237)</f>
        <v>236</v>
      </c>
      <c r="BU237" s="855">
        <f t="shared" ref="BU237:BU241" si="938">+BV237-SUM(BR237:BT237)</f>
        <v>300</v>
      </c>
      <c r="BV237" s="119">
        <v>1026</v>
      </c>
      <c r="BW237" s="850">
        <v>296</v>
      </c>
      <c r="BX237" s="803">
        <f>593-BW237</f>
        <v>297</v>
      </c>
      <c r="BY237" s="803">
        <f>888-SUM(BW237:BX237)</f>
        <v>295</v>
      </c>
      <c r="BZ237" s="855">
        <f t="shared" ref="BZ237:BZ241" si="939">+CA237-SUM(BW237:BY237)</f>
        <v>327</v>
      </c>
      <c r="CA237" s="965">
        <v>1215</v>
      </c>
      <c r="CB237" s="850">
        <v>285</v>
      </c>
      <c r="CC237" s="803">
        <f>581-CB237</f>
        <v>296</v>
      </c>
      <c r="CD237" s="803">
        <f>880-CC237-CB237</f>
        <v>299</v>
      </c>
      <c r="CE237" s="855">
        <f>1195-CD237-CC237-CB237</f>
        <v>315</v>
      </c>
      <c r="CF237" s="965">
        <f>+SUM(CB237:CE237)</f>
        <v>1195</v>
      </c>
      <c r="CG237" s="850"/>
      <c r="CH237" s="803"/>
      <c r="CI237" s="803"/>
      <c r="CJ237" s="855"/>
      <c r="CK237" s="965">
        <v>1215</v>
      </c>
      <c r="CL237" s="850"/>
      <c r="CM237" s="803"/>
      <c r="CN237" s="803"/>
      <c r="CO237" s="855"/>
      <c r="CP237" s="965">
        <f>CF237</f>
        <v>1195</v>
      </c>
      <c r="CQ237" s="564">
        <f>CB237*1.07</f>
        <v>304.95000000000005</v>
      </c>
      <c r="CR237" s="564">
        <f>CC237*1.07</f>
        <v>316.72000000000003</v>
      </c>
      <c r="CS237" s="564">
        <f>CD237*1.07</f>
        <v>319.93</v>
      </c>
      <c r="CT237" s="565">
        <f>CE237*1.07</f>
        <v>337.05</v>
      </c>
      <c r="CU237" s="965">
        <f>+SUM(CQ237:CT237)</f>
        <v>1278.6500000000001</v>
      </c>
      <c r="CV237" s="564"/>
      <c r="CW237" s="564"/>
      <c r="CX237" s="564"/>
      <c r="CY237" s="565"/>
      <c r="CZ237" s="563">
        <f>CU237*1.07</f>
        <v>1368.1555000000001</v>
      </c>
      <c r="DA237" s="564"/>
      <c r="DB237" s="564"/>
      <c r="DC237" s="564"/>
      <c r="DD237" s="565"/>
      <c r="DE237" s="563">
        <f>CZ237*1.07</f>
        <v>1463.9263850000002</v>
      </c>
      <c r="DF237" s="564"/>
      <c r="DG237" s="564"/>
      <c r="DH237" s="564"/>
      <c r="DI237" s="565"/>
      <c r="DJ237" s="563">
        <f>DE237*1.07</f>
        <v>1566.4012319500002</v>
      </c>
      <c r="DK237" s="212"/>
      <c r="DL237" s="1286"/>
      <c r="DM237" s="810"/>
      <c r="DN237" s="810"/>
      <c r="DO237" s="810"/>
      <c r="DP237" s="1108"/>
      <c r="DQ237" s="1110"/>
      <c r="DR237" s="1108"/>
      <c r="DS237" s="1279"/>
      <c r="DT237" s="1280"/>
      <c r="DU237" s="1280"/>
      <c r="DV237" s="1280"/>
      <c r="DW237" s="1280"/>
      <c r="DX237" s="810"/>
      <c r="DY237" s="228"/>
      <c r="DZ237" s="216"/>
      <c r="EA237" s="216"/>
      <c r="EB237"/>
      <c r="EC237"/>
      <c r="ED237"/>
      <c r="EE237"/>
      <c r="EF237"/>
      <c r="EG237"/>
    </row>
    <row r="238" spans="1:137" s="224" customFormat="1">
      <c r="A238" s="187" t="s">
        <v>20</v>
      </c>
      <c r="B238" s="119">
        <v>0</v>
      </c>
      <c r="C238" s="119">
        <v>0</v>
      </c>
      <c r="D238" s="119">
        <v>0</v>
      </c>
      <c r="E238" s="119">
        <v>0</v>
      </c>
      <c r="F238" s="119">
        <v>0</v>
      </c>
      <c r="G238" s="119">
        <v>111</v>
      </c>
      <c r="H238" s="124">
        <v>49</v>
      </c>
      <c r="I238" s="189">
        <f>82-H238</f>
        <v>33</v>
      </c>
      <c r="J238" s="192">
        <f>116-SUM(H238:I238)</f>
        <v>34</v>
      </c>
      <c r="K238" s="193">
        <f>L238-SUM(H238:J238)</f>
        <v>33</v>
      </c>
      <c r="L238" s="194">
        <v>149</v>
      </c>
      <c r="M238" s="125">
        <v>35</v>
      </c>
      <c r="N238" s="192">
        <f>75-M238</f>
        <v>40</v>
      </c>
      <c r="O238" s="192">
        <f>115-SUM(M238:N238)</f>
        <v>40</v>
      </c>
      <c r="P238" s="193">
        <f>Q238-SUM(M238:O238)</f>
        <v>40</v>
      </c>
      <c r="Q238" s="191">
        <v>155</v>
      </c>
      <c r="R238" s="125">
        <v>30</v>
      </c>
      <c r="S238" s="192">
        <f>72-R238</f>
        <v>42</v>
      </c>
      <c r="T238" s="123">
        <f>112-SUM(R238:S238)</f>
        <v>40</v>
      </c>
      <c r="U238" s="121">
        <f>V238-SUM(R238:T238)</f>
        <v>42</v>
      </c>
      <c r="V238" s="122">
        <v>154</v>
      </c>
      <c r="W238" s="125">
        <v>41</v>
      </c>
      <c r="X238" s="192">
        <f>82-W238</f>
        <v>41</v>
      </c>
      <c r="Y238" s="123">
        <f>100-W238-X238</f>
        <v>18</v>
      </c>
      <c r="Z238" s="124">
        <f>168-SUM(W238:Y238)</f>
        <v>68</v>
      </c>
      <c r="AA238" s="122">
        <f>SUM(W238:Z238)</f>
        <v>168</v>
      </c>
      <c r="AB238" s="125">
        <v>39</v>
      </c>
      <c r="AC238" s="192">
        <f>79-AB238</f>
        <v>40</v>
      </c>
      <c r="AD238" s="211">
        <f>116-AC238-AB238</f>
        <v>37</v>
      </c>
      <c r="AE238" s="210">
        <f>AF238-SUM(AB238:AD238)</f>
        <v>-116</v>
      </c>
      <c r="AF238" s="208">
        <v>0</v>
      </c>
      <c r="AG238" s="210">
        <v>41</v>
      </c>
      <c r="AH238" s="192">
        <f>87-AG238</f>
        <v>46</v>
      </c>
      <c r="AI238" s="192">
        <f>129-AH238-AG238</f>
        <v>42</v>
      </c>
      <c r="AJ238" s="121">
        <v>38</v>
      </c>
      <c r="AK238" s="122">
        <v>167</v>
      </c>
      <c r="AL238" s="123">
        <f>-AL148</f>
        <v>53</v>
      </c>
      <c r="AM238" s="123">
        <f>112-AL238</f>
        <v>59</v>
      </c>
      <c r="AN238" s="123">
        <v>38</v>
      </c>
      <c r="AO238" s="149">
        <f>AP238-SUM(AL238:AN238)</f>
        <v>39</v>
      </c>
      <c r="AP238" s="152">
        <v>189</v>
      </c>
      <c r="AQ238" s="559">
        <v>48</v>
      </c>
      <c r="AR238" s="556">
        <f>97-AQ238</f>
        <v>49</v>
      </c>
      <c r="AS238" s="556">
        <f>128-SUM(AQ238:AR238)</f>
        <v>31</v>
      </c>
      <c r="AT238" s="556">
        <f>164-AQ238-AR238-AS238</f>
        <v>36</v>
      </c>
      <c r="AU238" s="122">
        <f t="shared" si="934"/>
        <v>164</v>
      </c>
      <c r="AV238" s="737">
        <v>40</v>
      </c>
      <c r="AW238" s="556">
        <f>89-AV238</f>
        <v>49</v>
      </c>
      <c r="AX238" s="556">
        <f>118-SUM(AV238:AW238)</f>
        <v>29</v>
      </c>
      <c r="AY238" s="556">
        <f t="shared" si="935"/>
        <v>20</v>
      </c>
      <c r="AZ238" s="122">
        <v>138</v>
      </c>
      <c r="BA238" s="152">
        <v>189</v>
      </c>
      <c r="BB238" s="559">
        <v>48</v>
      </c>
      <c r="BC238" s="556">
        <f>97-BB238</f>
        <v>49</v>
      </c>
      <c r="BD238" s="556">
        <f>128-SUM(BB238:BC238)</f>
        <v>31</v>
      </c>
      <c r="BE238" s="556">
        <f>164-BB238-BC238-BD238</f>
        <v>36</v>
      </c>
      <c r="BF238" s="122">
        <f t="shared" si="936"/>
        <v>164</v>
      </c>
      <c r="BG238" s="737">
        <v>40</v>
      </c>
      <c r="BH238" s="556">
        <f>89-BG238</f>
        <v>49</v>
      </c>
      <c r="BI238" s="556">
        <f>118-SUM(BG238:BH238)</f>
        <v>29</v>
      </c>
      <c r="BJ238" s="556">
        <f t="shared" si="937"/>
        <v>20</v>
      </c>
      <c r="BK238" s="122">
        <v>138</v>
      </c>
      <c r="BL238" s="737">
        <v>44</v>
      </c>
      <c r="BM238" s="556">
        <f>97-BL238</f>
        <v>53</v>
      </c>
      <c r="BN238" s="556"/>
      <c r="BO238" s="556"/>
      <c r="BP238" s="814"/>
      <c r="BQ238" s="152">
        <v>189</v>
      </c>
      <c r="BR238" s="737">
        <v>40</v>
      </c>
      <c r="BS238" s="556">
        <f>89-BR238</f>
        <v>49</v>
      </c>
      <c r="BT238" s="556">
        <f>118-SUM(BR238:BS238)</f>
        <v>29</v>
      </c>
      <c r="BU238" s="556">
        <f t="shared" si="938"/>
        <v>20</v>
      </c>
      <c r="BV238" s="122">
        <v>138</v>
      </c>
      <c r="BW238" s="737">
        <v>44</v>
      </c>
      <c r="BX238" s="556">
        <f>97-BW238</f>
        <v>53</v>
      </c>
      <c r="BY238" s="556">
        <f>124-SUM(BW238:BX238)</f>
        <v>27</v>
      </c>
      <c r="BZ238" s="556">
        <f t="shared" si="939"/>
        <v>25</v>
      </c>
      <c r="CA238" s="814">
        <v>149</v>
      </c>
      <c r="CB238" s="737">
        <v>44</v>
      </c>
      <c r="CC238" s="556">
        <f>101-CB238</f>
        <v>57</v>
      </c>
      <c r="CD238" s="556">
        <f>133-CC238-CB238</f>
        <v>32</v>
      </c>
      <c r="CE238" s="556">
        <f>158-CD238-CC238-CB238</f>
        <v>25</v>
      </c>
      <c r="CF238" s="965">
        <f t="shared" ref="CF238:CF242" si="940">+SUM(CB238:CE238)</f>
        <v>158</v>
      </c>
      <c r="CG238" s="737"/>
      <c r="CH238" s="556"/>
      <c r="CI238" s="556"/>
      <c r="CJ238" s="556"/>
      <c r="CK238" s="814">
        <v>149</v>
      </c>
      <c r="CL238" s="737"/>
      <c r="CM238" s="556"/>
      <c r="CN238" s="556"/>
      <c r="CO238" s="556"/>
      <c r="CP238" s="965">
        <f>CF238</f>
        <v>158</v>
      </c>
      <c r="CQ238" s="1022">
        <f>-CQ148</f>
        <v>39.5</v>
      </c>
      <c r="CR238" s="1022">
        <f>-CR148</f>
        <v>39.5</v>
      </c>
      <c r="CS238" s="1022">
        <f>-CS148</f>
        <v>39.5</v>
      </c>
      <c r="CT238" s="1027">
        <f>-CT148</f>
        <v>41.25</v>
      </c>
      <c r="CU238" s="965">
        <f t="shared" ref="CU238:CU242" si="941">+SUM(CQ238:CT238)</f>
        <v>159.75</v>
      </c>
      <c r="CV238" s="124"/>
      <c r="CW238" s="124"/>
      <c r="CX238" s="124"/>
      <c r="CY238" s="127"/>
      <c r="CZ238" s="122">
        <f>-CZ148</f>
        <v>160</v>
      </c>
      <c r="DA238" s="124"/>
      <c r="DB238" s="124"/>
      <c r="DC238" s="124"/>
      <c r="DD238" s="127"/>
      <c r="DE238" s="122">
        <f>-DE148</f>
        <v>160</v>
      </c>
      <c r="DF238" s="124"/>
      <c r="DG238" s="124"/>
      <c r="DH238" s="124"/>
      <c r="DI238" s="127"/>
      <c r="DJ238" s="122">
        <f>-DJ148</f>
        <v>160</v>
      </c>
      <c r="DK238" s="212"/>
      <c r="DL238" s="1286"/>
      <c r="DM238" s="810"/>
      <c r="DN238" s="810"/>
      <c r="DO238" s="810"/>
      <c r="DP238" s="1110"/>
      <c r="DQ238" s="1110"/>
      <c r="DR238" s="1110"/>
      <c r="DS238" s="1109"/>
      <c r="DT238" s="1109"/>
      <c r="DU238" s="1109"/>
      <c r="DV238" s="810"/>
      <c r="DW238" s="810"/>
      <c r="DX238" s="810"/>
      <c r="DY238" s="228"/>
      <c r="DZ238" s="216"/>
      <c r="EA238" s="216"/>
      <c r="EB238"/>
      <c r="EC238"/>
      <c r="ED238"/>
      <c r="EE238"/>
      <c r="EF238"/>
      <c r="EG238"/>
    </row>
    <row r="239" spans="1:137" s="224" customFormat="1">
      <c r="A239" s="188" t="s">
        <v>274</v>
      </c>
      <c r="B239" s="122">
        <v>0</v>
      </c>
      <c r="C239" s="122">
        <v>0</v>
      </c>
      <c r="D239" s="122">
        <v>0</v>
      </c>
      <c r="E239" s="122">
        <v>0</v>
      </c>
      <c r="F239" s="122">
        <v>0</v>
      </c>
      <c r="G239" s="122">
        <v>-129</v>
      </c>
      <c r="H239" s="124">
        <v>0</v>
      </c>
      <c r="I239" s="189">
        <f>-61-H239</f>
        <v>-61</v>
      </c>
      <c r="J239" s="189">
        <f>-102-SUM(H239:I239)</f>
        <v>-41</v>
      </c>
      <c r="K239" s="190">
        <f>L239-SUM(H239:J239)</f>
        <v>-22</v>
      </c>
      <c r="L239" s="191">
        <v>-124</v>
      </c>
      <c r="M239" s="123">
        <v>0</v>
      </c>
      <c r="N239" s="189">
        <f>-43-M239</f>
        <v>-43</v>
      </c>
      <c r="O239" s="189">
        <f>-90-SUM(M239:N239)</f>
        <v>-47</v>
      </c>
      <c r="P239" s="190">
        <f>Q239-SUM(M239:O239)</f>
        <v>-2</v>
      </c>
      <c r="Q239" s="191">
        <v>-92</v>
      </c>
      <c r="R239" s="123">
        <v>0</v>
      </c>
      <c r="S239" s="189">
        <f>-13-R239</f>
        <v>-13</v>
      </c>
      <c r="T239" s="123">
        <f>-16+-SUM(R239:S239)</f>
        <v>-3</v>
      </c>
      <c r="U239" s="124">
        <f>V239-SUM(R239:T239)</f>
        <v>-5</v>
      </c>
      <c r="V239" s="122">
        <v>-21</v>
      </c>
      <c r="W239" s="123">
        <v>0</v>
      </c>
      <c r="X239" s="189">
        <f>-96+96-W239</f>
        <v>0</v>
      </c>
      <c r="Y239" s="123">
        <f>0-W239-X239</f>
        <v>0</v>
      </c>
      <c r="Z239" s="124">
        <f>220-10+96-257-SUM(W239:Y239)</f>
        <v>49</v>
      </c>
      <c r="AA239" s="122">
        <f>SUM(W239:Z239)</f>
        <v>49</v>
      </c>
      <c r="AB239" s="123">
        <v>0</v>
      </c>
      <c r="AC239" s="189">
        <f>97+-89+-15-AB239</f>
        <v>-7</v>
      </c>
      <c r="AD239" s="211">
        <f>136-89-81-AC239-AB239</f>
        <v>-27</v>
      </c>
      <c r="AE239" s="210">
        <f>AF239-SUM(AB239:AD239)</f>
        <v>34</v>
      </c>
      <c r="AF239" s="208">
        <v>0</v>
      </c>
      <c r="AG239" s="210">
        <v>0</v>
      </c>
      <c r="AH239" s="189">
        <v>0</v>
      </c>
      <c r="AI239" s="189">
        <v>0</v>
      </c>
      <c r="AJ239" s="124">
        <v>0</v>
      </c>
      <c r="AK239" s="122">
        <v>0</v>
      </c>
      <c r="AL239" s="189">
        <v>30</v>
      </c>
      <c r="AM239" s="189">
        <f>30-AL239</f>
        <v>0</v>
      </c>
      <c r="AN239" s="477">
        <v>0</v>
      </c>
      <c r="AO239" s="149">
        <f>AP239-SUM(AL239:AN239)</f>
        <v>-30</v>
      </c>
      <c r="AP239" s="152">
        <v>0</v>
      </c>
      <c r="AQ239" s="559">
        <v>0</v>
      </c>
      <c r="AR239" s="803">
        <v>0</v>
      </c>
      <c r="AS239" s="803">
        <v>0</v>
      </c>
      <c r="AT239" s="855">
        <v>0</v>
      </c>
      <c r="AU239" s="119">
        <f t="shared" si="934"/>
        <v>0</v>
      </c>
      <c r="AV239" s="850">
        <v>0</v>
      </c>
      <c r="AW239" s="803">
        <v>0</v>
      </c>
      <c r="AX239" s="803">
        <v>0</v>
      </c>
      <c r="AY239" s="855">
        <f t="shared" si="935"/>
        <v>0</v>
      </c>
      <c r="AZ239" s="119">
        <v>0</v>
      </c>
      <c r="BA239" s="152">
        <v>0</v>
      </c>
      <c r="BB239" s="559">
        <v>0</v>
      </c>
      <c r="BC239" s="803">
        <v>0</v>
      </c>
      <c r="BD239" s="803">
        <v>0</v>
      </c>
      <c r="BE239" s="855">
        <v>0</v>
      </c>
      <c r="BF239" s="119">
        <f t="shared" si="936"/>
        <v>0</v>
      </c>
      <c r="BG239" s="850">
        <v>0</v>
      </c>
      <c r="BH239" s="803">
        <v>0</v>
      </c>
      <c r="BI239" s="803">
        <v>0</v>
      </c>
      <c r="BJ239" s="855">
        <f t="shared" si="937"/>
        <v>0</v>
      </c>
      <c r="BK239" s="119">
        <v>0</v>
      </c>
      <c r="BL239" s="850">
        <v>0</v>
      </c>
      <c r="BM239" s="803">
        <v>0</v>
      </c>
      <c r="BN239" s="803"/>
      <c r="BO239" s="855"/>
      <c r="BP239" s="814"/>
      <c r="BQ239" s="152">
        <v>0</v>
      </c>
      <c r="BR239" s="850">
        <v>0</v>
      </c>
      <c r="BS239" s="803">
        <v>0</v>
      </c>
      <c r="BT239" s="803">
        <v>0</v>
      </c>
      <c r="BU239" s="855">
        <f t="shared" si="938"/>
        <v>0</v>
      </c>
      <c r="BV239" s="119">
        <v>0</v>
      </c>
      <c r="BW239" s="850">
        <v>0</v>
      </c>
      <c r="BX239" s="803">
        <v>0</v>
      </c>
      <c r="BY239" s="803">
        <v>0</v>
      </c>
      <c r="BZ239" s="855">
        <f t="shared" si="939"/>
        <v>0</v>
      </c>
      <c r="CA239" s="814">
        <v>0</v>
      </c>
      <c r="CB239" s="850">
        <v>0</v>
      </c>
      <c r="CC239" s="803">
        <v>0</v>
      </c>
      <c r="CD239" s="803">
        <v>0</v>
      </c>
      <c r="CE239" s="855">
        <v>0</v>
      </c>
      <c r="CF239" s="965">
        <f t="shared" si="940"/>
        <v>0</v>
      </c>
      <c r="CG239" s="850"/>
      <c r="CH239" s="803"/>
      <c r="CI239" s="803"/>
      <c r="CJ239" s="855"/>
      <c r="CK239" s="814">
        <v>0</v>
      </c>
      <c r="CL239" s="850"/>
      <c r="CM239" s="803"/>
      <c r="CN239" s="803"/>
      <c r="CO239" s="855"/>
      <c r="CP239" s="965">
        <f>CF239</f>
        <v>0</v>
      </c>
      <c r="CQ239" s="151">
        <v>0</v>
      </c>
      <c r="CR239" s="151">
        <v>0</v>
      </c>
      <c r="CS239" s="151">
        <v>0</v>
      </c>
      <c r="CT239" s="172">
        <v>0</v>
      </c>
      <c r="CU239" s="965">
        <f t="shared" si="941"/>
        <v>0</v>
      </c>
      <c r="CV239" s="151"/>
      <c r="CW239" s="151"/>
      <c r="CX239" s="151"/>
      <c r="CY239" s="172"/>
      <c r="CZ239" s="150">
        <v>0</v>
      </c>
      <c r="DA239" s="151"/>
      <c r="DB239" s="151"/>
      <c r="DC239" s="151"/>
      <c r="DD239" s="172"/>
      <c r="DE239" s="150">
        <v>0</v>
      </c>
      <c r="DF239" s="151"/>
      <c r="DG239" s="151"/>
      <c r="DH239" s="151"/>
      <c r="DI239" s="172"/>
      <c r="DJ239" s="150">
        <v>0</v>
      </c>
      <c r="DK239" s="212"/>
      <c r="DL239" s="1286"/>
      <c r="DM239" s="810"/>
      <c r="DN239" s="810"/>
      <c r="DO239" s="810"/>
      <c r="DP239" s="1173"/>
      <c r="DQ239" s="1108"/>
      <c r="DR239" s="1108"/>
      <c r="DS239" s="1153"/>
      <c r="DT239" s="1153"/>
      <c r="DU239" s="1153"/>
      <c r="DV239" s="1153"/>
      <c r="DW239" s="1153"/>
      <c r="DX239" s="810"/>
      <c r="DY239" s="228"/>
      <c r="DZ239" s="216"/>
      <c r="EA239" s="216"/>
      <c r="EB239"/>
      <c r="EC239"/>
      <c r="ED239"/>
      <c r="EE239"/>
      <c r="EF239"/>
      <c r="EG239"/>
    </row>
    <row r="240" spans="1:137" s="224" customFormat="1">
      <c r="A240" s="195" t="s">
        <v>207</v>
      </c>
      <c r="B240" s="119">
        <v>-118</v>
      </c>
      <c r="C240" s="119">
        <v>-463</v>
      </c>
      <c r="D240" s="119">
        <v>467</v>
      </c>
      <c r="E240" s="119">
        <v>-58</v>
      </c>
      <c r="F240" s="119">
        <v>24</v>
      </c>
      <c r="G240" s="119">
        <v>75</v>
      </c>
      <c r="H240" s="124">
        <v>0</v>
      </c>
      <c r="I240" s="190">
        <f>0-H240</f>
        <v>0</v>
      </c>
      <c r="J240" s="193">
        <f>0-SUM(H240:I240)</f>
        <v>0</v>
      </c>
      <c r="K240" s="193">
        <f>L240-SUM(H240:J240)</f>
        <v>110</v>
      </c>
      <c r="L240" s="194">
        <v>110</v>
      </c>
      <c r="M240" s="121">
        <v>0</v>
      </c>
      <c r="N240" s="193">
        <f>0-M240</f>
        <v>0</v>
      </c>
      <c r="O240" s="193">
        <f>0-SUM(M240:N240)</f>
        <v>0</v>
      </c>
      <c r="P240" s="193">
        <f>Q240-SUM(M240:O240)</f>
        <v>72</v>
      </c>
      <c r="Q240" s="191">
        <v>72</v>
      </c>
      <c r="R240" s="121">
        <v>0</v>
      </c>
      <c r="S240" s="193">
        <f>0-R240</f>
        <v>0</v>
      </c>
      <c r="T240" s="124">
        <f>0-SUM(R240:S240)</f>
        <v>0</v>
      </c>
      <c r="U240" s="121">
        <f>V240-SUM(R240:T240)</f>
        <v>0</v>
      </c>
      <c r="V240" s="122">
        <v>0</v>
      </c>
      <c r="W240" s="121">
        <v>121</v>
      </c>
      <c r="X240" s="193">
        <f>34-W240</f>
        <v>-87</v>
      </c>
      <c r="Y240" s="124">
        <f>354-W240-X240</f>
        <v>320</v>
      </c>
      <c r="Z240" s="121">
        <f>452-SUM(W240:Y240)</f>
        <v>98</v>
      </c>
      <c r="AA240" s="122">
        <f>SUM(W240:Z240)</f>
        <v>452</v>
      </c>
      <c r="AB240" s="210">
        <v>-12</v>
      </c>
      <c r="AC240" s="569">
        <f>59-AB240</f>
        <v>71</v>
      </c>
      <c r="AD240" s="210">
        <f>178-AC240-AB240</f>
        <v>119</v>
      </c>
      <c r="AE240" s="210">
        <f>AF240-SUM(AB240:AD240)</f>
        <v>-176</v>
      </c>
      <c r="AF240" s="208">
        <v>2</v>
      </c>
      <c r="AG240" s="210">
        <v>0</v>
      </c>
      <c r="AH240" s="193">
        <v>0</v>
      </c>
      <c r="AI240" s="190">
        <v>0</v>
      </c>
      <c r="AJ240" s="121">
        <f>AK240-AI240</f>
        <v>930</v>
      </c>
      <c r="AK240" s="119">
        <v>930</v>
      </c>
      <c r="AL240" s="124">
        <v>0</v>
      </c>
      <c r="AM240" s="124">
        <f>0-AL240</f>
        <v>0</v>
      </c>
      <c r="AN240" s="124">
        <v>0</v>
      </c>
      <c r="AO240" s="149">
        <f>AP240-SUM(AL240:AN240)</f>
        <v>-5</v>
      </c>
      <c r="AP240" s="152">
        <v>-5</v>
      </c>
      <c r="AQ240" s="559">
        <v>0</v>
      </c>
      <c r="AR240" s="803">
        <v>0</v>
      </c>
      <c r="AS240" s="803">
        <v>0</v>
      </c>
      <c r="AT240" s="964">
        <f t="shared" ref="AT240" si="942">+AU240-SUM(AQ240:AS240)</f>
        <v>-401</v>
      </c>
      <c r="AU240" s="119">
        <v>-401</v>
      </c>
      <c r="AV240" s="849">
        <v>0</v>
      </c>
      <c r="AW240" s="802">
        <v>0</v>
      </c>
      <c r="AX240" s="802">
        <v>0</v>
      </c>
      <c r="AY240" s="964">
        <f t="shared" si="935"/>
        <v>-445</v>
      </c>
      <c r="AZ240" s="119">
        <v>-445</v>
      </c>
      <c r="BA240" s="152">
        <v>-5</v>
      </c>
      <c r="BB240" s="559">
        <v>0</v>
      </c>
      <c r="BC240" s="803">
        <v>0</v>
      </c>
      <c r="BD240" s="803">
        <v>0</v>
      </c>
      <c r="BE240" s="964">
        <f t="shared" ref="BE240" si="943">+BF240-SUM(BB240:BD240)</f>
        <v>-401</v>
      </c>
      <c r="BF240" s="119">
        <v>-401</v>
      </c>
      <c r="BG240" s="849">
        <v>0</v>
      </c>
      <c r="BH240" s="802">
        <v>0</v>
      </c>
      <c r="BI240" s="802">
        <v>0</v>
      </c>
      <c r="BJ240" s="964">
        <f t="shared" si="937"/>
        <v>-445</v>
      </c>
      <c r="BK240" s="119">
        <v>-445</v>
      </c>
      <c r="BL240" s="849">
        <v>0</v>
      </c>
      <c r="BM240" s="802">
        <v>0</v>
      </c>
      <c r="BN240" s="802"/>
      <c r="BO240" s="964"/>
      <c r="BP240" s="966"/>
      <c r="BQ240" s="152">
        <v>-5</v>
      </c>
      <c r="BR240" s="849">
        <v>0</v>
      </c>
      <c r="BS240" s="802">
        <v>0</v>
      </c>
      <c r="BT240" s="802">
        <v>0</v>
      </c>
      <c r="BU240" s="964">
        <f t="shared" si="938"/>
        <v>-445</v>
      </c>
      <c r="BV240" s="119">
        <v>-445</v>
      </c>
      <c r="BW240" s="849">
        <v>0</v>
      </c>
      <c r="BX240" s="802">
        <v>0</v>
      </c>
      <c r="BY240" s="802">
        <v>0</v>
      </c>
      <c r="BZ240" s="964">
        <f t="shared" si="939"/>
        <v>-152</v>
      </c>
      <c r="CA240" s="966">
        <v>-152</v>
      </c>
      <c r="CB240" s="849">
        <v>0</v>
      </c>
      <c r="CC240" s="803">
        <v>0</v>
      </c>
      <c r="CD240" s="803">
        <v>0</v>
      </c>
      <c r="CE240" s="855">
        <v>3304</v>
      </c>
      <c r="CF240" s="965">
        <f t="shared" si="940"/>
        <v>3304</v>
      </c>
      <c r="CG240" s="849"/>
      <c r="CH240" s="802"/>
      <c r="CI240" s="802"/>
      <c r="CJ240" s="964"/>
      <c r="CK240" s="966">
        <v>-152</v>
      </c>
      <c r="CL240" s="849"/>
      <c r="CM240" s="803"/>
      <c r="CN240" s="803"/>
      <c r="CO240" s="855"/>
      <c r="CP240" s="965">
        <f t="shared" ref="CP240:CP241" si="944">CF240</f>
        <v>3304</v>
      </c>
      <c r="CQ240" s="151">
        <v>0</v>
      </c>
      <c r="CR240" s="151">
        <v>0</v>
      </c>
      <c r="CS240" s="151">
        <v>0</v>
      </c>
      <c r="CT240" s="172">
        <v>0</v>
      </c>
      <c r="CU240" s="965">
        <f t="shared" si="941"/>
        <v>0</v>
      </c>
      <c r="CV240" s="151"/>
      <c r="CW240" s="151"/>
      <c r="CX240" s="151"/>
      <c r="CY240" s="172"/>
      <c r="CZ240" s="150">
        <v>0</v>
      </c>
      <c r="DA240" s="151"/>
      <c r="DB240" s="151"/>
      <c r="DC240" s="151"/>
      <c r="DD240" s="172"/>
      <c r="DE240" s="150">
        <v>0</v>
      </c>
      <c r="DF240" s="151"/>
      <c r="DG240" s="151"/>
      <c r="DH240" s="151"/>
      <c r="DI240" s="172"/>
      <c r="DJ240" s="150">
        <v>0</v>
      </c>
      <c r="DK240" s="212"/>
      <c r="DL240" s="1286"/>
      <c r="DM240" s="809"/>
      <c r="DN240" s="810"/>
      <c r="DO240" s="810"/>
      <c r="DP240" s="1111"/>
      <c r="DQ240" s="1111"/>
      <c r="DR240" s="1111"/>
      <c r="DS240" s="1153"/>
      <c r="DT240" s="1153"/>
      <c r="DU240" s="1153"/>
      <c r="DV240" s="1153"/>
      <c r="DW240" s="1153"/>
      <c r="DX240" s="810"/>
      <c r="DY240" s="228"/>
      <c r="DZ240" s="216"/>
      <c r="EA240" s="216"/>
      <c r="EB240"/>
      <c r="EC240"/>
      <c r="ED240"/>
      <c r="EE240"/>
      <c r="EF240"/>
      <c r="EG240"/>
    </row>
    <row r="241" spans="1:137" s="224" customFormat="1">
      <c r="A241" s="195" t="s">
        <v>5</v>
      </c>
      <c r="B241" s="119"/>
      <c r="C241" s="119"/>
      <c r="D241" s="119"/>
      <c r="E241" s="119"/>
      <c r="F241" s="119"/>
      <c r="G241" s="119"/>
      <c r="H241" s="124"/>
      <c r="I241" s="190"/>
      <c r="J241" s="193"/>
      <c r="K241" s="193"/>
      <c r="L241" s="194">
        <v>-335</v>
      </c>
      <c r="M241" s="121"/>
      <c r="N241" s="193"/>
      <c r="O241" s="193"/>
      <c r="P241" s="193"/>
      <c r="Q241" s="191">
        <v>-109</v>
      </c>
      <c r="R241" s="121"/>
      <c r="S241" s="193"/>
      <c r="T241" s="124"/>
      <c r="U241" s="121"/>
      <c r="V241" s="119">
        <v>-1482</v>
      </c>
      <c r="W241" s="121">
        <v>377</v>
      </c>
      <c r="X241" s="193">
        <f>366-W241</f>
        <v>-11</v>
      </c>
      <c r="Y241" s="124">
        <f>-344-SUM(W241:X241)</f>
        <v>-710</v>
      </c>
      <c r="Z241" s="121">
        <f>AA241-SUM(W241:Y241)</f>
        <v>-683</v>
      </c>
      <c r="AA241" s="119">
        <v>-1027</v>
      </c>
      <c r="AB241" s="121">
        <v>473</v>
      </c>
      <c r="AC241" s="193">
        <f>622-SUM(AB241)</f>
        <v>149</v>
      </c>
      <c r="AD241" s="124">
        <f>134-SUM(AB241:AC241)</f>
        <v>-488</v>
      </c>
      <c r="AE241" s="121">
        <f>AF241-SUM(AB241:AD241)</f>
        <v>-527</v>
      </c>
      <c r="AF241" s="119">
        <v>-393</v>
      </c>
      <c r="AG241" s="124">
        <v>-8</v>
      </c>
      <c r="AH241" s="193">
        <f>-138-AG241</f>
        <v>-130</v>
      </c>
      <c r="AI241" s="193">
        <f>329-SUM(AG241:AH241)</f>
        <v>467</v>
      </c>
      <c r="AJ241" s="121">
        <f>AK241-SUM(AG241:AI241)</f>
        <v>-2212</v>
      </c>
      <c r="AK241" s="122">
        <v>-1883</v>
      </c>
      <c r="AL241" s="124">
        <v>493</v>
      </c>
      <c r="AM241" s="124">
        <f>236-AL241</f>
        <v>-257</v>
      </c>
      <c r="AN241" s="124">
        <f>-20-SUM(AL241:AM241)</f>
        <v>-256</v>
      </c>
      <c r="AO241" s="149">
        <f>AP241-SUM(AL241:AN241)</f>
        <v>-355</v>
      </c>
      <c r="AP241" s="152">
        <v>-375</v>
      </c>
      <c r="AQ241" s="559">
        <v>320</v>
      </c>
      <c r="AR241" s="556">
        <f>125-AQ241</f>
        <v>-195</v>
      </c>
      <c r="AS241" s="210">
        <f>-96-SUM(AQ241:AR241)</f>
        <v>-221</v>
      </c>
      <c r="AT241" s="556">
        <f>-880-AQ241-AR241-AS241</f>
        <v>-784</v>
      </c>
      <c r="AU241" s="152">
        <f t="shared" si="934"/>
        <v>-880</v>
      </c>
      <c r="AV241" s="737">
        <v>292</v>
      </c>
      <c r="AW241" s="802">
        <f>580-AV241</f>
        <v>288</v>
      </c>
      <c r="AX241" s="802">
        <f>868-SUM(AV241:AW241)</f>
        <v>288</v>
      </c>
      <c r="AY241" s="964">
        <f t="shared" si="935"/>
        <v>200</v>
      </c>
      <c r="AZ241" s="152">
        <v>1068</v>
      </c>
      <c r="BA241" s="152">
        <v>-375</v>
      </c>
      <c r="BB241" s="559">
        <v>320</v>
      </c>
      <c r="BC241" s="556">
        <f>125-BB241</f>
        <v>-195</v>
      </c>
      <c r="BD241" s="210">
        <f>-96-SUM(BB241:BC241)</f>
        <v>-221</v>
      </c>
      <c r="BE241" s="556">
        <f>-880-BB241-BC241-BD241</f>
        <v>-784</v>
      </c>
      <c r="BF241" s="152">
        <f t="shared" ref="BF241:BF242" si="945">SUM(BB241:BE241)</f>
        <v>-880</v>
      </c>
      <c r="BG241" s="737">
        <v>292</v>
      </c>
      <c r="BH241" s="802">
        <f>580-BG241</f>
        <v>288</v>
      </c>
      <c r="BI241" s="802">
        <f>868-SUM(BG241:BH241)</f>
        <v>288</v>
      </c>
      <c r="BJ241" s="964">
        <f t="shared" si="937"/>
        <v>200</v>
      </c>
      <c r="BK241" s="152">
        <v>1068</v>
      </c>
      <c r="BL241" s="737">
        <v>246</v>
      </c>
      <c r="BM241" s="802">
        <f>515-BL241</f>
        <v>269</v>
      </c>
      <c r="BN241" s="802"/>
      <c r="BO241" s="964"/>
      <c r="BP241" s="737"/>
      <c r="BQ241" s="152">
        <v>-375</v>
      </c>
      <c r="BR241" s="737">
        <v>292</v>
      </c>
      <c r="BS241" s="802">
        <f>580-BR241</f>
        <v>288</v>
      </c>
      <c r="BT241" s="802">
        <f>868-SUM(BR241:BS241)</f>
        <v>288</v>
      </c>
      <c r="BU241" s="964">
        <f t="shared" si="938"/>
        <v>200</v>
      </c>
      <c r="BV241" s="152">
        <v>1068</v>
      </c>
      <c r="BW241" s="737">
        <v>246</v>
      </c>
      <c r="BX241" s="802">
        <f>515-BW241</f>
        <v>269</v>
      </c>
      <c r="BY241" s="802">
        <f>787-SUM(BW241:BX241)</f>
        <v>272</v>
      </c>
      <c r="BZ241" s="964">
        <f t="shared" si="939"/>
        <v>241</v>
      </c>
      <c r="CA241" s="737">
        <v>1028</v>
      </c>
      <c r="CB241" s="737">
        <v>345</v>
      </c>
      <c r="CC241" s="802">
        <f>685-CB241</f>
        <v>340</v>
      </c>
      <c r="CD241" s="802">
        <f>1012-CC241-CB241</f>
        <v>327</v>
      </c>
      <c r="CE241" s="964">
        <f>1316-CD241-CC241-CB241</f>
        <v>304</v>
      </c>
      <c r="CF241" s="965">
        <f t="shared" si="940"/>
        <v>1316</v>
      </c>
      <c r="CG241" s="737"/>
      <c r="CH241" s="802"/>
      <c r="CI241" s="802"/>
      <c r="CJ241" s="964"/>
      <c r="CK241" s="737">
        <v>1028</v>
      </c>
      <c r="CL241" s="737"/>
      <c r="CM241" s="802"/>
      <c r="CN241" s="802"/>
      <c r="CO241" s="964"/>
      <c r="CP241" s="965">
        <f t="shared" si="944"/>
        <v>1316</v>
      </c>
      <c r="CQ241" s="212">
        <v>-719.75622919328111</v>
      </c>
      <c r="CR241" s="210">
        <v>-719.75622919328111</v>
      </c>
      <c r="CS241" s="210">
        <v>-719.75622919328111</v>
      </c>
      <c r="CT241" s="209">
        <v>-719.75622919328111</v>
      </c>
      <c r="CU241" s="965">
        <f t="shared" si="941"/>
        <v>-2879.0249167731245</v>
      </c>
      <c r="CV241" s="212"/>
      <c r="CW241" s="121"/>
      <c r="CX241" s="121"/>
      <c r="CY241" s="120"/>
      <c r="CZ241" s="212">
        <v>772.31661019163391</v>
      </c>
      <c r="DA241" s="212"/>
      <c r="DB241" s="121"/>
      <c r="DC241" s="121"/>
      <c r="DD241" s="120"/>
      <c r="DE241" s="212">
        <v>-287.56149308755948</v>
      </c>
      <c r="DF241" s="212"/>
      <c r="DG241" s="121"/>
      <c r="DH241" s="121"/>
      <c r="DI241" s="120"/>
      <c r="DJ241" s="212">
        <v>-917.31988680491327</v>
      </c>
      <c r="DK241" s="212"/>
      <c r="DL241" s="1286"/>
      <c r="DM241" s="810"/>
      <c r="DN241" s="810"/>
      <c r="DO241" s="810"/>
      <c r="DP241" s="1173"/>
      <c r="DQ241" s="1108"/>
      <c r="DR241" s="1108"/>
      <c r="DS241" s="1153"/>
      <c r="DT241" s="1153"/>
      <c r="DU241" s="1153"/>
      <c r="DV241" s="1153"/>
      <c r="DW241" s="1153"/>
      <c r="DX241" s="810"/>
      <c r="DY241" s="228"/>
      <c r="DZ241" s="216"/>
      <c r="EA241" s="216"/>
      <c r="EB241"/>
      <c r="EC241"/>
      <c r="ED241"/>
      <c r="EE241"/>
      <c r="EF241"/>
      <c r="EG241"/>
    </row>
    <row r="242" spans="1:137" s="224" customFormat="1">
      <c r="A242" s="247" t="s">
        <v>244</v>
      </c>
      <c r="B242" s="248">
        <f>B243-B236-B237-B238-B239-B240-B241</f>
        <v>1321</v>
      </c>
      <c r="C242" s="248">
        <f t="shared" ref="C242:AI242" si="946">C243-C236-C237-C238-C239-C240-C241</f>
        <v>1660</v>
      </c>
      <c r="D242" s="248">
        <f t="shared" si="946"/>
        <v>-320</v>
      </c>
      <c r="E242" s="248">
        <f t="shared" si="946"/>
        <v>1060</v>
      </c>
      <c r="F242" s="248">
        <f t="shared" si="946"/>
        <v>640</v>
      </c>
      <c r="G242" s="248">
        <f t="shared" si="946"/>
        <v>415</v>
      </c>
      <c r="H242" s="250">
        <f t="shared" si="946"/>
        <v>558</v>
      </c>
      <c r="I242" s="250">
        <f t="shared" si="946"/>
        <v>470</v>
      </c>
      <c r="J242" s="250">
        <f t="shared" si="946"/>
        <v>-26</v>
      </c>
      <c r="K242" s="250">
        <f t="shared" si="946"/>
        <v>-751</v>
      </c>
      <c r="L242" s="251">
        <f t="shared" si="946"/>
        <v>586</v>
      </c>
      <c r="M242" s="250">
        <f t="shared" si="946"/>
        <v>-81</v>
      </c>
      <c r="N242" s="250">
        <f t="shared" si="946"/>
        <v>407</v>
      </c>
      <c r="O242" s="250">
        <f t="shared" si="946"/>
        <v>49</v>
      </c>
      <c r="P242" s="250">
        <f t="shared" si="946"/>
        <v>-151</v>
      </c>
      <c r="Q242" s="251">
        <f t="shared" si="946"/>
        <v>333</v>
      </c>
      <c r="R242" s="250">
        <f>R243-R236-R237-R238-R239-R240-R241</f>
        <v>320</v>
      </c>
      <c r="S242" s="252">
        <f>S243-S236-S237-S238-S239-S240-S241</f>
        <v>165</v>
      </c>
      <c r="T242" s="250">
        <f>T243-T236-T237-T238-T239-T240-T241</f>
        <v>375</v>
      </c>
      <c r="U242" s="250">
        <f>U243-U236-U237-U238-U239-U240-U241</f>
        <v>-1703</v>
      </c>
      <c r="V242" s="248">
        <f>V243-V236-V237-V238-V239-V240-V241</f>
        <v>638.02000000000044</v>
      </c>
      <c r="W242" s="250">
        <f t="shared" si="946"/>
        <v>378</v>
      </c>
      <c r="X242" s="252">
        <f t="shared" si="946"/>
        <v>306</v>
      </c>
      <c r="Y242" s="250">
        <f t="shared" si="946"/>
        <v>137</v>
      </c>
      <c r="Z242" s="250">
        <f t="shared" si="946"/>
        <v>-518</v>
      </c>
      <c r="AA242" s="248">
        <f t="shared" si="946"/>
        <v>303</v>
      </c>
      <c r="AB242" s="250">
        <f t="shared" si="946"/>
        <v>443</v>
      </c>
      <c r="AC242" s="252">
        <f t="shared" si="946"/>
        <v>-347</v>
      </c>
      <c r="AD242" s="250">
        <f>AD243-AD236-AD237-AD238-AD239-AD240-AD241</f>
        <v>-36</v>
      </c>
      <c r="AE242" s="250">
        <f>AE243-AE236-AE237-AE238-AE239-AE240-AE241</f>
        <v>921.75</v>
      </c>
      <c r="AF242" s="248">
        <f>AF243-AF236-AF237-AF238-AF239-AF240-AF241</f>
        <v>980.75</v>
      </c>
      <c r="AG242" s="250">
        <f t="shared" si="946"/>
        <v>-473.6</v>
      </c>
      <c r="AH242" s="252">
        <f t="shared" si="946"/>
        <v>-85</v>
      </c>
      <c r="AI242" s="252">
        <f t="shared" si="946"/>
        <v>90</v>
      </c>
      <c r="AJ242" s="250">
        <f>AJ243-AJ236-AJ237-AJ238-AJ239-AJ240-AJ241</f>
        <v>-976</v>
      </c>
      <c r="AK242" s="248">
        <f t="shared" ref="AK242:AP242" si="947">AK243-AK236-AK237-AK238-AK239-AK240-AK241</f>
        <v>-1386</v>
      </c>
      <c r="AL242" s="250">
        <f>AL243-AL236-AL237-AL238-AL239-AL240-AL241</f>
        <v>516</v>
      </c>
      <c r="AM242" s="250">
        <f t="shared" si="947"/>
        <v>-278</v>
      </c>
      <c r="AN242" s="250">
        <f t="shared" si="947"/>
        <v>13</v>
      </c>
      <c r="AO242" s="250">
        <f t="shared" si="947"/>
        <v>515</v>
      </c>
      <c r="AP242" s="248">
        <f t="shared" si="947"/>
        <v>765.51000000000022</v>
      </c>
      <c r="AQ242" s="250">
        <f>AQ243-AQ236-AQ237-AQ238-AQ239-AQ240-AQ241</f>
        <v>562</v>
      </c>
      <c r="AR242" s="804">
        <f>AR243-AR236-AR237-AR238-AR239-AR240-AR241</f>
        <v>-8</v>
      </c>
      <c r="AS242" s="804">
        <f>AS243-AS236-AS237-AS238-AS239-AS240-AS241</f>
        <v>45</v>
      </c>
      <c r="AT242" s="804">
        <f>AT243-AT236-AT237-AT238-AT239-AT240-AT241</f>
        <v>-224</v>
      </c>
      <c r="AU242" s="248">
        <f t="shared" si="934"/>
        <v>375</v>
      </c>
      <c r="AV242" s="804">
        <f t="shared" ref="AV242:BE242" si="948">AV243-AV236-AV237-AV238-AV239-AV240-AV241</f>
        <v>-497</v>
      </c>
      <c r="AW242" s="804">
        <f t="shared" si="948"/>
        <v>-249</v>
      </c>
      <c r="AX242" s="804">
        <f t="shared" si="948"/>
        <v>99</v>
      </c>
      <c r="AY242" s="968">
        <f t="shared" si="948"/>
        <v>356</v>
      </c>
      <c r="AZ242" s="967">
        <f t="shared" si="948"/>
        <v>-291</v>
      </c>
      <c r="BA242" s="248">
        <f t="shared" si="948"/>
        <v>765.51000000000022</v>
      </c>
      <c r="BB242" s="250">
        <f t="shared" si="948"/>
        <v>562</v>
      </c>
      <c r="BC242" s="804">
        <f t="shared" si="948"/>
        <v>-8</v>
      </c>
      <c r="BD242" s="804">
        <f t="shared" si="948"/>
        <v>45</v>
      </c>
      <c r="BE242" s="804">
        <f t="shared" si="948"/>
        <v>-224</v>
      </c>
      <c r="BF242" s="248">
        <f t="shared" si="945"/>
        <v>375</v>
      </c>
      <c r="BG242" s="804">
        <f t="shared" ref="BG242:BM242" si="949">BG243-BG236-BG237-BG238-BG239-BG240-BG241</f>
        <v>-497</v>
      </c>
      <c r="BH242" s="804">
        <f t="shared" si="949"/>
        <v>-249</v>
      </c>
      <c r="BI242" s="804">
        <f t="shared" si="949"/>
        <v>99</v>
      </c>
      <c r="BJ242" s="968">
        <f t="shared" si="949"/>
        <v>356</v>
      </c>
      <c r="BK242" s="967">
        <f t="shared" si="949"/>
        <v>-291.48999999999978</v>
      </c>
      <c r="BL242" s="804">
        <f t="shared" si="949"/>
        <v>183</v>
      </c>
      <c r="BM242" s="804">
        <f t="shared" si="949"/>
        <v>-63</v>
      </c>
      <c r="BN242" s="804"/>
      <c r="BO242" s="968"/>
      <c r="BP242" s="967"/>
      <c r="BQ242" s="248">
        <f t="shared" ref="BQ242:CE242" si="950">BQ243-BQ236-BQ237-BQ238-BQ239-BQ240-BQ241</f>
        <v>132.51000000000022</v>
      </c>
      <c r="BR242" s="804">
        <f t="shared" si="950"/>
        <v>-497</v>
      </c>
      <c r="BS242" s="804">
        <f t="shared" si="950"/>
        <v>-249</v>
      </c>
      <c r="BT242" s="804">
        <f t="shared" si="950"/>
        <v>99</v>
      </c>
      <c r="BU242" s="968">
        <f t="shared" si="950"/>
        <v>356</v>
      </c>
      <c r="BV242" s="967">
        <f t="shared" si="950"/>
        <v>-291.48999999999978</v>
      </c>
      <c r="BW242" s="804">
        <f t="shared" si="950"/>
        <v>79</v>
      </c>
      <c r="BX242" s="804">
        <f t="shared" si="950"/>
        <v>-63</v>
      </c>
      <c r="BY242" s="804">
        <f t="shared" si="950"/>
        <v>-1669</v>
      </c>
      <c r="BZ242" s="968">
        <f t="shared" si="950"/>
        <v>-700</v>
      </c>
      <c r="CA242" s="967">
        <f t="shared" si="950"/>
        <v>-2353</v>
      </c>
      <c r="CB242" s="804">
        <f t="shared" si="950"/>
        <v>229</v>
      </c>
      <c r="CC242" s="804">
        <f t="shared" si="950"/>
        <v>-91</v>
      </c>
      <c r="CD242" s="804">
        <f t="shared" si="950"/>
        <v>157</v>
      </c>
      <c r="CE242" s="968">
        <f t="shared" si="950"/>
        <v>-1794</v>
      </c>
      <c r="CF242" s="248">
        <f t="shared" si="940"/>
        <v>-1499</v>
      </c>
      <c r="CG242" s="804"/>
      <c r="CH242" s="804"/>
      <c r="CI242" s="804"/>
      <c r="CJ242" s="968"/>
      <c r="CK242" s="967">
        <f t="shared" ref="CK242" si="951">CK243-CK236-CK237-CK238-CK239-CK240-CK241</f>
        <v>-2239</v>
      </c>
      <c r="CL242" s="804"/>
      <c r="CM242" s="804"/>
      <c r="CN242" s="804"/>
      <c r="CO242" s="968"/>
      <c r="CP242" s="248">
        <f t="shared" ref="CP242" si="952">CP243-CP236-CP237-CP238-CP239-CP240-CP241</f>
        <v>-1478.4755000000005</v>
      </c>
      <c r="CQ242" s="853">
        <f>(CF268-CQ268)+(CF270-CQ270)+(CF272-CQ272)+(CF280-CQ280)+(CQ283-CF283)+(CQ285-CF285)+(CF273-CQ273)+(CQ288-CF288)+(CQ294-CF294)+(CF277+CQ277)</f>
        <v>1936.9938500497426</v>
      </c>
      <c r="CR242" s="804">
        <f t="shared" ref="CR242:CT242" si="953">(CQ268-CR268)+(CQ270-CR270)+(CQ272-CR272)+(CQ280-CR280)+(CR283-CQ283)+(CR285-CQ285)+(CQ273-CR273)+(CR288-CQ288)+(CR294-CQ294)+(CQ277+CR277)</f>
        <v>296.85360757737749</v>
      </c>
      <c r="CS242" s="804">
        <f t="shared" si="953"/>
        <v>-706.86109884661187</v>
      </c>
      <c r="CT242" s="968">
        <f t="shared" si="953"/>
        <v>-1529.3163449072194</v>
      </c>
      <c r="CU242" s="248">
        <f t="shared" si="941"/>
        <v>-2.3299861267112192</v>
      </c>
      <c r="CV242" s="250"/>
      <c r="CW242" s="250"/>
      <c r="CX242" s="250"/>
      <c r="CY242" s="249"/>
      <c r="CZ242" s="248">
        <f>(CU268-CZ268)+(CU270-CZ270)+(CU272-CZ272)+(CU280-CZ280)+(CZ283-CU283)+(CZ285-CU285)+(CU273-CZ273)+(CZ288-CU288)+(CZ294-CU294)+(CU277+CZ277)</f>
        <v>-288.29998886775525</v>
      </c>
      <c r="DA242" s="250"/>
      <c r="DB242" s="250"/>
      <c r="DC242" s="250"/>
      <c r="DD242" s="249"/>
      <c r="DE242" s="248">
        <f>(CZ268-DE268)+(CZ270-DE270)+(CZ272-DE272)+(CZ280-DE280)+(DE283-CZ283)+(DE285-CZ285)+(CZ273-DE273)+(DE288-CZ288)+(DE294-CZ294)+(CZ277+DE277)</f>
        <v>-140.90312874941105</v>
      </c>
      <c r="DF242" s="250"/>
      <c r="DG242" s="250"/>
      <c r="DH242" s="250"/>
      <c r="DI242" s="249"/>
      <c r="DJ242" s="248">
        <f>(DE268-DJ268)+(DE270-DJ270)+(DE272-DJ272)+(DE280-DJ280)+(DJ283-DE283)+(DJ285-DE285)+(DE273-DJ273)+(DJ288-DE288)+(DJ294-DE294)+(DE277+DJ277)</f>
        <v>-103.33822586870724</v>
      </c>
      <c r="DK242" s="212"/>
      <c r="DL242" s="1286"/>
      <c r="DM242" s="810"/>
      <c r="DN242" s="810"/>
      <c r="DO242" s="810"/>
      <c r="DP242" s="1108"/>
      <c r="DQ242" s="1108"/>
      <c r="DR242" s="1108"/>
      <c r="DS242" s="1153"/>
      <c r="DT242" s="1153"/>
      <c r="DU242" s="1153"/>
      <c r="DV242" s="1153"/>
      <c r="DW242" s="1153"/>
      <c r="DX242" s="810"/>
      <c r="DY242" s="228"/>
      <c r="DZ242" s="216"/>
      <c r="EA242" s="216"/>
      <c r="EB242"/>
      <c r="EC242"/>
      <c r="ED242"/>
      <c r="EE242"/>
      <c r="EF242"/>
      <c r="EG242"/>
    </row>
    <row r="243" spans="1:137" s="224" customFormat="1">
      <c r="A243" s="177" t="s">
        <v>220</v>
      </c>
      <c r="B243" s="198">
        <v>1825</v>
      </c>
      <c r="C243" s="198">
        <v>2288</v>
      </c>
      <c r="D243" s="198">
        <v>1809</v>
      </c>
      <c r="E243" s="198">
        <v>2924</v>
      </c>
      <c r="F243" s="198">
        <v>3194</v>
      </c>
      <c r="G243" s="198">
        <v>3765</v>
      </c>
      <c r="H243" s="177">
        <v>1482</v>
      </c>
      <c r="I243" s="177">
        <v>1404</v>
      </c>
      <c r="J243" s="177">
        <v>935</v>
      </c>
      <c r="K243" s="177">
        <v>417</v>
      </c>
      <c r="L243" s="198">
        <v>4238</v>
      </c>
      <c r="M243" s="177">
        <v>880</v>
      </c>
      <c r="N243" s="177">
        <v>1488</v>
      </c>
      <c r="O243" s="177">
        <v>1038</v>
      </c>
      <c r="P243" s="177">
        <v>1015</v>
      </c>
      <c r="Q243" s="198">
        <v>4421</v>
      </c>
      <c r="R243" s="177">
        <v>1218</v>
      </c>
      <c r="S243" s="177">
        <v>1136</v>
      </c>
      <c r="T243" s="177">
        <v>1424</v>
      </c>
      <c r="U243" s="177">
        <v>-605</v>
      </c>
      <c r="V243" s="198">
        <v>3173</v>
      </c>
      <c r="W243" s="177">
        <v>1649</v>
      </c>
      <c r="X243" s="177">
        <v>1225</v>
      </c>
      <c r="Y243" s="177">
        <f>3387-W243-X243</f>
        <v>513</v>
      </c>
      <c r="Z243" s="177">
        <v>414</v>
      </c>
      <c r="AA243" s="198">
        <v>3801</v>
      </c>
      <c r="AB243" s="177">
        <v>1719</v>
      </c>
      <c r="AC243" s="177">
        <f>2613-AB243</f>
        <v>894</v>
      </c>
      <c r="AD243" s="177">
        <f>3164-SUM(AB243:AC243)</f>
        <v>551</v>
      </c>
      <c r="AE243" s="177">
        <f>AF243-SUM(AB243:AD243)</f>
        <v>1089</v>
      </c>
      <c r="AF243" s="198">
        <v>4253</v>
      </c>
      <c r="AG243" s="177">
        <v>458</v>
      </c>
      <c r="AH243" s="177">
        <v>845</v>
      </c>
      <c r="AI243" s="177">
        <v>1573</v>
      </c>
      <c r="AJ243" s="177">
        <v>-1315</v>
      </c>
      <c r="AK243" s="198">
        <v>1561</v>
      </c>
      <c r="AL243" s="177">
        <v>2085</v>
      </c>
      <c r="AM243" s="177">
        <v>623</v>
      </c>
      <c r="AN243" s="177">
        <f>3608-SUM(AL243:AM243)</f>
        <v>900</v>
      </c>
      <c r="AO243" s="177">
        <f>AP243-SUM(AL243:AN243)</f>
        <v>938</v>
      </c>
      <c r="AP243" s="198">
        <v>4546</v>
      </c>
      <c r="AQ243" s="739">
        <v>2100</v>
      </c>
      <c r="AR243" s="177">
        <f>3077-AQ243</f>
        <v>977</v>
      </c>
      <c r="AS243" s="177">
        <f>4067-SUM(AQ243:AR243)</f>
        <v>990</v>
      </c>
      <c r="AT243" s="856">
        <f>3866-AQ243-AR243-AS243</f>
        <v>-201</v>
      </c>
      <c r="AU243" s="198">
        <f>AU236+AU237+AU238+AU239+AU240+AU241+AU242</f>
        <v>3866</v>
      </c>
      <c r="AV243" s="739">
        <v>957</v>
      </c>
      <c r="AW243" s="744">
        <f>2220-AV243</f>
        <v>1263</v>
      </c>
      <c r="AX243" s="177">
        <f>3737-SUM(AV243:AW243)</f>
        <v>1517</v>
      </c>
      <c r="AY243" s="856">
        <f t="shared" si="935"/>
        <v>1364</v>
      </c>
      <c r="AZ243" s="198">
        <v>5101</v>
      </c>
      <c r="BA243" s="198">
        <v>4546</v>
      </c>
      <c r="BB243" s="739">
        <v>2100</v>
      </c>
      <c r="BC243" s="177">
        <f>3077-BB243</f>
        <v>977</v>
      </c>
      <c r="BD243" s="177">
        <f>4067-SUM(BB243:BC243)</f>
        <v>990</v>
      </c>
      <c r="BE243" s="856">
        <f>3866-BB243-BC243-BD243</f>
        <v>-201</v>
      </c>
      <c r="BF243" s="198">
        <f>BF236+BF237+BF238+BF239+BF240+BF241+BF242</f>
        <v>3866.49</v>
      </c>
      <c r="BG243" s="739">
        <v>957</v>
      </c>
      <c r="BH243" s="744">
        <f>2220-BG243</f>
        <v>1263</v>
      </c>
      <c r="BI243" s="177">
        <f>3737-SUM(BG243:BH243)</f>
        <v>1517</v>
      </c>
      <c r="BJ243" s="856">
        <f t="shared" ref="BJ243:BJ244" si="954">+BK243-SUM(BG243:BI243)</f>
        <v>1364</v>
      </c>
      <c r="BK243" s="198">
        <v>5101</v>
      </c>
      <c r="BL243" s="739">
        <v>1563</v>
      </c>
      <c r="BM243" s="744">
        <f>3140-BL243</f>
        <v>1577</v>
      </c>
      <c r="BN243" s="177"/>
      <c r="BO243" s="856"/>
      <c r="BP243" s="198"/>
      <c r="BQ243" s="198">
        <v>4546</v>
      </c>
      <c r="BR243" s="739">
        <v>957</v>
      </c>
      <c r="BS243" s="744">
        <f>2220-BR243</f>
        <v>1263</v>
      </c>
      <c r="BT243" s="177">
        <f>3737-SUM(BR243:BS243)</f>
        <v>1517</v>
      </c>
      <c r="BU243" s="856">
        <f t="shared" ref="BU243:BU244" si="955">+BV243-SUM(BR243:BT243)</f>
        <v>1364</v>
      </c>
      <c r="BV243" s="198">
        <v>5101</v>
      </c>
      <c r="BW243" s="739">
        <v>1563</v>
      </c>
      <c r="BX243" s="744">
        <f>3140-BW243</f>
        <v>1577</v>
      </c>
      <c r="BY243" s="177">
        <f>4460-SUM(BW243:BX243)</f>
        <v>1320</v>
      </c>
      <c r="BZ243" s="856">
        <f t="shared" ref="BZ243:BZ244" si="956">+CA243-SUM(BW243:BY243)</f>
        <v>729</v>
      </c>
      <c r="CA243" s="198">
        <v>5189</v>
      </c>
      <c r="CB243" s="739">
        <v>1666</v>
      </c>
      <c r="CC243" s="744">
        <f>3210-CB243</f>
        <v>1544</v>
      </c>
      <c r="CD243" s="177">
        <f>4964-CC243-CB243</f>
        <v>1754</v>
      </c>
      <c r="CE243" s="856">
        <f t="shared" ref="CE243:CE244" si="957">+CF243-SUM(CB243:CD243)</f>
        <v>1512</v>
      </c>
      <c r="CF243" s="198">
        <v>6476</v>
      </c>
      <c r="CG243" s="739"/>
      <c r="CH243" s="744"/>
      <c r="CI243" s="177"/>
      <c r="CJ243" s="856"/>
      <c r="CK243" s="198">
        <v>5189</v>
      </c>
      <c r="CL243" s="739"/>
      <c r="CM243" s="744"/>
      <c r="CN243" s="177"/>
      <c r="CO243" s="856"/>
      <c r="CP243" s="198">
        <v>6476</v>
      </c>
      <c r="CQ243" s="739">
        <f t="shared" ref="CQ243:CT243" si="958">CQ236+CQ237+CQ238+CQ239+CQ240+CQ241+CQ242</f>
        <v>2544.4242208564615</v>
      </c>
      <c r="CR243" s="744">
        <f t="shared" si="958"/>
        <v>1059.510644758632</v>
      </c>
      <c r="CS243" s="744">
        <f t="shared" si="958"/>
        <v>-4.4563952908217743</v>
      </c>
      <c r="CT243" s="856">
        <f t="shared" si="958"/>
        <v>-564.28807874188033</v>
      </c>
      <c r="CU243" s="198">
        <f>CU236+CU237+CU238+CU239+CU240+CU241+CU242</f>
        <v>3035.1903915823905</v>
      </c>
      <c r="CV243" s="177"/>
      <c r="CW243" s="177"/>
      <c r="CX243" s="177"/>
      <c r="CY243" s="199"/>
      <c r="CZ243" s="198">
        <f>CZ236+CZ237+CZ238+CZ239+CZ240+CZ241+CZ242</f>
        <v>6980.0783620365637</v>
      </c>
      <c r="DA243" s="177"/>
      <c r="DB243" s="177"/>
      <c r="DC243" s="177"/>
      <c r="DD243" s="199"/>
      <c r="DE243" s="198">
        <f>DE236+DE237+DE238+DE239+DE240+DE241+DE242</f>
        <v>7787.4045494406892</v>
      </c>
      <c r="DF243" s="177"/>
      <c r="DG243" s="177"/>
      <c r="DH243" s="177"/>
      <c r="DI243" s="199"/>
      <c r="DJ243" s="198">
        <f>DJ236+DJ237+DJ238+DJ239+DJ240+DJ241+DJ242</f>
        <v>7578.260968759012</v>
      </c>
      <c r="DK243" s="212"/>
      <c r="DL243" s="1286"/>
      <c r="DM243" s="809" t="s">
        <v>401</v>
      </c>
      <c r="DN243" s="810"/>
      <c r="DO243" s="810"/>
      <c r="DP243" s="1108"/>
      <c r="DQ243" s="1108"/>
      <c r="DR243" s="809"/>
      <c r="DS243" s="1153"/>
      <c r="DT243" s="1153"/>
      <c r="DU243" s="1153"/>
      <c r="DV243" s="1153"/>
      <c r="DW243" s="1153"/>
      <c r="DX243" s="810"/>
      <c r="DY243" s="228"/>
      <c r="DZ243" s="216"/>
      <c r="EA243" s="216"/>
      <c r="EB243"/>
      <c r="EC243"/>
      <c r="ED243"/>
      <c r="EE243"/>
      <c r="EF243"/>
      <c r="EG243"/>
    </row>
    <row r="244" spans="1:137" s="224" customFormat="1">
      <c r="A244" s="187" t="s">
        <v>248</v>
      </c>
      <c r="B244" s="201">
        <v>-619</v>
      </c>
      <c r="C244" s="201">
        <v>-662</v>
      </c>
      <c r="D244" s="201">
        <v>-687</v>
      </c>
      <c r="E244" s="201">
        <v>-769</v>
      </c>
      <c r="F244" s="201">
        <v>-865</v>
      </c>
      <c r="G244" s="201">
        <v>-893</v>
      </c>
      <c r="H244" s="203">
        <v>-84</v>
      </c>
      <c r="I244" s="203">
        <f>-254-H244</f>
        <v>-170</v>
      </c>
      <c r="J244" s="203">
        <f>-480-SUM(H244:I244)</f>
        <v>-226</v>
      </c>
      <c r="K244" s="196">
        <f>L244-SUM(H244:J244)</f>
        <v>-460</v>
      </c>
      <c r="L244" s="201">
        <v>-940</v>
      </c>
      <c r="M244" s="203">
        <v>-104</v>
      </c>
      <c r="N244" s="203">
        <f>-274-M244</f>
        <v>-170</v>
      </c>
      <c r="O244" s="203">
        <f>-503-SUM(M244:N244)</f>
        <v>-229</v>
      </c>
      <c r="P244" s="196">
        <f>Q244-SUM(M244:O244)</f>
        <v>-423</v>
      </c>
      <c r="Q244" s="201">
        <v>-926</v>
      </c>
      <c r="R244" s="203">
        <v>-132</v>
      </c>
      <c r="S244" s="203">
        <f>-299-R244</f>
        <v>-167</v>
      </c>
      <c r="T244" s="123">
        <f>-481-SUM(R244:S244)</f>
        <v>-182</v>
      </c>
      <c r="U244" s="196">
        <f>V244-SUM(R244:T244)</f>
        <v>-371</v>
      </c>
      <c r="V244" s="204">
        <v>-852</v>
      </c>
      <c r="W244" s="203">
        <v>-92</v>
      </c>
      <c r="X244" s="203">
        <f>-223-W244</f>
        <v>-131</v>
      </c>
      <c r="Y244" s="123">
        <f>-394-W244-X244</f>
        <v>-171</v>
      </c>
      <c r="Z244" s="196">
        <f>-820-SUM(W244:Y244)</f>
        <v>-426</v>
      </c>
      <c r="AA244" s="204">
        <v>-1074</v>
      </c>
      <c r="AB244" s="203">
        <v>-130</v>
      </c>
      <c r="AC244" s="203">
        <v>-327</v>
      </c>
      <c r="AD244" s="123">
        <v>-112</v>
      </c>
      <c r="AE244" s="196">
        <f>AF244-SUM(AB244:AD244)</f>
        <v>-418</v>
      </c>
      <c r="AF244" s="122">
        <v>-987</v>
      </c>
      <c r="AG244" s="179">
        <v>-131</v>
      </c>
      <c r="AH244" s="203">
        <f>-306-AG244</f>
        <v>-175</v>
      </c>
      <c r="AI244" s="203">
        <f>-514-AH244-AG244</f>
        <v>-208</v>
      </c>
      <c r="AJ244" s="179">
        <f>+AK244-SUM(AG244:AI244)</f>
        <v>-428</v>
      </c>
      <c r="AK244" s="204">
        <v>-942</v>
      </c>
      <c r="AL244" s="123">
        <v>-106</v>
      </c>
      <c r="AM244" s="123">
        <f>-282-AL244</f>
        <v>-176</v>
      </c>
      <c r="AN244" s="169">
        <f>-491-SUM(AL244:AM244)</f>
        <v>-209</v>
      </c>
      <c r="AO244" s="181">
        <f>AP244-SUM(AL244:AN244)</f>
        <v>-345</v>
      </c>
      <c r="AP244" s="119">
        <v>-836</v>
      </c>
      <c r="AQ244" s="740">
        <v>-103</v>
      </c>
      <c r="AR244" s="802">
        <f>-253-AQ244</f>
        <v>-150</v>
      </c>
      <c r="AS244" s="802">
        <f>-456-SUM(AQ244:AR244)</f>
        <v>-203</v>
      </c>
      <c r="AT244" s="855">
        <f>-845-AQ244-AR244-AS244</f>
        <v>-389</v>
      </c>
      <c r="AU244" s="746">
        <f>SUM(AQ244:AT244)</f>
        <v>-845</v>
      </c>
      <c r="AV244" s="850">
        <v>-118</v>
      </c>
      <c r="AW244" s="803">
        <f>-309-AV244</f>
        <v>-191</v>
      </c>
      <c r="AX244" s="803">
        <f>-500-SUM(AV244:AW244)</f>
        <v>-191</v>
      </c>
      <c r="AY244" s="969">
        <f t="shared" si="935"/>
        <v>-439</v>
      </c>
      <c r="AZ244" s="746">
        <v>-939</v>
      </c>
      <c r="BA244" s="119">
        <v>-836</v>
      </c>
      <c r="BB244" s="740">
        <v>-103</v>
      </c>
      <c r="BC244" s="802">
        <f>-253-BB244</f>
        <v>-150</v>
      </c>
      <c r="BD244" s="802">
        <f>-456-SUM(BB244:BC244)</f>
        <v>-203</v>
      </c>
      <c r="BE244" s="855">
        <f>-845-BB244-BC244-BD244</f>
        <v>-389</v>
      </c>
      <c r="BF244" s="746">
        <f>SUM(BB244:BE244)</f>
        <v>-845</v>
      </c>
      <c r="BG244" s="850">
        <v>-118</v>
      </c>
      <c r="BH244" s="803">
        <f>-309-BG244</f>
        <v>-191</v>
      </c>
      <c r="BI244" s="803">
        <f>-500-SUM(BG244:BH244)</f>
        <v>-191</v>
      </c>
      <c r="BJ244" s="969">
        <f t="shared" si="954"/>
        <v>-439</v>
      </c>
      <c r="BK244" s="746">
        <v>-939</v>
      </c>
      <c r="BL244" s="850">
        <v>-151</v>
      </c>
      <c r="BM244" s="803">
        <f>-386-BL244</f>
        <v>-235</v>
      </c>
      <c r="BN244" s="803"/>
      <c r="BO244" s="969"/>
      <c r="BP244" s="966"/>
      <c r="BQ244" s="119">
        <v>-836</v>
      </c>
      <c r="BR244" s="850">
        <v>-118</v>
      </c>
      <c r="BS244" s="803">
        <f>-309-BR244</f>
        <v>-191</v>
      </c>
      <c r="BT244" s="803">
        <f>-500-SUM(BR244:BS244)</f>
        <v>-191</v>
      </c>
      <c r="BU244" s="969">
        <f t="shared" si="955"/>
        <v>-439</v>
      </c>
      <c r="BV244" s="746">
        <v>-939</v>
      </c>
      <c r="BW244" s="850">
        <v>-151</v>
      </c>
      <c r="BX244" s="803">
        <f>-386-BW244</f>
        <v>-235</v>
      </c>
      <c r="BY244" s="803">
        <f>-627-SUM(BW244:BX244)</f>
        <v>-241</v>
      </c>
      <c r="BZ244" s="969">
        <f t="shared" si="956"/>
        <v>-436</v>
      </c>
      <c r="CA244" s="966">
        <v>-1063</v>
      </c>
      <c r="CB244" s="850">
        <v>-170</v>
      </c>
      <c r="CC244" s="803">
        <f>-448-CB244</f>
        <v>-278</v>
      </c>
      <c r="CD244" s="803">
        <f>-670-CC244-CB244</f>
        <v>-222</v>
      </c>
      <c r="CE244" s="969">
        <f t="shared" si="957"/>
        <v>-507</v>
      </c>
      <c r="CF244" s="966">
        <v>-1177</v>
      </c>
      <c r="CG244" s="850"/>
      <c r="CH244" s="803"/>
      <c r="CI244" s="803"/>
      <c r="CJ244" s="969"/>
      <c r="CK244" s="966">
        <v>-1063</v>
      </c>
      <c r="CL244" s="850"/>
      <c r="CM244" s="803"/>
      <c r="CN244" s="803"/>
      <c r="CO244" s="969"/>
      <c r="CP244" s="966">
        <v>-1177</v>
      </c>
      <c r="CQ244" s="802">
        <f>CU244/4</f>
        <v>-325</v>
      </c>
      <c r="CR244" s="802">
        <f>(CU244-CQ244)/3</f>
        <v>-325</v>
      </c>
      <c r="CS244" s="802">
        <f>(CU244-CR244-CQ244)/2</f>
        <v>-325</v>
      </c>
      <c r="CT244" s="969">
        <f>CU244-CS244-CR244-CQ244</f>
        <v>-325</v>
      </c>
      <c r="CU244" s="146">
        <v>-1300</v>
      </c>
      <c r="CV244" s="148"/>
      <c r="CW244" s="148"/>
      <c r="CX244" s="148"/>
      <c r="CY244" s="147"/>
      <c r="CZ244" s="146">
        <v>-1300</v>
      </c>
      <c r="DA244" s="148"/>
      <c r="DB244" s="148"/>
      <c r="DC244" s="148"/>
      <c r="DD244" s="147"/>
      <c r="DE244" s="146">
        <v>-1300</v>
      </c>
      <c r="DF244" s="148"/>
      <c r="DG244" s="148"/>
      <c r="DH244" s="148"/>
      <c r="DI244" s="147"/>
      <c r="DJ244" s="146">
        <v>-1300</v>
      </c>
      <c r="DK244" s="212"/>
      <c r="DL244" s="1286"/>
      <c r="DM244" s="810"/>
      <c r="DN244" s="810"/>
      <c r="DO244" s="810"/>
      <c r="DP244" s="1108"/>
      <c r="DQ244" s="1108"/>
      <c r="DR244" s="809"/>
      <c r="DS244" s="1278"/>
      <c r="DT244" s="1278"/>
      <c r="DU244" s="1278"/>
      <c r="DV244" s="1278"/>
      <c r="DW244" s="1278"/>
      <c r="DX244" s="810"/>
      <c r="DY244" s="228"/>
      <c r="DZ244" s="216"/>
      <c r="EA244" s="216"/>
      <c r="EB244"/>
      <c r="EC244"/>
      <c r="ED244"/>
      <c r="EE244"/>
      <c r="EF244"/>
      <c r="EG244"/>
    </row>
    <row r="245" spans="1:137" s="544" customFormat="1">
      <c r="A245" s="639" t="s">
        <v>246</v>
      </c>
      <c r="B245" s="269">
        <f t="shared" ref="B245:AG245" si="959">-B244/B173</f>
        <v>2.5826101468624834E-2</v>
      </c>
      <c r="C245" s="269">
        <f t="shared" si="959"/>
        <v>2.4922822076650853E-2</v>
      </c>
      <c r="D245" s="269">
        <f t="shared" si="959"/>
        <v>2.159834004024145E-2</v>
      </c>
      <c r="E245" s="269">
        <f t="shared" si="959"/>
        <v>2.1646118335866688E-2</v>
      </c>
      <c r="F245" s="269">
        <f t="shared" si="959"/>
        <v>2.3244565071346035E-2</v>
      </c>
      <c r="G245" s="269">
        <f t="shared" si="959"/>
        <v>2.2539121655729428E-2</v>
      </c>
      <c r="H245" s="586">
        <f t="shared" si="959"/>
        <v>9.0566037735849061E-3</v>
      </c>
      <c r="I245" s="586">
        <f t="shared" si="959"/>
        <v>1.5960942634494414E-2</v>
      </c>
      <c r="J245" s="586">
        <f t="shared" si="959"/>
        <v>2.0369535826949076E-2</v>
      </c>
      <c r="K245" s="640">
        <f t="shared" si="959"/>
        <v>4.2431510008301816E-2</v>
      </c>
      <c r="L245" s="269">
        <f t="shared" si="959"/>
        <v>2.2454732215374324E-2</v>
      </c>
      <c r="M245" s="586">
        <f t="shared" si="959"/>
        <v>1.0417710107182209E-2</v>
      </c>
      <c r="N245" s="586">
        <f t="shared" si="959"/>
        <v>1.5399945647250658E-2</v>
      </c>
      <c r="O245" s="586">
        <f t="shared" si="959"/>
        <v>2.165075163089723E-2</v>
      </c>
      <c r="P245" s="640">
        <f t="shared" si="959"/>
        <v>3.7998562702120015E-2</v>
      </c>
      <c r="Q245" s="269">
        <f t="shared" si="959"/>
        <v>2.1670450024572324E-2</v>
      </c>
      <c r="R245" s="586">
        <f t="shared" si="959"/>
        <v>1.2725344644750796E-2</v>
      </c>
      <c r="S245" s="586">
        <f t="shared" si="959"/>
        <v>1.5083092485549133E-2</v>
      </c>
      <c r="T245" s="324">
        <f t="shared" si="959"/>
        <v>1.6903501439583912E-2</v>
      </c>
      <c r="U245" s="640">
        <f t="shared" si="959"/>
        <v>3.0402360075391297E-2</v>
      </c>
      <c r="V245" s="270">
        <f t="shared" si="959"/>
        <v>1.9182708544410672E-2</v>
      </c>
      <c r="W245" s="586">
        <f t="shared" si="959"/>
        <v>8.9000677179065495E-3</v>
      </c>
      <c r="X245" s="586">
        <f t="shared" si="959"/>
        <v>1.1613475177304964E-2</v>
      </c>
      <c r="Y245" s="324">
        <f t="shared" si="959"/>
        <v>1.507537688442211E-2</v>
      </c>
      <c r="Z245" s="640">
        <f t="shared" si="959"/>
        <v>3.3382963717576992E-2</v>
      </c>
      <c r="AA245" s="269">
        <f t="shared" si="959"/>
        <v>2.3490299862207738E-2</v>
      </c>
      <c r="AB245" s="586">
        <f t="shared" si="959"/>
        <v>1.2234142668925278E-2</v>
      </c>
      <c r="AC245" s="586">
        <f t="shared" si="959"/>
        <v>2.8328857316122325E-2</v>
      </c>
      <c r="AD245" s="324">
        <f t="shared" si="959"/>
        <v>9.2416866078059243E-3</v>
      </c>
      <c r="AE245" s="640">
        <f t="shared" si="959"/>
        <v>3.4231430677258208E-2</v>
      </c>
      <c r="AF245" s="534">
        <f t="shared" si="959"/>
        <v>2.1226262930385601E-2</v>
      </c>
      <c r="AG245" s="586">
        <f t="shared" si="959"/>
        <v>1.1600106260515363E-2</v>
      </c>
      <c r="AH245" s="586">
        <f t="shared" ref="AH245:BM245" si="960">-AH244/AH173</f>
        <v>1.4679976512037582E-2</v>
      </c>
      <c r="AI245" s="586">
        <f t="shared" si="960"/>
        <v>1.7524644030668127E-2</v>
      </c>
      <c r="AJ245" s="586">
        <f t="shared" si="960"/>
        <v>3.5374824365650051E-2</v>
      </c>
      <c r="AK245" s="270">
        <f t="shared" si="960"/>
        <v>1.9965240981730321E-2</v>
      </c>
      <c r="AL245" s="324">
        <f t="shared" si="960"/>
        <v>9.5754290876242099E-3</v>
      </c>
      <c r="AM245" s="324">
        <f t="shared" si="960"/>
        <v>1.5427769985974754E-2</v>
      </c>
      <c r="AN245" s="641">
        <f t="shared" si="960"/>
        <v>1.841896536529479E-2</v>
      </c>
      <c r="AO245" s="271">
        <f t="shared" si="960"/>
        <v>2.9914159368767883E-2</v>
      </c>
      <c r="AP245" s="534">
        <f t="shared" si="960"/>
        <v>1.8431147757837649E-2</v>
      </c>
      <c r="AQ245" s="641">
        <f t="shared" si="960"/>
        <v>9.671361502347417E-3</v>
      </c>
      <c r="AR245" s="805">
        <f t="shared" si="960"/>
        <v>1.3267291703520255E-2</v>
      </c>
      <c r="AS245" s="641">
        <f t="shared" si="960"/>
        <v>1.8265251034730971E-2</v>
      </c>
      <c r="AT245" s="857">
        <f t="shared" si="960"/>
        <v>3.1045490822027136E-2</v>
      </c>
      <c r="AU245" s="534">
        <f t="shared" si="960"/>
        <v>1.8530701754385964E-2</v>
      </c>
      <c r="AV245" s="851">
        <f t="shared" si="960"/>
        <v>1.1670457917119969E-2</v>
      </c>
      <c r="AW245" s="805">
        <f t="shared" si="960"/>
        <v>1.6404706690715452E-2</v>
      </c>
      <c r="AX245" s="641">
        <f t="shared" si="960"/>
        <v>1.6665212459645754E-2</v>
      </c>
      <c r="AY245" s="449">
        <f t="shared" si="960"/>
        <v>3.3986219710459085E-2</v>
      </c>
      <c r="AZ245" s="534">
        <f t="shared" si="960"/>
        <v>2.035463452700945E-2</v>
      </c>
      <c r="BA245" s="534">
        <f t="shared" si="960"/>
        <v>1.8431147757837649E-2</v>
      </c>
      <c r="BB245" s="641">
        <f t="shared" si="960"/>
        <v>9.671361502347417E-3</v>
      </c>
      <c r="BC245" s="805">
        <f t="shared" si="960"/>
        <v>1.3267291703520255E-2</v>
      </c>
      <c r="BD245" s="641">
        <f t="shared" si="960"/>
        <v>1.8265251034730971E-2</v>
      </c>
      <c r="BE245" s="857">
        <f t="shared" si="960"/>
        <v>3.1045490822027136E-2</v>
      </c>
      <c r="BF245" s="534">
        <f t="shared" si="960"/>
        <v>1.8530701754385964E-2</v>
      </c>
      <c r="BG245" s="851">
        <f t="shared" si="960"/>
        <v>1.1670457917119969E-2</v>
      </c>
      <c r="BH245" s="805">
        <f t="shared" si="960"/>
        <v>1.6404706690715452E-2</v>
      </c>
      <c r="BI245" s="641">
        <f t="shared" si="960"/>
        <v>1.6665212459645754E-2</v>
      </c>
      <c r="BJ245" s="449">
        <f t="shared" si="960"/>
        <v>3.3986219710459085E-2</v>
      </c>
      <c r="BK245" s="534">
        <f t="shared" si="960"/>
        <v>2.035463452700945E-2</v>
      </c>
      <c r="BL245" s="851">
        <f t="shared" si="960"/>
        <v>1.2903777132114169E-2</v>
      </c>
      <c r="BM245" s="805">
        <f t="shared" si="960"/>
        <v>1.8197305250116154E-2</v>
      </c>
      <c r="BN245" s="641"/>
      <c r="BO245" s="449"/>
      <c r="BP245" s="534"/>
      <c r="BQ245" s="534">
        <f t="shared" ref="BQ245:CU245" si="961">-BQ244/BQ173</f>
        <v>2.0928253141741352E-2</v>
      </c>
      <c r="BR245" s="851">
        <f t="shared" si="961"/>
        <v>1.3530558422199289E-2</v>
      </c>
      <c r="BS245" s="805">
        <f t="shared" si="961"/>
        <v>1.8661455788959454E-2</v>
      </c>
      <c r="BT245" s="641">
        <f t="shared" si="961"/>
        <v>1.8986083499005966E-2</v>
      </c>
      <c r="BU245" s="449">
        <f t="shared" si="961"/>
        <v>3.8107638888888892E-2</v>
      </c>
      <c r="BV245" s="534">
        <f t="shared" si="961"/>
        <v>2.3164594434576673E-2</v>
      </c>
      <c r="BW245" s="851">
        <f t="shared" si="961"/>
        <v>1.4564043209876544E-2</v>
      </c>
      <c r="BX245" s="805">
        <f t="shared" si="961"/>
        <v>2.0298868446056838E-2</v>
      </c>
      <c r="BY245" s="641">
        <f t="shared" si="961"/>
        <v>2.086399445935417E-2</v>
      </c>
      <c r="BZ245" s="449">
        <f t="shared" si="961"/>
        <v>3.1704479348458409E-2</v>
      </c>
      <c r="CA245" s="534">
        <f t="shared" si="961"/>
        <v>2.2498306806637319E-2</v>
      </c>
      <c r="CB245" s="851">
        <f t="shared" si="961"/>
        <v>1.5374875644388171E-2</v>
      </c>
      <c r="CC245" s="805">
        <f t="shared" si="961"/>
        <v>2.191564840362633E-2</v>
      </c>
      <c r="CD245" s="641">
        <f t="shared" si="961"/>
        <v>1.8243076670227627E-2</v>
      </c>
      <c r="CE245" s="449">
        <f t="shared" si="961"/>
        <v>3.3494087335667569E-2</v>
      </c>
      <c r="CF245" s="534">
        <f t="shared" si="961"/>
        <v>2.3056730919918507E-2</v>
      </c>
      <c r="CG245" s="851"/>
      <c r="CH245" s="805"/>
      <c r="CI245" s="641"/>
      <c r="CJ245" s="449"/>
      <c r="CK245" s="534">
        <f t="shared" si="961"/>
        <v>2.2464074387151312E-2</v>
      </c>
      <c r="CL245" s="851"/>
      <c r="CM245" s="805"/>
      <c r="CN245" s="641"/>
      <c r="CO245" s="449"/>
      <c r="CP245" s="534">
        <f t="shared" si="961"/>
        <v>2.3551304626220584E-2</v>
      </c>
      <c r="CQ245" s="851">
        <f t="shared" si="961"/>
        <v>2.9279279279279279E-2</v>
      </c>
      <c r="CR245" s="1174">
        <f t="shared" si="961"/>
        <v>2.5291828793774319E-2</v>
      </c>
      <c r="CS245" s="1174">
        <f t="shared" si="961"/>
        <v>2.663934426229508E-2</v>
      </c>
      <c r="CT245" s="1175">
        <f t="shared" si="961"/>
        <v>2.1452145214521452E-2</v>
      </c>
      <c r="CU245" s="534">
        <f t="shared" si="961"/>
        <v>2.5341130604288498E-2</v>
      </c>
      <c r="CV245" s="642"/>
      <c r="CW245" s="642"/>
      <c r="CX245" s="642"/>
      <c r="CY245" s="643"/>
      <c r="CZ245" s="534">
        <f>-CZ244/CZ173</f>
        <v>2.3835279881190299E-2</v>
      </c>
      <c r="DA245" s="642"/>
      <c r="DB245" s="642"/>
      <c r="DC245" s="642"/>
      <c r="DD245" s="643"/>
      <c r="DE245" s="534">
        <f>-DE244/DE173</f>
        <v>2.2767246758600809E-2</v>
      </c>
      <c r="DF245" s="642"/>
      <c r="DG245" s="642"/>
      <c r="DH245" s="642"/>
      <c r="DI245" s="643"/>
      <c r="DJ245" s="534">
        <f>-DJ244/DJ173</f>
        <v>2.2042856335095461E-2</v>
      </c>
      <c r="DK245" s="644"/>
      <c r="DL245" s="1287"/>
      <c r="DM245" s="809"/>
      <c r="DN245" s="830"/>
      <c r="DO245" s="830"/>
      <c r="DP245" s="1082"/>
      <c r="DQ245" s="1082"/>
      <c r="DR245" s="1082"/>
      <c r="DS245" s="1278"/>
      <c r="DT245" s="1278"/>
      <c r="DU245" s="1278"/>
      <c r="DV245" s="1278"/>
      <c r="DW245" s="1278"/>
      <c r="DX245" s="830"/>
      <c r="DY245" s="542"/>
      <c r="DZ245" s="543"/>
      <c r="EA245" s="543"/>
      <c r="EB245"/>
      <c r="EC245"/>
      <c r="ED245"/>
      <c r="EE245"/>
      <c r="EF245"/>
      <c r="EG245"/>
    </row>
    <row r="246" spans="1:137" s="544" customFormat="1">
      <c r="A246" s="639" t="s">
        <v>247</v>
      </c>
      <c r="B246" s="269"/>
      <c r="C246" s="269">
        <f>-C244/B276</f>
        <v>0.22133065864259446</v>
      </c>
      <c r="D246" s="269">
        <f>-D244/C276</f>
        <v>0.21086556169429096</v>
      </c>
      <c r="E246" s="269">
        <f>-E244/D276</f>
        <v>0.22040699340785325</v>
      </c>
      <c r="F246" s="269">
        <f>-F244/E276</f>
        <v>0.24034454015004167</v>
      </c>
      <c r="G246" s="269">
        <f>-G244/F276</f>
        <v>0.22757390417940876</v>
      </c>
      <c r="H246" s="586">
        <f>-H244/G276*4</f>
        <v>8.2840236686390539E-2</v>
      </c>
      <c r="I246" s="586">
        <f>-I244/H276*4</f>
        <v>0.17038336256577299</v>
      </c>
      <c r="J246" s="586">
        <f>-J244/I276*4</f>
        <v>0.2254364089775561</v>
      </c>
      <c r="K246" s="640">
        <f>-K244/J276*4</f>
        <v>0.4519774011299435</v>
      </c>
      <c r="L246" s="645">
        <f>-L244/G276</f>
        <v>0.23175542406311636</v>
      </c>
      <c r="M246" s="586">
        <f>-M244/L276*4</f>
        <v>9.6296296296296297E-2</v>
      </c>
      <c r="N246" s="586">
        <f>-N244/M276*4</f>
        <v>0.15969938938468764</v>
      </c>
      <c r="O246" s="586">
        <f>-O244/N276*4</f>
        <v>0.21522556390977443</v>
      </c>
      <c r="P246" s="640">
        <f>-P244/O276*4</f>
        <v>0.39403819282720076</v>
      </c>
      <c r="Q246" s="645">
        <f>-Q244/L276</f>
        <v>0.21435185185185185</v>
      </c>
      <c r="R246" s="586">
        <f>-R244/Q276*4</f>
        <v>0.11764705882352941</v>
      </c>
      <c r="S246" s="586">
        <f>-S244/R276*4</f>
        <v>0.15034886338059869</v>
      </c>
      <c r="T246" s="586">
        <f>-T244/S276*4</f>
        <v>0.16392704345868048</v>
      </c>
      <c r="U246" s="640">
        <f>-U244/T276*4</f>
        <v>0.33498871331828445</v>
      </c>
      <c r="V246" s="645">
        <f>-V244/Q276</f>
        <v>0.18983957219251338</v>
      </c>
      <c r="W246" s="586">
        <f>-W244/V276*4</f>
        <v>8.1415929203539822E-2</v>
      </c>
      <c r="X246" s="586">
        <f>-X244/W276*4</f>
        <v>0.11812443642921551</v>
      </c>
      <c r="Y246" s="586">
        <f>-Y244/X276*4</f>
        <v>0.15612873773111161</v>
      </c>
      <c r="Z246" s="640">
        <f>-Z244/Y276*4</f>
        <v>0.3919944789510007</v>
      </c>
      <c r="AA246" s="645">
        <f>-AA244/V276</f>
        <v>0.23761061946902653</v>
      </c>
      <c r="AB246" s="586">
        <f>-AB244/AA276*4</f>
        <v>0.11418533157663592</v>
      </c>
      <c r="AC246" s="586">
        <f>-AC244/AB276*4</f>
        <v>0.29320780094149296</v>
      </c>
      <c r="AD246" s="586">
        <f>-AD244/AC276*4</f>
        <v>0.10133453969690115</v>
      </c>
      <c r="AE246" s="640">
        <f>-AE244/AD276*4</f>
        <v>0.37759710930442636</v>
      </c>
      <c r="AF246" s="645">
        <f>-AF244/AA276</f>
        <v>0.21673254281949933</v>
      </c>
      <c r="AG246" s="586">
        <f>-AG244/AF276*4</f>
        <v>0.11364129256126654</v>
      </c>
      <c r="AH246" s="586">
        <f>-AH244/AG276*4</f>
        <v>0.1545253863134658</v>
      </c>
      <c r="AI246" s="586">
        <f>-AI244/AH276*4</f>
        <v>0.18509454949944382</v>
      </c>
      <c r="AJ246" s="640">
        <f>-AJ244/AI276*4</f>
        <v>0.38163174320107002</v>
      </c>
      <c r="AK246" s="645">
        <f>-AK244/AF276</f>
        <v>0.20429407937540664</v>
      </c>
      <c r="AL246" s="586">
        <f>-AL244/AK276*4</f>
        <v>9.0695187165775404E-2</v>
      </c>
      <c r="AM246" s="586">
        <f>-AM244/AL276*4</f>
        <v>0.15247996534546243</v>
      </c>
      <c r="AN246" s="586">
        <f>-AN244/AM276*4</f>
        <v>0.18197649107531563</v>
      </c>
      <c r="AO246" s="640">
        <f>-AO244/AN276*4</f>
        <v>0.30013049151805132</v>
      </c>
      <c r="AP246" s="645">
        <f>-AP244/AK276</f>
        <v>0.17882352941176471</v>
      </c>
      <c r="AQ246" s="570">
        <f>-AQ244/AP276*4</f>
        <v>8.7547811304717379E-2</v>
      </c>
      <c r="AR246" s="607">
        <f>-AR244/AQ276*4</f>
        <v>0.13009540329575023</v>
      </c>
      <c r="AS246" s="586">
        <f>-AS244/AR276*4</f>
        <v>0.17810923448124588</v>
      </c>
      <c r="AT246" s="857">
        <f>-AT244/AS276*4</f>
        <v>0.33899782135076251</v>
      </c>
      <c r="AU246" s="645">
        <f>-AU244/AP276</f>
        <v>0.17955801104972377</v>
      </c>
      <c r="AV246" s="852">
        <f>-AV244/AU276*4</f>
        <v>9.9263932702418511E-2</v>
      </c>
      <c r="AW246" s="607">
        <f>-AW244/AV276*4</f>
        <v>0.16415986248388484</v>
      </c>
      <c r="AX246" s="586">
        <f>-AX244/AW276*4</f>
        <v>0.1646551724137931</v>
      </c>
      <c r="AY246" s="640">
        <f>-AY244/AX276*4</f>
        <v>0.375454351079752</v>
      </c>
      <c r="AZ246" s="645">
        <f>-AZ244/AU276</f>
        <v>0.1974763406940063</v>
      </c>
      <c r="BA246" s="645"/>
      <c r="BB246" s="570">
        <f>-BB244/AT276*4</f>
        <v>8.6645636172450052E-2</v>
      </c>
      <c r="BC246" s="607">
        <f>-BC244/BB276*4</f>
        <v>0.13009540329575023</v>
      </c>
      <c r="BD246" s="586">
        <f>-BD244/BC276*4</f>
        <v>0.17810923448124588</v>
      </c>
      <c r="BE246" s="857">
        <f>-BE244/BD276*4</f>
        <v>0.33899782135076251</v>
      </c>
      <c r="BF246" s="645">
        <f>-BF244/AT276</f>
        <v>0.17770767613038907</v>
      </c>
      <c r="BG246" s="852">
        <f>-BG244/AY276*4</f>
        <v>8.6796616403089374E-2</v>
      </c>
      <c r="BH246" s="607">
        <f>-BH244/BG276*4</f>
        <v>0.16415986248388484</v>
      </c>
      <c r="BI246" s="586">
        <f>-BI244/BH276*4</f>
        <v>0.1646551724137931</v>
      </c>
      <c r="BJ246" s="640">
        <f>-BJ244/BI276*4</f>
        <v>0.375454351079752</v>
      </c>
      <c r="BK246" s="645">
        <f>-BK244/BF276</f>
        <v>0.19764260155756683</v>
      </c>
      <c r="BL246" s="852">
        <f>-BL244/BD276*4</f>
        <v>0.13159041394335513</v>
      </c>
      <c r="BM246" s="607">
        <f>-BM244/BL276*4</f>
        <v>0.17352778290566734</v>
      </c>
      <c r="BN246" s="586"/>
      <c r="BO246" s="640"/>
      <c r="BP246" s="645"/>
      <c r="BQ246" s="645"/>
      <c r="BR246" s="852">
        <f>-BR244/BM276*4</f>
        <v>8.6796616403089374E-2</v>
      </c>
      <c r="BS246" s="607" t="e">
        <f>-BS244/BR276*4</f>
        <v>#DIV/0!</v>
      </c>
      <c r="BT246" s="586" t="e">
        <f>-BT244/BS276*4</f>
        <v>#DIV/0!</v>
      </c>
      <c r="BU246" s="640" t="e">
        <f>-BU244/BT276*4</f>
        <v>#DIV/0!</v>
      </c>
      <c r="BV246" s="645"/>
      <c r="BW246" s="852">
        <f>-BW244/BV276*4</f>
        <v>0.11208016329560215</v>
      </c>
      <c r="BX246" s="607">
        <f>-BX244/BW276*4</f>
        <v>0.17352778290566734</v>
      </c>
      <c r="BY246" s="586">
        <f>-BY244/BX276*4</f>
        <v>0.17727105553512321</v>
      </c>
      <c r="BZ246" s="640">
        <f>-BZ244/BY276*4</f>
        <v>0.32482771465822313</v>
      </c>
      <c r="CA246" s="645">
        <f>-CA244/BV276</f>
        <v>0.19725366487288923</v>
      </c>
      <c r="CB246" s="852">
        <f>-CB244/CA276*4</f>
        <v>0.1225446026311047</v>
      </c>
      <c r="CC246" s="607">
        <f>-CC244/CB276*4</f>
        <v>0.20288268564130632</v>
      </c>
      <c r="CD246" s="586">
        <f>-CD244/CC276*4</f>
        <v>0.16052060737527116</v>
      </c>
      <c r="CE246" s="640">
        <f>-CE244/CD276*4</f>
        <v>0.36799129014697879</v>
      </c>
      <c r="CF246" s="645">
        <f>-CF244/CA276</f>
        <v>0.21211029014236799</v>
      </c>
      <c r="CG246" s="852"/>
      <c r="CH246" s="607"/>
      <c r="CI246" s="586"/>
      <c r="CJ246" s="640"/>
      <c r="CK246" s="645">
        <f>-CK244/BV276</f>
        <v>0.19725366487288923</v>
      </c>
      <c r="CL246" s="852"/>
      <c r="CM246" s="607"/>
      <c r="CN246" s="586"/>
      <c r="CO246" s="640"/>
      <c r="CP246" s="645">
        <f>-CP244/CK276</f>
        <v>0.21211029014236799</v>
      </c>
      <c r="CQ246" s="852">
        <f>-CQ244/CF276*4</f>
        <v>0.22510822510822512</v>
      </c>
      <c r="CR246" s="607">
        <f t="shared" ref="CR246:CT246" si="962">-CR244/CQ276*4</f>
        <v>0.22432938456096149</v>
      </c>
      <c r="CS246" s="607">
        <f t="shared" si="962"/>
        <v>0.22400931878766156</v>
      </c>
      <c r="CT246" s="1176">
        <f t="shared" si="962"/>
        <v>0.22381378692927487</v>
      </c>
      <c r="CU246" s="645">
        <f>-CU244/CF276</f>
        <v>0.22510822510822512</v>
      </c>
      <c r="CV246" s="642"/>
      <c r="CW246" s="642"/>
      <c r="CX246" s="642"/>
      <c r="CY246" s="643"/>
      <c r="CZ246" s="645">
        <f>-CZ244/CU276</f>
        <v>0.22427907217473067</v>
      </c>
      <c r="DA246" s="642"/>
      <c r="DB246" s="642"/>
      <c r="DC246" s="642"/>
      <c r="DD246" s="643"/>
      <c r="DE246" s="645">
        <f>-DE244/CZ276</f>
        <v>0.22694760102856146</v>
      </c>
      <c r="DF246" s="642"/>
      <c r="DG246" s="642"/>
      <c r="DH246" s="642"/>
      <c r="DI246" s="643"/>
      <c r="DJ246" s="645">
        <f>-DJ244/DE276</f>
        <v>0.23363360160440441</v>
      </c>
      <c r="DK246" s="644"/>
      <c r="DL246" s="1287"/>
      <c r="DM246" s="830"/>
      <c r="DN246" s="830"/>
      <c r="DO246" s="830"/>
      <c r="DP246" s="1082"/>
      <c r="DQ246" s="1082"/>
      <c r="DR246" s="1082"/>
      <c r="DS246" s="1080"/>
      <c r="DT246" s="830"/>
      <c r="DU246" s="830"/>
      <c r="DV246" s="830"/>
      <c r="DW246" s="830"/>
      <c r="DX246" s="830"/>
      <c r="DY246" s="542"/>
      <c r="DZ246" s="543"/>
      <c r="EA246" s="543"/>
      <c r="EB246"/>
      <c r="EC246"/>
      <c r="ED246"/>
      <c r="EE246"/>
      <c r="EF246"/>
      <c r="EG246"/>
    </row>
    <row r="247" spans="1:137" s="224" customFormat="1">
      <c r="A247" s="281" t="s">
        <v>254</v>
      </c>
      <c r="B247" s="282">
        <f>B243+B244</f>
        <v>1206</v>
      </c>
      <c r="C247" s="282">
        <f t="shared" ref="C247:AJ247" si="963">C243+C244</f>
        <v>1626</v>
      </c>
      <c r="D247" s="282">
        <f t="shared" si="963"/>
        <v>1122</v>
      </c>
      <c r="E247" s="282">
        <f t="shared" si="963"/>
        <v>2155</v>
      </c>
      <c r="F247" s="282">
        <f t="shared" si="963"/>
        <v>2329</v>
      </c>
      <c r="G247" s="282">
        <f t="shared" si="963"/>
        <v>2872</v>
      </c>
      <c r="H247" s="283">
        <f t="shared" si="963"/>
        <v>1398</v>
      </c>
      <c r="I247" s="283">
        <f t="shared" si="963"/>
        <v>1234</v>
      </c>
      <c r="J247" s="283">
        <f t="shared" si="963"/>
        <v>709</v>
      </c>
      <c r="K247" s="281">
        <f t="shared" si="963"/>
        <v>-43</v>
      </c>
      <c r="L247" s="282">
        <f t="shared" si="963"/>
        <v>3298</v>
      </c>
      <c r="M247" s="283">
        <f t="shared" si="963"/>
        <v>776</v>
      </c>
      <c r="N247" s="283">
        <f t="shared" si="963"/>
        <v>1318</v>
      </c>
      <c r="O247" s="283">
        <f t="shared" si="963"/>
        <v>809</v>
      </c>
      <c r="P247" s="281">
        <f t="shared" si="963"/>
        <v>592</v>
      </c>
      <c r="Q247" s="282">
        <f t="shared" si="963"/>
        <v>3495</v>
      </c>
      <c r="R247" s="283">
        <f t="shared" si="963"/>
        <v>1086</v>
      </c>
      <c r="S247" s="283">
        <f t="shared" si="963"/>
        <v>969</v>
      </c>
      <c r="T247" s="284">
        <f t="shared" si="963"/>
        <v>1242</v>
      </c>
      <c r="U247" s="281">
        <f t="shared" si="963"/>
        <v>-976</v>
      </c>
      <c r="V247" s="285">
        <f t="shared" si="963"/>
        <v>2321</v>
      </c>
      <c r="W247" s="283">
        <f t="shared" si="963"/>
        <v>1557</v>
      </c>
      <c r="X247" s="283">
        <f t="shared" si="963"/>
        <v>1094</v>
      </c>
      <c r="Y247" s="284">
        <f t="shared" si="963"/>
        <v>342</v>
      </c>
      <c r="Z247" s="281">
        <f t="shared" si="963"/>
        <v>-12</v>
      </c>
      <c r="AA247" s="282">
        <f t="shared" si="963"/>
        <v>2727</v>
      </c>
      <c r="AB247" s="283">
        <f t="shared" si="963"/>
        <v>1589</v>
      </c>
      <c r="AC247" s="283">
        <f t="shared" si="963"/>
        <v>567</v>
      </c>
      <c r="AD247" s="284">
        <f t="shared" si="963"/>
        <v>439</v>
      </c>
      <c r="AE247" s="281">
        <f t="shared" si="963"/>
        <v>671</v>
      </c>
      <c r="AF247" s="286">
        <f t="shared" si="963"/>
        <v>3266</v>
      </c>
      <c r="AG247" s="283">
        <f t="shared" si="963"/>
        <v>327</v>
      </c>
      <c r="AH247" s="283">
        <f t="shared" si="963"/>
        <v>670</v>
      </c>
      <c r="AI247" s="283">
        <f t="shared" si="963"/>
        <v>1365</v>
      </c>
      <c r="AJ247" s="283">
        <f t="shared" si="963"/>
        <v>-1743</v>
      </c>
      <c r="AK247" s="285">
        <f t="shared" ref="AK247:AT247" si="964">AK243+AK244</f>
        <v>619</v>
      </c>
      <c r="AL247" s="284">
        <f t="shared" si="964"/>
        <v>1979</v>
      </c>
      <c r="AM247" s="284">
        <f t="shared" si="964"/>
        <v>447</v>
      </c>
      <c r="AN247" s="284">
        <f t="shared" si="964"/>
        <v>691</v>
      </c>
      <c r="AO247" s="281">
        <f t="shared" si="964"/>
        <v>593</v>
      </c>
      <c r="AP247" s="286">
        <f t="shared" si="964"/>
        <v>3710</v>
      </c>
      <c r="AQ247" s="287">
        <f>AQ243+AQ244</f>
        <v>1997</v>
      </c>
      <c r="AR247" s="288">
        <f>AR243+AR244</f>
        <v>827</v>
      </c>
      <c r="AS247" s="288">
        <f t="shared" si="964"/>
        <v>787</v>
      </c>
      <c r="AT247" s="289">
        <f t="shared" si="964"/>
        <v>-590</v>
      </c>
      <c r="AU247" s="286">
        <f t="shared" ref="AU247" si="965">AU243+AU244</f>
        <v>3021</v>
      </c>
      <c r="AV247" s="287">
        <f>AV243+AV244</f>
        <v>839</v>
      </c>
      <c r="AW247" s="288">
        <f>AW243+AW244</f>
        <v>1072</v>
      </c>
      <c r="AX247" s="288">
        <f>AX243+AX244</f>
        <v>1326</v>
      </c>
      <c r="AY247" s="289">
        <f>AY243+AY244</f>
        <v>925</v>
      </c>
      <c r="AZ247" s="286">
        <f>AZ243+AZ244</f>
        <v>4162</v>
      </c>
      <c r="BA247" s="286">
        <f t="shared" ref="BA247" si="966">BA243+BA244</f>
        <v>3710</v>
      </c>
      <c r="BB247" s="287">
        <f>BB243+BB244</f>
        <v>1997</v>
      </c>
      <c r="BC247" s="288">
        <f>BC243+BC244</f>
        <v>827</v>
      </c>
      <c r="BD247" s="288">
        <f t="shared" ref="BD247:BF247" si="967">BD243+BD244</f>
        <v>787</v>
      </c>
      <c r="BE247" s="289">
        <f t="shared" si="967"/>
        <v>-590</v>
      </c>
      <c r="BF247" s="286">
        <f t="shared" si="967"/>
        <v>3021.49</v>
      </c>
      <c r="BG247" s="287">
        <f t="shared" ref="BG247:BJ247" si="968">BG243+BG244</f>
        <v>839</v>
      </c>
      <c r="BH247" s="288">
        <f t="shared" si="968"/>
        <v>1072</v>
      </c>
      <c r="BI247" s="288">
        <f t="shared" si="968"/>
        <v>1326</v>
      </c>
      <c r="BJ247" s="289">
        <f t="shared" si="968"/>
        <v>925</v>
      </c>
      <c r="BK247" s="286">
        <f t="shared" ref="BK247:BM247" si="969">BK243+BK244</f>
        <v>4162</v>
      </c>
      <c r="BL247" s="287">
        <f t="shared" si="969"/>
        <v>1412</v>
      </c>
      <c r="BM247" s="288">
        <f t="shared" si="969"/>
        <v>1342</v>
      </c>
      <c r="BN247" s="288"/>
      <c r="BO247" s="289"/>
      <c r="BP247" s="286"/>
      <c r="BQ247" s="286">
        <f t="shared" ref="BQ247" si="970">BQ243+BQ244</f>
        <v>3710</v>
      </c>
      <c r="BR247" s="287">
        <f t="shared" ref="BR247:BZ247" si="971">BR243+BR244</f>
        <v>839</v>
      </c>
      <c r="BS247" s="288">
        <f t="shared" si="971"/>
        <v>1072</v>
      </c>
      <c r="BT247" s="288">
        <f t="shared" si="971"/>
        <v>1326</v>
      </c>
      <c r="BU247" s="289">
        <f t="shared" si="971"/>
        <v>925</v>
      </c>
      <c r="BV247" s="286">
        <f t="shared" si="971"/>
        <v>4162</v>
      </c>
      <c r="BW247" s="287">
        <f t="shared" si="971"/>
        <v>1412</v>
      </c>
      <c r="BX247" s="288">
        <f t="shared" si="971"/>
        <v>1342</v>
      </c>
      <c r="BY247" s="288">
        <f t="shared" si="971"/>
        <v>1079</v>
      </c>
      <c r="BZ247" s="289">
        <f t="shared" si="971"/>
        <v>293</v>
      </c>
      <c r="CA247" s="286">
        <f>CA243+CA244</f>
        <v>4126</v>
      </c>
      <c r="CB247" s="287">
        <f t="shared" ref="CB247:CE247" si="972">CB243+CB244</f>
        <v>1496</v>
      </c>
      <c r="CC247" s="288">
        <f t="shared" si="972"/>
        <v>1266</v>
      </c>
      <c r="CD247" s="288">
        <f t="shared" si="972"/>
        <v>1532</v>
      </c>
      <c r="CE247" s="289">
        <f t="shared" si="972"/>
        <v>1005</v>
      </c>
      <c r="CF247" s="286">
        <f>CF243+CF244</f>
        <v>5299</v>
      </c>
      <c r="CG247" s="287"/>
      <c r="CH247" s="288"/>
      <c r="CI247" s="288"/>
      <c r="CJ247" s="289"/>
      <c r="CK247" s="286">
        <f>CK243+CK244</f>
        <v>4126</v>
      </c>
      <c r="CL247" s="287"/>
      <c r="CM247" s="288"/>
      <c r="CN247" s="288"/>
      <c r="CO247" s="289"/>
      <c r="CP247" s="286">
        <f>CP243+CP244</f>
        <v>5299</v>
      </c>
      <c r="CQ247" s="287">
        <f t="shared" ref="CQ247:CT247" si="973">CQ243+CQ244</f>
        <v>2219.4242208564615</v>
      </c>
      <c r="CR247" s="288">
        <f t="shared" si="973"/>
        <v>734.510644758632</v>
      </c>
      <c r="CS247" s="288">
        <f t="shared" si="973"/>
        <v>-329.45639529082177</v>
      </c>
      <c r="CT247" s="289">
        <f t="shared" si="973"/>
        <v>-889.28807874188033</v>
      </c>
      <c r="CU247" s="286">
        <f>CU243+CU244</f>
        <v>1735.1903915823905</v>
      </c>
      <c r="CV247" s="288"/>
      <c r="CW247" s="288"/>
      <c r="CX247" s="288"/>
      <c r="CY247" s="289"/>
      <c r="CZ247" s="286">
        <f>CZ243+CZ244</f>
        <v>5680.0783620365637</v>
      </c>
      <c r="DA247" s="288"/>
      <c r="DB247" s="288"/>
      <c r="DC247" s="288"/>
      <c r="DD247" s="289"/>
      <c r="DE247" s="286">
        <f>DE243+DE244</f>
        <v>6487.4045494406892</v>
      </c>
      <c r="DF247" s="288"/>
      <c r="DG247" s="288"/>
      <c r="DH247" s="288"/>
      <c r="DI247" s="289"/>
      <c r="DJ247" s="286">
        <f>DJ243+DJ244</f>
        <v>6278.260968759012</v>
      </c>
      <c r="DK247" s="212"/>
      <c r="DL247" s="1286"/>
      <c r="DM247" s="809"/>
      <c r="DN247" s="810"/>
      <c r="DO247" s="810"/>
      <c r="DP247" s="1108"/>
      <c r="DQ247" s="1108"/>
      <c r="DR247" s="1108"/>
      <c r="DS247" s="1109"/>
      <c r="DT247" s="810"/>
      <c r="DU247" s="810"/>
      <c r="DV247" s="810"/>
      <c r="DW247" s="810"/>
      <c r="DX247" s="810"/>
      <c r="DY247" s="228"/>
      <c r="DZ247" s="216"/>
      <c r="EA247" s="216"/>
      <c r="EB247"/>
      <c r="EC247"/>
      <c r="ED247"/>
      <c r="EE247"/>
      <c r="EF247"/>
      <c r="EG247"/>
    </row>
    <row r="248" spans="1:137" s="434" customFormat="1">
      <c r="A248" s="290" t="s">
        <v>245</v>
      </c>
      <c r="B248" s="293">
        <f t="shared" ref="B248:AT248" si="974">B247/B236</f>
        <v>28.046511627906977</v>
      </c>
      <c r="C248" s="293">
        <f t="shared" si="974"/>
        <v>3.0506566604127578</v>
      </c>
      <c r="D248" s="293">
        <f t="shared" si="974"/>
        <v>1.0655270655270654</v>
      </c>
      <c r="E248" s="293">
        <f t="shared" si="974"/>
        <v>1.7022116903633491</v>
      </c>
      <c r="F248" s="293">
        <f t="shared" si="974"/>
        <v>1.2761643835616439</v>
      </c>
      <c r="G248" s="293">
        <f t="shared" si="974"/>
        <v>1.1356267299327798</v>
      </c>
      <c r="H248" s="298">
        <f t="shared" si="974"/>
        <v>2.026086956521739</v>
      </c>
      <c r="I248" s="298">
        <f t="shared" si="974"/>
        <v>1.5861182519280206</v>
      </c>
      <c r="J248" s="298">
        <f t="shared" si="974"/>
        <v>0.9255874673629243</v>
      </c>
      <c r="K248" s="299">
        <f t="shared" si="974"/>
        <v>-5.3817271589486862E-2</v>
      </c>
      <c r="L248" s="300">
        <f t="shared" si="974"/>
        <v>1.0873722387075502</v>
      </c>
      <c r="M248" s="298">
        <f t="shared" si="974"/>
        <v>1.0630136986301371</v>
      </c>
      <c r="N248" s="298">
        <f t="shared" si="974"/>
        <v>1.4943310657596371</v>
      </c>
      <c r="O248" s="298">
        <f t="shared" si="974"/>
        <v>1.0345268542199488</v>
      </c>
      <c r="P248" s="299">
        <f t="shared" si="974"/>
        <v>0.71931956257594165</v>
      </c>
      <c r="Q248" s="300">
        <f t="shared" si="974"/>
        <v>1.0864159154491762</v>
      </c>
      <c r="R248" s="298">
        <f t="shared" si="974"/>
        <v>1.6306306306306306</v>
      </c>
      <c r="S248" s="298">
        <f t="shared" si="974"/>
        <v>1.3201634877384196</v>
      </c>
      <c r="T248" s="301">
        <f t="shared" si="974"/>
        <v>1.5583437892095358</v>
      </c>
      <c r="U248" s="299">
        <f t="shared" si="974"/>
        <v>-1.1801692865779927</v>
      </c>
      <c r="V248" s="302">
        <f t="shared" si="974"/>
        <v>0.76727780018380298</v>
      </c>
      <c r="W248" s="298">
        <f t="shared" si="974"/>
        <v>2.9212007504690432</v>
      </c>
      <c r="X248" s="298">
        <f t="shared" si="974"/>
        <v>1.3276699029126213</v>
      </c>
      <c r="Y248" s="301">
        <f t="shared" si="974"/>
        <v>0.61071428571428577</v>
      </c>
      <c r="Z248" s="299">
        <f t="shared" si="974"/>
        <v>-1.2486992715920915E-2</v>
      </c>
      <c r="AA248" s="300">
        <f t="shared" si="974"/>
        <v>0.94753300903405147</v>
      </c>
      <c r="AB248" s="298">
        <f t="shared" si="974"/>
        <v>2.9981132075471697</v>
      </c>
      <c r="AC248" s="298">
        <f t="shared" si="974"/>
        <v>0.76415094339622647</v>
      </c>
      <c r="AD248" s="301">
        <f t="shared" si="974"/>
        <v>0.62804005722460654</v>
      </c>
      <c r="AE248" s="299">
        <f t="shared" si="974"/>
        <v>0.98207098426637396</v>
      </c>
      <c r="AF248" s="303">
        <f t="shared" si="974"/>
        <v>1.2300160060257979</v>
      </c>
      <c r="AG248" s="298">
        <f t="shared" si="974"/>
        <v>0.48981426003594963</v>
      </c>
      <c r="AH248" s="298">
        <f t="shared" si="974"/>
        <v>0.85787451984635088</v>
      </c>
      <c r="AI248" s="298">
        <f t="shared" si="974"/>
        <v>1.8775790921595599</v>
      </c>
      <c r="AJ248" s="298">
        <f t="shared" si="974"/>
        <v>-2.7754777070063694</v>
      </c>
      <c r="AK248" s="302">
        <f t="shared" si="974"/>
        <v>0.22550091074681239</v>
      </c>
      <c r="AL248" s="301">
        <f t="shared" si="974"/>
        <v>2.600525624178712</v>
      </c>
      <c r="AM248" s="301">
        <f>AM247/AM236</f>
        <v>0.52037252619324792</v>
      </c>
      <c r="AN248" s="301">
        <f>AN247/AN236</f>
        <v>0.79152348224513169</v>
      </c>
      <c r="AO248" s="299">
        <f>AO247/AO236</f>
        <v>1.2151639344262295</v>
      </c>
      <c r="AP248" s="303">
        <f t="shared" si="974"/>
        <v>1.2443442708176113</v>
      </c>
      <c r="AQ248" s="741">
        <f t="shared" si="974"/>
        <v>2.140407288317256</v>
      </c>
      <c r="AR248" s="806">
        <f>AR247/AR236</f>
        <v>0.93025871766029244</v>
      </c>
      <c r="AS248" s="294">
        <f t="shared" si="974"/>
        <v>0.88626126126126126</v>
      </c>
      <c r="AT248" s="858">
        <f t="shared" si="974"/>
        <v>-0.65265486725663713</v>
      </c>
      <c r="AU248" s="303">
        <f t="shared" ref="AU248:BB248" si="975">AU247/AU236</f>
        <v>0.83591588267847261</v>
      </c>
      <c r="AV248" s="741">
        <f>AV247/AV236</f>
        <v>0.95558086560364464</v>
      </c>
      <c r="AW248" s="806">
        <f>AW247/AW236</f>
        <v>1.1539289558665231</v>
      </c>
      <c r="AX248" s="294">
        <f>AX247/AX236</f>
        <v>1.5329479768786127</v>
      </c>
      <c r="AY248" s="295">
        <f>AY247/AY236</f>
        <v>0.99142550911039662</v>
      </c>
      <c r="AZ248" s="303">
        <f>AZ247/AZ236</f>
        <v>1.1545076282940361</v>
      </c>
      <c r="BA248" s="303">
        <f t="shared" ref="BA248" si="976">BA247/BA236</f>
        <v>1.2443442708176113</v>
      </c>
      <c r="BB248" s="741">
        <f t="shared" si="975"/>
        <v>2.140407288317256</v>
      </c>
      <c r="BC248" s="806">
        <f>BC247/BC236</f>
        <v>0.93025871766029244</v>
      </c>
      <c r="BD248" s="294">
        <f t="shared" ref="BD248:BF248" si="977">BD247/BD236</f>
        <v>0.88626126126126126</v>
      </c>
      <c r="BE248" s="858">
        <f t="shared" si="977"/>
        <v>-0.65265486725663713</v>
      </c>
      <c r="BF248" s="303">
        <f t="shared" si="977"/>
        <v>0.83593812681733803</v>
      </c>
      <c r="BG248" s="741">
        <f t="shared" ref="BG248:BJ248" si="978">BG247/BG236</f>
        <v>0.95558086560364464</v>
      </c>
      <c r="BH248" s="806">
        <f t="shared" si="978"/>
        <v>1.1539289558665231</v>
      </c>
      <c r="BI248" s="294">
        <f t="shared" si="978"/>
        <v>1.5329479768786127</v>
      </c>
      <c r="BJ248" s="295">
        <f t="shared" si="978"/>
        <v>0.99142550911039662</v>
      </c>
      <c r="BK248" s="303">
        <f t="shared" ref="BK248:BM248" si="979">BK247/BK236</f>
        <v>1.1543507262535744</v>
      </c>
      <c r="BL248" s="741">
        <f t="shared" si="979"/>
        <v>1.778337531486146</v>
      </c>
      <c r="BM248" s="806">
        <f t="shared" si="979"/>
        <v>1.3143976493633693</v>
      </c>
      <c r="BN248" s="294"/>
      <c r="BO248" s="295"/>
      <c r="BP248" s="303"/>
      <c r="BQ248" s="303">
        <f t="shared" ref="BQ248" si="980">BQ247/BQ236</f>
        <v>1.0264241981579698</v>
      </c>
      <c r="BR248" s="741">
        <f t="shared" ref="BR248:BZ248" si="981">BR247/BR236</f>
        <v>0.95558086560364464</v>
      </c>
      <c r="BS248" s="806">
        <f t="shared" si="981"/>
        <v>1.1539289558665231</v>
      </c>
      <c r="BT248" s="294">
        <f t="shared" si="981"/>
        <v>1.5329479768786127</v>
      </c>
      <c r="BU248" s="295">
        <f t="shared" si="981"/>
        <v>0.99142550911039662</v>
      </c>
      <c r="BV248" s="303">
        <f t="shared" si="981"/>
        <v>1.1543507262535744</v>
      </c>
      <c r="BW248" s="741">
        <f t="shared" si="981"/>
        <v>1.5723830734966593</v>
      </c>
      <c r="BX248" s="806">
        <f t="shared" si="981"/>
        <v>1.3143976493633693</v>
      </c>
      <c r="BY248" s="294">
        <f t="shared" si="981"/>
        <v>0.45052192066805846</v>
      </c>
      <c r="BZ248" s="295">
        <f t="shared" si="981"/>
        <v>0.29655870445344129</v>
      </c>
      <c r="CA248" s="303">
        <f>CA247/CA236</f>
        <v>0.77819690682761222</v>
      </c>
      <c r="CB248" s="741">
        <f t="shared" ref="CB248:CE248" si="982">CB247/CB236</f>
        <v>1.9606815203145478</v>
      </c>
      <c r="CC248" s="806">
        <f t="shared" si="982"/>
        <v>1.3439490445859872</v>
      </c>
      <c r="CD248" s="294">
        <f t="shared" si="982"/>
        <v>1.6315228966986155</v>
      </c>
      <c r="CE248" s="295">
        <f t="shared" si="982"/>
        <v>-1.5654205607476634</v>
      </c>
      <c r="CF248" s="303">
        <f>CF247/CF236</f>
        <v>2.6468531468531467</v>
      </c>
      <c r="CG248" s="741"/>
      <c r="CH248" s="806"/>
      <c r="CI248" s="294"/>
      <c r="CJ248" s="295"/>
      <c r="CK248" s="303">
        <f>CK247/CK236</f>
        <v>0.79529683885890512</v>
      </c>
      <c r="CL248" s="741"/>
      <c r="CM248" s="806"/>
      <c r="CN248" s="294"/>
      <c r="CO248" s="295"/>
      <c r="CP248" s="303">
        <f>CP247/CP236</f>
        <v>2.6742697550386056</v>
      </c>
      <c r="CQ248" s="741">
        <f t="shared" ref="CQ248:CT248" si="983">CQ247/CQ236</f>
        <v>2.2584120921684017</v>
      </c>
      <c r="CR248" s="806">
        <f t="shared" si="983"/>
        <v>0.65220656763752782</v>
      </c>
      <c r="CS248" s="806">
        <f t="shared" si="983"/>
        <v>-0.31000922730138697</v>
      </c>
      <c r="CT248" s="858">
        <f t="shared" si="983"/>
        <v>-0.68067250847686278</v>
      </c>
      <c r="CU248" s="303">
        <f>CU247/CU236</f>
        <v>0.3874796991782325</v>
      </c>
      <c r="CV248" s="296"/>
      <c r="CW248" s="296"/>
      <c r="CX248" s="296"/>
      <c r="CY248" s="297"/>
      <c r="CZ248" s="303">
        <f>CZ247/CZ236</f>
        <v>1.1433545817526767</v>
      </c>
      <c r="DA248" s="296"/>
      <c r="DB248" s="296"/>
      <c r="DC248" s="296"/>
      <c r="DD248" s="297"/>
      <c r="DE248" s="303">
        <f>DE247/DE236</f>
        <v>0.98414151332523914</v>
      </c>
      <c r="DF248" s="296"/>
      <c r="DG248" s="296"/>
      <c r="DH248" s="296"/>
      <c r="DI248" s="297"/>
      <c r="DJ248" s="303">
        <f>DJ247/DJ236</f>
        <v>0.91353141690736295</v>
      </c>
      <c r="DK248" s="431"/>
      <c r="DL248" s="432"/>
      <c r="DM248" s="809"/>
      <c r="DN248" s="812"/>
      <c r="DO248" s="1128"/>
      <c r="DP248" s="1129"/>
      <c r="DQ248" s="1129"/>
      <c r="DR248" s="1129"/>
      <c r="DS248" s="1130"/>
      <c r="DT248" s="1128"/>
      <c r="DU248" s="1128"/>
      <c r="DV248" s="1128"/>
      <c r="DW248" s="1128"/>
      <c r="DX248" s="1128"/>
      <c r="DY248" s="432"/>
      <c r="DZ248" s="433"/>
      <c r="EA248" s="433"/>
      <c r="EB248"/>
      <c r="EC248"/>
      <c r="ED248"/>
      <c r="EE248"/>
      <c r="EF248"/>
      <c r="EG248"/>
    </row>
    <row r="249" spans="1:137" s="682" customFormat="1">
      <c r="A249" s="667" t="s">
        <v>14</v>
      </c>
      <c r="B249" s="668">
        <f t="shared" ref="B249:AT249" si="984">B247/B226</f>
        <v>2.7884393063583817</v>
      </c>
      <c r="C249" s="668">
        <f t="shared" si="984"/>
        <v>3.5973451327433628</v>
      </c>
      <c r="D249" s="668">
        <f t="shared" si="984"/>
        <v>2.4933333333333332</v>
      </c>
      <c r="E249" s="668">
        <f t="shared" si="984"/>
        <v>4.8199507940058153</v>
      </c>
      <c r="F249" s="668">
        <f t="shared" si="984"/>
        <v>5.2260742735330421</v>
      </c>
      <c r="G249" s="668">
        <f t="shared" si="984"/>
        <v>6.5811182401466546</v>
      </c>
      <c r="H249" s="669">
        <f t="shared" si="984"/>
        <v>3.235362184679472</v>
      </c>
      <c r="I249" s="669">
        <f t="shared" si="984"/>
        <v>2.8933177022274328</v>
      </c>
      <c r="J249" s="669">
        <f t="shared" si="984"/>
        <v>1.6702002355712604</v>
      </c>
      <c r="K249" s="670">
        <f t="shared" si="984"/>
        <v>-0.10155880963627775</v>
      </c>
      <c r="L249" s="671">
        <f t="shared" si="984"/>
        <v>7.7218450011706858</v>
      </c>
      <c r="M249" s="669">
        <f t="shared" si="984"/>
        <v>1.8618042226487523</v>
      </c>
      <c r="N249" s="669">
        <f t="shared" si="984"/>
        <v>3.2185592185592187</v>
      </c>
      <c r="O249" s="669">
        <f t="shared" si="984"/>
        <v>1.9872267256202407</v>
      </c>
      <c r="P249" s="670">
        <f t="shared" si="984"/>
        <v>1.4774145245819816</v>
      </c>
      <c r="Q249" s="671">
        <f t="shared" si="984"/>
        <v>8.5368832437713724</v>
      </c>
      <c r="R249" s="669">
        <f t="shared" si="984"/>
        <v>2.7324191722229214</v>
      </c>
      <c r="S249" s="669">
        <f t="shared" si="984"/>
        <v>2.4788948580199541</v>
      </c>
      <c r="T249" s="672">
        <f t="shared" si="984"/>
        <v>3.2217898832684826</v>
      </c>
      <c r="U249" s="670">
        <f t="shared" si="984"/>
        <v>-2.5556428384393821</v>
      </c>
      <c r="V249" s="673">
        <f t="shared" si="984"/>
        <v>5.9688826025459685</v>
      </c>
      <c r="W249" s="669">
        <f t="shared" si="984"/>
        <v>4.1223193010325661</v>
      </c>
      <c r="X249" s="669">
        <f t="shared" si="984"/>
        <v>2.9432337906914179</v>
      </c>
      <c r="Y249" s="672">
        <f t="shared" si="984"/>
        <v>0.93971533769302629</v>
      </c>
      <c r="Z249" s="670">
        <f t="shared" si="984"/>
        <v>-3.336113427856547E-2</v>
      </c>
      <c r="AA249" s="671">
        <f t="shared" si="984"/>
        <v>7.404289980993755</v>
      </c>
      <c r="AB249" s="669">
        <f t="shared" si="984"/>
        <v>4.5065229722064659</v>
      </c>
      <c r="AC249" s="669">
        <f t="shared" si="984"/>
        <v>1.635702746365105</v>
      </c>
      <c r="AD249" s="672">
        <f t="shared" si="984"/>
        <v>1.3157894736842106</v>
      </c>
      <c r="AE249" s="670">
        <f t="shared" si="984"/>
        <v>2.0541864380835757</v>
      </c>
      <c r="AF249" s="674">
        <f t="shared" si="984"/>
        <v>9.6087084436599</v>
      </c>
      <c r="AG249" s="669">
        <f t="shared" si="984"/>
        <v>0.99500973709834473</v>
      </c>
      <c r="AH249" s="669">
        <f t="shared" si="984"/>
        <v>2.0377128953771289</v>
      </c>
      <c r="AI249" s="669">
        <f t="shared" si="984"/>
        <v>4.157782515991471</v>
      </c>
      <c r="AJ249" s="669">
        <f t="shared" si="984"/>
        <v>-5.3140243902439028</v>
      </c>
      <c r="AK249" s="673">
        <f t="shared" si="984"/>
        <v>1.8848964677222899</v>
      </c>
      <c r="AL249" s="672">
        <f t="shared" si="984"/>
        <v>6.0649708856880169</v>
      </c>
      <c r="AM249" s="672">
        <f t="shared" si="984"/>
        <v>1.371586376189015</v>
      </c>
      <c r="AN249" s="672">
        <f t="shared" si="984"/>
        <v>2.1099236641221375</v>
      </c>
      <c r="AO249" s="670">
        <f t="shared" si="984"/>
        <v>1.8173460006129327</v>
      </c>
      <c r="AP249" s="674">
        <f t="shared" si="984"/>
        <v>11.362940275650843</v>
      </c>
      <c r="AQ249" s="742">
        <f t="shared" si="984"/>
        <v>6.1427253152876036</v>
      </c>
      <c r="AR249" s="807">
        <f>AR247/AR226</f>
        <v>2.5675256131636135</v>
      </c>
      <c r="AS249" s="675">
        <f t="shared" si="984"/>
        <v>2.4456183965195772</v>
      </c>
      <c r="AT249" s="859">
        <f t="shared" si="984"/>
        <v>-1.8402994385527136</v>
      </c>
      <c r="AU249" s="674">
        <f t="shared" ref="AU249:BB249" si="985">AU247/AU226</f>
        <v>9.3703473945409428</v>
      </c>
      <c r="AV249" s="742">
        <f>AV247/AV226</f>
        <v>2.6202373516552155</v>
      </c>
      <c r="AW249" s="807">
        <f>AW247/AW226</f>
        <v>3.3913318570072759</v>
      </c>
      <c r="AX249" s="675">
        <f>AX247/AX226</f>
        <v>4.2404860889031024</v>
      </c>
      <c r="AY249" s="676">
        <f>AY247/AY226</f>
        <v>2.981947130883301</v>
      </c>
      <c r="AZ249" s="674">
        <f>AZ247/AZ226</f>
        <v>13.225293930727677</v>
      </c>
      <c r="BA249" s="674">
        <f t="shared" ref="BA249" si="986">BA247/BA226</f>
        <v>11.362940275650843</v>
      </c>
      <c r="BB249" s="742">
        <f t="shared" si="985"/>
        <v>6.1427253152876036</v>
      </c>
      <c r="BC249" s="807">
        <f>BC247/BC226</f>
        <v>2.5675256131636135</v>
      </c>
      <c r="BD249" s="675">
        <f t="shared" ref="BD249:BF249" si="987">BD247/BD226</f>
        <v>2.4456183965195772</v>
      </c>
      <c r="BE249" s="859">
        <f t="shared" si="987"/>
        <v>-1.8402994385527136</v>
      </c>
      <c r="BF249" s="674">
        <f t="shared" si="987"/>
        <v>9.3718672456575689</v>
      </c>
      <c r="BG249" s="742">
        <f t="shared" ref="BG249:BJ249" si="988">BG247/BG226</f>
        <v>2.6202373516552155</v>
      </c>
      <c r="BH249" s="807">
        <f t="shared" si="988"/>
        <v>3.3913318570072759</v>
      </c>
      <c r="BI249" s="675">
        <f t="shared" si="988"/>
        <v>4.2404860889031024</v>
      </c>
      <c r="BJ249" s="676">
        <f t="shared" si="988"/>
        <v>2.981947130883301</v>
      </c>
      <c r="BK249" s="674">
        <f t="shared" ref="BK249:BM249" si="989">BK247/BK226</f>
        <v>13.225293930727677</v>
      </c>
      <c r="BL249" s="742">
        <f t="shared" si="989"/>
        <v>4.587394411955815</v>
      </c>
      <c r="BM249" s="807">
        <f t="shared" si="989"/>
        <v>4.3699120807554541</v>
      </c>
      <c r="BN249" s="675"/>
      <c r="BO249" s="676"/>
      <c r="BP249" s="674"/>
      <c r="BQ249" s="674">
        <f t="shared" ref="BQ249" si="990">BQ247/BQ226</f>
        <v>11.507444168734493</v>
      </c>
      <c r="BR249" s="742">
        <f t="shared" ref="BR249:BY249" si="991">BR247/BR226</f>
        <v>2.6202373516552155</v>
      </c>
      <c r="BS249" s="807">
        <f t="shared" si="991"/>
        <v>3.3913318570072759</v>
      </c>
      <c r="BT249" s="675">
        <f t="shared" si="991"/>
        <v>4.2404860889031024</v>
      </c>
      <c r="BU249" s="676">
        <f t="shared" si="991"/>
        <v>2.981947130883301</v>
      </c>
      <c r="BV249" s="674">
        <f t="shared" si="991"/>
        <v>13.225293930727677</v>
      </c>
      <c r="BW249" s="742">
        <f t="shared" si="991"/>
        <v>4.5740200842241663</v>
      </c>
      <c r="BX249" s="807">
        <f t="shared" si="991"/>
        <v>4.3699120807554541</v>
      </c>
      <c r="BY249" s="675">
        <f t="shared" si="991"/>
        <v>3.5728476821192054</v>
      </c>
      <c r="BZ249" s="676">
        <f>BZ247/BZ226</f>
        <v>0.99254742547425479</v>
      </c>
      <c r="CA249" s="674">
        <f>CA247/CA226</f>
        <v>13.612669086110193</v>
      </c>
      <c r="CB249" s="742">
        <f t="shared" ref="CB249:CD249" si="992">CB247/CB226</f>
        <v>5.1092896174863389</v>
      </c>
      <c r="CC249" s="807">
        <f t="shared" si="992"/>
        <v>4.3475274725274726</v>
      </c>
      <c r="CD249" s="675">
        <f t="shared" si="992"/>
        <v>5.2827586206896555</v>
      </c>
      <c r="CE249" s="676">
        <f>CE247/CE226</f>
        <v>3.5152151101783842</v>
      </c>
      <c r="CF249" s="674">
        <f>CF247/CF226</f>
        <v>18.236255699905357</v>
      </c>
      <c r="CG249" s="742"/>
      <c r="CH249" s="807"/>
      <c r="CI249" s="675"/>
      <c r="CJ249" s="676"/>
      <c r="CK249" s="674">
        <f>CK247/CK226</f>
        <v>13.612669086110193</v>
      </c>
      <c r="CL249" s="742"/>
      <c r="CM249" s="807"/>
      <c r="CN249" s="675"/>
      <c r="CO249" s="676"/>
      <c r="CP249" s="674">
        <f>CP247/CP226</f>
        <v>18.236255699905357</v>
      </c>
      <c r="CQ249" s="742">
        <f t="shared" ref="CQ249:CT249" si="993">CQ247/CQ226</f>
        <v>7.7823948498614897</v>
      </c>
      <c r="CR249" s="807">
        <f t="shared" si="993"/>
        <v>2.582011249065479</v>
      </c>
      <c r="CS249" s="807">
        <f t="shared" si="993"/>
        <v>-1.1610343635593103</v>
      </c>
      <c r="CT249" s="859">
        <f t="shared" si="993"/>
        <v>-3.1417867056923754</v>
      </c>
      <c r="CU249" s="674">
        <f>CU247/CU226</f>
        <v>6.1072966735663101</v>
      </c>
      <c r="CV249" s="677"/>
      <c r="CW249" s="677"/>
      <c r="CX249" s="677"/>
      <c r="CY249" s="678"/>
      <c r="CZ249" s="674">
        <f>CZ247/CZ226</f>
        <v>20.306753162687052</v>
      </c>
      <c r="DA249" s="677"/>
      <c r="DB249" s="677"/>
      <c r="DC249" s="677"/>
      <c r="DD249" s="678"/>
      <c r="DE249" s="674">
        <f>DE247/DE226</f>
        <v>23.666338279744327</v>
      </c>
      <c r="DF249" s="677"/>
      <c r="DG249" s="677"/>
      <c r="DH249" s="677"/>
      <c r="DI249" s="678"/>
      <c r="DJ249" s="674">
        <f>DJ247/DJ226</f>
        <v>23.311321385903252</v>
      </c>
      <c r="DK249" s="679"/>
      <c r="DL249" s="680"/>
      <c r="DM249" s="1112"/>
      <c r="DN249" s="1112"/>
      <c r="DO249" s="1112"/>
      <c r="DP249" s="1131"/>
      <c r="DQ249" s="1131"/>
      <c r="DR249" s="1131"/>
      <c r="DS249" s="1132"/>
      <c r="DT249" s="1112"/>
      <c r="DU249" s="1112"/>
      <c r="DV249" s="1112"/>
      <c r="DW249" s="1112"/>
      <c r="DX249" s="1112"/>
      <c r="DY249" s="680"/>
      <c r="DZ249" s="681"/>
      <c r="EA249" s="681"/>
      <c r="EB249"/>
      <c r="EC249"/>
      <c r="ED249"/>
      <c r="EE249"/>
      <c r="EF249"/>
      <c r="EG249"/>
    </row>
    <row r="250" spans="1:137" s="224" customFormat="1">
      <c r="A250" s="187" t="s">
        <v>34</v>
      </c>
      <c r="B250" s="119">
        <v>-192</v>
      </c>
      <c r="C250" s="119">
        <v>-104</v>
      </c>
      <c r="D250" s="119">
        <v>-821</v>
      </c>
      <c r="E250" s="119">
        <v>-91</v>
      </c>
      <c r="F250" s="119">
        <v>-564</v>
      </c>
      <c r="G250" s="119">
        <v>-1122</v>
      </c>
      <c r="H250" s="124">
        <v>-95</v>
      </c>
      <c r="I250" s="123">
        <f>-136-H250</f>
        <v>-41</v>
      </c>
      <c r="J250" s="125">
        <f>-325-SUM(H250:I250)</f>
        <v>-189</v>
      </c>
      <c r="K250" s="121">
        <f>L250-SUM(H250:J250)</f>
        <v>-12</v>
      </c>
      <c r="L250" s="119">
        <v>-337</v>
      </c>
      <c r="M250" s="125">
        <v>-11</v>
      </c>
      <c r="N250" s="125">
        <f>-88-M250</f>
        <v>-77</v>
      </c>
      <c r="O250" s="125">
        <f>-195-SUM(M250:N250)</f>
        <v>-107</v>
      </c>
      <c r="P250" s="121">
        <f>Q250-SUM(M250:O250)</f>
        <v>-38</v>
      </c>
      <c r="Q250" s="122">
        <v>-233</v>
      </c>
      <c r="R250" s="125">
        <v>-156</v>
      </c>
      <c r="S250" s="125">
        <f>-187-R250</f>
        <v>-31</v>
      </c>
      <c r="T250" s="123">
        <f>-420-SUM(R250:S250)</f>
        <v>-233</v>
      </c>
      <c r="U250" s="124">
        <f>V250-SUM(R250:T250)</f>
        <v>-15</v>
      </c>
      <c r="V250" s="122">
        <v>-435</v>
      </c>
      <c r="W250" s="125">
        <v>-19</v>
      </c>
      <c r="X250" s="125">
        <f>-22-W250</f>
        <v>-3</v>
      </c>
      <c r="Y250" s="123">
        <f>-41-W250-X250</f>
        <v>-19</v>
      </c>
      <c r="Z250" s="124">
        <f>798-148-SUM(W250:Y250)</f>
        <v>691</v>
      </c>
      <c r="AA250" s="122">
        <f>SUM(W250:Z250)</f>
        <v>650</v>
      </c>
      <c r="AB250" s="125">
        <v>0</v>
      </c>
      <c r="AC250" s="125">
        <f>0-AB250</f>
        <v>0</v>
      </c>
      <c r="AD250" s="123">
        <v>0</v>
      </c>
      <c r="AE250" s="124">
        <f>-649-AD250-AC250-AB250</f>
        <v>-649</v>
      </c>
      <c r="AF250" s="122">
        <f>SUM(AB250:AE250)</f>
        <v>-649</v>
      </c>
      <c r="AG250" s="124">
        <v>0</v>
      </c>
      <c r="AH250" s="189">
        <v>0</v>
      </c>
      <c r="AI250" s="189">
        <v>-29</v>
      </c>
      <c r="AJ250" s="124">
        <f>+AK250-SUM(AG250:AI250)</f>
        <v>-230</v>
      </c>
      <c r="AK250" s="122">
        <v>-259</v>
      </c>
      <c r="AL250" s="189">
        <v>0</v>
      </c>
      <c r="AM250" s="189">
        <f>0-AL250</f>
        <v>0</v>
      </c>
      <c r="AN250" s="477">
        <v>-266</v>
      </c>
      <c r="AO250" s="168">
        <f>AP250-SUM(AL250:AN250)</f>
        <v>-3</v>
      </c>
      <c r="AP250" s="122">
        <v>-269</v>
      </c>
      <c r="AQ250" s="743">
        <v>0</v>
      </c>
      <c r="AR250" s="803">
        <f>-172-AQ250</f>
        <v>-172</v>
      </c>
      <c r="AS250" s="803">
        <f>-622-SUM(AQ250:AR250)</f>
        <v>-450</v>
      </c>
      <c r="AT250" s="855">
        <f>-898-AQ250-AR250-AS250</f>
        <v>-276</v>
      </c>
      <c r="AU250" s="814">
        <f>SUM(AQ250:AT250)</f>
        <v>-898</v>
      </c>
      <c r="AV250" s="850">
        <v>0</v>
      </c>
      <c r="AW250" s="803">
        <v>0</v>
      </c>
      <c r="AX250" s="803">
        <v>0</v>
      </c>
      <c r="AY250" s="855">
        <f t="shared" ref="AY250:AY258" si="994">+AZ250-SUM(AV250:AX250)</f>
        <v>-9003</v>
      </c>
      <c r="AZ250" s="814">
        <v>-9003</v>
      </c>
      <c r="BA250" s="122">
        <v>-269</v>
      </c>
      <c r="BB250" s="743">
        <v>0</v>
      </c>
      <c r="BC250" s="803">
        <f>-172-BB250</f>
        <v>-172</v>
      </c>
      <c r="BD250" s="803">
        <f>-622-SUM(BB250:BC250)</f>
        <v>-450</v>
      </c>
      <c r="BE250" s="855">
        <f>-898-BB250-BC250-BD250</f>
        <v>-276</v>
      </c>
      <c r="BF250" s="814">
        <f>SUM(BB250:BE250)</f>
        <v>-898</v>
      </c>
      <c r="BG250" s="850">
        <v>0</v>
      </c>
      <c r="BH250" s="803">
        <v>0</v>
      </c>
      <c r="BI250" s="803">
        <v>0</v>
      </c>
      <c r="BJ250" s="855">
        <f t="shared" ref="BJ250:BJ258" si="995">+BK250-SUM(BG250:BI250)</f>
        <v>-9003</v>
      </c>
      <c r="BK250" s="814">
        <v>-9003</v>
      </c>
      <c r="BL250" s="850">
        <v>0</v>
      </c>
      <c r="BM250" s="803">
        <v>0</v>
      </c>
      <c r="BN250" s="803"/>
      <c r="BO250" s="855"/>
      <c r="BP250" s="814"/>
      <c r="BQ250" s="122">
        <v>-269</v>
      </c>
      <c r="BR250" s="850">
        <v>0</v>
      </c>
      <c r="BS250" s="803">
        <v>0</v>
      </c>
      <c r="BT250" s="803">
        <v>0</v>
      </c>
      <c r="BU250" s="855">
        <f t="shared" ref="BU250:BU258" si="996">+BV250-SUM(BR250:BT250)</f>
        <v>-9003</v>
      </c>
      <c r="BV250" s="814">
        <v>-9003</v>
      </c>
      <c r="BW250" s="850">
        <v>0</v>
      </c>
      <c r="BX250" s="803">
        <v>0</v>
      </c>
      <c r="BY250" s="803">
        <v>0</v>
      </c>
      <c r="BZ250" s="855">
        <f t="shared" ref="BZ250:BZ258" si="997">+CA250-SUM(BW250:BY250)</f>
        <v>0</v>
      </c>
      <c r="CA250" s="814">
        <v>0</v>
      </c>
      <c r="CB250" s="850">
        <v>0</v>
      </c>
      <c r="CC250" s="803">
        <v>0</v>
      </c>
      <c r="CD250" s="803">
        <v>0</v>
      </c>
      <c r="CE250" s="855">
        <v>0</v>
      </c>
      <c r="CF250" s="965">
        <f>+SUM(CB250:CE250)</f>
        <v>0</v>
      </c>
      <c r="CG250" s="850"/>
      <c r="CH250" s="803"/>
      <c r="CI250" s="803"/>
      <c r="CJ250" s="855"/>
      <c r="CK250" s="814">
        <v>0</v>
      </c>
      <c r="CL250" s="850"/>
      <c r="CM250" s="803"/>
      <c r="CN250" s="803"/>
      <c r="CO250" s="855"/>
      <c r="CP250" s="965">
        <f>+SUM(CL250:CO250)</f>
        <v>0</v>
      </c>
      <c r="CQ250" s="151">
        <v>0</v>
      </c>
      <c r="CR250" s="151">
        <v>0</v>
      </c>
      <c r="CS250" s="151">
        <v>0</v>
      </c>
      <c r="CT250" s="172">
        <v>0</v>
      </c>
      <c r="CU250" s="150">
        <v>0</v>
      </c>
      <c r="CV250" s="151"/>
      <c r="CW250" s="151"/>
      <c r="CX250" s="151"/>
      <c r="CY250" s="172"/>
      <c r="CZ250" s="150">
        <v>0</v>
      </c>
      <c r="DA250" s="151"/>
      <c r="DB250" s="151"/>
      <c r="DC250" s="151"/>
      <c r="DD250" s="172"/>
      <c r="DE250" s="150">
        <v>0</v>
      </c>
      <c r="DF250" s="151"/>
      <c r="DG250" s="151"/>
      <c r="DH250" s="151"/>
      <c r="DI250" s="172"/>
      <c r="DJ250" s="150">
        <v>0</v>
      </c>
      <c r="DK250" s="212"/>
      <c r="DL250" s="1286"/>
      <c r="DM250" s="864"/>
      <c r="DN250" s="810"/>
      <c r="DO250" s="810"/>
      <c r="DP250" s="1108"/>
      <c r="DQ250" s="1108"/>
      <c r="DR250" s="1108"/>
      <c r="DS250" s="1109"/>
      <c r="DT250" s="810"/>
      <c r="DU250" s="810"/>
      <c r="DV250" s="810"/>
      <c r="DW250" s="810"/>
      <c r="DX250" s="810"/>
      <c r="DY250" s="228"/>
      <c r="DZ250" s="216"/>
      <c r="EA250" s="216"/>
      <c r="EB250"/>
      <c r="EC250"/>
      <c r="ED250"/>
      <c r="EE250"/>
      <c r="EF250"/>
      <c r="EG250"/>
    </row>
    <row r="251" spans="1:137" s="224" customFormat="1">
      <c r="A251" s="247" t="s">
        <v>267</v>
      </c>
      <c r="B251" s="248">
        <f t="shared" ref="B251:AK251" si="998">B252-B244-B250</f>
        <v>950</v>
      </c>
      <c r="C251" s="248">
        <f t="shared" si="998"/>
        <v>227</v>
      </c>
      <c r="D251" s="248">
        <f t="shared" si="998"/>
        <v>47</v>
      </c>
      <c r="E251" s="248">
        <f t="shared" si="998"/>
        <v>152</v>
      </c>
      <c r="F251" s="248">
        <f t="shared" si="998"/>
        <v>930</v>
      </c>
      <c r="G251" s="248">
        <f t="shared" si="998"/>
        <v>360</v>
      </c>
      <c r="H251" s="250">
        <f t="shared" si="998"/>
        <v>164</v>
      </c>
      <c r="I251" s="250">
        <f t="shared" si="998"/>
        <v>-97</v>
      </c>
      <c r="J251" s="250">
        <f t="shared" si="998"/>
        <v>-38</v>
      </c>
      <c r="K251" s="250">
        <f t="shared" si="998"/>
        <v>43</v>
      </c>
      <c r="L251" s="248">
        <f t="shared" si="998"/>
        <v>72</v>
      </c>
      <c r="M251" s="250">
        <f t="shared" si="998"/>
        <v>186</v>
      </c>
      <c r="N251" s="250">
        <f t="shared" si="998"/>
        <v>91</v>
      </c>
      <c r="O251" s="250">
        <f t="shared" si="998"/>
        <v>-42</v>
      </c>
      <c r="P251" s="250">
        <f t="shared" si="998"/>
        <v>17</v>
      </c>
      <c r="Q251" s="248">
        <f t="shared" si="998"/>
        <v>252</v>
      </c>
      <c r="R251" s="250">
        <f t="shared" si="998"/>
        <v>-4</v>
      </c>
      <c r="S251" s="250">
        <f t="shared" si="998"/>
        <v>-10</v>
      </c>
      <c r="T251" s="250">
        <f t="shared" si="998"/>
        <v>-364</v>
      </c>
      <c r="U251" s="250">
        <f t="shared" si="998"/>
        <v>147</v>
      </c>
      <c r="V251" s="248">
        <f t="shared" si="998"/>
        <v>-231</v>
      </c>
      <c r="W251" s="250">
        <f t="shared" si="998"/>
        <v>103</v>
      </c>
      <c r="X251" s="250">
        <f t="shared" si="998"/>
        <v>-662</v>
      </c>
      <c r="Y251" s="250">
        <f t="shared" si="998"/>
        <v>127</v>
      </c>
      <c r="Z251" s="250">
        <f t="shared" si="998"/>
        <v>29</v>
      </c>
      <c r="AA251" s="248">
        <f t="shared" si="998"/>
        <v>-149</v>
      </c>
      <c r="AB251" s="250">
        <f t="shared" si="998"/>
        <v>32</v>
      </c>
      <c r="AC251" s="250">
        <f t="shared" si="998"/>
        <v>593</v>
      </c>
      <c r="AD251" s="250">
        <f>AD252-AD244-AD250</f>
        <v>155</v>
      </c>
      <c r="AE251" s="250">
        <f>AE252-AE244-AE250</f>
        <v>43</v>
      </c>
      <c r="AF251" s="248">
        <f>AF252-AF244-AF250</f>
        <v>823</v>
      </c>
      <c r="AG251" s="250">
        <f t="shared" si="998"/>
        <v>-18</v>
      </c>
      <c r="AH251" s="250">
        <f>AH252-AH244-AH250</f>
        <v>26</v>
      </c>
      <c r="AI251" s="250">
        <f>AI252-AI244-AI250</f>
        <v>8</v>
      </c>
      <c r="AJ251" s="250">
        <f>AJ252-AJ244-AJ250</f>
        <v>8</v>
      </c>
      <c r="AK251" s="248">
        <f t="shared" si="998"/>
        <v>24</v>
      </c>
      <c r="AL251" s="250">
        <f>AL252-AL244-AL250</f>
        <v>-50</v>
      </c>
      <c r="AM251" s="250">
        <f>AM252-AM244-AM250</f>
        <v>-15</v>
      </c>
      <c r="AN251" s="579">
        <v>38</v>
      </c>
      <c r="AO251" s="250">
        <f>AO252-AO244-AO250</f>
        <v>11</v>
      </c>
      <c r="AP251" s="248">
        <f>AP252-AP244-AP250</f>
        <v>-16</v>
      </c>
      <c r="AQ251" s="250">
        <v>-23</v>
      </c>
      <c r="AR251" s="556">
        <f>-1-AQ251</f>
        <v>22</v>
      </c>
      <c r="AS251" s="556">
        <f>14-SUM(AQ251:AR251)</f>
        <v>15</v>
      </c>
      <c r="AT251" s="860">
        <f>20-AQ251-AR251-AS251</f>
        <v>6</v>
      </c>
      <c r="AU251" s="171">
        <f>SUM(AQ251:AT251)</f>
        <v>20</v>
      </c>
      <c r="AV251" s="853">
        <v>26</v>
      </c>
      <c r="AW251" s="804">
        <f>91-AV251</f>
        <v>65</v>
      </c>
      <c r="AX251" s="804">
        <f>89-SUM(AV251:AW251)</f>
        <v>-2</v>
      </c>
      <c r="AY251" s="968">
        <f t="shared" si="994"/>
        <v>119</v>
      </c>
      <c r="AZ251" s="171">
        <v>208</v>
      </c>
      <c r="BA251" s="248">
        <f>BA252-BA244-BA250</f>
        <v>-16</v>
      </c>
      <c r="BB251" s="250">
        <v>-23</v>
      </c>
      <c r="BC251" s="556">
        <f>-1-BB251</f>
        <v>22</v>
      </c>
      <c r="BD251" s="556">
        <f>14-SUM(BB251:BC251)</f>
        <v>15</v>
      </c>
      <c r="BE251" s="860">
        <f>20-BB251-BC251-BD251</f>
        <v>6</v>
      </c>
      <c r="BF251" s="171">
        <f>SUM(BB251:BE251)</f>
        <v>20</v>
      </c>
      <c r="BG251" s="853">
        <v>26</v>
      </c>
      <c r="BH251" s="804">
        <f>91-BG251</f>
        <v>65</v>
      </c>
      <c r="BI251" s="804">
        <f>89-SUM(BG251:BH251)</f>
        <v>-2</v>
      </c>
      <c r="BJ251" s="968">
        <f t="shared" si="995"/>
        <v>119</v>
      </c>
      <c r="BK251" s="171">
        <v>208</v>
      </c>
      <c r="BL251" s="853">
        <v>4</v>
      </c>
      <c r="BM251" s="804">
        <f>59-BL251</f>
        <v>55</v>
      </c>
      <c r="BN251" s="804"/>
      <c r="BO251" s="968"/>
      <c r="BP251" s="967"/>
      <c r="BQ251" s="248">
        <f>BQ252-BQ244-BQ250</f>
        <v>-16</v>
      </c>
      <c r="BR251" s="853">
        <v>26</v>
      </c>
      <c r="BS251" s="804">
        <f>91-BR251</f>
        <v>65</v>
      </c>
      <c r="BT251" s="804">
        <f>89-SUM(BR251:BS251)</f>
        <v>-2</v>
      </c>
      <c r="BU251" s="968">
        <f t="shared" si="996"/>
        <v>119</v>
      </c>
      <c r="BV251" s="171">
        <v>208</v>
      </c>
      <c r="BW251" s="853">
        <v>4</v>
      </c>
      <c r="BX251" s="804">
        <f>59-BW251</f>
        <v>55</v>
      </c>
      <c r="BY251" s="804">
        <f>76-SUM(BW251:BX251)</f>
        <v>17</v>
      </c>
      <c r="BZ251" s="968">
        <f t="shared" si="997"/>
        <v>2</v>
      </c>
      <c r="CA251" s="967">
        <v>78</v>
      </c>
      <c r="CB251" s="853">
        <v>4</v>
      </c>
      <c r="CC251" s="803">
        <f>9-CB251</f>
        <v>5</v>
      </c>
      <c r="CD251" s="803">
        <f>15-CC251-CB251</f>
        <v>6</v>
      </c>
      <c r="CE251" s="968">
        <f t="shared" ref="CE251" si="999">+CF251-SUM(CB251:CD251)</f>
        <v>15</v>
      </c>
      <c r="CF251" s="965">
        <v>30</v>
      </c>
      <c r="CG251" s="853"/>
      <c r="CH251" s="804"/>
      <c r="CI251" s="804"/>
      <c r="CJ251" s="968"/>
      <c r="CK251" s="967">
        <v>78</v>
      </c>
      <c r="CL251" s="853"/>
      <c r="CM251" s="803"/>
      <c r="CN251" s="803"/>
      <c r="CO251" s="968"/>
      <c r="CP251" s="965">
        <v>30</v>
      </c>
      <c r="CQ251" s="151">
        <v>0</v>
      </c>
      <c r="CR251" s="151">
        <v>0</v>
      </c>
      <c r="CS251" s="151">
        <v>0</v>
      </c>
      <c r="CT251" s="172">
        <v>0</v>
      </c>
      <c r="CU251" s="150">
        <v>0</v>
      </c>
      <c r="CV251" s="151"/>
      <c r="CW251" s="151"/>
      <c r="CX251" s="151"/>
      <c r="CY251" s="172"/>
      <c r="CZ251" s="150">
        <v>0</v>
      </c>
      <c r="DA251" s="151"/>
      <c r="DB251" s="151"/>
      <c r="DC251" s="151"/>
      <c r="DD251" s="172"/>
      <c r="DE251" s="150">
        <v>0</v>
      </c>
      <c r="DF251" s="151"/>
      <c r="DG251" s="151"/>
      <c r="DH251" s="151"/>
      <c r="DI251" s="172"/>
      <c r="DJ251" s="150">
        <v>0</v>
      </c>
      <c r="DK251" s="212"/>
      <c r="DL251" s="1286"/>
      <c r="DM251" s="812"/>
      <c r="DN251" s="812"/>
      <c r="DO251" s="810"/>
      <c r="DP251" s="1108"/>
      <c r="DQ251" s="1108"/>
      <c r="DR251" s="1108"/>
      <c r="DS251" s="1109"/>
      <c r="DT251" s="810"/>
      <c r="DU251" s="810"/>
      <c r="DV251" s="810"/>
      <c r="DW251" s="810"/>
      <c r="DX251" s="810"/>
      <c r="DY251" s="228"/>
      <c r="DZ251" s="216"/>
      <c r="EA251" s="216"/>
      <c r="EB251"/>
      <c r="EC251"/>
      <c r="ED251"/>
      <c r="EE251"/>
      <c r="EF251"/>
      <c r="EG251"/>
    </row>
    <row r="252" spans="1:137" s="224" customFormat="1">
      <c r="A252" s="177" t="s">
        <v>221</v>
      </c>
      <c r="B252" s="198">
        <v>139</v>
      </c>
      <c r="C252" s="198">
        <v>-539</v>
      </c>
      <c r="D252" s="198">
        <v>-1461</v>
      </c>
      <c r="E252" s="198">
        <v>-708</v>
      </c>
      <c r="F252" s="198">
        <v>-499</v>
      </c>
      <c r="G252" s="198">
        <v>-1655</v>
      </c>
      <c r="H252" s="177">
        <v>-15</v>
      </c>
      <c r="I252" s="177">
        <v>-308</v>
      </c>
      <c r="J252" s="177">
        <v>-453</v>
      </c>
      <c r="K252" s="177">
        <v>-429</v>
      </c>
      <c r="L252" s="198">
        <v>-1205</v>
      </c>
      <c r="M252" s="177">
        <v>71</v>
      </c>
      <c r="N252" s="177">
        <v>-156</v>
      </c>
      <c r="O252" s="177">
        <v>-378</v>
      </c>
      <c r="P252" s="177">
        <v>-444</v>
      </c>
      <c r="Q252" s="198">
        <v>-907</v>
      </c>
      <c r="R252" s="177">
        <v>-292</v>
      </c>
      <c r="S252" s="177">
        <v>-208</v>
      </c>
      <c r="T252" s="177">
        <v>-779</v>
      </c>
      <c r="U252" s="177">
        <v>-239</v>
      </c>
      <c r="V252" s="198">
        <v>-1518</v>
      </c>
      <c r="W252" s="177">
        <v>-8</v>
      </c>
      <c r="X252" s="177">
        <v>-796</v>
      </c>
      <c r="Y252" s="177">
        <v>-63</v>
      </c>
      <c r="Z252" s="177">
        <v>294</v>
      </c>
      <c r="AA252" s="198">
        <v>-573</v>
      </c>
      <c r="AB252" s="177">
        <v>-98</v>
      </c>
      <c r="AC252" s="177">
        <f>168-AB252</f>
        <v>266</v>
      </c>
      <c r="AD252" s="177">
        <v>43</v>
      </c>
      <c r="AE252" s="177">
        <f>AF252-SUM(AB252:AD252)</f>
        <v>-1024</v>
      </c>
      <c r="AF252" s="198">
        <v>-813</v>
      </c>
      <c r="AG252" s="177">
        <v>-149</v>
      </c>
      <c r="AH252" s="177">
        <v>-149</v>
      </c>
      <c r="AI252" s="177">
        <v>-229</v>
      </c>
      <c r="AJ252" s="177">
        <v>-650</v>
      </c>
      <c r="AK252" s="198">
        <v>-1177</v>
      </c>
      <c r="AL252" s="177">
        <v>-156</v>
      </c>
      <c r="AM252" s="177">
        <v>-191</v>
      </c>
      <c r="AN252" s="177">
        <v>-437</v>
      </c>
      <c r="AO252" s="177">
        <f>AP252-SUM(AL252:AN252)</f>
        <v>-337</v>
      </c>
      <c r="AP252" s="198">
        <v>-1121</v>
      </c>
      <c r="AQ252" s="177">
        <f t="shared" ref="AQ252:AU252" si="1000">AQ244+AQ250+AQ251</f>
        <v>-126</v>
      </c>
      <c r="AR252" s="177">
        <f t="shared" si="1000"/>
        <v>-300</v>
      </c>
      <c r="AS252" s="177">
        <f t="shared" si="1000"/>
        <v>-638</v>
      </c>
      <c r="AT252" s="199">
        <f t="shared" si="1000"/>
        <v>-659</v>
      </c>
      <c r="AU252" s="198">
        <f t="shared" si="1000"/>
        <v>-1723</v>
      </c>
      <c r="AV252" s="177">
        <f>AV244+AV250+AV251</f>
        <v>-92</v>
      </c>
      <c r="AW252" s="744">
        <f>AW244+AW250+AW251</f>
        <v>-126</v>
      </c>
      <c r="AX252" s="177">
        <f>AX244+AX250+AX251</f>
        <v>-193</v>
      </c>
      <c r="AY252" s="856">
        <f t="shared" si="994"/>
        <v>-9323</v>
      </c>
      <c r="AZ252" s="198">
        <f>AZ244+AZ250+AZ251</f>
        <v>-9734</v>
      </c>
      <c r="BA252" s="198">
        <v>-1121</v>
      </c>
      <c r="BB252" s="177">
        <f t="shared" ref="BB252:BF252" si="1001">BB244+BB250+BB251</f>
        <v>-126</v>
      </c>
      <c r="BC252" s="177">
        <f t="shared" si="1001"/>
        <v>-300</v>
      </c>
      <c r="BD252" s="177">
        <f t="shared" si="1001"/>
        <v>-638</v>
      </c>
      <c r="BE252" s="199">
        <f t="shared" si="1001"/>
        <v>-659</v>
      </c>
      <c r="BF252" s="198">
        <f t="shared" si="1001"/>
        <v>-1723</v>
      </c>
      <c r="BG252" s="177">
        <f t="shared" ref="BG252:BI252" si="1002">BG244+BG250+BG251</f>
        <v>-92</v>
      </c>
      <c r="BH252" s="744">
        <f t="shared" si="1002"/>
        <v>-126</v>
      </c>
      <c r="BI252" s="177">
        <f t="shared" si="1002"/>
        <v>-193</v>
      </c>
      <c r="BJ252" s="856">
        <f t="shared" si="995"/>
        <v>-9323</v>
      </c>
      <c r="BK252" s="198">
        <f t="shared" ref="BK252:BM252" si="1003">BK244+BK250+BK251</f>
        <v>-9734</v>
      </c>
      <c r="BL252" s="177">
        <f t="shared" si="1003"/>
        <v>-147</v>
      </c>
      <c r="BM252" s="744">
        <f t="shared" si="1003"/>
        <v>-180</v>
      </c>
      <c r="BN252" s="177"/>
      <c r="BO252" s="856"/>
      <c r="BP252" s="198"/>
      <c r="BQ252" s="198">
        <v>-1121</v>
      </c>
      <c r="BR252" s="177">
        <f t="shared" ref="BR252:BT252" si="1004">BR244+BR250+BR251</f>
        <v>-92</v>
      </c>
      <c r="BS252" s="744">
        <f t="shared" si="1004"/>
        <v>-126</v>
      </c>
      <c r="BT252" s="177">
        <f t="shared" si="1004"/>
        <v>-193</v>
      </c>
      <c r="BU252" s="856">
        <f t="shared" si="996"/>
        <v>-9323</v>
      </c>
      <c r="BV252" s="198">
        <f t="shared" ref="BV252:BY252" si="1005">BV244+BV250+BV251</f>
        <v>-9734</v>
      </c>
      <c r="BW252" s="177">
        <f t="shared" si="1005"/>
        <v>-147</v>
      </c>
      <c r="BX252" s="744">
        <f t="shared" si="1005"/>
        <v>-180</v>
      </c>
      <c r="BY252" s="177">
        <f t="shared" si="1005"/>
        <v>-224</v>
      </c>
      <c r="BZ252" s="856">
        <f t="shared" si="997"/>
        <v>-434</v>
      </c>
      <c r="CA252" s="198">
        <f>CA244+CA250+CA251</f>
        <v>-985</v>
      </c>
      <c r="CB252" s="177">
        <f t="shared" ref="CB252:CD252" si="1006">CB244+CB250+CB251</f>
        <v>-166</v>
      </c>
      <c r="CC252" s="744">
        <f t="shared" si="1006"/>
        <v>-273</v>
      </c>
      <c r="CD252" s="177">
        <f t="shared" si="1006"/>
        <v>-216</v>
      </c>
      <c r="CE252" s="856">
        <f t="shared" ref="CE252" si="1007">+CF252-SUM(CB252:CD252)</f>
        <v>-492</v>
      </c>
      <c r="CF252" s="198">
        <f>CF244+CF250+CF251</f>
        <v>-1147</v>
      </c>
      <c r="CG252" s="177"/>
      <c r="CH252" s="744"/>
      <c r="CI252" s="177"/>
      <c r="CJ252" s="856"/>
      <c r="CK252" s="198">
        <f>CK244+CK250+CK251</f>
        <v>-985</v>
      </c>
      <c r="CL252" s="177"/>
      <c r="CM252" s="744"/>
      <c r="CN252" s="177"/>
      <c r="CO252" s="856"/>
      <c r="CP252" s="198">
        <f>CP244+CP250+CP251</f>
        <v>-1147</v>
      </c>
      <c r="CQ252" s="177">
        <f t="shared" ref="CQ252:CS252" si="1008">CQ244+CQ250+CQ251</f>
        <v>-325</v>
      </c>
      <c r="CR252" s="744">
        <f t="shared" si="1008"/>
        <v>-325</v>
      </c>
      <c r="CS252" s="177">
        <f t="shared" si="1008"/>
        <v>-325</v>
      </c>
      <c r="CT252" s="856">
        <f t="shared" ref="CT252" si="1009">+CU252-SUM(CQ252:CS252)</f>
        <v>-325</v>
      </c>
      <c r="CU252" s="198">
        <f>CU244+CU250+CU251</f>
        <v>-1300</v>
      </c>
      <c r="CV252" s="177"/>
      <c r="CW252" s="177"/>
      <c r="CX252" s="177"/>
      <c r="CY252" s="199"/>
      <c r="CZ252" s="198">
        <f>CZ244+CZ250+CZ251</f>
        <v>-1300</v>
      </c>
      <c r="DA252" s="177"/>
      <c r="DB252" s="177"/>
      <c r="DC252" s="177"/>
      <c r="DD252" s="199"/>
      <c r="DE252" s="198">
        <f>DE244+DE250+DE251</f>
        <v>-1300</v>
      </c>
      <c r="DF252" s="177"/>
      <c r="DG252" s="177"/>
      <c r="DH252" s="177"/>
      <c r="DI252" s="199"/>
      <c r="DJ252" s="198">
        <f>DJ244+DJ250+DJ251</f>
        <v>-1300</v>
      </c>
      <c r="DK252" s="212"/>
      <c r="DL252" s="1286"/>
      <c r="DM252" s="864"/>
      <c r="DN252" s="864"/>
      <c r="DO252" s="810"/>
      <c r="DP252" s="1108"/>
      <c r="DQ252" s="1108"/>
      <c r="DR252" s="1108"/>
      <c r="DS252" s="810"/>
      <c r="DT252" s="810"/>
      <c r="DU252" s="810"/>
      <c r="DV252" s="810"/>
      <c r="DW252" s="810"/>
      <c r="DX252" s="810"/>
      <c r="DY252" s="228"/>
      <c r="DZ252" s="216"/>
      <c r="EA252" s="216"/>
      <c r="EB252"/>
      <c r="EC252"/>
      <c r="ED252"/>
      <c r="EE252"/>
      <c r="EF252"/>
      <c r="EG252"/>
    </row>
    <row r="253" spans="1:137" s="224" customFormat="1">
      <c r="A253" s="815" t="s">
        <v>277</v>
      </c>
      <c r="B253" s="119">
        <v>0</v>
      </c>
      <c r="C253" s="119">
        <v>0</v>
      </c>
      <c r="D253" s="119">
        <v>1000</v>
      </c>
      <c r="E253" s="119">
        <v>0</v>
      </c>
      <c r="F253" s="119">
        <v>0</v>
      </c>
      <c r="G253" s="119">
        <v>0</v>
      </c>
      <c r="H253" s="124">
        <v>0</v>
      </c>
      <c r="I253" s="123">
        <v>0</v>
      </c>
      <c r="J253" s="125">
        <v>0</v>
      </c>
      <c r="K253" s="121">
        <f>L253-SUM(H253:J253)</f>
        <v>0</v>
      </c>
      <c r="L253" s="119">
        <v>0</v>
      </c>
      <c r="M253" s="125">
        <v>491</v>
      </c>
      <c r="N253" s="123">
        <f>491-M253</f>
        <v>0</v>
      </c>
      <c r="O253" s="125">
        <f>491-SUM(M253:N253)</f>
        <v>0</v>
      </c>
      <c r="P253" s="121">
        <f>Q253-SUM(M253:O253)</f>
        <v>0</v>
      </c>
      <c r="Q253" s="122">
        <v>491</v>
      </c>
      <c r="R253" s="125">
        <v>0</v>
      </c>
      <c r="S253" s="123">
        <f>0-R253</f>
        <v>0</v>
      </c>
      <c r="T253" s="123">
        <f>0-SUM(R253:S253)</f>
        <v>0</v>
      </c>
      <c r="U253" s="124">
        <f>V253-SUM(R253:T253)</f>
        <v>1464</v>
      </c>
      <c r="V253" s="122">
        <v>1464</v>
      </c>
      <c r="W253" s="123">
        <v>0</v>
      </c>
      <c r="X253" s="123">
        <f>0-W253</f>
        <v>0</v>
      </c>
      <c r="Y253" s="123">
        <f>0-W253-X253</f>
        <v>0</v>
      </c>
      <c r="Z253" s="124">
        <f>0-SUM(W253:Y253)</f>
        <v>0</v>
      </c>
      <c r="AA253" s="122">
        <f>SUM(W253:Z253)</f>
        <v>0</v>
      </c>
      <c r="AB253" s="123">
        <v>0</v>
      </c>
      <c r="AC253" s="123">
        <f>0-AB253</f>
        <v>0</v>
      </c>
      <c r="AD253" s="211">
        <f>1980-AC253-AB253</f>
        <v>1980</v>
      </c>
      <c r="AE253" s="210">
        <f>1980-AD253-AC253-AB253</f>
        <v>0</v>
      </c>
      <c r="AF253" s="208">
        <f>SUM(AB253:AE253)</f>
        <v>1980</v>
      </c>
      <c r="AG253" s="210">
        <v>159</v>
      </c>
      <c r="AH253" s="123">
        <v>0</v>
      </c>
      <c r="AI253" s="123">
        <v>0</v>
      </c>
      <c r="AJ253" s="124">
        <f>+AK253-SUM(AG253:AI253)</f>
        <v>-159</v>
      </c>
      <c r="AK253" s="122">
        <v>0</v>
      </c>
      <c r="AL253" s="123">
        <v>0</v>
      </c>
      <c r="AM253" s="123">
        <f>0-AL253</f>
        <v>0</v>
      </c>
      <c r="AN253" s="169">
        <v>0</v>
      </c>
      <c r="AO253" s="168">
        <v>0</v>
      </c>
      <c r="AP253" s="122">
        <v>0</v>
      </c>
      <c r="AQ253" s="743">
        <v>0</v>
      </c>
      <c r="AR253" s="803">
        <v>0</v>
      </c>
      <c r="AS253" s="803">
        <v>0</v>
      </c>
      <c r="AT253" s="855">
        <v>0</v>
      </c>
      <c r="AU253" s="122">
        <f t="shared" ref="AU253:AU258" si="1010">SUM(AQ253:AT253)</f>
        <v>0</v>
      </c>
      <c r="AV253" s="850">
        <v>2213</v>
      </c>
      <c r="AW253" s="803">
        <f>2213-AV253</f>
        <v>0</v>
      </c>
      <c r="AX253" s="803">
        <f>2213-SUM(AV253:AW253)</f>
        <v>0</v>
      </c>
      <c r="AY253" s="855">
        <f t="shared" si="994"/>
        <v>6888</v>
      </c>
      <c r="AZ253" s="122">
        <v>9101</v>
      </c>
      <c r="BA253" s="122">
        <v>0</v>
      </c>
      <c r="BB253" s="743">
        <v>0</v>
      </c>
      <c r="BC253" s="803">
        <v>0</v>
      </c>
      <c r="BD253" s="803">
        <v>0</v>
      </c>
      <c r="BE253" s="855">
        <v>0</v>
      </c>
      <c r="BF253" s="122">
        <f t="shared" ref="BF253:BF258" si="1011">SUM(BB253:BE253)</f>
        <v>0</v>
      </c>
      <c r="BG253" s="850">
        <v>2213</v>
      </c>
      <c r="BH253" s="803">
        <f>2213-BG253</f>
        <v>0</v>
      </c>
      <c r="BI253" s="803">
        <f>2213-SUM(BG253:BH253)</f>
        <v>0</v>
      </c>
      <c r="BJ253" s="855">
        <f t="shared" si="995"/>
        <v>6888</v>
      </c>
      <c r="BK253" s="122">
        <v>9101</v>
      </c>
      <c r="BL253" s="850">
        <v>0</v>
      </c>
      <c r="BM253" s="803">
        <v>0</v>
      </c>
      <c r="BN253" s="803"/>
      <c r="BO253" s="855"/>
      <c r="BP253" s="814"/>
      <c r="BQ253" s="122">
        <v>0</v>
      </c>
      <c r="BR253" s="850">
        <v>2213</v>
      </c>
      <c r="BS253" s="803">
        <f>2213-BR253</f>
        <v>0</v>
      </c>
      <c r="BT253" s="803">
        <f>2213-SUM(BR253:BS253)</f>
        <v>0</v>
      </c>
      <c r="BU253" s="855">
        <f t="shared" si="996"/>
        <v>6888</v>
      </c>
      <c r="BV253" s="122">
        <v>9101</v>
      </c>
      <c r="BW253" s="850">
        <v>0</v>
      </c>
      <c r="BX253" s="803">
        <v>0</v>
      </c>
      <c r="BY253" s="803">
        <v>0</v>
      </c>
      <c r="BZ253" s="855">
        <f t="shared" si="997"/>
        <v>0</v>
      </c>
      <c r="CA253" s="814">
        <v>0</v>
      </c>
      <c r="CB253" s="850">
        <v>0</v>
      </c>
      <c r="CC253" s="803">
        <v>0</v>
      </c>
      <c r="CD253" s="803">
        <v>0</v>
      </c>
      <c r="CE253" s="855">
        <v>0</v>
      </c>
      <c r="CF253" s="965">
        <f t="shared" ref="CF253:CF258" si="1012">+SUM(CB253:CE253)</f>
        <v>0</v>
      </c>
      <c r="CG253" s="850"/>
      <c r="CH253" s="803"/>
      <c r="CI253" s="803"/>
      <c r="CJ253" s="855"/>
      <c r="CK253" s="814">
        <v>0</v>
      </c>
      <c r="CL253" s="850"/>
      <c r="CM253" s="803"/>
      <c r="CN253" s="803"/>
      <c r="CO253" s="855"/>
      <c r="CP253" s="965">
        <f>CF253</f>
        <v>0</v>
      </c>
      <c r="CQ253" s="151">
        <v>0</v>
      </c>
      <c r="CR253" s="151">
        <v>2000</v>
      </c>
      <c r="CS253" s="151">
        <v>0</v>
      </c>
      <c r="CT253" s="172">
        <v>0</v>
      </c>
      <c r="CU253" s="965">
        <f t="shared" ref="CU253:CU258" si="1013">+SUM(CQ253:CT253)</f>
        <v>2000</v>
      </c>
      <c r="CV253" s="151"/>
      <c r="CW253" s="151"/>
      <c r="CX253" s="151"/>
      <c r="CY253" s="172"/>
      <c r="CZ253" s="150">
        <v>1500</v>
      </c>
      <c r="DA253" s="151"/>
      <c r="DB253" s="151"/>
      <c r="DC253" s="151"/>
      <c r="DD253" s="172"/>
      <c r="DE253" s="150">
        <v>1500</v>
      </c>
      <c r="DF253" s="151"/>
      <c r="DG253" s="151"/>
      <c r="DH253" s="151"/>
      <c r="DI253" s="172"/>
      <c r="DJ253" s="150">
        <v>1500</v>
      </c>
      <c r="DK253" s="212"/>
      <c r="DL253" s="1286"/>
      <c r="DM253" s="810" t="s">
        <v>405</v>
      </c>
      <c r="DN253" s="810"/>
      <c r="DO253" s="810"/>
      <c r="DP253" s="1108"/>
      <c r="DQ253" s="1108"/>
      <c r="DR253" s="1108"/>
      <c r="DS253" s="1109"/>
      <c r="DT253" s="810"/>
      <c r="DU253" s="810"/>
      <c r="DV253" s="810"/>
      <c r="DW253" s="810"/>
      <c r="DX253" s="810"/>
      <c r="DY253" s="228"/>
      <c r="DZ253" s="216"/>
      <c r="EA253" s="216"/>
      <c r="EB253"/>
      <c r="EC253"/>
      <c r="ED253"/>
      <c r="EE253"/>
      <c r="EF253"/>
      <c r="EG253"/>
    </row>
    <row r="254" spans="1:137" s="224" customFormat="1">
      <c r="A254" s="188" t="s">
        <v>36</v>
      </c>
      <c r="B254" s="122">
        <v>-2508</v>
      </c>
      <c r="C254" s="122">
        <v>-110</v>
      </c>
      <c r="D254" s="122">
        <v>-2202</v>
      </c>
      <c r="E254" s="122">
        <v>-1089</v>
      </c>
      <c r="F254" s="122">
        <v>-133</v>
      </c>
      <c r="G254" s="122">
        <v>-210</v>
      </c>
      <c r="H254" s="124">
        <v>-17</v>
      </c>
      <c r="I254" s="123">
        <f>-32-H254</f>
        <v>-15</v>
      </c>
      <c r="J254" s="123">
        <f>-32-SUM(H254:I254)</f>
        <v>0</v>
      </c>
      <c r="K254" s="124">
        <f>L254-SUM(H254:J254)</f>
        <v>0</v>
      </c>
      <c r="L254" s="122">
        <v>-32</v>
      </c>
      <c r="M254" s="123">
        <v>0</v>
      </c>
      <c r="N254" s="123">
        <f>-103-M254</f>
        <v>-103</v>
      </c>
      <c r="O254" s="123">
        <f>-1103-SUM(M254:N254)</f>
        <v>-1000</v>
      </c>
      <c r="P254" s="124">
        <f>Q254-SUM(M254:O254)</f>
        <v>0</v>
      </c>
      <c r="Q254" s="122">
        <v>-1103</v>
      </c>
      <c r="R254" s="123">
        <v>0</v>
      </c>
      <c r="S254" s="123">
        <f>0-R254</f>
        <v>0</v>
      </c>
      <c r="T254" s="123">
        <f>0-SUM(R254:S254)</f>
        <v>0</v>
      </c>
      <c r="U254" s="124">
        <f>V254-SUM(R254:T254)</f>
        <v>-242</v>
      </c>
      <c r="V254" s="122">
        <v>-242</v>
      </c>
      <c r="W254" s="123">
        <v>0</v>
      </c>
      <c r="X254" s="123">
        <f>0-W254</f>
        <v>0</v>
      </c>
      <c r="Y254" s="123">
        <f>0-W254-X254</f>
        <v>0</v>
      </c>
      <c r="Z254" s="124">
        <f>0-SUM(W254:Y254)</f>
        <v>0</v>
      </c>
      <c r="AA254" s="122">
        <f>SUM(W254:Z254)</f>
        <v>0</v>
      </c>
      <c r="AB254" s="123">
        <v>0</v>
      </c>
      <c r="AC254" s="123">
        <f>0-AB254</f>
        <v>0</v>
      </c>
      <c r="AD254" s="123">
        <v>0</v>
      </c>
      <c r="AE254" s="124">
        <f>-632-AD254-AC254-AB254</f>
        <v>-632</v>
      </c>
      <c r="AF254" s="122">
        <f>SUM(AB254:AE254)</f>
        <v>-632</v>
      </c>
      <c r="AG254" s="124">
        <v>0</v>
      </c>
      <c r="AH254" s="189">
        <v>0</v>
      </c>
      <c r="AI254" s="189">
        <v>0</v>
      </c>
      <c r="AJ254" s="124">
        <f>+AK254-SUM(AG254:AI254)</f>
        <v>0</v>
      </c>
      <c r="AK254" s="122">
        <v>0</v>
      </c>
      <c r="AL254" s="189">
        <v>0</v>
      </c>
      <c r="AM254" s="189">
        <f>-150-AL254</f>
        <v>-150</v>
      </c>
      <c r="AN254" s="477">
        <f>-150-SUM(AL254:AM254)</f>
        <v>0</v>
      </c>
      <c r="AO254" s="123">
        <f>AP254-SUM(AL254:AN254)</f>
        <v>0</v>
      </c>
      <c r="AP254" s="122">
        <v>-150</v>
      </c>
      <c r="AQ254" s="743">
        <v>0</v>
      </c>
      <c r="AR254" s="803">
        <v>0</v>
      </c>
      <c r="AS254" s="803">
        <v>0</v>
      </c>
      <c r="AT254" s="855">
        <v>0</v>
      </c>
      <c r="AU254" s="122">
        <f t="shared" si="1010"/>
        <v>0</v>
      </c>
      <c r="AV254" s="850">
        <v>0</v>
      </c>
      <c r="AW254" s="803">
        <v>0</v>
      </c>
      <c r="AX254" s="803">
        <v>0</v>
      </c>
      <c r="AY254" s="855">
        <f t="shared" si="994"/>
        <v>0</v>
      </c>
      <c r="AZ254" s="122">
        <v>0</v>
      </c>
      <c r="BA254" s="122">
        <v>-150</v>
      </c>
      <c r="BB254" s="743">
        <v>0</v>
      </c>
      <c r="BC254" s="803">
        <v>0</v>
      </c>
      <c r="BD254" s="803">
        <v>0</v>
      </c>
      <c r="BE254" s="855">
        <v>0</v>
      </c>
      <c r="BF254" s="122">
        <f t="shared" si="1011"/>
        <v>0</v>
      </c>
      <c r="BG254" s="850">
        <v>0</v>
      </c>
      <c r="BH254" s="803">
        <v>0</v>
      </c>
      <c r="BI254" s="803">
        <v>0</v>
      </c>
      <c r="BJ254" s="855">
        <f t="shared" si="995"/>
        <v>0</v>
      </c>
      <c r="BK254" s="122">
        <v>0</v>
      </c>
      <c r="BL254" s="850">
        <v>0</v>
      </c>
      <c r="BM254" s="803">
        <f>-452-BL254</f>
        <v>-452</v>
      </c>
      <c r="BN254" s="803"/>
      <c r="BO254" s="855"/>
      <c r="BP254" s="814"/>
      <c r="BQ254" s="122">
        <v>-150</v>
      </c>
      <c r="BR254" s="850">
        <v>0</v>
      </c>
      <c r="BS254" s="803">
        <v>0</v>
      </c>
      <c r="BT254" s="803">
        <v>0</v>
      </c>
      <c r="BU254" s="855">
        <f t="shared" si="996"/>
        <v>0</v>
      </c>
      <c r="BV254" s="122">
        <v>0</v>
      </c>
      <c r="BW254" s="850">
        <v>0</v>
      </c>
      <c r="BX254" s="803">
        <f>-452-BW254</f>
        <v>-452</v>
      </c>
      <c r="BY254" s="803">
        <f>-952-BX254-BW254</f>
        <v>-500</v>
      </c>
      <c r="BZ254" s="855">
        <f t="shared" si="997"/>
        <v>0</v>
      </c>
      <c r="CA254" s="814">
        <v>-952</v>
      </c>
      <c r="CB254" s="850">
        <v>0</v>
      </c>
      <c r="CC254" s="803">
        <v>0</v>
      </c>
      <c r="CD254" s="803">
        <v>0</v>
      </c>
      <c r="CE254" s="855">
        <v>0</v>
      </c>
      <c r="CF254" s="965">
        <f t="shared" si="1012"/>
        <v>0</v>
      </c>
      <c r="CG254" s="850"/>
      <c r="CH254" s="803"/>
      <c r="CI254" s="803"/>
      <c r="CJ254" s="855"/>
      <c r="CK254" s="814">
        <v>-952</v>
      </c>
      <c r="CL254" s="850"/>
      <c r="CM254" s="803"/>
      <c r="CN254" s="803"/>
      <c r="CO254" s="855"/>
      <c r="CP254" s="965">
        <f>CF254</f>
        <v>0</v>
      </c>
      <c r="CQ254" s="151">
        <v>0</v>
      </c>
      <c r="CR254" s="151">
        <v>0</v>
      </c>
      <c r="CS254" s="151">
        <v>0</v>
      </c>
      <c r="CT254" s="172">
        <v>-750</v>
      </c>
      <c r="CU254" s="965">
        <f t="shared" si="1013"/>
        <v>-750</v>
      </c>
      <c r="CV254" s="151"/>
      <c r="CW254" s="151"/>
      <c r="CX254" s="151"/>
      <c r="CY254" s="172"/>
      <c r="CZ254" s="150">
        <v>-1800</v>
      </c>
      <c r="DA254" s="151"/>
      <c r="DB254" s="151"/>
      <c r="DC254" s="151"/>
      <c r="DD254" s="172"/>
      <c r="DE254" s="150">
        <v>-1800</v>
      </c>
      <c r="DF254" s="151"/>
      <c r="DG254" s="151"/>
      <c r="DH254" s="151"/>
      <c r="DI254" s="172"/>
      <c r="DJ254" s="150">
        <v>-1800</v>
      </c>
      <c r="DK254" s="212"/>
      <c r="DL254" s="1286"/>
      <c r="DM254" s="1177"/>
      <c r="DN254" s="810"/>
      <c r="DO254" s="1177"/>
      <c r="DP254" s="1108"/>
      <c r="DQ254" s="1108"/>
      <c r="DR254" s="1108"/>
      <c r="DS254" s="1109"/>
      <c r="DT254" s="810"/>
      <c r="DU254" s="810"/>
      <c r="DV254" s="810"/>
      <c r="DW254" s="810"/>
      <c r="DX254" s="810"/>
      <c r="DY254" s="228"/>
      <c r="DZ254" s="216"/>
      <c r="EA254" s="216"/>
      <c r="EB254"/>
      <c r="EC254"/>
      <c r="ED254"/>
      <c r="EE254"/>
      <c r="EF254"/>
      <c r="EG254"/>
    </row>
    <row r="255" spans="1:137" s="224" customFormat="1">
      <c r="A255" s="188" t="s">
        <v>18</v>
      </c>
      <c r="B255" s="204">
        <v>0</v>
      </c>
      <c r="C255" s="204">
        <v>-50</v>
      </c>
      <c r="D255" s="204">
        <v>-482</v>
      </c>
      <c r="E255" s="204">
        <v>-673</v>
      </c>
      <c r="F255" s="204">
        <v>-1310</v>
      </c>
      <c r="G255" s="204">
        <v>-2115</v>
      </c>
      <c r="H255" s="203">
        <v>-733</v>
      </c>
      <c r="I255" s="203">
        <f>-1394-H255</f>
        <v>-661</v>
      </c>
      <c r="J255" s="203">
        <f>-1805-SUM(H255:I255)</f>
        <v>-411</v>
      </c>
      <c r="K255" s="196">
        <f>L255-SUM(H255:J255)</f>
        <v>-322</v>
      </c>
      <c r="L255" s="204">
        <v>-2127</v>
      </c>
      <c r="M255" s="203">
        <v>-1185</v>
      </c>
      <c r="N255" s="203">
        <f>-1930-M255</f>
        <v>-745</v>
      </c>
      <c r="O255" s="203">
        <f>-2338-SUM(M255:N255)</f>
        <v>-408</v>
      </c>
      <c r="P255" s="196">
        <f>Q255-SUM(M255:O255)</f>
        <v>-593</v>
      </c>
      <c r="Q255" s="204">
        <v>-2931</v>
      </c>
      <c r="R255" s="203">
        <v>-499</v>
      </c>
      <c r="S255" s="203">
        <f>-969-R255</f>
        <v>-470</v>
      </c>
      <c r="T255" s="123">
        <f>-1362-SUM(R255:S255)</f>
        <v>-393</v>
      </c>
      <c r="U255" s="124">
        <f>V255-SUM(R255:T255)</f>
        <v>-489</v>
      </c>
      <c r="V255" s="204">
        <v>-1851</v>
      </c>
      <c r="W255" s="203">
        <v>-516</v>
      </c>
      <c r="X255" s="203">
        <f>-1247-W255</f>
        <v>-731</v>
      </c>
      <c r="Y255" s="123">
        <f>-1566-W255-X255</f>
        <v>-319</v>
      </c>
      <c r="Z255" s="124">
        <f>-2420-SUM(W255:Y255)</f>
        <v>-854</v>
      </c>
      <c r="AA255" s="204">
        <f>SUM(W255:Z255)</f>
        <v>-2420</v>
      </c>
      <c r="AB255" s="203">
        <v>-314</v>
      </c>
      <c r="AC255" s="203">
        <f>-1313-AB255</f>
        <v>-999</v>
      </c>
      <c r="AD255" s="123">
        <f>-2317-AC255-AB255</f>
        <v>-1004</v>
      </c>
      <c r="AE255" s="124">
        <f>-2465-AD255-AC255-AB255</f>
        <v>-148</v>
      </c>
      <c r="AF255" s="204">
        <f>SUM(AB255:AE255)</f>
        <v>-2465</v>
      </c>
      <c r="AG255" s="179">
        <v>-242</v>
      </c>
      <c r="AH255" s="203">
        <f>-423-AG255</f>
        <v>-181</v>
      </c>
      <c r="AI255" s="203">
        <f>-708-AH255-AG255</f>
        <v>-285</v>
      </c>
      <c r="AJ255" s="124">
        <f>+AK255-SUM(AG255:AI255)</f>
        <v>-282</v>
      </c>
      <c r="AK255" s="204">
        <v>-990</v>
      </c>
      <c r="AL255" s="123">
        <v>-461</v>
      </c>
      <c r="AM255" s="123">
        <f>-926-AL255</f>
        <v>-465</v>
      </c>
      <c r="AN255" s="123">
        <f>-1533-SUM(AL255:AM255)</f>
        <v>-607</v>
      </c>
      <c r="AO255" s="123">
        <f>AP255-SUM(AL255:AN255)</f>
        <v>-229</v>
      </c>
      <c r="AP255" s="204">
        <v>-1762</v>
      </c>
      <c r="AQ255" s="185">
        <v>-1106</v>
      </c>
      <c r="AR255" s="605">
        <f>-1230-AQ255</f>
        <v>-124</v>
      </c>
      <c r="AS255" s="179">
        <f>-1676-SUM(AQ255:AR255)</f>
        <v>-446</v>
      </c>
      <c r="AT255" s="205">
        <f>-1900-AQ255-AR255-AS255</f>
        <v>-224</v>
      </c>
      <c r="AU255" s="204">
        <f t="shared" si="1010"/>
        <v>-1900</v>
      </c>
      <c r="AV255" s="206">
        <v>-604</v>
      </c>
      <c r="AW255" s="605">
        <f>-1541-AV255</f>
        <v>-937</v>
      </c>
      <c r="AX255" s="179">
        <f>-2364-SUM(AV255:AW255)</f>
        <v>-823</v>
      </c>
      <c r="AY255" s="855">
        <f t="shared" si="994"/>
        <v>-707</v>
      </c>
      <c r="AZ255" s="214">
        <v>-3071</v>
      </c>
      <c r="BA255" s="204">
        <v>-1762</v>
      </c>
      <c r="BB255" s="185">
        <v>-1106</v>
      </c>
      <c r="BC255" s="605">
        <f>-1230-BB255</f>
        <v>-124</v>
      </c>
      <c r="BD255" s="179">
        <f>-1676-SUM(BB255:BC255)</f>
        <v>-446</v>
      </c>
      <c r="BE255" s="205">
        <f>-1900-BB255-BC255-BD255</f>
        <v>-224</v>
      </c>
      <c r="BF255" s="204">
        <f t="shared" si="1011"/>
        <v>-1900</v>
      </c>
      <c r="BG255" s="206">
        <v>-604</v>
      </c>
      <c r="BH255" s="605">
        <f>-1541-BG255</f>
        <v>-937</v>
      </c>
      <c r="BI255" s="179">
        <f>-2364-SUM(BG255:BH255)</f>
        <v>-823</v>
      </c>
      <c r="BJ255" s="855">
        <f t="shared" si="995"/>
        <v>-707</v>
      </c>
      <c r="BK255" s="214">
        <v>-3071</v>
      </c>
      <c r="BL255" s="206">
        <v>-501</v>
      </c>
      <c r="BM255" s="605">
        <f>-1002-BL255</f>
        <v>-501</v>
      </c>
      <c r="BN255" s="179"/>
      <c r="BO255" s="855"/>
      <c r="BP255" s="604"/>
      <c r="BQ255" s="204">
        <v>-1762</v>
      </c>
      <c r="BR255" s="206">
        <v>-604</v>
      </c>
      <c r="BS255" s="605">
        <f>-1541-BR255</f>
        <v>-937</v>
      </c>
      <c r="BT255" s="179">
        <f>-2364-SUM(BR255:BS255)</f>
        <v>-823</v>
      </c>
      <c r="BU255" s="855">
        <f t="shared" si="996"/>
        <v>-707</v>
      </c>
      <c r="BV255" s="214">
        <v>-3071</v>
      </c>
      <c r="BW255" s="206">
        <v>-501</v>
      </c>
      <c r="BX255" s="605">
        <f>-1002-BW255</f>
        <v>-501</v>
      </c>
      <c r="BY255" s="179">
        <f>-1280-BX255-BW255</f>
        <v>-278</v>
      </c>
      <c r="BZ255" s="855">
        <f t="shared" si="997"/>
        <v>-816</v>
      </c>
      <c r="CA255" s="604">
        <v>-2096</v>
      </c>
      <c r="CB255" s="206">
        <v>-500</v>
      </c>
      <c r="CC255" s="605">
        <f>-1000-CB255</f>
        <v>-500</v>
      </c>
      <c r="CD255" s="179">
        <f>-1500-CC255-CB255</f>
        <v>-500</v>
      </c>
      <c r="CE255" s="855">
        <f>-2001-CD255-CC255-CB255</f>
        <v>-501</v>
      </c>
      <c r="CF255" s="204">
        <f t="shared" si="1012"/>
        <v>-2001</v>
      </c>
      <c r="CG255" s="206"/>
      <c r="CH255" s="605"/>
      <c r="CI255" s="179"/>
      <c r="CJ255" s="855"/>
      <c r="CK255" s="604">
        <v>-2096</v>
      </c>
      <c r="CL255" s="206"/>
      <c r="CM255" s="605"/>
      <c r="CN255" s="179"/>
      <c r="CO255" s="855"/>
      <c r="CP255" s="204">
        <f t="shared" ref="CP255:CP263" si="1014">CF255</f>
        <v>-2001</v>
      </c>
      <c r="CQ255" s="179">
        <f t="shared" ref="CQ255:CT255" si="1015">-CQ223*CQ228</f>
        <v>-420.73982775965612</v>
      </c>
      <c r="CR255" s="179">
        <f t="shared" si="1015"/>
        <v>-430.62449854977496</v>
      </c>
      <c r="CS255" s="179">
        <f>-CS223*CS228</f>
        <v>-440.74206466336489</v>
      </c>
      <c r="CT255" s="205">
        <f t="shared" si="1015"/>
        <v>-451.09802938981187</v>
      </c>
      <c r="CU255" s="204">
        <f t="shared" si="1013"/>
        <v>-1743.2044203626078</v>
      </c>
      <c r="CV255" s="179"/>
      <c r="CW255" s="179"/>
      <c r="CX255" s="179"/>
      <c r="CY255" s="205"/>
      <c r="CZ255" s="204">
        <f>-CZ223*CZ228</f>
        <v>-2525.7961081292538</v>
      </c>
      <c r="DA255" s="179"/>
      <c r="DB255" s="179"/>
      <c r="DC255" s="179"/>
      <c r="DD255" s="205"/>
      <c r="DE255" s="204">
        <f>-DE223*DE228</f>
        <v>-3293.9220626617134</v>
      </c>
      <c r="DF255" s="179"/>
      <c r="DG255" s="179"/>
      <c r="DH255" s="179"/>
      <c r="DI255" s="205"/>
      <c r="DJ255" s="204">
        <f>-DJ223*DJ228</f>
        <v>-3243.5562493924322</v>
      </c>
      <c r="DK255" s="212"/>
      <c r="DL255" s="1286"/>
      <c r="DM255" s="809"/>
      <c r="DN255" s="809"/>
      <c r="DO255" s="810"/>
      <c r="DP255" s="1053"/>
      <c r="DQ255" s="1053"/>
      <c r="DR255" s="1053"/>
      <c r="DS255" s="1133"/>
      <c r="DT255" s="1133"/>
      <c r="DU255" s="1133"/>
      <c r="DV255" s="1133"/>
      <c r="DW255" s="1133"/>
      <c r="DX255" s="810"/>
      <c r="DY255" s="228"/>
      <c r="DZ255" s="216"/>
      <c r="EA255" s="216"/>
      <c r="EB255"/>
      <c r="EC255"/>
      <c r="ED255"/>
      <c r="EE255"/>
      <c r="EF255"/>
      <c r="EG255"/>
    </row>
    <row r="256" spans="1:137" s="224" customFormat="1">
      <c r="A256" s="207" t="s">
        <v>22</v>
      </c>
      <c r="B256" s="214">
        <v>0</v>
      </c>
      <c r="C256" s="214">
        <v>0</v>
      </c>
      <c r="D256" s="214">
        <v>0</v>
      </c>
      <c r="E256" s="214">
        <v>0</v>
      </c>
      <c r="F256" s="214">
        <v>0</v>
      </c>
      <c r="G256" s="214">
        <v>0</v>
      </c>
      <c r="H256" s="216">
        <v>0</v>
      </c>
      <c r="I256" s="216">
        <v>0</v>
      </c>
      <c r="J256" s="216">
        <v>0</v>
      </c>
      <c r="K256" s="216">
        <v>0</v>
      </c>
      <c r="L256" s="214">
        <v>0</v>
      </c>
      <c r="M256" s="216">
        <v>0</v>
      </c>
      <c r="N256" s="216">
        <v>0</v>
      </c>
      <c r="O256" s="216">
        <v>0</v>
      </c>
      <c r="P256" s="216">
        <v>0</v>
      </c>
      <c r="Q256" s="214">
        <v>0</v>
      </c>
      <c r="R256" s="216">
        <v>0</v>
      </c>
      <c r="S256" s="216">
        <v>0</v>
      </c>
      <c r="T256" s="211">
        <v>0</v>
      </c>
      <c r="U256" s="210">
        <v>0</v>
      </c>
      <c r="V256" s="214">
        <v>0</v>
      </c>
      <c r="W256" s="216">
        <v>0</v>
      </c>
      <c r="X256" s="216">
        <v>0</v>
      </c>
      <c r="Y256" s="211">
        <v>0</v>
      </c>
      <c r="Z256" s="210">
        <f>AA256-SUM(W256:Y256)</f>
        <v>59</v>
      </c>
      <c r="AA256" s="214">
        <v>59</v>
      </c>
      <c r="AB256" s="216">
        <v>0</v>
      </c>
      <c r="AC256" s="216">
        <f>60-AB256</f>
        <v>60</v>
      </c>
      <c r="AD256" s="211">
        <f>81-SUM(AB256:AC256)</f>
        <v>21</v>
      </c>
      <c r="AE256" s="210">
        <f>AF256-SUM(AB256:AD256)</f>
        <v>-81</v>
      </c>
      <c r="AF256" s="214">
        <v>0</v>
      </c>
      <c r="AG256" s="216">
        <v>159</v>
      </c>
      <c r="AH256" s="216">
        <f>235-AG256</f>
        <v>76</v>
      </c>
      <c r="AI256" s="216">
        <f>337-SUM(AG256:AH256)</f>
        <v>102</v>
      </c>
      <c r="AJ256" s="210">
        <f>AK256-SUM(AG256:AI256)</f>
        <v>103</v>
      </c>
      <c r="AK256" s="214">
        <v>440</v>
      </c>
      <c r="AL256" s="211">
        <v>55</v>
      </c>
      <c r="AM256" s="211">
        <f>389-AL256</f>
        <v>334</v>
      </c>
      <c r="AN256" s="211">
        <f>749-SUM(AL256:AM256)</f>
        <v>360</v>
      </c>
      <c r="AO256" s="211">
        <f>AP256-SUM(AL256:AN256)</f>
        <v>78</v>
      </c>
      <c r="AP256" s="214">
        <v>827</v>
      </c>
      <c r="AQ256" s="399">
        <v>197</v>
      </c>
      <c r="AR256" s="554">
        <f>223-AQ256</f>
        <v>26</v>
      </c>
      <c r="AS256" s="554">
        <f>278-SUM(AQ256:AR256)</f>
        <v>55</v>
      </c>
      <c r="AT256" s="861">
        <f>308-AQ256-AR256-AS256</f>
        <v>30</v>
      </c>
      <c r="AU256" s="214">
        <f t="shared" si="1010"/>
        <v>308</v>
      </c>
      <c r="AV256" s="854">
        <v>65</v>
      </c>
      <c r="AW256" s="554">
        <f>84-AV256</f>
        <v>19</v>
      </c>
      <c r="AX256" s="554">
        <f>126-SUM(AV256:AW256)</f>
        <v>42</v>
      </c>
      <c r="AY256" s="855">
        <f t="shared" si="994"/>
        <v>48</v>
      </c>
      <c r="AZ256" s="214">
        <v>174</v>
      </c>
      <c r="BA256" s="214">
        <v>827</v>
      </c>
      <c r="BB256" s="399">
        <v>197</v>
      </c>
      <c r="BC256" s="554">
        <f>223-BB256</f>
        <v>26</v>
      </c>
      <c r="BD256" s="554">
        <f>278-SUM(BB256:BC256)</f>
        <v>55</v>
      </c>
      <c r="BE256" s="861">
        <f>308-BB256-BC256-BD256</f>
        <v>30</v>
      </c>
      <c r="BF256" s="214">
        <f t="shared" si="1011"/>
        <v>308</v>
      </c>
      <c r="BG256" s="854">
        <v>65</v>
      </c>
      <c r="BH256" s="554">
        <f>84-BG256</f>
        <v>19</v>
      </c>
      <c r="BI256" s="554">
        <f>126-SUM(BG256:BH256)</f>
        <v>42</v>
      </c>
      <c r="BJ256" s="855">
        <f t="shared" si="995"/>
        <v>48</v>
      </c>
      <c r="BK256" s="214">
        <v>174</v>
      </c>
      <c r="BL256" s="854">
        <v>28</v>
      </c>
      <c r="BM256" s="554">
        <f>53-BL256</f>
        <v>25</v>
      </c>
      <c r="BN256" s="554"/>
      <c r="BO256" s="855"/>
      <c r="BP256" s="604"/>
      <c r="BQ256" s="214">
        <v>827</v>
      </c>
      <c r="BR256" s="854">
        <v>65</v>
      </c>
      <c r="BS256" s="554">
        <f>84-BR256</f>
        <v>19</v>
      </c>
      <c r="BT256" s="554">
        <f>126-SUM(BR256:BS256)</f>
        <v>42</v>
      </c>
      <c r="BU256" s="855">
        <f t="shared" si="996"/>
        <v>48</v>
      </c>
      <c r="BV256" s="214">
        <v>174</v>
      </c>
      <c r="BW256" s="854">
        <v>28</v>
      </c>
      <c r="BX256" s="554">
        <f>53-BW256</f>
        <v>25</v>
      </c>
      <c r="BY256" s="554">
        <f>75-SUM(BW256:BX256)</f>
        <v>22</v>
      </c>
      <c r="BZ256" s="855">
        <f t="shared" si="997"/>
        <v>31</v>
      </c>
      <c r="CA256" s="604">
        <v>106</v>
      </c>
      <c r="CB256" s="854">
        <v>31</v>
      </c>
      <c r="CC256" s="554">
        <f>44-CB256</f>
        <v>13</v>
      </c>
      <c r="CD256" s="554">
        <f>62-CC256-CB256</f>
        <v>18</v>
      </c>
      <c r="CE256" s="855">
        <f>71-CD256-CC256-CB256</f>
        <v>9</v>
      </c>
      <c r="CF256" s="204">
        <f t="shared" si="1012"/>
        <v>71</v>
      </c>
      <c r="CG256" s="854"/>
      <c r="CH256" s="554"/>
      <c r="CI256" s="554"/>
      <c r="CJ256" s="855"/>
      <c r="CK256" s="604">
        <v>106</v>
      </c>
      <c r="CL256" s="854"/>
      <c r="CM256" s="554"/>
      <c r="CN256" s="554"/>
      <c r="CO256" s="855"/>
      <c r="CP256" s="204">
        <f t="shared" si="1014"/>
        <v>71</v>
      </c>
      <c r="CQ256" s="318">
        <f>92/4</f>
        <v>23</v>
      </c>
      <c r="CR256" s="318">
        <f t="shared" ref="CR256:CT256" si="1016">92/4</f>
        <v>23</v>
      </c>
      <c r="CS256" s="318">
        <f t="shared" si="1016"/>
        <v>23</v>
      </c>
      <c r="CT256" s="319">
        <f t="shared" si="1016"/>
        <v>23</v>
      </c>
      <c r="CU256" s="204">
        <f t="shared" si="1013"/>
        <v>92</v>
      </c>
      <c r="CV256" s="318"/>
      <c r="CW256" s="318"/>
      <c r="CX256" s="318"/>
      <c r="CY256" s="319"/>
      <c r="CZ256" s="320">
        <f>+CU256</f>
        <v>92</v>
      </c>
      <c r="DA256" s="318"/>
      <c r="DB256" s="318"/>
      <c r="DC256" s="318"/>
      <c r="DD256" s="319"/>
      <c r="DE256" s="320">
        <f>+CZ256</f>
        <v>92</v>
      </c>
      <c r="DF256" s="318"/>
      <c r="DG256" s="318"/>
      <c r="DH256" s="318"/>
      <c r="DI256" s="319"/>
      <c r="DJ256" s="320">
        <f>+DE256</f>
        <v>92</v>
      </c>
      <c r="DK256" s="212"/>
      <c r="DL256" s="1286"/>
      <c r="DM256" s="866"/>
      <c r="DN256" s="866"/>
      <c r="DO256" s="810"/>
      <c r="DP256" s="1060"/>
      <c r="DQ256" s="1060"/>
      <c r="DR256" s="1060"/>
      <c r="DS256" s="1201"/>
      <c r="DT256" s="1113"/>
      <c r="DU256" s="1113"/>
      <c r="DV256" s="1113"/>
      <c r="DW256" s="1113"/>
      <c r="DX256" s="810"/>
      <c r="DY256" s="228"/>
      <c r="DZ256" s="216"/>
      <c r="EA256" s="216"/>
      <c r="EB256"/>
      <c r="EC256"/>
      <c r="ED256"/>
      <c r="EE256"/>
      <c r="EF256"/>
      <c r="EG256"/>
    </row>
    <row r="257" spans="1:137" s="224" customFormat="1">
      <c r="A257" s="187" t="s">
        <v>35</v>
      </c>
      <c r="B257" s="119">
        <v>-192</v>
      </c>
      <c r="C257" s="119">
        <v>-199</v>
      </c>
      <c r="D257" s="119">
        <v>-261</v>
      </c>
      <c r="E257" s="119">
        <v>-405</v>
      </c>
      <c r="F257" s="119">
        <v>-462</v>
      </c>
      <c r="G257" s="119">
        <v>-538</v>
      </c>
      <c r="H257" s="124">
        <v>0</v>
      </c>
      <c r="I257" s="123">
        <f>-295-H257</f>
        <v>-295</v>
      </c>
      <c r="J257" s="125">
        <f>-440-SUM(H257:I257)</f>
        <v>-145</v>
      </c>
      <c r="K257" s="121">
        <f>L257-SUM(H257:J257)</f>
        <v>-175</v>
      </c>
      <c r="L257" s="119">
        <v>-615</v>
      </c>
      <c r="M257" s="125">
        <v>-172</v>
      </c>
      <c r="N257" s="125">
        <f>-340-M257</f>
        <v>-168</v>
      </c>
      <c r="O257" s="125">
        <f>-510-SUM(M257:N257)</f>
        <v>-170</v>
      </c>
      <c r="P257" s="121">
        <f>Q257-SUM(M257:O257)</f>
        <v>-227</v>
      </c>
      <c r="Q257" s="122">
        <v>-737</v>
      </c>
      <c r="R257" s="125">
        <v>-227</v>
      </c>
      <c r="S257" s="125">
        <f>-449-R257</f>
        <v>-222</v>
      </c>
      <c r="T257" s="123">
        <f>-668-SUM(R257:S257)</f>
        <v>-219</v>
      </c>
      <c r="U257" s="124">
        <f>V257-SUM(R257:T257)</f>
        <v>-240</v>
      </c>
      <c r="V257" s="122">
        <v>-908</v>
      </c>
      <c r="W257" s="123">
        <v>-238</v>
      </c>
      <c r="X257" s="125">
        <f>-471-W257</f>
        <v>-233</v>
      </c>
      <c r="Y257" s="123">
        <f>-700-W257-X257</f>
        <v>-229</v>
      </c>
      <c r="Z257" s="124">
        <f>-969-SUM(W257:Y257)</f>
        <v>-269</v>
      </c>
      <c r="AA257" s="122">
        <f>SUM(W257:Z257)</f>
        <v>-969</v>
      </c>
      <c r="AB257" s="123">
        <v>-266</v>
      </c>
      <c r="AC257" s="125">
        <f>-524-AB257</f>
        <v>-258</v>
      </c>
      <c r="AD257" s="211">
        <f>-770-AC257-AB257</f>
        <v>-246</v>
      </c>
      <c r="AE257" s="210">
        <f>-1095-AD257-AC257-AB257</f>
        <v>-325</v>
      </c>
      <c r="AF257" s="208">
        <f>SUM(AB257:AE257)</f>
        <v>-1095</v>
      </c>
      <c r="AG257" s="210">
        <v>-327</v>
      </c>
      <c r="AH257" s="125">
        <f>-653-AG257</f>
        <v>-326</v>
      </c>
      <c r="AI257" s="125">
        <f>-979-AH257-AG257</f>
        <v>-326</v>
      </c>
      <c r="AJ257" s="124">
        <f>+AK257-SUM(AG257:AI257)</f>
        <v>-373</v>
      </c>
      <c r="AK257" s="122">
        <v>-1352</v>
      </c>
      <c r="AL257" s="123">
        <v>-371</v>
      </c>
      <c r="AM257" s="123">
        <f>-742-AL257</f>
        <v>-371</v>
      </c>
      <c r="AN257" s="123">
        <f>-1112-SUM(AL257:AM257)</f>
        <v>-370</v>
      </c>
      <c r="AO257" s="123">
        <f>AP257-SUM(AL257:AN257)</f>
        <v>-428</v>
      </c>
      <c r="AP257" s="122">
        <v>-1540</v>
      </c>
      <c r="AQ257" s="743">
        <v>-444</v>
      </c>
      <c r="AR257" s="803">
        <f>-865-AQ257</f>
        <v>-421</v>
      </c>
      <c r="AS257" s="124">
        <f>-1286-SUM(AQ257:AR257)</f>
        <v>-421</v>
      </c>
      <c r="AT257" s="855">
        <f>-1760-AQ257-AR257-AS257</f>
        <v>-474</v>
      </c>
      <c r="AU257" s="122">
        <f t="shared" si="1010"/>
        <v>-1760</v>
      </c>
      <c r="AV257" s="850">
        <v>-498</v>
      </c>
      <c r="AW257" s="803">
        <f>-965-AV257</f>
        <v>-467</v>
      </c>
      <c r="AX257" s="803">
        <f>-1427-SUM(AV257:AW257)</f>
        <v>-462</v>
      </c>
      <c r="AY257" s="855">
        <f t="shared" si="994"/>
        <v>-505</v>
      </c>
      <c r="AZ257" s="814">
        <v>-1932</v>
      </c>
      <c r="BA257" s="122">
        <v>-1540</v>
      </c>
      <c r="BB257" s="743">
        <v>-444</v>
      </c>
      <c r="BC257" s="803">
        <f>-865-BB257</f>
        <v>-421</v>
      </c>
      <c r="BD257" s="124">
        <f>-1286-SUM(BB257:BC257)</f>
        <v>-421</v>
      </c>
      <c r="BE257" s="855">
        <f>-1760-BB257-BC257-BD257</f>
        <v>-474</v>
      </c>
      <c r="BF257" s="122">
        <f t="shared" si="1011"/>
        <v>-1760</v>
      </c>
      <c r="BG257" s="850">
        <v>-498</v>
      </c>
      <c r="BH257" s="803">
        <f>-965-BG257</f>
        <v>-467</v>
      </c>
      <c r="BI257" s="803">
        <f>-1427-SUM(BG257:BH257)</f>
        <v>-462</v>
      </c>
      <c r="BJ257" s="855">
        <f t="shared" si="995"/>
        <v>-505</v>
      </c>
      <c r="BK257" s="814">
        <v>-1932</v>
      </c>
      <c r="BL257" s="850">
        <v>-533</v>
      </c>
      <c r="BM257" s="803">
        <f>-1034-BL257</f>
        <v>-501</v>
      </c>
      <c r="BN257" s="803"/>
      <c r="BO257" s="855"/>
      <c r="BP257" s="814"/>
      <c r="BQ257" s="122">
        <v>-1540</v>
      </c>
      <c r="BR257" s="850">
        <v>-498</v>
      </c>
      <c r="BS257" s="803">
        <f>-965-BR257</f>
        <v>-467</v>
      </c>
      <c r="BT257" s="803">
        <f>-1427-SUM(BR257:BS257)</f>
        <v>-462</v>
      </c>
      <c r="BU257" s="855">
        <f t="shared" si="996"/>
        <v>-505</v>
      </c>
      <c r="BV257" s="814">
        <v>-1932</v>
      </c>
      <c r="BW257" s="850">
        <v>-533</v>
      </c>
      <c r="BX257" s="803">
        <f>-1034-BW257</f>
        <v>-501</v>
      </c>
      <c r="BY257" s="803">
        <f>-1518-SUM(BW257:BX257)</f>
        <v>-484</v>
      </c>
      <c r="BZ257" s="855">
        <f t="shared" si="997"/>
        <v>-530</v>
      </c>
      <c r="CA257" s="814">
        <v>-2048</v>
      </c>
      <c r="CB257" s="850">
        <v>-544</v>
      </c>
      <c r="CC257" s="803">
        <f>-1069-CB257</f>
        <v>-525</v>
      </c>
      <c r="CD257" s="803">
        <f>-1591-CC257-CB257</f>
        <v>-522</v>
      </c>
      <c r="CE257" s="855">
        <f>-2163-CD257-CC257-CB257</f>
        <v>-572</v>
      </c>
      <c r="CF257" s="204">
        <f t="shared" si="1012"/>
        <v>-2163</v>
      </c>
      <c r="CG257" s="850"/>
      <c r="CH257" s="803"/>
      <c r="CI257" s="803"/>
      <c r="CJ257" s="855"/>
      <c r="CK257" s="814">
        <v>-2048</v>
      </c>
      <c r="CL257" s="850"/>
      <c r="CM257" s="803"/>
      <c r="CN257" s="803"/>
      <c r="CO257" s="855"/>
      <c r="CP257" s="204">
        <f t="shared" si="1014"/>
        <v>-2163</v>
      </c>
      <c r="CQ257" s="124">
        <f t="shared" ref="CQ257:CT257" si="1017">-CQ231*CQ226</f>
        <v>-570.37049999999999</v>
      </c>
      <c r="CR257" s="124">
        <f t="shared" si="1017"/>
        <v>-568.94457375000002</v>
      </c>
      <c r="CS257" s="124">
        <f t="shared" si="1017"/>
        <v>-567.5222123156251</v>
      </c>
      <c r="CT257" s="127">
        <f t="shared" si="1017"/>
        <v>-679.32408814180314</v>
      </c>
      <c r="CU257" s="204">
        <f t="shared" si="1013"/>
        <v>-2386.1613742074283</v>
      </c>
      <c r="CV257" s="124"/>
      <c r="CW257" s="124"/>
      <c r="CX257" s="124"/>
      <c r="CY257" s="127"/>
      <c r="CZ257" s="122">
        <f>-CZ231*CZ226</f>
        <v>-2584.5551794885273</v>
      </c>
      <c r="DA257" s="124"/>
      <c r="DB257" s="124"/>
      <c r="DC257" s="124"/>
      <c r="DD257" s="127"/>
      <c r="DE257" s="122">
        <f>-DE231*DE226</f>
        <v>-2786.1504834886327</v>
      </c>
      <c r="DF257" s="124"/>
      <c r="DG257" s="124"/>
      <c r="DH257" s="124"/>
      <c r="DI257" s="127"/>
      <c r="DJ257" s="122">
        <f>-DJ231*DJ226</f>
        <v>-3011.1321350303401</v>
      </c>
      <c r="DK257" s="212"/>
      <c r="DL257" s="1286"/>
      <c r="DM257" s="810"/>
      <c r="DN257" s="810"/>
      <c r="DO257" s="810"/>
      <c r="DP257" s="1053"/>
      <c r="DQ257" s="1053"/>
      <c r="DR257" s="1053"/>
      <c r="DS257" s="1203"/>
      <c r="DT257" s="1113"/>
      <c r="DU257" s="1114"/>
      <c r="DV257" s="1114"/>
      <c r="DW257" s="1114"/>
      <c r="DX257" s="810"/>
      <c r="DY257" s="228"/>
      <c r="DZ257" s="216"/>
      <c r="EA257" s="216"/>
      <c r="EB257"/>
      <c r="EC257"/>
      <c r="ED257"/>
      <c r="EE257"/>
      <c r="EF257"/>
      <c r="EG257"/>
    </row>
    <row r="258" spans="1:137" s="224" customFormat="1">
      <c r="A258" s="247" t="s">
        <v>69</v>
      </c>
      <c r="B258" s="248">
        <f t="shared" ref="B258:AR258" si="1018">B259-B255-B256-B257-B253-B254</f>
        <v>143</v>
      </c>
      <c r="C258" s="248">
        <f t="shared" si="1018"/>
        <v>436</v>
      </c>
      <c r="D258" s="248">
        <f t="shared" si="1018"/>
        <v>-131</v>
      </c>
      <c r="E258" s="248">
        <f t="shared" si="1018"/>
        <v>1</v>
      </c>
      <c r="F258" s="248">
        <f t="shared" si="1018"/>
        <v>394</v>
      </c>
      <c r="G258" s="248">
        <f t="shared" si="1018"/>
        <v>403</v>
      </c>
      <c r="H258" s="250">
        <f t="shared" si="1018"/>
        <v>149</v>
      </c>
      <c r="I258" s="250">
        <f t="shared" si="1018"/>
        <v>105</v>
      </c>
      <c r="J258" s="250">
        <f t="shared" si="1018"/>
        <v>160</v>
      </c>
      <c r="K258" s="250">
        <f t="shared" si="1018"/>
        <v>60</v>
      </c>
      <c r="L258" s="248">
        <f t="shared" si="1018"/>
        <v>474</v>
      </c>
      <c r="M258" s="250">
        <f t="shared" si="1018"/>
        <v>64</v>
      </c>
      <c r="N258" s="250">
        <f t="shared" si="1018"/>
        <v>96</v>
      </c>
      <c r="O258" s="250">
        <f t="shared" si="1018"/>
        <v>172</v>
      </c>
      <c r="P258" s="250">
        <f t="shared" si="1018"/>
        <v>10</v>
      </c>
      <c r="Q258" s="248">
        <f t="shared" si="1018"/>
        <v>342</v>
      </c>
      <c r="R258" s="250">
        <f t="shared" si="1018"/>
        <v>16</v>
      </c>
      <c r="S258" s="250">
        <f t="shared" si="1018"/>
        <v>20</v>
      </c>
      <c r="T258" s="250">
        <f t="shared" si="1018"/>
        <v>12</v>
      </c>
      <c r="U258" s="250">
        <f t="shared" si="1018"/>
        <v>13</v>
      </c>
      <c r="V258" s="248">
        <f t="shared" si="1018"/>
        <v>61</v>
      </c>
      <c r="W258" s="250">
        <f t="shared" si="1018"/>
        <v>24</v>
      </c>
      <c r="X258" s="250">
        <f t="shared" si="1018"/>
        <v>-26</v>
      </c>
      <c r="Y258" s="250">
        <f t="shared" si="1018"/>
        <v>12</v>
      </c>
      <c r="Z258" s="250">
        <f t="shared" si="1018"/>
        <v>-38</v>
      </c>
      <c r="AA258" s="248">
        <f t="shared" si="1018"/>
        <v>-28</v>
      </c>
      <c r="AB258" s="250">
        <f t="shared" si="1018"/>
        <v>55</v>
      </c>
      <c r="AC258" s="250">
        <f t="shared" si="1018"/>
        <v>-52</v>
      </c>
      <c r="AD258" s="250">
        <f t="shared" si="1018"/>
        <v>-49</v>
      </c>
      <c r="AE258" s="250">
        <f t="shared" si="1018"/>
        <v>139</v>
      </c>
      <c r="AF258" s="248">
        <f t="shared" si="1018"/>
        <v>93</v>
      </c>
      <c r="AG258" s="250">
        <f t="shared" si="1018"/>
        <v>-122</v>
      </c>
      <c r="AH258" s="250">
        <f t="shared" si="1018"/>
        <v>19</v>
      </c>
      <c r="AI258" s="250">
        <f t="shared" si="1018"/>
        <v>15</v>
      </c>
      <c r="AJ258" s="250">
        <f t="shared" si="1018"/>
        <v>-78</v>
      </c>
      <c r="AK258" s="248">
        <f t="shared" si="1018"/>
        <v>-166</v>
      </c>
      <c r="AL258" s="561">
        <f t="shared" si="1018"/>
        <v>15</v>
      </c>
      <c r="AM258" s="561">
        <f t="shared" si="1018"/>
        <v>0</v>
      </c>
      <c r="AN258" s="561">
        <f t="shared" si="1018"/>
        <v>-30</v>
      </c>
      <c r="AO258" s="561">
        <f t="shared" si="1018"/>
        <v>-66</v>
      </c>
      <c r="AP258" s="560">
        <f t="shared" si="1018"/>
        <v>-81</v>
      </c>
      <c r="AQ258" s="561">
        <f t="shared" si="1018"/>
        <v>26</v>
      </c>
      <c r="AR258" s="808">
        <f t="shared" si="1018"/>
        <v>14</v>
      </c>
      <c r="AS258" s="804">
        <f>27-SUM(AQ258:AR258)</f>
        <v>-13</v>
      </c>
      <c r="AT258" s="860">
        <f>38-AQ258-AR258-AS258</f>
        <v>11</v>
      </c>
      <c r="AU258" s="122">
        <f t="shared" si="1010"/>
        <v>38</v>
      </c>
      <c r="AV258" s="853">
        <v>-1</v>
      </c>
      <c r="AW258" s="804">
        <f>-37-AV258</f>
        <v>-36</v>
      </c>
      <c r="AX258" s="804">
        <f>-20-SUM(AV258:AW258)</f>
        <v>17</v>
      </c>
      <c r="AY258" s="860">
        <f t="shared" si="994"/>
        <v>25</v>
      </c>
      <c r="AZ258" s="967">
        <v>5</v>
      </c>
      <c r="BA258" s="560">
        <f t="shared" ref="BA258" si="1019">BA259-BA255-BA256-BA257-BA253-BA254</f>
        <v>-81</v>
      </c>
      <c r="BB258" s="561">
        <f t="shared" ref="BB258:BC258" si="1020">BB259-BB255-BB256-BB257-BB253-BB254</f>
        <v>26</v>
      </c>
      <c r="BC258" s="808">
        <f t="shared" si="1020"/>
        <v>14</v>
      </c>
      <c r="BD258" s="804">
        <f>27-SUM(BB258:BC258)</f>
        <v>-13</v>
      </c>
      <c r="BE258" s="860">
        <f>38-BB258-BC258-BD258</f>
        <v>11</v>
      </c>
      <c r="BF258" s="122">
        <f t="shared" si="1011"/>
        <v>38</v>
      </c>
      <c r="BG258" s="853">
        <v>-1</v>
      </c>
      <c r="BH258" s="804">
        <f>-37-BG258</f>
        <v>-36</v>
      </c>
      <c r="BI258" s="804">
        <f>-20-SUM(BG258:BH258)</f>
        <v>17</v>
      </c>
      <c r="BJ258" s="860">
        <f t="shared" si="995"/>
        <v>25</v>
      </c>
      <c r="BK258" s="967">
        <v>5</v>
      </c>
      <c r="BL258" s="853">
        <v>-48</v>
      </c>
      <c r="BM258" s="804">
        <f>-199-BL258</f>
        <v>-151</v>
      </c>
      <c r="BN258" s="804"/>
      <c r="BO258" s="860"/>
      <c r="BP258" s="967"/>
      <c r="BQ258" s="560">
        <f t="shared" ref="BQ258" si="1021">BQ259-BQ255-BQ256-BQ257-BQ253-BQ254</f>
        <v>-81</v>
      </c>
      <c r="BR258" s="853">
        <v>-1</v>
      </c>
      <c r="BS258" s="804">
        <f>-37-BR258</f>
        <v>-36</v>
      </c>
      <c r="BT258" s="804">
        <f>-20-SUM(BR258:BS258)</f>
        <v>17</v>
      </c>
      <c r="BU258" s="860">
        <f t="shared" si="996"/>
        <v>25</v>
      </c>
      <c r="BV258" s="967">
        <v>5</v>
      </c>
      <c r="BW258" s="853">
        <v>-48</v>
      </c>
      <c r="BX258" s="804">
        <f>-199-BW258</f>
        <v>-151</v>
      </c>
      <c r="BY258" s="804">
        <f>-229+1800-SUM(BW258:BX258)</f>
        <v>1770</v>
      </c>
      <c r="BZ258" s="860">
        <f t="shared" si="997"/>
        <v>-38</v>
      </c>
      <c r="CA258" s="967">
        <f>1800-267</f>
        <v>1533</v>
      </c>
      <c r="CB258" s="853">
        <v>-108</v>
      </c>
      <c r="CC258" s="803">
        <f>-131-CB258</f>
        <v>-23</v>
      </c>
      <c r="CD258" s="803">
        <f>-176-CC258-CB258</f>
        <v>-45</v>
      </c>
      <c r="CE258" s="855">
        <f>-212-CD258-CC258-CB258</f>
        <v>-36</v>
      </c>
      <c r="CF258" s="965">
        <f t="shared" si="1012"/>
        <v>-212</v>
      </c>
      <c r="CG258" s="853"/>
      <c r="CH258" s="804"/>
      <c r="CI258" s="804"/>
      <c r="CJ258" s="860"/>
      <c r="CK258" s="967">
        <f>1800-267</f>
        <v>1533</v>
      </c>
      <c r="CL258" s="853"/>
      <c r="CM258" s="803"/>
      <c r="CN258" s="803"/>
      <c r="CO258" s="855"/>
      <c r="CP258" s="965">
        <f t="shared" si="1014"/>
        <v>-212</v>
      </c>
      <c r="CQ258" s="151">
        <v>0</v>
      </c>
      <c r="CR258" s="151">
        <v>0</v>
      </c>
      <c r="CS258" s="151">
        <v>0</v>
      </c>
      <c r="CT258" s="172">
        <v>0</v>
      </c>
      <c r="CU258" s="965">
        <f t="shared" si="1013"/>
        <v>0</v>
      </c>
      <c r="CV258" s="151"/>
      <c r="CW258" s="151"/>
      <c r="CX258" s="151"/>
      <c r="CY258" s="172"/>
      <c r="CZ258" s="150">
        <v>0</v>
      </c>
      <c r="DA258" s="151"/>
      <c r="DB258" s="151"/>
      <c r="DC258" s="151"/>
      <c r="DD258" s="172"/>
      <c r="DE258" s="150">
        <v>0</v>
      </c>
      <c r="DF258" s="151"/>
      <c r="DG258" s="151"/>
      <c r="DH258" s="151"/>
      <c r="DI258" s="172"/>
      <c r="DJ258" s="150">
        <v>0</v>
      </c>
      <c r="DK258" s="212"/>
      <c r="DL258" s="1286"/>
      <c r="DM258" s="810"/>
      <c r="DN258" s="810"/>
      <c r="DO258" s="810"/>
      <c r="DP258" s="1108"/>
      <c r="DQ258" s="1108"/>
      <c r="DR258" s="1108"/>
      <c r="DS258" s="1277"/>
      <c r="DT258" s="1113"/>
      <c r="DU258" s="810"/>
      <c r="DV258" s="810"/>
      <c r="DW258" s="810"/>
      <c r="DX258" s="810"/>
      <c r="DY258" s="228"/>
      <c r="DZ258" s="216"/>
      <c r="EA258" s="216"/>
      <c r="EB258"/>
      <c r="EC258"/>
      <c r="ED258"/>
      <c r="EE258"/>
      <c r="EF258"/>
      <c r="EG258"/>
    </row>
    <row r="259" spans="1:137" s="224" customFormat="1">
      <c r="A259" s="177" t="s">
        <v>223</v>
      </c>
      <c r="B259" s="198">
        <v>-2557</v>
      </c>
      <c r="C259" s="198">
        <v>77</v>
      </c>
      <c r="D259" s="198">
        <v>-2076</v>
      </c>
      <c r="E259" s="198">
        <v>-2166</v>
      </c>
      <c r="F259" s="198">
        <v>-1511</v>
      </c>
      <c r="G259" s="198">
        <v>-2460</v>
      </c>
      <c r="H259" s="177">
        <v>-601</v>
      </c>
      <c r="I259" s="177">
        <v>-866</v>
      </c>
      <c r="J259" s="177">
        <v>-396</v>
      </c>
      <c r="K259" s="177">
        <v>-437</v>
      </c>
      <c r="L259" s="198">
        <v>-2300</v>
      </c>
      <c r="M259" s="177">
        <v>-802</v>
      </c>
      <c r="N259" s="177">
        <v>-920</v>
      </c>
      <c r="O259" s="177">
        <v>-1406</v>
      </c>
      <c r="P259" s="177">
        <v>-810</v>
      </c>
      <c r="Q259" s="198">
        <v>-3938</v>
      </c>
      <c r="R259" s="177">
        <v>-710</v>
      </c>
      <c r="S259" s="177">
        <v>-672</v>
      </c>
      <c r="T259" s="177">
        <v>-600</v>
      </c>
      <c r="U259" s="177">
        <v>506</v>
      </c>
      <c r="V259" s="198">
        <v>-1476</v>
      </c>
      <c r="W259" s="177">
        <v>-730</v>
      </c>
      <c r="X259" s="177">
        <v>-990</v>
      </c>
      <c r="Y259" s="177">
        <v>-536</v>
      </c>
      <c r="Z259" s="177">
        <v>-1102</v>
      </c>
      <c r="AA259" s="198">
        <v>-3358</v>
      </c>
      <c r="AB259" s="177">
        <v>-525</v>
      </c>
      <c r="AC259" s="177">
        <f>-1774-AB259</f>
        <v>-1249</v>
      </c>
      <c r="AD259" s="177">
        <f>-1072-SUM(AB259:AC259)</f>
        <v>702</v>
      </c>
      <c r="AE259" s="177">
        <f>AF259-SUM(AB259:AD259)</f>
        <v>-1047</v>
      </c>
      <c r="AF259" s="198">
        <v>-2119</v>
      </c>
      <c r="AG259" s="177">
        <v>-373</v>
      </c>
      <c r="AH259" s="177">
        <v>-412</v>
      </c>
      <c r="AI259" s="177">
        <v>-494</v>
      </c>
      <c r="AJ259" s="177">
        <v>-789</v>
      </c>
      <c r="AK259" s="198">
        <v>-2068</v>
      </c>
      <c r="AL259" s="177">
        <v>-762</v>
      </c>
      <c r="AM259" s="177">
        <v>-652</v>
      </c>
      <c r="AN259" s="177">
        <f>-2061-SUM(AL259:AM259)</f>
        <v>-647</v>
      </c>
      <c r="AO259" s="177">
        <f>AP259-SUM(AL259:AN259)</f>
        <v>-645</v>
      </c>
      <c r="AP259" s="198">
        <v>-2706</v>
      </c>
      <c r="AQ259" s="744">
        <v>-1327</v>
      </c>
      <c r="AR259" s="177">
        <f>-1832-AQ259</f>
        <v>-505</v>
      </c>
      <c r="AS259" s="177">
        <f t="shared" ref="AS259:BM259" si="1022">AS255+AS256+AS257+AS253+AS254+AS258</f>
        <v>-825</v>
      </c>
      <c r="AT259" s="177">
        <f t="shared" si="1022"/>
        <v>-657</v>
      </c>
      <c r="AU259" s="198">
        <f t="shared" si="1022"/>
        <v>-3314</v>
      </c>
      <c r="AV259" s="200">
        <f>AV255+AV256+AV257+AV253+AV254+AV258</f>
        <v>1175</v>
      </c>
      <c r="AW259" s="744">
        <f>AW255+AW256+AW257+AW253+AW254+AW258</f>
        <v>-1421</v>
      </c>
      <c r="AX259" s="744">
        <f>AX255+AX256+AX257+AX253+AX254+AX258</f>
        <v>-1226</v>
      </c>
      <c r="AY259" s="199">
        <f>AY255+AY256+AY257+AY253+AY254+AY258</f>
        <v>5749</v>
      </c>
      <c r="AZ259" s="198">
        <f>AZ255+AZ256+AZ257+AZ253+AZ254+AZ258</f>
        <v>4277</v>
      </c>
      <c r="BA259" s="198">
        <v>-2706</v>
      </c>
      <c r="BB259" s="744">
        <v>-1327</v>
      </c>
      <c r="BC259" s="177">
        <f>-1832-BB259</f>
        <v>-505</v>
      </c>
      <c r="BD259" s="177">
        <f t="shared" ref="BD259:BF259" si="1023">BD255+BD256+BD257+BD253+BD254+BD258</f>
        <v>-825</v>
      </c>
      <c r="BE259" s="177">
        <f t="shared" si="1023"/>
        <v>-657</v>
      </c>
      <c r="BF259" s="198">
        <f t="shared" si="1023"/>
        <v>-3314</v>
      </c>
      <c r="BG259" s="200">
        <f t="shared" ref="BG259:BJ259" si="1024">BG255+BG256+BG257+BG253+BG254+BG258</f>
        <v>1175</v>
      </c>
      <c r="BH259" s="744">
        <f t="shared" si="1024"/>
        <v>-1421</v>
      </c>
      <c r="BI259" s="744">
        <f t="shared" si="1024"/>
        <v>-1226</v>
      </c>
      <c r="BJ259" s="199">
        <f t="shared" si="1024"/>
        <v>5749</v>
      </c>
      <c r="BK259" s="198">
        <f t="shared" si="1022"/>
        <v>4277</v>
      </c>
      <c r="BL259" s="200">
        <f t="shared" si="1022"/>
        <v>-1054</v>
      </c>
      <c r="BM259" s="744">
        <f t="shared" si="1022"/>
        <v>-1580</v>
      </c>
      <c r="BN259" s="744"/>
      <c r="BO259" s="199"/>
      <c r="BP259" s="198"/>
      <c r="BQ259" s="198">
        <v>-2706</v>
      </c>
      <c r="BR259" s="200">
        <f t="shared" ref="BR259:CA259" si="1025">BR255+BR256+BR257+BR253+BR254+BR258</f>
        <v>1175</v>
      </c>
      <c r="BS259" s="744">
        <f t="shared" si="1025"/>
        <v>-1421</v>
      </c>
      <c r="BT259" s="744">
        <f t="shared" si="1025"/>
        <v>-1226</v>
      </c>
      <c r="BU259" s="199">
        <f t="shared" si="1025"/>
        <v>5749</v>
      </c>
      <c r="BV259" s="198">
        <f t="shared" si="1025"/>
        <v>4277</v>
      </c>
      <c r="BW259" s="200">
        <f t="shared" si="1025"/>
        <v>-1054</v>
      </c>
      <c r="BX259" s="744">
        <f t="shared" si="1025"/>
        <v>-1580</v>
      </c>
      <c r="BY259" s="744">
        <f t="shared" si="1025"/>
        <v>530</v>
      </c>
      <c r="BZ259" s="199">
        <f t="shared" si="1025"/>
        <v>-1353</v>
      </c>
      <c r="CA259" s="198">
        <f t="shared" si="1025"/>
        <v>-3457</v>
      </c>
      <c r="CB259" s="200">
        <f t="shared" ref="CB259:CT259" si="1026">CB255+CB256+CB257+CB253+CB254+CB258</f>
        <v>-1121</v>
      </c>
      <c r="CC259" s="744">
        <f t="shared" si="1026"/>
        <v>-1035</v>
      </c>
      <c r="CD259" s="744">
        <f t="shared" si="1026"/>
        <v>-1049</v>
      </c>
      <c r="CE259" s="199">
        <f t="shared" si="1026"/>
        <v>-1100</v>
      </c>
      <c r="CF259" s="198">
        <f>CF255+CF256+CF257+CF253+CF254+CF258</f>
        <v>-4305</v>
      </c>
      <c r="CG259" s="200"/>
      <c r="CH259" s="744"/>
      <c r="CI259" s="744"/>
      <c r="CJ259" s="199"/>
      <c r="CK259" s="198">
        <f t="shared" ref="CK259" si="1027">CK255+CK256+CK257+CK253+CK254+CK258</f>
        <v>-3457</v>
      </c>
      <c r="CL259" s="200"/>
      <c r="CM259" s="744"/>
      <c r="CN259" s="744"/>
      <c r="CO259" s="199"/>
      <c r="CP259" s="198">
        <f>CP255+CP256+CP257+CP253+CP254+CP258</f>
        <v>-4305</v>
      </c>
      <c r="CQ259" s="200">
        <f t="shared" si="1026"/>
        <v>-968.11032775965612</v>
      </c>
      <c r="CR259" s="177">
        <f t="shared" si="1026"/>
        <v>1023.4309277002251</v>
      </c>
      <c r="CS259" s="177">
        <f t="shared" si="1026"/>
        <v>-985.26427697898998</v>
      </c>
      <c r="CT259" s="199">
        <f t="shared" si="1026"/>
        <v>-1857.422117531615</v>
      </c>
      <c r="CU259" s="198">
        <f>CU255+CU256+CU257+CU253+CU254+CU258</f>
        <v>-2787.3657945700361</v>
      </c>
      <c r="CV259" s="177"/>
      <c r="CW259" s="177"/>
      <c r="CX259" s="177"/>
      <c r="CY259" s="199"/>
      <c r="CZ259" s="198">
        <f>CZ255+CZ256+CZ257+CZ253+CZ254+CZ258</f>
        <v>-5318.3512876177811</v>
      </c>
      <c r="DA259" s="177"/>
      <c r="DB259" s="177"/>
      <c r="DC259" s="177"/>
      <c r="DD259" s="199"/>
      <c r="DE259" s="198">
        <f>DE255+DE256+DE257+DE253+DE254+DE258</f>
        <v>-6288.0725461503462</v>
      </c>
      <c r="DF259" s="177"/>
      <c r="DG259" s="177"/>
      <c r="DH259" s="177"/>
      <c r="DI259" s="199"/>
      <c r="DJ259" s="198">
        <f>DJ255+DJ256+DJ257+DJ253+DJ254+DJ258</f>
        <v>-6462.6883844227723</v>
      </c>
      <c r="DK259" s="212"/>
      <c r="DL259" s="1286"/>
      <c r="DM259" s="810"/>
      <c r="DN259" s="810"/>
      <c r="DO259" s="810"/>
      <c r="DP259" s="1108"/>
      <c r="DQ259" s="1108"/>
      <c r="DR259" s="1108"/>
      <c r="DS259" s="1201"/>
      <c r="DT259" s="1113"/>
      <c r="DU259" s="810"/>
      <c r="DV259" s="810"/>
      <c r="DW259" s="810"/>
      <c r="DX259" s="810"/>
      <c r="DY259" s="228"/>
      <c r="DZ259" s="216"/>
      <c r="EA259" s="216"/>
      <c r="EB259"/>
      <c r="EC259"/>
      <c r="ED259"/>
      <c r="EE259"/>
      <c r="EF259"/>
      <c r="EG259"/>
    </row>
    <row r="260" spans="1:137" s="224" customFormat="1">
      <c r="A260" s="207" t="s">
        <v>224</v>
      </c>
      <c r="B260" s="208">
        <v>0</v>
      </c>
      <c r="C260" s="208">
        <v>0</v>
      </c>
      <c r="D260" s="208">
        <v>0</v>
      </c>
      <c r="E260" s="208">
        <v>0</v>
      </c>
      <c r="F260" s="208">
        <v>0</v>
      </c>
      <c r="G260" s="208">
        <v>18</v>
      </c>
      <c r="H260" s="210">
        <v>0</v>
      </c>
      <c r="I260" s="211">
        <f>0-H260</f>
        <v>0</v>
      </c>
      <c r="J260" s="211">
        <f>0-SUM(H260:I260)</f>
        <v>0</v>
      </c>
      <c r="K260" s="210">
        <f>L260-SUM(H260:J260)</f>
        <v>3</v>
      </c>
      <c r="L260" s="208">
        <v>3</v>
      </c>
      <c r="M260" s="211">
        <v>2</v>
      </c>
      <c r="N260" s="211">
        <f>5-M260</f>
        <v>3</v>
      </c>
      <c r="O260" s="211">
        <f>0-SUM(M260:N260)</f>
        <v>-5</v>
      </c>
      <c r="P260" s="210">
        <f>Q260-SUM(M260:O260)</f>
        <v>-56</v>
      </c>
      <c r="Q260" s="208">
        <v>-56</v>
      </c>
      <c r="R260" s="211">
        <v>0</v>
      </c>
      <c r="S260" s="211">
        <f>32-R260</f>
        <v>32</v>
      </c>
      <c r="T260" s="211">
        <f>24-SUM(R260:S260)</f>
        <v>-8</v>
      </c>
      <c r="U260" s="210">
        <f>V260-SUM(R260:T260)</f>
        <v>20</v>
      </c>
      <c r="V260" s="208">
        <v>44</v>
      </c>
      <c r="W260" s="211">
        <v>-14</v>
      </c>
      <c r="X260" s="211">
        <f>-19-W260</f>
        <v>-5</v>
      </c>
      <c r="Y260" s="211">
        <f>1-W260-X260</f>
        <v>20</v>
      </c>
      <c r="Z260" s="210">
        <f>0-SUM(W260:Y260)</f>
        <v>-1</v>
      </c>
      <c r="AA260" s="208">
        <f>SUM(W260:Z260)</f>
        <v>0</v>
      </c>
      <c r="AB260" s="211">
        <v>12</v>
      </c>
      <c r="AC260" s="211">
        <f>10-AB260</f>
        <v>-2</v>
      </c>
      <c r="AD260" s="211">
        <f>-9-AC260-AB260</f>
        <v>-19</v>
      </c>
      <c r="AE260" s="210">
        <f>0-SUM(AB260:AD260)</f>
        <v>9</v>
      </c>
      <c r="AF260" s="208">
        <f>SUM(AB260:AE260)</f>
        <v>0</v>
      </c>
      <c r="AG260" s="210">
        <v>0</v>
      </c>
      <c r="AH260" s="211">
        <v>0</v>
      </c>
      <c r="AI260" s="211">
        <v>0</v>
      </c>
      <c r="AJ260" s="210">
        <v>0</v>
      </c>
      <c r="AK260" s="208">
        <f>SUM(AG260:AJ260)</f>
        <v>0</v>
      </c>
      <c r="AL260" s="211">
        <v>0</v>
      </c>
      <c r="AM260" s="211">
        <v>0</v>
      </c>
      <c r="AN260" s="211">
        <v>0</v>
      </c>
      <c r="AO260" s="210">
        <f>+AP260-SUM(AL260:AN260)</f>
        <v>0</v>
      </c>
      <c r="AP260" s="208">
        <v>0</v>
      </c>
      <c r="AQ260" s="506">
        <v>0</v>
      </c>
      <c r="AR260" s="211">
        <v>0</v>
      </c>
      <c r="AS260" s="211">
        <v>0</v>
      </c>
      <c r="AT260" s="210">
        <f>+AU260-SUM(AQ260:AS260)</f>
        <v>0</v>
      </c>
      <c r="AU260" s="122">
        <v>0</v>
      </c>
      <c r="AV260" s="559">
        <v>0</v>
      </c>
      <c r="AW260" s="211">
        <v>0</v>
      </c>
      <c r="AX260" s="211">
        <v>0</v>
      </c>
      <c r="AY260" s="210">
        <f>+AZ260-SUM(AV260:AX260)</f>
        <v>0</v>
      </c>
      <c r="AZ260" s="208">
        <v>0</v>
      </c>
      <c r="BA260" s="208">
        <v>0</v>
      </c>
      <c r="BB260" s="506">
        <v>0</v>
      </c>
      <c r="BC260" s="211">
        <v>0</v>
      </c>
      <c r="BD260" s="211">
        <v>0</v>
      </c>
      <c r="BE260" s="210">
        <f>+BF260-SUM(BB260:BD260)</f>
        <v>0</v>
      </c>
      <c r="BF260" s="122">
        <v>0</v>
      </c>
      <c r="BG260" s="559">
        <v>0</v>
      </c>
      <c r="BH260" s="211">
        <v>0</v>
      </c>
      <c r="BI260" s="211">
        <v>0</v>
      </c>
      <c r="BJ260" s="210">
        <f>+BK260-SUM(BG260:BI260)</f>
        <v>0</v>
      </c>
      <c r="BK260" s="208">
        <v>0</v>
      </c>
      <c r="BL260" s="559">
        <v>0</v>
      </c>
      <c r="BM260" s="211">
        <v>0</v>
      </c>
      <c r="BN260" s="211"/>
      <c r="BO260" s="210"/>
      <c r="BP260" s="208"/>
      <c r="BQ260" s="208">
        <v>0</v>
      </c>
      <c r="BR260" s="559">
        <v>0</v>
      </c>
      <c r="BS260" s="211">
        <v>0</v>
      </c>
      <c r="BT260" s="211">
        <v>0</v>
      </c>
      <c r="BU260" s="210">
        <f>+BV260-SUM(BR260:BT260)</f>
        <v>0</v>
      </c>
      <c r="BV260" s="208">
        <v>0</v>
      </c>
      <c r="BW260" s="559">
        <v>0</v>
      </c>
      <c r="BX260" s="211">
        <v>0</v>
      </c>
      <c r="BY260" s="211">
        <v>0</v>
      </c>
      <c r="BZ260" s="210">
        <f>+CA260-SUM(BW260:BY260)</f>
        <v>0</v>
      </c>
      <c r="CA260" s="208">
        <v>0</v>
      </c>
      <c r="CB260" s="559">
        <v>0</v>
      </c>
      <c r="CC260" s="1070">
        <v>0</v>
      </c>
      <c r="CD260" s="1070">
        <v>0</v>
      </c>
      <c r="CE260" s="556">
        <v>0</v>
      </c>
      <c r="CF260" s="208">
        <f>+SUM(CB260:CE260)</f>
        <v>0</v>
      </c>
      <c r="CG260" s="559"/>
      <c r="CH260" s="211"/>
      <c r="CI260" s="211"/>
      <c r="CJ260" s="210"/>
      <c r="CK260" s="208">
        <v>0</v>
      </c>
      <c r="CL260" s="559"/>
      <c r="CM260" s="1070"/>
      <c r="CN260" s="1070"/>
      <c r="CO260" s="556"/>
      <c r="CP260" s="208">
        <f t="shared" si="1014"/>
        <v>0</v>
      </c>
      <c r="CQ260" s="1023">
        <v>0</v>
      </c>
      <c r="CR260" s="1023">
        <v>0</v>
      </c>
      <c r="CS260" s="1023">
        <v>0</v>
      </c>
      <c r="CT260" s="1035">
        <v>0</v>
      </c>
      <c r="CU260" s="208">
        <f>+SUM(CQ260:CT260)</f>
        <v>0</v>
      </c>
      <c r="CV260" s="1023"/>
      <c r="CW260" s="1023"/>
      <c r="CX260" s="1023"/>
      <c r="CY260" s="1035"/>
      <c r="CZ260" s="1034">
        <v>0</v>
      </c>
      <c r="DA260" s="1023"/>
      <c r="DB260" s="1023"/>
      <c r="DC260" s="1023"/>
      <c r="DD260" s="1035"/>
      <c r="DE260" s="1034">
        <v>0</v>
      </c>
      <c r="DF260" s="1023"/>
      <c r="DG260" s="1023"/>
      <c r="DH260" s="1023"/>
      <c r="DI260" s="1035"/>
      <c r="DJ260" s="1034">
        <v>0</v>
      </c>
      <c r="DK260" s="212"/>
      <c r="DL260" s="1286"/>
      <c r="DM260" s="810"/>
      <c r="DN260" s="810"/>
      <c r="DO260" s="810"/>
      <c r="DP260" s="1108"/>
      <c r="DQ260" s="1108"/>
      <c r="DR260" s="1108"/>
      <c r="DS260" s="1109"/>
      <c r="DT260" s="810"/>
      <c r="DU260" s="810"/>
      <c r="DV260" s="810"/>
      <c r="DW260" s="810"/>
      <c r="DX260" s="810"/>
      <c r="DY260" s="228"/>
      <c r="DZ260" s="216"/>
      <c r="EA260" s="216"/>
      <c r="EB260"/>
      <c r="EC260"/>
      <c r="ED260"/>
      <c r="EE260"/>
      <c r="EF260"/>
      <c r="EG260"/>
    </row>
    <row r="261" spans="1:137" s="224" customFormat="1">
      <c r="A261" s="207" t="s">
        <v>225</v>
      </c>
      <c r="B261" s="214">
        <f t="shared" ref="B261:AG261" si="1028">SUM(B243,B252,B259,B260)</f>
        <v>-593</v>
      </c>
      <c r="C261" s="214">
        <f t="shared" si="1028"/>
        <v>1826</v>
      </c>
      <c r="D261" s="214">
        <f t="shared" si="1028"/>
        <v>-1728</v>
      </c>
      <c r="E261" s="214">
        <f t="shared" si="1028"/>
        <v>50</v>
      </c>
      <c r="F261" s="214">
        <f t="shared" si="1028"/>
        <v>1184</v>
      </c>
      <c r="G261" s="214">
        <f t="shared" si="1028"/>
        <v>-332</v>
      </c>
      <c r="H261" s="216">
        <f t="shared" si="1028"/>
        <v>866</v>
      </c>
      <c r="I261" s="216">
        <f t="shared" si="1028"/>
        <v>230</v>
      </c>
      <c r="J261" s="216">
        <f t="shared" si="1028"/>
        <v>86</v>
      </c>
      <c r="K261" s="216">
        <f t="shared" si="1028"/>
        <v>-446</v>
      </c>
      <c r="L261" s="214">
        <f t="shared" si="1028"/>
        <v>736</v>
      </c>
      <c r="M261" s="216">
        <f t="shared" si="1028"/>
        <v>151</v>
      </c>
      <c r="N261" s="216">
        <f t="shared" si="1028"/>
        <v>415</v>
      </c>
      <c r="O261" s="216">
        <f t="shared" si="1028"/>
        <v>-751</v>
      </c>
      <c r="P261" s="216">
        <f t="shared" si="1028"/>
        <v>-295</v>
      </c>
      <c r="Q261" s="214">
        <f t="shared" si="1028"/>
        <v>-480</v>
      </c>
      <c r="R261" s="216">
        <f t="shared" si="1028"/>
        <v>216</v>
      </c>
      <c r="S261" s="216">
        <f t="shared" si="1028"/>
        <v>288</v>
      </c>
      <c r="T261" s="216">
        <f t="shared" si="1028"/>
        <v>37</v>
      </c>
      <c r="U261" s="216">
        <f t="shared" si="1028"/>
        <v>-318</v>
      </c>
      <c r="V261" s="214">
        <f t="shared" si="1028"/>
        <v>223</v>
      </c>
      <c r="W261" s="216">
        <f t="shared" si="1028"/>
        <v>897</v>
      </c>
      <c r="X261" s="216">
        <f t="shared" si="1028"/>
        <v>-566</v>
      </c>
      <c r="Y261" s="216">
        <f t="shared" si="1028"/>
        <v>-66</v>
      </c>
      <c r="Z261" s="216">
        <f t="shared" si="1028"/>
        <v>-395</v>
      </c>
      <c r="AA261" s="214">
        <f t="shared" si="1028"/>
        <v>-130</v>
      </c>
      <c r="AB261" s="216">
        <f t="shared" si="1028"/>
        <v>1108</v>
      </c>
      <c r="AC261" s="216">
        <f t="shared" si="1028"/>
        <v>-91</v>
      </c>
      <c r="AD261" s="216">
        <f t="shared" si="1028"/>
        <v>1277</v>
      </c>
      <c r="AE261" s="216">
        <f t="shared" si="1028"/>
        <v>-973</v>
      </c>
      <c r="AF261" s="214">
        <f t="shared" si="1028"/>
        <v>1321</v>
      </c>
      <c r="AG261" s="216">
        <f t="shared" si="1028"/>
        <v>-64</v>
      </c>
      <c r="AH261" s="216">
        <f t="shared" ref="AH261:AU261" si="1029">SUM(AH243,AH252,AH259,AH260)</f>
        <v>284</v>
      </c>
      <c r="AI261" s="216">
        <f t="shared" si="1029"/>
        <v>850</v>
      </c>
      <c r="AJ261" s="216">
        <f t="shared" si="1029"/>
        <v>-2754</v>
      </c>
      <c r="AK261" s="214">
        <f t="shared" si="1029"/>
        <v>-1684</v>
      </c>
      <c r="AL261" s="216">
        <f t="shared" si="1029"/>
        <v>1167</v>
      </c>
      <c r="AM261" s="216">
        <f t="shared" si="1029"/>
        <v>-220</v>
      </c>
      <c r="AN261" s="216">
        <f t="shared" si="1029"/>
        <v>-184</v>
      </c>
      <c r="AO261" s="216">
        <f t="shared" si="1029"/>
        <v>-44</v>
      </c>
      <c r="AP261" s="214">
        <f t="shared" si="1029"/>
        <v>719</v>
      </c>
      <c r="AQ261" s="143">
        <f t="shared" si="1029"/>
        <v>647</v>
      </c>
      <c r="AR261" s="216">
        <f t="shared" si="1029"/>
        <v>172</v>
      </c>
      <c r="AS261" s="216">
        <f t="shared" si="1029"/>
        <v>-473</v>
      </c>
      <c r="AT261" s="216">
        <f t="shared" si="1029"/>
        <v>-1517</v>
      </c>
      <c r="AU261" s="214">
        <f t="shared" si="1029"/>
        <v>-1171</v>
      </c>
      <c r="AV261" s="399">
        <f>SUM(AV243,AV252,AV259,AV260)</f>
        <v>2040</v>
      </c>
      <c r="AW261" s="216">
        <f>SUM(AW243,AW252,AW259,AW260)</f>
        <v>-284</v>
      </c>
      <c r="AX261" s="216">
        <f>SUM(AX243,AX252,AX259,AX260)</f>
        <v>98</v>
      </c>
      <c r="AY261" s="216">
        <f>SUM(AY243,AY252,AY259,AY260)</f>
        <v>-2210</v>
      </c>
      <c r="AZ261" s="214">
        <f>SUM(AZ243,AZ252,AZ259,AZ260)</f>
        <v>-356</v>
      </c>
      <c r="BA261" s="214">
        <f t="shared" ref="BA261" si="1030">SUM(BA243,BA252,BA259,BA260)</f>
        <v>719</v>
      </c>
      <c r="BB261" s="143">
        <f t="shared" ref="BB261:BF261" si="1031">SUM(BB243,BB252,BB259,BB260)</f>
        <v>647</v>
      </c>
      <c r="BC261" s="216">
        <f t="shared" si="1031"/>
        <v>172</v>
      </c>
      <c r="BD261" s="216">
        <f t="shared" si="1031"/>
        <v>-473</v>
      </c>
      <c r="BE261" s="216">
        <f t="shared" si="1031"/>
        <v>-1517</v>
      </c>
      <c r="BF261" s="214">
        <f t="shared" si="1031"/>
        <v>-1170.5100000000002</v>
      </c>
      <c r="BG261" s="399">
        <f t="shared" ref="BG261:BJ261" si="1032">SUM(BG243,BG252,BG259,BG260)</f>
        <v>2040</v>
      </c>
      <c r="BH261" s="216">
        <f t="shared" si="1032"/>
        <v>-284</v>
      </c>
      <c r="BI261" s="216">
        <f t="shared" si="1032"/>
        <v>98</v>
      </c>
      <c r="BJ261" s="216">
        <f t="shared" si="1032"/>
        <v>-2210</v>
      </c>
      <c r="BK261" s="214">
        <f t="shared" ref="BK261:BM261" si="1033">SUM(BK243,BK252,BK259,BK260)</f>
        <v>-356</v>
      </c>
      <c r="BL261" s="399">
        <f t="shared" si="1033"/>
        <v>362</v>
      </c>
      <c r="BM261" s="216">
        <f t="shared" si="1033"/>
        <v>-183</v>
      </c>
      <c r="BN261" s="216"/>
      <c r="BO261" s="216"/>
      <c r="BP261" s="214"/>
      <c r="BQ261" s="214">
        <f t="shared" ref="BQ261" si="1034">SUM(BQ243,BQ252,BQ259,BQ260)</f>
        <v>719</v>
      </c>
      <c r="BR261" s="399">
        <f t="shared" ref="BR261:CA261" si="1035">SUM(BR243,BR252,BR259,BR260)</f>
        <v>2040</v>
      </c>
      <c r="BS261" s="216">
        <f t="shared" si="1035"/>
        <v>-284</v>
      </c>
      <c r="BT261" s="216">
        <f t="shared" si="1035"/>
        <v>98</v>
      </c>
      <c r="BU261" s="216">
        <f t="shared" si="1035"/>
        <v>-2210</v>
      </c>
      <c r="BV261" s="214">
        <f t="shared" si="1035"/>
        <v>-356</v>
      </c>
      <c r="BW261" s="399">
        <f t="shared" si="1035"/>
        <v>362</v>
      </c>
      <c r="BX261" s="216">
        <f t="shared" si="1035"/>
        <v>-183</v>
      </c>
      <c r="BY261" s="216">
        <f t="shared" si="1035"/>
        <v>1626</v>
      </c>
      <c r="BZ261" s="216">
        <f t="shared" si="1035"/>
        <v>-1058</v>
      </c>
      <c r="CA261" s="214">
        <f t="shared" si="1035"/>
        <v>747</v>
      </c>
      <c r="CB261" s="399">
        <f t="shared" ref="CB261:CS261" si="1036">SUM(CB243,CB252,CB259,CB260)</f>
        <v>379</v>
      </c>
      <c r="CC261" s="216">
        <f t="shared" si="1036"/>
        <v>236</v>
      </c>
      <c r="CD261" s="216">
        <f t="shared" si="1036"/>
        <v>489</v>
      </c>
      <c r="CE261" s="216">
        <f t="shared" si="1036"/>
        <v>-80</v>
      </c>
      <c r="CF261" s="214">
        <f>SUM(CF243,CF252,CF259,CF260)</f>
        <v>1024</v>
      </c>
      <c r="CG261" s="399"/>
      <c r="CH261" s="216"/>
      <c r="CI261" s="216"/>
      <c r="CJ261" s="216"/>
      <c r="CK261" s="214">
        <f t="shared" ref="CK261" si="1037">SUM(CK243,CK252,CK259,CK260)</f>
        <v>747</v>
      </c>
      <c r="CL261" s="399"/>
      <c r="CM261" s="216"/>
      <c r="CN261" s="216"/>
      <c r="CO261" s="216"/>
      <c r="CP261" s="214">
        <f t="shared" si="1014"/>
        <v>1024</v>
      </c>
      <c r="CQ261" s="216">
        <f t="shared" si="1036"/>
        <v>1251.3138930968053</v>
      </c>
      <c r="CR261" s="216">
        <f t="shared" si="1036"/>
        <v>1757.9415724588571</v>
      </c>
      <c r="CS261" s="216">
        <f t="shared" si="1036"/>
        <v>-1314.7206722698118</v>
      </c>
      <c r="CT261" s="215">
        <f>SUM(CT243,CT252,CT259,CT260)</f>
        <v>-2746.7101962734951</v>
      </c>
      <c r="CU261" s="214">
        <f>SUM(CU243,CU252,CU259,CU260)</f>
        <v>-1052.1754029876456</v>
      </c>
      <c r="CV261" s="216"/>
      <c r="CW261" s="216"/>
      <c r="CX261" s="216"/>
      <c r="CY261" s="215"/>
      <c r="CZ261" s="214">
        <f>SUM(CZ243,CZ252,CZ259,CZ260)</f>
        <v>361.72707441878265</v>
      </c>
      <c r="DA261" s="216"/>
      <c r="DB261" s="216"/>
      <c r="DC261" s="216"/>
      <c r="DD261" s="215"/>
      <c r="DE261" s="214">
        <f>SUM(DE243,DE252,DE259,DE260)</f>
        <v>199.33200329034298</v>
      </c>
      <c r="DF261" s="216"/>
      <c r="DG261" s="216"/>
      <c r="DH261" s="216"/>
      <c r="DI261" s="215"/>
      <c r="DJ261" s="214">
        <f>SUM(DJ243,DJ252,DJ259,DJ260)</f>
        <v>-184.42741566376026</v>
      </c>
      <c r="DK261" s="212"/>
      <c r="DL261" s="1286"/>
      <c r="DM261" s="810"/>
      <c r="DN261" s="810"/>
      <c r="DO261" s="810"/>
      <c r="DP261" s="1053"/>
      <c r="DQ261" s="1053"/>
      <c r="DR261" s="1053"/>
      <c r="DS261" s="810"/>
      <c r="DT261" s="810"/>
      <c r="DU261" s="810"/>
      <c r="DV261" s="810"/>
      <c r="DW261" s="810"/>
      <c r="DX261" s="810"/>
      <c r="DY261" s="228"/>
      <c r="DZ261" s="216"/>
      <c r="EA261" s="216"/>
      <c r="EB261"/>
      <c r="EC261"/>
      <c r="ED261"/>
      <c r="EE261"/>
      <c r="EF261"/>
      <c r="EG261"/>
    </row>
    <row r="262" spans="1:137" s="222" customFormat="1">
      <c r="A262" s="141" t="s">
        <v>19</v>
      </c>
      <c r="B262" s="218">
        <v>1505</v>
      </c>
      <c r="C262" s="218">
        <f>B263</f>
        <v>912</v>
      </c>
      <c r="D262" s="218">
        <f>C263</f>
        <v>2738</v>
      </c>
      <c r="E262" s="218">
        <f>D263</f>
        <v>1010</v>
      </c>
      <c r="F262" s="218">
        <f>E263</f>
        <v>1060</v>
      </c>
      <c r="G262" s="218">
        <f>F263</f>
        <v>2244</v>
      </c>
      <c r="H262" s="220">
        <v>1912</v>
      </c>
      <c r="I262" s="220">
        <f>+H263</f>
        <v>2778</v>
      </c>
      <c r="J262" s="220">
        <f t="shared" ref="J262:AJ262" si="1038">+I263</f>
        <v>3008</v>
      </c>
      <c r="K262" s="220">
        <f t="shared" si="1038"/>
        <v>3094</v>
      </c>
      <c r="L262" s="218">
        <f>G263</f>
        <v>1912</v>
      </c>
      <c r="M262" s="220">
        <f>+K263</f>
        <v>2648</v>
      </c>
      <c r="N262" s="220">
        <f t="shared" si="1038"/>
        <v>2799</v>
      </c>
      <c r="O262" s="220">
        <f t="shared" si="1038"/>
        <v>3214</v>
      </c>
      <c r="P262" s="220">
        <f t="shared" si="1038"/>
        <v>2463</v>
      </c>
      <c r="Q262" s="218">
        <f>L263</f>
        <v>2648</v>
      </c>
      <c r="R262" s="220">
        <f>+P263</f>
        <v>2168</v>
      </c>
      <c r="S262" s="220">
        <f t="shared" si="1038"/>
        <v>2384</v>
      </c>
      <c r="T262" s="220">
        <f t="shared" si="1038"/>
        <v>2672</v>
      </c>
      <c r="U262" s="220">
        <f t="shared" si="1038"/>
        <v>2709</v>
      </c>
      <c r="V262" s="218">
        <f>Q263</f>
        <v>2168</v>
      </c>
      <c r="W262" s="220">
        <f>+U263</f>
        <v>2391</v>
      </c>
      <c r="X262" s="220">
        <f t="shared" si="1038"/>
        <v>3288</v>
      </c>
      <c r="Y262" s="220">
        <f t="shared" si="1038"/>
        <v>2722</v>
      </c>
      <c r="Z262" s="220">
        <f t="shared" si="1038"/>
        <v>2656</v>
      </c>
      <c r="AA262" s="218">
        <f>V263</f>
        <v>2391</v>
      </c>
      <c r="AB262" s="220">
        <f>+Z263</f>
        <v>2261</v>
      </c>
      <c r="AC262" s="220">
        <f t="shared" si="1038"/>
        <v>3369</v>
      </c>
      <c r="AD262" s="220">
        <f t="shared" si="1038"/>
        <v>3278</v>
      </c>
      <c r="AE262" s="220">
        <f t="shared" si="1038"/>
        <v>4555</v>
      </c>
      <c r="AF262" s="218">
        <f>AA263</f>
        <v>2261</v>
      </c>
      <c r="AG262" s="220">
        <f>+AE263</f>
        <v>3582</v>
      </c>
      <c r="AH262" s="220">
        <f t="shared" si="1038"/>
        <v>3518</v>
      </c>
      <c r="AI262" s="220">
        <f t="shared" si="1038"/>
        <v>3802</v>
      </c>
      <c r="AJ262" s="220">
        <f t="shared" si="1038"/>
        <v>4652</v>
      </c>
      <c r="AK262" s="218">
        <f>AF263</f>
        <v>3582</v>
      </c>
      <c r="AL262" s="220">
        <f>+AJ263</f>
        <v>1898</v>
      </c>
      <c r="AM262" s="220">
        <f>+AL263</f>
        <v>3065</v>
      </c>
      <c r="AN262" s="220">
        <f>+AM263</f>
        <v>2845</v>
      </c>
      <c r="AO262" s="220">
        <f>+AN263</f>
        <v>2661</v>
      </c>
      <c r="AP262" s="218">
        <f>AK263</f>
        <v>1898</v>
      </c>
      <c r="AQ262" s="745">
        <f>+AO263</f>
        <v>2617</v>
      </c>
      <c r="AR262" s="220">
        <f>+AQ263</f>
        <v>3264</v>
      </c>
      <c r="AS262" s="220">
        <f>+AR263</f>
        <v>3436</v>
      </c>
      <c r="AT262" s="220">
        <f>+AS263</f>
        <v>2963</v>
      </c>
      <c r="AU262" s="218">
        <f>AP263</f>
        <v>2617</v>
      </c>
      <c r="AV262" s="843">
        <f>+AT263</f>
        <v>1446</v>
      </c>
      <c r="AW262" s="220">
        <f>+AV263</f>
        <v>3486</v>
      </c>
      <c r="AX262" s="220">
        <f>+AW263</f>
        <v>3202</v>
      </c>
      <c r="AY262" s="220">
        <f>+AX263</f>
        <v>3300</v>
      </c>
      <c r="AZ262" s="218">
        <f>AU263</f>
        <v>1446</v>
      </c>
      <c r="BA262" s="218">
        <f>+AP262</f>
        <v>1898</v>
      </c>
      <c r="BB262" s="745">
        <f>+AU262</f>
        <v>2617</v>
      </c>
      <c r="BC262" s="220">
        <f>+BB263</f>
        <v>3264</v>
      </c>
      <c r="BD262" s="220">
        <f>+BC263</f>
        <v>3436</v>
      </c>
      <c r="BE262" s="220">
        <f>+BD263</f>
        <v>2963</v>
      </c>
      <c r="BF262" s="218">
        <f>+AU262</f>
        <v>2617</v>
      </c>
      <c r="BG262" s="843">
        <f>+AZ262</f>
        <v>1446</v>
      </c>
      <c r="BH262" s="220">
        <f>+BG263</f>
        <v>3486</v>
      </c>
      <c r="BI262" s="220">
        <f>+BH263</f>
        <v>3202</v>
      </c>
      <c r="BJ262" s="220">
        <f>+BI263</f>
        <v>3300</v>
      </c>
      <c r="BK262" s="218">
        <f>+AZ262</f>
        <v>1446</v>
      </c>
      <c r="BL262" s="843">
        <f>+BK263</f>
        <v>1090</v>
      </c>
      <c r="BM262" s="220">
        <f>+BL263</f>
        <v>1452</v>
      </c>
      <c r="BN262" s="220"/>
      <c r="BO262" s="220"/>
      <c r="BP262" s="218"/>
      <c r="BQ262" s="218">
        <f>+BF262</f>
        <v>2617</v>
      </c>
      <c r="BR262" s="843">
        <f>+BK262</f>
        <v>1446</v>
      </c>
      <c r="BS262" s="220">
        <f>+BR263</f>
        <v>3486</v>
      </c>
      <c r="BT262" s="220">
        <f>+BS263</f>
        <v>3202</v>
      </c>
      <c r="BU262" s="220">
        <f>+BT263</f>
        <v>3300</v>
      </c>
      <c r="BV262" s="218">
        <f>+BR262</f>
        <v>1446</v>
      </c>
      <c r="BW262" s="843">
        <f>+BV263</f>
        <v>1090</v>
      </c>
      <c r="BX262" s="220">
        <f>+BW263</f>
        <v>1452</v>
      </c>
      <c r="BY262" s="220">
        <f>+BX263</f>
        <v>1269</v>
      </c>
      <c r="BZ262" s="220">
        <f>+BY263</f>
        <v>2895</v>
      </c>
      <c r="CA262" s="218">
        <f>+BV263</f>
        <v>1090</v>
      </c>
      <c r="CB262" s="843">
        <f>+CA263</f>
        <v>1837</v>
      </c>
      <c r="CC262" s="220">
        <f>+CB263</f>
        <v>2216</v>
      </c>
      <c r="CD262" s="220">
        <f>+CC263</f>
        <v>2452</v>
      </c>
      <c r="CE262" s="220">
        <f>+CD263</f>
        <v>2941</v>
      </c>
      <c r="CF262" s="218">
        <f>CA263</f>
        <v>1837</v>
      </c>
      <c r="CG262" s="843"/>
      <c r="CH262" s="220"/>
      <c r="CI262" s="220"/>
      <c r="CJ262" s="220"/>
      <c r="CK262" s="218">
        <f>+BV263</f>
        <v>1090</v>
      </c>
      <c r="CL262" s="843"/>
      <c r="CM262" s="220"/>
      <c r="CN262" s="220"/>
      <c r="CO262" s="220"/>
      <c r="CP262" s="218">
        <f t="shared" si="1014"/>
        <v>1837</v>
      </c>
      <c r="CQ262" s="843">
        <f>+CF263</f>
        <v>2861</v>
      </c>
      <c r="CR262" s="220">
        <f>+CQ263</f>
        <v>4112.3138930968053</v>
      </c>
      <c r="CS262" s="220">
        <f>+CR263</f>
        <v>5870.2554655556623</v>
      </c>
      <c r="CT262" s="220">
        <f>+CS263</f>
        <v>4555.5347932858504</v>
      </c>
      <c r="CU262" s="218">
        <f>CF263</f>
        <v>2861</v>
      </c>
      <c r="CV262" s="220"/>
      <c r="CW262" s="220"/>
      <c r="CX262" s="220"/>
      <c r="CY262" s="219"/>
      <c r="CZ262" s="218">
        <f>CU263</f>
        <v>1808.8245970123544</v>
      </c>
      <c r="DA262" s="220"/>
      <c r="DB262" s="220"/>
      <c r="DC262" s="220"/>
      <c r="DD262" s="219"/>
      <c r="DE262" s="218">
        <f>CZ263</f>
        <v>2170.551671431137</v>
      </c>
      <c r="DF262" s="220"/>
      <c r="DG262" s="220"/>
      <c r="DH262" s="220"/>
      <c r="DI262" s="219"/>
      <c r="DJ262" s="218">
        <f>DE263</f>
        <v>2369.88367472148</v>
      </c>
      <c r="DK262" s="221"/>
      <c r="DL262" s="359"/>
      <c r="DM262" s="810"/>
      <c r="DN262" s="810"/>
      <c r="DO262" s="810"/>
      <c r="DP262" s="1108"/>
      <c r="DQ262" s="1108"/>
      <c r="DR262" s="1108"/>
      <c r="DS262" s="1109"/>
      <c r="DT262" s="810"/>
      <c r="DU262" s="810"/>
      <c r="DV262" s="810"/>
      <c r="DW262" s="810"/>
      <c r="DX262" s="810"/>
      <c r="DY262" s="359"/>
      <c r="DZ262" s="141"/>
      <c r="EA262" s="141"/>
      <c r="EB262"/>
      <c r="EC262"/>
      <c r="ED262"/>
      <c r="EE262"/>
      <c r="EF262"/>
      <c r="EG262"/>
    </row>
    <row r="263" spans="1:137" s="224" customFormat="1">
      <c r="A263" s="141" t="s">
        <v>249</v>
      </c>
      <c r="B263" s="139">
        <f t="shared" ref="B263:AL263" si="1039">B261+B262</f>
        <v>912</v>
      </c>
      <c r="C263" s="139">
        <f t="shared" si="1039"/>
        <v>2738</v>
      </c>
      <c r="D263" s="139">
        <f t="shared" si="1039"/>
        <v>1010</v>
      </c>
      <c r="E263" s="139">
        <f t="shared" si="1039"/>
        <v>1060</v>
      </c>
      <c r="F263" s="139">
        <f t="shared" si="1039"/>
        <v>2244</v>
      </c>
      <c r="G263" s="139">
        <f t="shared" si="1039"/>
        <v>1912</v>
      </c>
      <c r="H263" s="141">
        <f t="shared" si="1039"/>
        <v>2778</v>
      </c>
      <c r="I263" s="141">
        <f t="shared" si="1039"/>
        <v>3008</v>
      </c>
      <c r="J263" s="141">
        <f t="shared" si="1039"/>
        <v>3094</v>
      </c>
      <c r="K263" s="141">
        <f t="shared" si="1039"/>
        <v>2648</v>
      </c>
      <c r="L263" s="139">
        <f t="shared" si="1039"/>
        <v>2648</v>
      </c>
      <c r="M263" s="141">
        <f t="shared" si="1039"/>
        <v>2799</v>
      </c>
      <c r="N263" s="141">
        <f t="shared" si="1039"/>
        <v>3214</v>
      </c>
      <c r="O263" s="141">
        <f t="shared" si="1039"/>
        <v>2463</v>
      </c>
      <c r="P263" s="141">
        <f t="shared" si="1039"/>
        <v>2168</v>
      </c>
      <c r="Q263" s="139">
        <f t="shared" si="1039"/>
        <v>2168</v>
      </c>
      <c r="R263" s="141">
        <f t="shared" si="1039"/>
        <v>2384</v>
      </c>
      <c r="S263" s="141">
        <f t="shared" si="1039"/>
        <v>2672</v>
      </c>
      <c r="T263" s="141">
        <f t="shared" si="1039"/>
        <v>2709</v>
      </c>
      <c r="U263" s="141">
        <f t="shared" si="1039"/>
        <v>2391</v>
      </c>
      <c r="V263" s="139">
        <f t="shared" si="1039"/>
        <v>2391</v>
      </c>
      <c r="W263" s="141">
        <f t="shared" si="1039"/>
        <v>3288</v>
      </c>
      <c r="X263" s="141">
        <f t="shared" si="1039"/>
        <v>2722</v>
      </c>
      <c r="Y263" s="141">
        <f t="shared" si="1039"/>
        <v>2656</v>
      </c>
      <c r="Z263" s="141">
        <f t="shared" si="1039"/>
        <v>2261</v>
      </c>
      <c r="AA263" s="139">
        <f t="shared" si="1039"/>
        <v>2261</v>
      </c>
      <c r="AB263" s="141">
        <f t="shared" si="1039"/>
        <v>3369</v>
      </c>
      <c r="AC263" s="141">
        <f t="shared" si="1039"/>
        <v>3278</v>
      </c>
      <c r="AD263" s="141">
        <f t="shared" si="1039"/>
        <v>4555</v>
      </c>
      <c r="AE263" s="141">
        <f t="shared" si="1039"/>
        <v>3582</v>
      </c>
      <c r="AF263" s="139">
        <f t="shared" si="1039"/>
        <v>3582</v>
      </c>
      <c r="AG263" s="141">
        <f t="shared" si="1039"/>
        <v>3518</v>
      </c>
      <c r="AH263" s="141">
        <f t="shared" si="1039"/>
        <v>3802</v>
      </c>
      <c r="AI263" s="141">
        <f t="shared" si="1039"/>
        <v>4652</v>
      </c>
      <c r="AJ263" s="141">
        <f t="shared" si="1039"/>
        <v>1898</v>
      </c>
      <c r="AK263" s="139">
        <f t="shared" si="1039"/>
        <v>1898</v>
      </c>
      <c r="AL263" s="141">
        <f t="shared" si="1039"/>
        <v>3065</v>
      </c>
      <c r="AM263" s="141">
        <f t="shared" ref="AM263:AU263" si="1040">AM261+AM262</f>
        <v>2845</v>
      </c>
      <c r="AN263" s="141">
        <f t="shared" si="1040"/>
        <v>2661</v>
      </c>
      <c r="AO263" s="141">
        <f t="shared" si="1040"/>
        <v>2617</v>
      </c>
      <c r="AP263" s="139">
        <f t="shared" si="1040"/>
        <v>2617</v>
      </c>
      <c r="AQ263" s="137">
        <f t="shared" si="1040"/>
        <v>3264</v>
      </c>
      <c r="AR263" s="141">
        <f t="shared" si="1040"/>
        <v>3436</v>
      </c>
      <c r="AS263" s="141">
        <f t="shared" si="1040"/>
        <v>2963</v>
      </c>
      <c r="AT263" s="141">
        <f t="shared" si="1040"/>
        <v>1446</v>
      </c>
      <c r="AU263" s="139">
        <f t="shared" si="1040"/>
        <v>1446</v>
      </c>
      <c r="AV263" s="136">
        <f>AV261+AV262</f>
        <v>3486</v>
      </c>
      <c r="AW263" s="141">
        <f>AW261+AW262</f>
        <v>3202</v>
      </c>
      <c r="AX263" s="141">
        <f>AX261+AX262</f>
        <v>3300</v>
      </c>
      <c r="AY263" s="141">
        <f>AY261+AY262</f>
        <v>1090</v>
      </c>
      <c r="AZ263" s="139">
        <f>AZ261+AZ262</f>
        <v>1090</v>
      </c>
      <c r="BA263" s="139">
        <f t="shared" ref="BA263" si="1041">BA261+BA262</f>
        <v>2617</v>
      </c>
      <c r="BB263" s="137">
        <f t="shared" ref="BB263:BF263" si="1042">BB261+BB262</f>
        <v>3264</v>
      </c>
      <c r="BC263" s="141">
        <f t="shared" si="1042"/>
        <v>3436</v>
      </c>
      <c r="BD263" s="141">
        <f t="shared" si="1042"/>
        <v>2963</v>
      </c>
      <c r="BE263" s="141">
        <f t="shared" si="1042"/>
        <v>1446</v>
      </c>
      <c r="BF263" s="139">
        <f t="shared" si="1042"/>
        <v>1446.4899999999998</v>
      </c>
      <c r="BG263" s="136">
        <f t="shared" ref="BG263:BK263" si="1043">BG261+BG262</f>
        <v>3486</v>
      </c>
      <c r="BH263" s="141">
        <f t="shared" si="1043"/>
        <v>3202</v>
      </c>
      <c r="BI263" s="141">
        <f t="shared" si="1043"/>
        <v>3300</v>
      </c>
      <c r="BJ263" s="141">
        <f t="shared" si="1043"/>
        <v>1090</v>
      </c>
      <c r="BK263" s="139">
        <f t="shared" si="1043"/>
        <v>1090</v>
      </c>
      <c r="BL263" s="136">
        <f t="shared" ref="BL263:BM263" si="1044">BL261+BL262</f>
        <v>1452</v>
      </c>
      <c r="BM263" s="141">
        <f t="shared" si="1044"/>
        <v>1269</v>
      </c>
      <c r="BN263" s="141"/>
      <c r="BO263" s="141"/>
      <c r="BP263" s="139"/>
      <c r="BQ263" s="139">
        <f t="shared" ref="BQ263" si="1045">BQ261+BQ262</f>
        <v>3336</v>
      </c>
      <c r="BR263" s="136">
        <f t="shared" ref="BR263:CA263" si="1046">BR261+BR262</f>
        <v>3486</v>
      </c>
      <c r="BS263" s="141">
        <f t="shared" si="1046"/>
        <v>3202</v>
      </c>
      <c r="BT263" s="141">
        <f t="shared" si="1046"/>
        <v>3300</v>
      </c>
      <c r="BU263" s="141">
        <f t="shared" si="1046"/>
        <v>1090</v>
      </c>
      <c r="BV263" s="139">
        <f t="shared" si="1046"/>
        <v>1090</v>
      </c>
      <c r="BW263" s="136">
        <f t="shared" si="1046"/>
        <v>1452</v>
      </c>
      <c r="BX263" s="141">
        <f t="shared" si="1046"/>
        <v>1269</v>
      </c>
      <c r="BY263" s="141">
        <f t="shared" si="1046"/>
        <v>2895</v>
      </c>
      <c r="BZ263" s="141">
        <f t="shared" si="1046"/>
        <v>1837</v>
      </c>
      <c r="CA263" s="139">
        <f t="shared" si="1046"/>
        <v>1837</v>
      </c>
      <c r="CB263" s="136">
        <f t="shared" ref="CB263:CE263" si="1047">CB261+CB262</f>
        <v>2216</v>
      </c>
      <c r="CC263" s="141">
        <f t="shared" si="1047"/>
        <v>2452</v>
      </c>
      <c r="CD263" s="141">
        <f t="shared" si="1047"/>
        <v>2941</v>
      </c>
      <c r="CE263" s="141">
        <f t="shared" si="1047"/>
        <v>2861</v>
      </c>
      <c r="CF263" s="139">
        <f>CF261+CF262</f>
        <v>2861</v>
      </c>
      <c r="CG263" s="136"/>
      <c r="CH263" s="141"/>
      <c r="CI263" s="141"/>
      <c r="CJ263" s="141"/>
      <c r="CK263" s="139">
        <f t="shared" ref="CK263" si="1048">CK261+CK262</f>
        <v>1837</v>
      </c>
      <c r="CL263" s="136"/>
      <c r="CM263" s="141"/>
      <c r="CN263" s="141"/>
      <c r="CO263" s="141"/>
      <c r="CP263" s="139">
        <f t="shared" si="1014"/>
        <v>2861</v>
      </c>
      <c r="CQ263" s="136">
        <f t="shared" ref="CQ263:CS263" si="1049">CQ261+CQ262</f>
        <v>4112.3138930968053</v>
      </c>
      <c r="CR263" s="141">
        <f t="shared" si="1049"/>
        <v>5870.2554655556623</v>
      </c>
      <c r="CS263" s="141">
        <f t="shared" si="1049"/>
        <v>4555.5347932858504</v>
      </c>
      <c r="CT263" s="141">
        <f>CT261+CT262</f>
        <v>1808.8245970123553</v>
      </c>
      <c r="CU263" s="139">
        <f>CU261+CU262</f>
        <v>1808.8245970123544</v>
      </c>
      <c r="CV263" s="141"/>
      <c r="CW263" s="141"/>
      <c r="CX263" s="141"/>
      <c r="CY263" s="140"/>
      <c r="CZ263" s="139">
        <f>CZ261+CZ262</f>
        <v>2170.551671431137</v>
      </c>
      <c r="DA263" s="141"/>
      <c r="DB263" s="141"/>
      <c r="DC263" s="141"/>
      <c r="DD263" s="140"/>
      <c r="DE263" s="139">
        <f>DE261+DE262</f>
        <v>2369.88367472148</v>
      </c>
      <c r="DF263" s="141"/>
      <c r="DG263" s="141"/>
      <c r="DH263" s="141"/>
      <c r="DI263" s="140"/>
      <c r="DJ263" s="139">
        <f>DJ261+DJ262</f>
        <v>2185.4562590577198</v>
      </c>
      <c r="DK263" s="212"/>
      <c r="DL263" s="1286"/>
      <c r="DM263" s="810"/>
      <c r="DN263" s="810"/>
      <c r="DO263" s="810"/>
      <c r="DP263" s="1053"/>
      <c r="DQ263" s="1053"/>
      <c r="DR263" s="1053"/>
      <c r="DS263" s="810"/>
      <c r="DT263" s="810"/>
      <c r="DU263" s="810"/>
      <c r="DV263" s="810"/>
      <c r="DW263" s="810"/>
      <c r="DX263" s="810"/>
      <c r="DY263" s="228"/>
      <c r="DZ263" s="216"/>
      <c r="EA263" s="216"/>
      <c r="EB263"/>
      <c r="EC263"/>
      <c r="ED263"/>
      <c r="EE263"/>
      <c r="EF263"/>
      <c r="EG263"/>
    </row>
    <row r="264" spans="1:137" s="224" customFormat="1">
      <c r="A264" s="225"/>
      <c r="B264" s="139"/>
      <c r="C264" s="139"/>
      <c r="D264" s="139"/>
      <c r="E264" s="139"/>
      <c r="F264" s="139"/>
      <c r="G264" s="139"/>
      <c r="H264" s="141"/>
      <c r="I264" s="141"/>
      <c r="J264" s="141"/>
      <c r="K264" s="141"/>
      <c r="L264" s="139"/>
      <c r="M264" s="141"/>
      <c r="N264" s="141"/>
      <c r="O264" s="141"/>
      <c r="P264" s="141"/>
      <c r="Q264" s="139"/>
      <c r="R264" s="141"/>
      <c r="S264" s="141"/>
      <c r="T264" s="141"/>
      <c r="U264" s="141"/>
      <c r="V264" s="139"/>
      <c r="W264" s="141"/>
      <c r="X264" s="141"/>
      <c r="Y264" s="141"/>
      <c r="Z264" s="141"/>
      <c r="AA264" s="139"/>
      <c r="AB264" s="141"/>
      <c r="AC264" s="141"/>
      <c r="AD264" s="141"/>
      <c r="AE264" s="141"/>
      <c r="AF264" s="139"/>
      <c r="AG264" s="141"/>
      <c r="AH264" s="141"/>
      <c r="AI264" s="141"/>
      <c r="AJ264" s="141"/>
      <c r="AK264" s="139"/>
      <c r="AL264" s="141"/>
      <c r="AM264" s="141"/>
      <c r="AN264" s="141"/>
      <c r="AO264" s="141"/>
      <c r="AP264" s="139"/>
      <c r="AQ264" s="223"/>
      <c r="AR264" s="141"/>
      <c r="AS264" s="141"/>
      <c r="AT264" s="140"/>
      <c r="AU264" s="139"/>
      <c r="AV264" s="223"/>
      <c r="AW264" s="141"/>
      <c r="AX264" s="141"/>
      <c r="AY264" s="140"/>
      <c r="AZ264" s="139"/>
      <c r="BA264" s="139"/>
      <c r="BB264" s="223"/>
      <c r="BC264" s="141"/>
      <c r="BD264" s="141"/>
      <c r="BE264" s="140"/>
      <c r="BF264" s="139"/>
      <c r="BG264" s="223"/>
      <c r="BH264" s="141"/>
      <c r="BI264" s="141"/>
      <c r="BJ264" s="140"/>
      <c r="BK264" s="139"/>
      <c r="BL264" s="223"/>
      <c r="BM264" s="141"/>
      <c r="BN264" s="141"/>
      <c r="BO264" s="140"/>
      <c r="BP264" s="139"/>
      <c r="BQ264" s="139"/>
      <c r="BR264" s="223"/>
      <c r="BS264" s="141"/>
      <c r="BT264" s="141"/>
      <c r="BU264" s="140"/>
      <c r="BV264" s="139"/>
      <c r="BW264" s="223"/>
      <c r="BX264" s="141"/>
      <c r="BY264" s="141"/>
      <c r="BZ264" s="140"/>
      <c r="CA264" s="139"/>
      <c r="CB264" s="223"/>
      <c r="CC264" s="141"/>
      <c r="CD264" s="141"/>
      <c r="CE264" s="140"/>
      <c r="CF264" s="139"/>
      <c r="CG264" s="223"/>
      <c r="CH264" s="141"/>
      <c r="CI264" s="141"/>
      <c r="CJ264" s="140"/>
      <c r="CK264" s="139"/>
      <c r="CL264" s="223"/>
      <c r="CM264" s="141"/>
      <c r="CN264" s="141"/>
      <c r="CO264" s="140"/>
      <c r="CP264" s="139"/>
      <c r="CQ264" s="141"/>
      <c r="CR264" s="141"/>
      <c r="CS264" s="141"/>
      <c r="CT264" s="140"/>
      <c r="CU264" s="139"/>
      <c r="CV264" s="141"/>
      <c r="CW264" s="141"/>
      <c r="CX264" s="141"/>
      <c r="CY264" s="140"/>
      <c r="CZ264" s="139"/>
      <c r="DA264" s="141"/>
      <c r="DB264" s="141"/>
      <c r="DC264" s="141"/>
      <c r="DD264" s="140"/>
      <c r="DE264" s="139"/>
      <c r="DF264" s="141"/>
      <c r="DG264" s="141"/>
      <c r="DH264" s="141"/>
      <c r="DI264" s="140"/>
      <c r="DJ264" s="139"/>
      <c r="DK264" s="212"/>
      <c r="DL264" s="1286"/>
      <c r="DM264" s="810"/>
      <c r="DN264" s="810"/>
      <c r="DO264" s="810"/>
      <c r="DP264" s="1053"/>
      <c r="DQ264" s="1053"/>
      <c r="DR264" s="1053"/>
      <c r="DS264" s="810"/>
      <c r="DT264" s="810"/>
      <c r="DU264" s="810"/>
      <c r="DV264" s="810"/>
      <c r="DW264" s="810"/>
      <c r="DX264" s="810"/>
      <c r="DY264" s="228"/>
      <c r="DZ264" s="216"/>
      <c r="EA264" s="216"/>
      <c r="EB264"/>
      <c r="EC264"/>
      <c r="ED264"/>
      <c r="EE264"/>
      <c r="EF264"/>
      <c r="EG264"/>
    </row>
    <row r="265" spans="1:137" s="224" customFormat="1" ht="12" customHeight="1">
      <c r="A265" s="182" t="s">
        <v>230</v>
      </c>
      <c r="B265" s="226"/>
      <c r="C265" s="226"/>
      <c r="D265" s="226"/>
      <c r="E265" s="226"/>
      <c r="F265" s="226"/>
      <c r="G265" s="226"/>
      <c r="H265" s="228"/>
      <c r="I265" s="229"/>
      <c r="J265" s="229"/>
      <c r="K265" s="228"/>
      <c r="L265" s="226"/>
      <c r="M265" s="229"/>
      <c r="N265" s="229"/>
      <c r="O265" s="229"/>
      <c r="P265" s="228"/>
      <c r="Q265" s="226"/>
      <c r="R265" s="229"/>
      <c r="S265" s="229"/>
      <c r="T265" s="229"/>
      <c r="U265" s="228"/>
      <c r="V265" s="226"/>
      <c r="W265" s="229"/>
      <c r="X265" s="229"/>
      <c r="Y265" s="229"/>
      <c r="Z265" s="228"/>
      <c r="AA265" s="226"/>
      <c r="AB265" s="229"/>
      <c r="AC265" s="229"/>
      <c r="AD265" s="229"/>
      <c r="AE265" s="228"/>
      <c r="AF265" s="226"/>
      <c r="AG265" s="229"/>
      <c r="AH265" s="229"/>
      <c r="AI265" s="229"/>
      <c r="AJ265" s="228"/>
      <c r="AK265" s="226"/>
      <c r="AL265" s="229"/>
      <c r="AM265" s="229"/>
      <c r="AN265" s="229"/>
      <c r="AO265" s="228"/>
      <c r="AP265" s="226"/>
      <c r="AQ265" s="230"/>
      <c r="AR265" s="228"/>
      <c r="AS265" s="228"/>
      <c r="AT265" s="227"/>
      <c r="AU265" s="226"/>
      <c r="AV265" s="230"/>
      <c r="AW265" s="228"/>
      <c r="AX265" s="228"/>
      <c r="AY265" s="227"/>
      <c r="AZ265" s="226"/>
      <c r="BA265" s="226"/>
      <c r="BB265" s="230"/>
      <c r="BC265" s="228"/>
      <c r="BD265" s="228"/>
      <c r="BE265" s="227"/>
      <c r="BF265" s="226"/>
      <c r="BG265" s="230"/>
      <c r="BH265" s="228"/>
      <c r="BI265" s="228"/>
      <c r="BJ265" s="227"/>
      <c r="BK265" s="226"/>
      <c r="BL265" s="230"/>
      <c r="BM265" s="228"/>
      <c r="BN265" s="228"/>
      <c r="BO265" s="227"/>
      <c r="BP265" s="226"/>
      <c r="BQ265" s="226"/>
      <c r="BR265" s="230"/>
      <c r="BS265" s="228"/>
      <c r="BT265" s="228"/>
      <c r="BU265" s="227"/>
      <c r="BV265" s="226"/>
      <c r="BW265" s="230"/>
      <c r="BX265" s="228"/>
      <c r="BY265" s="228"/>
      <c r="BZ265" s="227"/>
      <c r="CA265" s="226"/>
      <c r="CB265" s="230"/>
      <c r="CC265" s="228"/>
      <c r="CD265" s="228"/>
      <c r="CE265" s="227"/>
      <c r="CF265" s="226"/>
      <c r="CG265" s="230"/>
      <c r="CH265" s="228"/>
      <c r="CI265" s="228"/>
      <c r="CJ265" s="227"/>
      <c r="CK265" s="226"/>
      <c r="CL265" s="230"/>
      <c r="CM265" s="228"/>
      <c r="CN265" s="228"/>
      <c r="CO265" s="227"/>
      <c r="CP265" s="226"/>
      <c r="CQ265" s="228"/>
      <c r="CR265" s="228"/>
      <c r="CS265" s="228"/>
      <c r="CT265" s="227"/>
      <c r="CU265" s="226"/>
      <c r="CV265" s="228"/>
      <c r="CW265" s="228"/>
      <c r="CX265" s="228"/>
      <c r="CY265" s="227"/>
      <c r="CZ265" s="226"/>
      <c r="DA265" s="228"/>
      <c r="DB265" s="228"/>
      <c r="DC265" s="228"/>
      <c r="DD265" s="227"/>
      <c r="DE265" s="226"/>
      <c r="DF265" s="228"/>
      <c r="DG265" s="228"/>
      <c r="DH265" s="228"/>
      <c r="DI265" s="227"/>
      <c r="DJ265" s="226"/>
      <c r="DK265" s="217"/>
      <c r="DL265" s="1286"/>
      <c r="DM265" s="809"/>
      <c r="DN265" s="811"/>
      <c r="DO265" s="811"/>
      <c r="DP265" s="1115"/>
      <c r="DQ265" s="1115"/>
      <c r="DR265" s="1115"/>
      <c r="DS265" s="811"/>
      <c r="DT265" s="811"/>
      <c r="DU265" s="811"/>
      <c r="DV265" s="811"/>
      <c r="DW265" s="811"/>
      <c r="DX265" s="811"/>
      <c r="DY265" s="228"/>
      <c r="DZ265" s="216"/>
      <c r="EA265" s="216"/>
      <c r="EB265"/>
      <c r="EC265"/>
      <c r="ED265"/>
      <c r="EE265"/>
      <c r="EF265"/>
      <c r="EG265"/>
    </row>
    <row r="266" spans="1:137" s="224" customFormat="1">
      <c r="A266" s="231" t="s">
        <v>115</v>
      </c>
      <c r="B266" s="232"/>
      <c r="C266" s="232"/>
      <c r="D266" s="232"/>
      <c r="E266" s="232"/>
      <c r="F266" s="232"/>
      <c r="G266" s="232"/>
      <c r="H266" s="234"/>
      <c r="I266" s="235"/>
      <c r="J266" s="235"/>
      <c r="K266" s="234"/>
      <c r="L266" s="232"/>
      <c r="M266" s="235"/>
      <c r="N266" s="235"/>
      <c r="O266" s="235"/>
      <c r="P266" s="234"/>
      <c r="Q266" s="232"/>
      <c r="R266" s="235"/>
      <c r="S266" s="235"/>
      <c r="T266" s="235"/>
      <c r="U266" s="234"/>
      <c r="V266" s="232"/>
      <c r="W266" s="235"/>
      <c r="X266" s="235"/>
      <c r="Y266" s="235"/>
      <c r="Z266" s="234"/>
      <c r="AA266" s="232"/>
      <c r="AB266" s="235"/>
      <c r="AC266" s="235"/>
      <c r="AD266" s="235"/>
      <c r="AE266" s="234"/>
      <c r="AF266" s="232"/>
      <c r="AG266" s="234"/>
      <c r="AH266" s="235"/>
      <c r="AI266" s="235"/>
      <c r="AJ266" s="234"/>
      <c r="AK266" s="232"/>
      <c r="AL266" s="235"/>
      <c r="AM266" s="235"/>
      <c r="AN266" s="235"/>
      <c r="AO266" s="234"/>
      <c r="AP266" s="232"/>
      <c r="AQ266" s="236"/>
      <c r="AR266" s="234"/>
      <c r="AS266" s="234"/>
      <c r="AT266" s="233"/>
      <c r="AU266" s="232"/>
      <c r="AV266" s="236"/>
      <c r="AW266" s="234"/>
      <c r="AX266" s="234"/>
      <c r="AY266" s="824"/>
      <c r="AZ266" s="232"/>
      <c r="BA266" s="232"/>
      <c r="BB266" s="236"/>
      <c r="BC266" s="234"/>
      <c r="BD266" s="234"/>
      <c r="BE266" s="824"/>
      <c r="BF266" s="232"/>
      <c r="BG266" s="236"/>
      <c r="BH266" s="234"/>
      <c r="BI266" s="234"/>
      <c r="BJ266" s="824"/>
      <c r="BK266" s="232"/>
      <c r="BL266" s="236"/>
      <c r="BM266" s="234"/>
      <c r="BN266" s="234"/>
      <c r="BO266" s="824"/>
      <c r="BP266" s="232"/>
      <c r="BQ266" s="232"/>
      <c r="BR266" s="236"/>
      <c r="BS266" s="234"/>
      <c r="BT266" s="234"/>
      <c r="BU266" s="824"/>
      <c r="BV266" s="232"/>
      <c r="BW266" s="236"/>
      <c r="BX266" s="234"/>
      <c r="BY266" s="234"/>
      <c r="BZ266" s="824"/>
      <c r="CA266" s="232"/>
      <c r="CB266" s="236"/>
      <c r="CC266" s="234"/>
      <c r="CD266" s="234"/>
      <c r="CE266" s="824"/>
      <c r="CF266" s="232"/>
      <c r="CG266" s="236"/>
      <c r="CH266" s="234"/>
      <c r="CI266" s="234"/>
      <c r="CJ266" s="824"/>
      <c r="CK266" s="232"/>
      <c r="CL266" s="236"/>
      <c r="CM266" s="234"/>
      <c r="CN266" s="234"/>
      <c r="CO266" s="824"/>
      <c r="CP266" s="232"/>
      <c r="CQ266" s="234"/>
      <c r="CR266" s="234"/>
      <c r="CS266" s="234"/>
      <c r="CT266" s="233"/>
      <c r="CU266" s="232"/>
      <c r="CV266" s="234"/>
      <c r="CW266" s="234"/>
      <c r="CX266" s="234"/>
      <c r="CY266" s="233"/>
      <c r="CZ266" s="232"/>
      <c r="DA266" s="234"/>
      <c r="DB266" s="234"/>
      <c r="DC266" s="234"/>
      <c r="DD266" s="233"/>
      <c r="DE266" s="232"/>
      <c r="DF266" s="234"/>
      <c r="DG266" s="234"/>
      <c r="DH266" s="234"/>
      <c r="DI266" s="233"/>
      <c r="DJ266" s="232"/>
      <c r="DK266" s="217"/>
      <c r="DL266" s="1286"/>
      <c r="DM266" s="810"/>
      <c r="DN266" s="810"/>
      <c r="DO266" s="810"/>
      <c r="DP266" s="1053"/>
      <c r="DQ266" s="1053"/>
      <c r="DR266" s="1053"/>
      <c r="DS266" s="810"/>
      <c r="DT266" s="810"/>
      <c r="DU266" s="810"/>
      <c r="DV266" s="810"/>
      <c r="DW266" s="810"/>
      <c r="DX266" s="810"/>
      <c r="DY266" s="228"/>
      <c r="DZ266" s="216"/>
      <c r="EA266" s="216"/>
      <c r="EB266"/>
      <c r="EC266"/>
      <c r="ED266"/>
      <c r="EE266"/>
      <c r="EF266"/>
      <c r="EG266"/>
    </row>
    <row r="267" spans="1:137" s="224" customFormat="1">
      <c r="A267" s="128" t="s">
        <v>250</v>
      </c>
      <c r="B267" s="201">
        <f t="shared" ref="B267:AL267" si="1050">B263</f>
        <v>912</v>
      </c>
      <c r="C267" s="201">
        <f t="shared" si="1050"/>
        <v>2738</v>
      </c>
      <c r="D267" s="201">
        <f t="shared" si="1050"/>
        <v>1010</v>
      </c>
      <c r="E267" s="201">
        <f t="shared" si="1050"/>
        <v>1060</v>
      </c>
      <c r="F267" s="201">
        <f t="shared" si="1050"/>
        <v>2244</v>
      </c>
      <c r="G267" s="201">
        <f t="shared" si="1050"/>
        <v>1912</v>
      </c>
      <c r="H267" s="179">
        <f t="shared" si="1050"/>
        <v>2778</v>
      </c>
      <c r="I267" s="179">
        <f t="shared" si="1050"/>
        <v>3008</v>
      </c>
      <c r="J267" s="179">
        <f t="shared" si="1050"/>
        <v>3094</v>
      </c>
      <c r="K267" s="179">
        <f t="shared" si="1050"/>
        <v>2648</v>
      </c>
      <c r="L267" s="201">
        <f t="shared" si="1050"/>
        <v>2648</v>
      </c>
      <c r="M267" s="179">
        <f t="shared" si="1050"/>
        <v>2799</v>
      </c>
      <c r="N267" s="179">
        <f t="shared" si="1050"/>
        <v>3214</v>
      </c>
      <c r="O267" s="179">
        <f t="shared" si="1050"/>
        <v>2463</v>
      </c>
      <c r="P267" s="179">
        <f t="shared" si="1050"/>
        <v>2168</v>
      </c>
      <c r="Q267" s="201">
        <f t="shared" si="1050"/>
        <v>2168</v>
      </c>
      <c r="R267" s="179">
        <f t="shared" si="1050"/>
        <v>2384</v>
      </c>
      <c r="S267" s="179">
        <f t="shared" si="1050"/>
        <v>2672</v>
      </c>
      <c r="T267" s="179">
        <f t="shared" si="1050"/>
        <v>2709</v>
      </c>
      <c r="U267" s="196">
        <f t="shared" si="1050"/>
        <v>2391</v>
      </c>
      <c r="V267" s="201">
        <f t="shared" si="1050"/>
        <v>2391</v>
      </c>
      <c r="W267" s="179">
        <f t="shared" si="1050"/>
        <v>3288</v>
      </c>
      <c r="X267" s="179">
        <f t="shared" si="1050"/>
        <v>2722</v>
      </c>
      <c r="Y267" s="216">
        <f t="shared" si="1050"/>
        <v>2656</v>
      </c>
      <c r="Z267" s="179">
        <f t="shared" si="1050"/>
        <v>2261</v>
      </c>
      <c r="AA267" s="201">
        <f t="shared" si="1050"/>
        <v>2261</v>
      </c>
      <c r="AB267" s="179">
        <f t="shared" si="1050"/>
        <v>3369</v>
      </c>
      <c r="AC267" s="118">
        <f t="shared" si="1050"/>
        <v>3278</v>
      </c>
      <c r="AD267" s="118">
        <f t="shared" si="1050"/>
        <v>4555</v>
      </c>
      <c r="AE267" s="179">
        <f t="shared" si="1050"/>
        <v>3582</v>
      </c>
      <c r="AF267" s="201">
        <f t="shared" si="1050"/>
        <v>3582</v>
      </c>
      <c r="AG267" s="179">
        <f t="shared" si="1050"/>
        <v>3518</v>
      </c>
      <c r="AH267" s="118">
        <f t="shared" si="1050"/>
        <v>3802</v>
      </c>
      <c r="AI267" s="118">
        <f t="shared" si="1050"/>
        <v>4652</v>
      </c>
      <c r="AJ267" s="179">
        <f>AJ263</f>
        <v>1898</v>
      </c>
      <c r="AK267" s="201">
        <f t="shared" si="1050"/>
        <v>1898</v>
      </c>
      <c r="AL267" s="118">
        <f t="shared" si="1050"/>
        <v>3065</v>
      </c>
      <c r="AM267" s="118">
        <f t="shared" ref="AM267:BM267" si="1051">AM263</f>
        <v>2845</v>
      </c>
      <c r="AN267" s="118">
        <f t="shared" si="1051"/>
        <v>2661</v>
      </c>
      <c r="AO267" s="179">
        <f>AO263</f>
        <v>2617</v>
      </c>
      <c r="AP267" s="201">
        <f t="shared" si="1051"/>
        <v>2617</v>
      </c>
      <c r="AQ267" s="118">
        <f t="shared" si="1051"/>
        <v>3264</v>
      </c>
      <c r="AR267" s="118">
        <f t="shared" si="1051"/>
        <v>3436</v>
      </c>
      <c r="AS267" s="118">
        <f t="shared" si="1051"/>
        <v>2963</v>
      </c>
      <c r="AT267" s="179">
        <f t="shared" ref="AT267:AZ267" si="1052">AT263</f>
        <v>1446</v>
      </c>
      <c r="AU267" s="201">
        <f t="shared" si="1052"/>
        <v>1446</v>
      </c>
      <c r="AV267" s="237">
        <f t="shared" si="1052"/>
        <v>3486</v>
      </c>
      <c r="AW267" s="118">
        <f t="shared" si="1052"/>
        <v>3202</v>
      </c>
      <c r="AX267" s="118">
        <f t="shared" si="1052"/>
        <v>3300</v>
      </c>
      <c r="AY267" s="196">
        <f t="shared" si="1052"/>
        <v>1090</v>
      </c>
      <c r="AZ267" s="201">
        <f t="shared" si="1052"/>
        <v>1090</v>
      </c>
      <c r="BA267" s="1038"/>
      <c r="BB267" s="237">
        <f t="shared" ref="BB267:BE267" si="1053">BB263</f>
        <v>3264</v>
      </c>
      <c r="BC267" s="118">
        <f t="shared" si="1053"/>
        <v>3436</v>
      </c>
      <c r="BD267" s="118">
        <f t="shared" si="1053"/>
        <v>2963</v>
      </c>
      <c r="BE267" s="196">
        <f t="shared" si="1053"/>
        <v>1446</v>
      </c>
      <c r="BF267" s="201">
        <f t="shared" ref="BF267" si="1054">BF263</f>
        <v>1446.4899999999998</v>
      </c>
      <c r="BG267" s="237">
        <f t="shared" ref="BG267:BJ267" si="1055">BG263</f>
        <v>3486</v>
      </c>
      <c r="BH267" s="118">
        <f t="shared" si="1055"/>
        <v>3202</v>
      </c>
      <c r="BI267" s="118">
        <f t="shared" si="1055"/>
        <v>3300</v>
      </c>
      <c r="BJ267" s="196">
        <f t="shared" si="1055"/>
        <v>1090</v>
      </c>
      <c r="BK267" s="201">
        <f t="shared" si="1051"/>
        <v>1090</v>
      </c>
      <c r="BL267" s="237">
        <f t="shared" si="1051"/>
        <v>1452</v>
      </c>
      <c r="BM267" s="118">
        <f t="shared" si="1051"/>
        <v>1269</v>
      </c>
      <c r="BN267" s="118"/>
      <c r="BO267" s="196"/>
      <c r="BP267" s="204"/>
      <c r="BQ267" s="201"/>
      <c r="BR267" s="237"/>
      <c r="BS267" s="118"/>
      <c r="BT267" s="118"/>
      <c r="BU267" s="196">
        <f t="shared" ref="BU267:BZ267" si="1056">BU263</f>
        <v>1090</v>
      </c>
      <c r="BV267" s="201">
        <f t="shared" si="1056"/>
        <v>1090</v>
      </c>
      <c r="BW267" s="237">
        <f t="shared" si="1056"/>
        <v>1452</v>
      </c>
      <c r="BX267" s="118">
        <f t="shared" si="1056"/>
        <v>1269</v>
      </c>
      <c r="BY267" s="118">
        <f t="shared" si="1056"/>
        <v>2895</v>
      </c>
      <c r="BZ267" s="196">
        <f t="shared" si="1056"/>
        <v>1837</v>
      </c>
      <c r="CA267" s="204">
        <f>+BZ267</f>
        <v>1837</v>
      </c>
      <c r="CB267" s="237">
        <f t="shared" ref="CB267:CS267" si="1057">CB263</f>
        <v>2216</v>
      </c>
      <c r="CC267" s="1072">
        <f t="shared" si="1057"/>
        <v>2452</v>
      </c>
      <c r="CD267" s="118">
        <f t="shared" si="1057"/>
        <v>2941</v>
      </c>
      <c r="CE267" s="196">
        <f t="shared" si="1057"/>
        <v>2861</v>
      </c>
      <c r="CF267" s="201">
        <f>CF263</f>
        <v>2861</v>
      </c>
      <c r="CG267" s="237"/>
      <c r="CH267" s="118"/>
      <c r="CI267" s="118"/>
      <c r="CJ267" s="196"/>
      <c r="CK267" s="204">
        <f>+BZ263</f>
        <v>1837</v>
      </c>
      <c r="CL267" s="237"/>
      <c r="CM267" s="1072"/>
      <c r="CN267" s="118"/>
      <c r="CO267" s="196"/>
      <c r="CP267" s="201">
        <f>CP263</f>
        <v>2861</v>
      </c>
      <c r="CQ267" s="237">
        <f t="shared" si="1057"/>
        <v>4112.3138930968053</v>
      </c>
      <c r="CR267" s="1072">
        <f t="shared" si="1057"/>
        <v>5870.2554655556623</v>
      </c>
      <c r="CS267" s="118">
        <f t="shared" si="1057"/>
        <v>4555.5347932858504</v>
      </c>
      <c r="CT267" s="196">
        <f>CT263</f>
        <v>1808.8245970123553</v>
      </c>
      <c r="CU267" s="201">
        <f>CU263</f>
        <v>1808.8245970123544</v>
      </c>
      <c r="CV267" s="196"/>
      <c r="CW267" s="196"/>
      <c r="CX267" s="196"/>
      <c r="CY267" s="202"/>
      <c r="CZ267" s="201">
        <f>CZ263</f>
        <v>2170.551671431137</v>
      </c>
      <c r="DA267" s="196"/>
      <c r="DB267" s="196"/>
      <c r="DC267" s="196"/>
      <c r="DD267" s="202"/>
      <c r="DE267" s="201">
        <f>DE263</f>
        <v>2369.88367472148</v>
      </c>
      <c r="DF267" s="196"/>
      <c r="DG267" s="196"/>
      <c r="DH267" s="196"/>
      <c r="DI267" s="202"/>
      <c r="DJ267" s="201">
        <f>DJ263</f>
        <v>2185.4562590577198</v>
      </c>
      <c r="DK267" s="217"/>
      <c r="DL267" s="1286"/>
      <c r="DM267" s="810"/>
      <c r="DN267" s="810"/>
      <c r="DO267" s="810"/>
      <c r="DP267" s="1053"/>
      <c r="DQ267" s="1053"/>
      <c r="DR267" s="1053"/>
      <c r="DS267" s="810"/>
      <c r="DT267" s="810"/>
      <c r="DU267" s="810"/>
      <c r="DV267" s="810"/>
      <c r="DW267" s="810"/>
      <c r="DX267" s="810"/>
      <c r="DY267" s="228"/>
      <c r="DZ267" s="216"/>
      <c r="EA267" s="216"/>
      <c r="EB267"/>
      <c r="EC267"/>
      <c r="ED267"/>
      <c r="EE267"/>
      <c r="EF267"/>
      <c r="EG267"/>
    </row>
    <row r="268" spans="1:137" s="224" customFormat="1">
      <c r="A268" s="213" t="s">
        <v>218</v>
      </c>
      <c r="B268" s="194">
        <v>4049</v>
      </c>
      <c r="C268" s="119">
        <v>3655</v>
      </c>
      <c r="D268" s="119">
        <v>4039</v>
      </c>
      <c r="E268" s="119">
        <v>4094</v>
      </c>
      <c r="F268" s="119">
        <v>4579</v>
      </c>
      <c r="G268" s="119">
        <v>4595</v>
      </c>
      <c r="H268" s="121">
        <v>4902</v>
      </c>
      <c r="I268" s="125">
        <v>5239</v>
      </c>
      <c r="J268" s="125">
        <v>4937</v>
      </c>
      <c r="K268" s="121">
        <v>4925</v>
      </c>
      <c r="L268" s="119">
        <f>K268</f>
        <v>4925</v>
      </c>
      <c r="M268" s="125">
        <v>5413</v>
      </c>
      <c r="N268" s="125">
        <v>5218</v>
      </c>
      <c r="O268" s="125">
        <v>5391</v>
      </c>
      <c r="P268" s="121">
        <v>5296</v>
      </c>
      <c r="Q268" s="119">
        <f>P268</f>
        <v>5296</v>
      </c>
      <c r="R268" s="125">
        <v>6097</v>
      </c>
      <c r="S268" s="125">
        <v>6131</v>
      </c>
      <c r="T268" s="124">
        <v>6067</v>
      </c>
      <c r="U268" s="124">
        <v>6061</v>
      </c>
      <c r="V268" s="122">
        <f>U268</f>
        <v>6061</v>
      </c>
      <c r="W268" s="125">
        <v>6610</v>
      </c>
      <c r="X268" s="125">
        <v>6383</v>
      </c>
      <c r="Y268" s="124">
        <v>6275</v>
      </c>
      <c r="Z268" s="124">
        <v>5757</v>
      </c>
      <c r="AA268" s="122">
        <f>Z268</f>
        <v>5757</v>
      </c>
      <c r="AB268" s="125">
        <v>6583</v>
      </c>
      <c r="AC268" s="125">
        <v>6547</v>
      </c>
      <c r="AD268" s="124">
        <v>6523</v>
      </c>
      <c r="AE268" s="121">
        <v>6064</v>
      </c>
      <c r="AF268" s="122">
        <f>AE268</f>
        <v>6064</v>
      </c>
      <c r="AG268" s="124">
        <v>6720</v>
      </c>
      <c r="AH268" s="125">
        <v>6569</v>
      </c>
      <c r="AI268" s="125">
        <v>6428</v>
      </c>
      <c r="AJ268" s="121">
        <v>6563</v>
      </c>
      <c r="AK268" s="122">
        <f>AJ268</f>
        <v>6563</v>
      </c>
      <c r="AL268" s="124">
        <v>6968</v>
      </c>
      <c r="AM268" s="124">
        <v>6826</v>
      </c>
      <c r="AN268" s="124">
        <v>6919</v>
      </c>
      <c r="AO268" s="124">
        <v>5834</v>
      </c>
      <c r="AP268" s="122">
        <f>+AO268</f>
        <v>5834</v>
      </c>
      <c r="AQ268" s="124">
        <v>6255</v>
      </c>
      <c r="AR268" s="124">
        <v>6434</v>
      </c>
      <c r="AS268" s="124">
        <v>6081</v>
      </c>
      <c r="AT268" s="124">
        <v>5884</v>
      </c>
      <c r="AU268" s="122">
        <f>+AT268</f>
        <v>5884</v>
      </c>
      <c r="AV268" s="124">
        <v>6545</v>
      </c>
      <c r="AW268" s="124">
        <v>7064</v>
      </c>
      <c r="AX268" s="124">
        <v>6740</v>
      </c>
      <c r="AY268" s="127">
        <v>8061</v>
      </c>
      <c r="AZ268" s="122">
        <f>AY268</f>
        <v>8061</v>
      </c>
      <c r="BA268" s="122"/>
      <c r="BB268" s="124">
        <v>6255</v>
      </c>
      <c r="BC268" s="124">
        <v>6434</v>
      </c>
      <c r="BD268" s="124">
        <v>6081</v>
      </c>
      <c r="BE268" s="124">
        <v>5884</v>
      </c>
      <c r="BF268" s="122">
        <v>5877</v>
      </c>
      <c r="BG268" s="124">
        <v>6545</v>
      </c>
      <c r="BH268" s="124">
        <v>7064</v>
      </c>
      <c r="BI268" s="124">
        <v>6740</v>
      </c>
      <c r="BJ268" s="127">
        <v>8061</v>
      </c>
      <c r="BK268" s="122">
        <f>+BJ268</f>
        <v>8061</v>
      </c>
      <c r="BL268" s="124">
        <v>8620</v>
      </c>
      <c r="BM268" s="124">
        <v>9275</v>
      </c>
      <c r="BN268" s="124"/>
      <c r="BO268" s="127"/>
      <c r="BP268" s="122"/>
      <c r="BQ268" s="122"/>
      <c r="BR268" s="124"/>
      <c r="BS268" s="124"/>
      <c r="BT268" s="124"/>
      <c r="BU268" s="127">
        <v>7254</v>
      </c>
      <c r="BV268" s="122">
        <f>+BU268</f>
        <v>7254</v>
      </c>
      <c r="BW268" s="124">
        <v>8620</v>
      </c>
      <c r="BX268" s="124">
        <v>9275</v>
      </c>
      <c r="BY268" s="124">
        <v>8955</v>
      </c>
      <c r="BZ268" s="127">
        <v>8202</v>
      </c>
      <c r="CA268" s="122">
        <f>BZ268</f>
        <v>8202</v>
      </c>
      <c r="CB268" s="124">
        <v>8869</v>
      </c>
      <c r="CC268" s="803">
        <v>8762</v>
      </c>
      <c r="CD268" s="124">
        <v>9021</v>
      </c>
      <c r="CE268" s="127">
        <v>8603</v>
      </c>
      <c r="CF268" s="122">
        <f>+CE268</f>
        <v>8603</v>
      </c>
      <c r="CG268" s="124"/>
      <c r="CH268" s="124"/>
      <c r="CI268" s="124"/>
      <c r="CJ268" s="127"/>
      <c r="CK268" s="122">
        <v>8202</v>
      </c>
      <c r="CL268" s="124"/>
      <c r="CM268" s="803"/>
      <c r="CN268" s="124"/>
      <c r="CO268" s="127"/>
      <c r="CP268" s="122">
        <f>+CF268</f>
        <v>8603</v>
      </c>
      <c r="CQ268" s="124">
        <f>CQ269*CQ173/360*4</f>
        <v>8903.4910011757256</v>
      </c>
      <c r="CR268" s="124">
        <f>CR269*CR173/360*4</f>
        <v>8875.9716200236489</v>
      </c>
      <c r="CS268" s="124">
        <f>CS269*CS173/360*4</f>
        <v>9043.9806064590339</v>
      </c>
      <c r="CT268" s="127">
        <f>CT269*CT173/360*4</f>
        <v>8610.3884521371492</v>
      </c>
      <c r="CU268" s="122">
        <f>+CT268</f>
        <v>8610.3884521371492</v>
      </c>
      <c r="CV268" s="124"/>
      <c r="CW268" s="124"/>
      <c r="CX268" s="124"/>
      <c r="CY268" s="127"/>
      <c r="CZ268" s="122">
        <f>CZ269*CZ173/360</f>
        <v>9241.6694444444438</v>
      </c>
      <c r="DA268" s="124"/>
      <c r="DB268" s="124"/>
      <c r="DC268" s="124"/>
      <c r="DD268" s="127"/>
      <c r="DE268" s="122">
        <f>DE269*DE173/360</f>
        <v>9675.2049166666675</v>
      </c>
      <c r="DF268" s="124"/>
      <c r="DG268" s="124"/>
      <c r="DH268" s="124"/>
      <c r="DI268" s="127"/>
      <c r="DJ268" s="122">
        <f>DJ269*DJ173/360</f>
        <v>9993.1594358333332</v>
      </c>
      <c r="DK268" s="217"/>
      <c r="DL268" s="1286"/>
      <c r="DM268" s="810"/>
      <c r="DN268" s="810"/>
      <c r="DO268" s="809"/>
      <c r="DP268" s="1054"/>
      <c r="DQ268" s="1053"/>
      <c r="DR268" s="1054"/>
      <c r="DS268" s="809"/>
      <c r="DT268" s="809"/>
      <c r="DU268" s="809"/>
      <c r="DV268" s="809"/>
      <c r="DW268" s="809"/>
      <c r="DX268" s="809"/>
      <c r="DY268" s="228"/>
      <c r="DZ268" s="216"/>
      <c r="EA268" s="216"/>
      <c r="EB268"/>
      <c r="EC268"/>
      <c r="ED268"/>
      <c r="EE268"/>
      <c r="EF268"/>
      <c r="EG268"/>
    </row>
    <row r="269" spans="1:137" s="436" customFormat="1">
      <c r="A269" s="335" t="s">
        <v>117</v>
      </c>
      <c r="B269" s="336">
        <f t="shared" ref="B269:G269" si="1058">B268/B173*360</f>
        <v>60.81608811748999</v>
      </c>
      <c r="C269" s="336">
        <f t="shared" si="1058"/>
        <v>49.536932459905131</v>
      </c>
      <c r="D269" s="336">
        <f t="shared" si="1058"/>
        <v>45.713028169014088</v>
      </c>
      <c r="E269" s="336">
        <f t="shared" si="1058"/>
        <v>41.486235433203852</v>
      </c>
      <c r="F269" s="336">
        <f t="shared" si="1058"/>
        <v>44.297422943594981</v>
      </c>
      <c r="G269" s="336">
        <f t="shared" si="1058"/>
        <v>41.751640585562846</v>
      </c>
      <c r="H269" s="337">
        <f>H268/H173*360/4</f>
        <v>47.566576819407011</v>
      </c>
      <c r="I269" s="337">
        <f>I268/I173*360/4</f>
        <v>44.269082715238007</v>
      </c>
      <c r="J269" s="337">
        <f>J268/J173*360/4</f>
        <v>40.04776926543488</v>
      </c>
      <c r="K269" s="337">
        <f>K268/K173*360/4</f>
        <v>40.886449589521263</v>
      </c>
      <c r="L269" s="336">
        <f>L268/L173*360</f>
        <v>42.353447040275185</v>
      </c>
      <c r="M269" s="337">
        <f>M268/M173*360/4</f>
        <v>48.799959931884196</v>
      </c>
      <c r="N269" s="337">
        <f>N268/N173*360/4</f>
        <v>42.541896910952083</v>
      </c>
      <c r="O269" s="337">
        <f>O268/O173*360/4</f>
        <v>45.87217547508746</v>
      </c>
      <c r="P269" s="337">
        <f>P268/P173*360/4</f>
        <v>42.817103844771829</v>
      </c>
      <c r="Q269" s="336">
        <f>Q268/Q173*360</f>
        <v>44.617724836769561</v>
      </c>
      <c r="R269" s="337">
        <f>R268/R173*360/4</f>
        <v>52.899836112985639</v>
      </c>
      <c r="S269" s="337">
        <f>S268/S173*360/4</f>
        <v>49.836524566473983</v>
      </c>
      <c r="T269" s="337">
        <f>T268/T173*360/4</f>
        <v>50.713290610197824</v>
      </c>
      <c r="U269" s="337">
        <f>U268/U173*360/4</f>
        <v>44.701302958288949</v>
      </c>
      <c r="V269" s="336">
        <f>V268/V173*360</f>
        <v>49.126646403242148</v>
      </c>
      <c r="W269" s="337">
        <f>W268/W173*360/4</f>
        <v>57.550546580245715</v>
      </c>
      <c r="X269" s="337">
        <f>X268/X173*360/4</f>
        <v>50.928191489361701</v>
      </c>
      <c r="Y269" s="337">
        <f>Y268/Y173*360/4</f>
        <v>49.788415763025647</v>
      </c>
      <c r="Z269" s="337">
        <f>Z268/Z173*360/4</f>
        <v>40.602617349737478</v>
      </c>
      <c r="AA269" s="336">
        <f>AA268/AA173*360</f>
        <v>45.329717197786579</v>
      </c>
      <c r="AB269" s="337">
        <f>AB268/AB173*360/4</f>
        <v>55.756634669678142</v>
      </c>
      <c r="AC269" s="337">
        <f>AC268/AC173*360/4</f>
        <v>51.046521701464087</v>
      </c>
      <c r="AD269" s="337">
        <f>AD268/AD173*360/4</f>
        <v>48.442115686112714</v>
      </c>
      <c r="AE269" s="337">
        <f>AE268/AE173*360/4</f>
        <v>44.694128245024977</v>
      </c>
      <c r="AF269" s="336">
        <f>AF268/AF173*360</f>
        <v>46.94810641089056</v>
      </c>
      <c r="AG269" s="337">
        <f>AG268/AG173*360/4</f>
        <v>53.555299743203761</v>
      </c>
      <c r="AH269" s="337">
        <f>AH268/AH173*360/4</f>
        <v>49.593993792467074</v>
      </c>
      <c r="AI269" s="337">
        <f>AI268/AI173*360/4</f>
        <v>48.742101272221753</v>
      </c>
      <c r="AJ269" s="337">
        <f>AJ268/AJ173*360/4</f>
        <v>48.819737168361023</v>
      </c>
      <c r="AK269" s="336">
        <f>AK268/AK173*360</f>
        <v>50.075876393539914</v>
      </c>
      <c r="AL269" s="337">
        <f>AL268/AL173*360/4</f>
        <v>56.650406504065039</v>
      </c>
      <c r="AM269" s="337">
        <f>AM268/AM173*360/4</f>
        <v>53.851683029453021</v>
      </c>
      <c r="AN269" s="337">
        <f>AN268/AN173*360/4</f>
        <v>54.878822596280955</v>
      </c>
      <c r="AO269" s="337">
        <f>AO268/AO173*360/4</f>
        <v>45.526749328015256</v>
      </c>
      <c r="AP269" s="336">
        <f>AP268/AP173*360</f>
        <v>46.303628907800167</v>
      </c>
      <c r="AQ269" s="337">
        <f>AQ268/AQ173*360/4</f>
        <v>52.859154929577464</v>
      </c>
      <c r="AR269" s="337">
        <f>AR268/AR173*360/4</f>
        <v>51.217052892269592</v>
      </c>
      <c r="AS269" s="337">
        <f>AS268/AS173*360/4</f>
        <v>49.243296742846866</v>
      </c>
      <c r="AT269" s="337">
        <f>AT268/AT173*360/4</f>
        <v>42.263367916999201</v>
      </c>
      <c r="AU269" s="336">
        <f>AU268/AU173*360</f>
        <v>46.452631578947368</v>
      </c>
      <c r="AV269" s="337">
        <f>AV268/AV173*360/4</f>
        <v>58.258332509148453</v>
      </c>
      <c r="AW269" s="337">
        <f>AW268/AW173*360/4</f>
        <v>54.60448338057202</v>
      </c>
      <c r="AX269" s="337">
        <f>AX268/AX173*360/4</f>
        <v>52.927318733094843</v>
      </c>
      <c r="AY269" s="337">
        <f>AY268/AY173*360/4</f>
        <v>56.165518309204927</v>
      </c>
      <c r="AZ269" s="336">
        <f>AZ268/AZ173*360</f>
        <v>62.905575305644675</v>
      </c>
      <c r="BA269" s="336"/>
      <c r="BB269" s="337">
        <f>BB268/BB173*360/4</f>
        <v>52.859154929577464</v>
      </c>
      <c r="BC269" s="337">
        <f>BC268/BC173*360/4</f>
        <v>51.217052892269592</v>
      </c>
      <c r="BD269" s="337">
        <f>BD268/BD173*360/4</f>
        <v>49.243296742846866</v>
      </c>
      <c r="BE269" s="337">
        <f>BE268/BE173*360/4</f>
        <v>42.263367916999201</v>
      </c>
      <c r="BF269" s="336">
        <f>BF268/BF173*360</f>
        <v>46.397368421052633</v>
      </c>
      <c r="BG269" s="337">
        <f>BG268/BG173*360/4</f>
        <v>58.258332509148453</v>
      </c>
      <c r="BH269" s="337">
        <f>BH268/BH173*360/4</f>
        <v>54.60448338057202</v>
      </c>
      <c r="BI269" s="337">
        <f>BI268/BI173*360/4</f>
        <v>52.927318733094843</v>
      </c>
      <c r="BJ269" s="337">
        <f>BJ268/BJ173*360/4</f>
        <v>56.165518309204927</v>
      </c>
      <c r="BK269" s="336">
        <f>+AZ269</f>
        <v>62.905575305644675</v>
      </c>
      <c r="BL269" s="337">
        <f>BL268/BL173*360/4</f>
        <v>66.296359596650149</v>
      </c>
      <c r="BM269" s="337">
        <f>BM268/BM173*360/4</f>
        <v>64.639151308657276</v>
      </c>
      <c r="BN269" s="337"/>
      <c r="BO269" s="337"/>
      <c r="BP269" s="336"/>
      <c r="BQ269" s="336"/>
      <c r="BR269" s="337"/>
      <c r="BS269" s="337"/>
      <c r="BT269" s="337"/>
      <c r="BU269" s="337">
        <f>BU268/BU173*360/4</f>
        <v>56.671874999999993</v>
      </c>
      <c r="BV269" s="336">
        <f>+BJ269</f>
        <v>56.165518309204927</v>
      </c>
      <c r="BW269" s="337">
        <f>BW268/BW173*360/4</f>
        <v>74.826388888888886</v>
      </c>
      <c r="BX269" s="337">
        <f>BX268/BX173*360/4</f>
        <v>72.104172065301896</v>
      </c>
      <c r="BY269" s="337">
        <f>BY268/BY173*360/4</f>
        <v>69.77317981127176</v>
      </c>
      <c r="BZ269" s="337">
        <f>BZ268/BZ173*360/4</f>
        <v>53.678010471204189</v>
      </c>
      <c r="CA269" s="336">
        <f>CA268/CA173*360</f>
        <v>62.494073823230615</v>
      </c>
      <c r="CB269" s="337">
        <f>CB268/CB173*360/4</f>
        <v>72.190467577100478</v>
      </c>
      <c r="CC269" s="1073">
        <f>CC268/CC173*360/4</f>
        <v>62.166338194718165</v>
      </c>
      <c r="CD269" s="1073">
        <f>CD268/CD173*360/4</f>
        <v>66.717889719779762</v>
      </c>
      <c r="CE269" s="337">
        <f>CE268/CE173*360/4</f>
        <v>51.150822487943458</v>
      </c>
      <c r="CF269" s="336">
        <f>CF268/CF173*360</f>
        <v>60.669957686882931</v>
      </c>
      <c r="CG269" s="337"/>
      <c r="CH269" s="337"/>
      <c r="CI269" s="337"/>
      <c r="CJ269" s="337"/>
      <c r="CK269" s="336">
        <f>CK268/CK173*360</f>
        <v>62.398985629754861</v>
      </c>
      <c r="CL269" s="337"/>
      <c r="CM269" s="1073"/>
      <c r="CN269" s="1073"/>
      <c r="CO269" s="337"/>
      <c r="CP269" s="336">
        <f>CP268/CP173*360</f>
        <v>61.971346246198173</v>
      </c>
      <c r="CQ269" s="339">
        <f>CB269</f>
        <v>72.190467577100478</v>
      </c>
      <c r="CR269" s="339">
        <f t="shared" ref="CR269:CT269" si="1059">CC269</f>
        <v>62.166338194718165</v>
      </c>
      <c r="CS269" s="339">
        <f t="shared" si="1059"/>
        <v>66.717889719779762</v>
      </c>
      <c r="CT269" s="340">
        <f t="shared" si="1059"/>
        <v>51.150822487943458</v>
      </c>
      <c r="CU269" s="336">
        <f>CU268/CU173*360</f>
        <v>60.423778611488764</v>
      </c>
      <c r="CV269" s="339"/>
      <c r="CW269" s="339"/>
      <c r="CX269" s="339"/>
      <c r="CY269" s="340"/>
      <c r="CZ269" s="338">
        <v>61</v>
      </c>
      <c r="DA269" s="339"/>
      <c r="DB269" s="339"/>
      <c r="DC269" s="339"/>
      <c r="DD269" s="340"/>
      <c r="DE269" s="338">
        <v>61</v>
      </c>
      <c r="DF269" s="339"/>
      <c r="DG269" s="339"/>
      <c r="DH269" s="339"/>
      <c r="DI269" s="340"/>
      <c r="DJ269" s="338">
        <v>61</v>
      </c>
      <c r="DK269" s="386"/>
      <c r="DL269" s="1292"/>
      <c r="DM269" s="809"/>
      <c r="DN269" s="809"/>
      <c r="DO269" s="809"/>
      <c r="DP269" s="1054"/>
      <c r="DQ269" s="1053"/>
      <c r="DR269" s="1054"/>
      <c r="DS269" s="1116"/>
      <c r="DT269" s="809"/>
      <c r="DU269" s="809"/>
      <c r="DV269" s="809"/>
      <c r="DW269" s="809"/>
      <c r="DX269" s="809"/>
      <c r="DY269" s="435"/>
      <c r="DZ269" s="817"/>
      <c r="EA269" s="385"/>
      <c r="EB269"/>
      <c r="EC269"/>
      <c r="ED269"/>
      <c r="EE269"/>
      <c r="EF269"/>
      <c r="EG269"/>
    </row>
    <row r="270" spans="1:137" s="224" customFormat="1">
      <c r="A270" s="213" t="s">
        <v>152</v>
      </c>
      <c r="B270" s="122">
        <v>3140</v>
      </c>
      <c r="C270" s="122">
        <v>2250</v>
      </c>
      <c r="D270" s="122">
        <v>2348</v>
      </c>
      <c r="E270" s="122">
        <v>1864</v>
      </c>
      <c r="F270" s="122">
        <v>1921</v>
      </c>
      <c r="G270" s="122">
        <v>1657</v>
      </c>
      <c r="H270" s="124">
        <v>1375</v>
      </c>
      <c r="I270" s="124">
        <v>1379</v>
      </c>
      <c r="J270" s="124">
        <v>1387</v>
      </c>
      <c r="K270" s="124">
        <v>1718</v>
      </c>
      <c r="L270" s="122">
        <v>1718</v>
      </c>
      <c r="M270" s="124">
        <v>1619</v>
      </c>
      <c r="N270" s="124">
        <v>1623</v>
      </c>
      <c r="O270" s="124">
        <v>1736</v>
      </c>
      <c r="P270" s="124">
        <v>1902</v>
      </c>
      <c r="Q270" s="122">
        <f>P270</f>
        <v>1902</v>
      </c>
      <c r="R270" s="124">
        <v>1921</v>
      </c>
      <c r="S270" s="124">
        <v>1852</v>
      </c>
      <c r="T270" s="124">
        <v>2079</v>
      </c>
      <c r="U270" s="124">
        <v>2183</v>
      </c>
      <c r="V270" s="122">
        <f>U270</f>
        <v>2183</v>
      </c>
      <c r="W270" s="124">
        <v>2476</v>
      </c>
      <c r="X270" s="124">
        <v>2360</v>
      </c>
      <c r="Y270" s="124">
        <v>2093</v>
      </c>
      <c r="Z270" s="121">
        <v>2378</v>
      </c>
      <c r="AA270" s="119">
        <f>Z270</f>
        <v>2378</v>
      </c>
      <c r="AB270" s="124">
        <v>2277</v>
      </c>
      <c r="AC270" s="124">
        <v>2226</v>
      </c>
      <c r="AD270" s="124">
        <v>1789</v>
      </c>
      <c r="AE270" s="121">
        <v>2481</v>
      </c>
      <c r="AF270" s="119">
        <f>AE270</f>
        <v>2481</v>
      </c>
      <c r="AG270" s="124">
        <v>2380</v>
      </c>
      <c r="AH270" s="124">
        <v>2521</v>
      </c>
      <c r="AI270" s="124">
        <v>2878</v>
      </c>
      <c r="AJ270" s="121">
        <v>2937</v>
      </c>
      <c r="AK270" s="119">
        <f>AJ270</f>
        <v>2937</v>
      </c>
      <c r="AL270" s="124">
        <v>2895</v>
      </c>
      <c r="AM270" s="124">
        <v>2895</v>
      </c>
      <c r="AN270" s="124">
        <v>2920</v>
      </c>
      <c r="AO270" s="121">
        <v>2977</v>
      </c>
      <c r="AP270" s="119">
        <f>+AO270</f>
        <v>2977</v>
      </c>
      <c r="AQ270" s="152">
        <v>2949</v>
      </c>
      <c r="AR270" s="121">
        <v>2646</v>
      </c>
      <c r="AS270" s="121">
        <v>2898</v>
      </c>
      <c r="AT270" s="120">
        <v>2882</v>
      </c>
      <c r="AU270" s="119">
        <f>+AT270</f>
        <v>2882</v>
      </c>
      <c r="AV270" s="121">
        <v>3087</v>
      </c>
      <c r="AW270" s="121">
        <v>3032</v>
      </c>
      <c r="AX270" s="121">
        <v>3237</v>
      </c>
      <c r="AY270" s="120">
        <v>4962</v>
      </c>
      <c r="AZ270" s="119">
        <f>+AY270</f>
        <v>4962</v>
      </c>
      <c r="BA270" s="119"/>
      <c r="BB270" s="152">
        <v>2949</v>
      </c>
      <c r="BC270" s="121">
        <v>2646</v>
      </c>
      <c r="BD270" s="121">
        <v>2898</v>
      </c>
      <c r="BE270" s="120">
        <v>2882</v>
      </c>
      <c r="BF270" s="119">
        <v>2804</v>
      </c>
      <c r="BG270" s="121">
        <v>3087</v>
      </c>
      <c r="BH270" s="121">
        <v>3032</v>
      </c>
      <c r="BI270" s="121">
        <v>3237</v>
      </c>
      <c r="BJ270" s="120">
        <v>4962</v>
      </c>
      <c r="BK270" s="119">
        <f>+BJ270</f>
        <v>4962</v>
      </c>
      <c r="BL270" s="121">
        <v>5223</v>
      </c>
      <c r="BM270" s="121">
        <v>5136</v>
      </c>
      <c r="BN270" s="121"/>
      <c r="BO270" s="120"/>
      <c r="BP270" s="119"/>
      <c r="BQ270" s="119"/>
      <c r="BR270" s="121"/>
      <c r="BS270" s="121"/>
      <c r="BT270" s="121"/>
      <c r="BU270" s="120">
        <v>4819</v>
      </c>
      <c r="BV270" s="119">
        <f>+BU270</f>
        <v>4819</v>
      </c>
      <c r="BW270" s="121">
        <v>5223</v>
      </c>
      <c r="BX270" s="121">
        <v>5136</v>
      </c>
      <c r="BY270" s="121">
        <v>4852</v>
      </c>
      <c r="BZ270" s="120">
        <v>4670</v>
      </c>
      <c r="CA270" s="119">
        <f>+BZ270</f>
        <v>4670</v>
      </c>
      <c r="CB270" s="121">
        <v>5074</v>
      </c>
      <c r="CC270" s="802">
        <v>4941</v>
      </c>
      <c r="CD270" s="121">
        <v>4803</v>
      </c>
      <c r="CE270" s="120">
        <v>4487</v>
      </c>
      <c r="CF270" s="119">
        <f>+CE270</f>
        <v>4487</v>
      </c>
      <c r="CG270" s="121"/>
      <c r="CH270" s="121"/>
      <c r="CI270" s="121"/>
      <c r="CJ270" s="120"/>
      <c r="CK270" s="119">
        <v>4670</v>
      </c>
      <c r="CL270" s="121"/>
      <c r="CM270" s="802"/>
      <c r="CN270" s="121"/>
      <c r="CO270" s="120"/>
      <c r="CP270" s="119">
        <f>+CF270</f>
        <v>4487</v>
      </c>
      <c r="CQ270" s="121">
        <f>CQ271*CQ173*4</f>
        <v>5093.7324771637877</v>
      </c>
      <c r="CR270" s="121">
        <f>CR271*CR173*4</f>
        <v>5005.2700039416632</v>
      </c>
      <c r="CS270" s="121">
        <f>CS271*CS173*4</f>
        <v>4815.2354343002717</v>
      </c>
      <c r="CT270" s="120">
        <f>CT271*CT173*4</f>
        <v>4490.8535376891059</v>
      </c>
      <c r="CU270" s="119">
        <f>+CT270</f>
        <v>4490.8535376891059</v>
      </c>
      <c r="CV270" s="121"/>
      <c r="CW270" s="121"/>
      <c r="CX270" s="121"/>
      <c r="CY270" s="120"/>
      <c r="CZ270" s="119">
        <f>CZ271*CZ173</f>
        <v>4774.573933705683</v>
      </c>
      <c r="DA270" s="121"/>
      <c r="DB270" s="121"/>
      <c r="DC270" s="121"/>
      <c r="DD270" s="120"/>
      <c r="DE270" s="119">
        <f>DE271*DE173</f>
        <v>4998.553721930346</v>
      </c>
      <c r="DF270" s="121"/>
      <c r="DG270" s="121"/>
      <c r="DH270" s="121"/>
      <c r="DI270" s="120"/>
      <c r="DJ270" s="119">
        <f>DJ271*DJ173</f>
        <v>5162.820293943445</v>
      </c>
      <c r="DK270" s="217"/>
      <c r="DL270" s="1286"/>
      <c r="DM270" s="810"/>
      <c r="DN270" s="810"/>
      <c r="DO270" s="810"/>
      <c r="DP270" s="1054"/>
      <c r="DQ270" s="1053"/>
      <c r="DR270" s="1054"/>
      <c r="DS270" s="1116"/>
      <c r="DT270" s="809"/>
      <c r="DU270" s="809"/>
      <c r="DV270" s="809"/>
      <c r="DW270" s="809"/>
      <c r="DX270" s="809"/>
      <c r="DY270" s="228"/>
      <c r="DZ270" s="216"/>
      <c r="EA270" s="216"/>
      <c r="EB270"/>
      <c r="EC270"/>
      <c r="ED270"/>
      <c r="EE270"/>
      <c r="EF270"/>
      <c r="EG270"/>
    </row>
    <row r="271" spans="1:137" s="383" customFormat="1">
      <c r="A271" s="646" t="s">
        <v>118</v>
      </c>
      <c r="B271" s="647">
        <f t="shared" ref="B271:G271" si="1060">B270/B173</f>
        <v>0.13100801068090787</v>
      </c>
      <c r="C271" s="647">
        <f t="shared" si="1060"/>
        <v>8.4707476846622998E-2</v>
      </c>
      <c r="D271" s="647">
        <f t="shared" si="1060"/>
        <v>7.3817907444668013E-2</v>
      </c>
      <c r="E271" s="647">
        <f t="shared" si="1060"/>
        <v>5.246861453583291E-2</v>
      </c>
      <c r="F271" s="647">
        <f t="shared" si="1060"/>
        <v>5.1621745089081773E-2</v>
      </c>
      <c r="G271" s="647">
        <f t="shared" si="1060"/>
        <v>4.1822311963654719E-2</v>
      </c>
      <c r="H271" s="599">
        <f>H270/H173/4</f>
        <v>3.7061994609164421E-2</v>
      </c>
      <c r="I271" s="599">
        <f>I270/I173/4</f>
        <v>3.2367852783776171E-2</v>
      </c>
      <c r="J271" s="599">
        <f>J270/J173/4</f>
        <v>3.1252816584046869E-2</v>
      </c>
      <c r="K271" s="599">
        <f>K270/K173/4</f>
        <v>3.9618116409925283E-2</v>
      </c>
      <c r="L271" s="647">
        <f>L270/L173</f>
        <v>4.103960632554584E-2</v>
      </c>
      <c r="M271" s="599">
        <f>M270/M173/4</f>
        <v>4.0543924671942302E-2</v>
      </c>
      <c r="N271" s="599">
        <f>N270/N173/4</f>
        <v>3.6756046743364433E-2</v>
      </c>
      <c r="O271" s="599">
        <f>O270/O173/4</f>
        <v>4.103242885506287E-2</v>
      </c>
      <c r="P271" s="599">
        <f>P270/P173/4</f>
        <v>4.2714696370822855E-2</v>
      </c>
      <c r="Q271" s="647">
        <f>Q270/Q173</f>
        <v>4.4511010741616154E-2</v>
      </c>
      <c r="R271" s="599">
        <f>R270/R173/4</f>
        <v>4.6298081557890676E-2</v>
      </c>
      <c r="S271" s="599">
        <f>S270/S173/4</f>
        <v>4.181719653179191E-2</v>
      </c>
      <c r="T271" s="599">
        <f>T270/T173/4</f>
        <v>4.8272499303427141E-2</v>
      </c>
      <c r="U271" s="599">
        <f>U270/U173/4</f>
        <v>4.4722609194460382E-2</v>
      </c>
      <c r="V271" s="647">
        <f>V270/V173</f>
        <v>4.9150061916019359E-2</v>
      </c>
      <c r="W271" s="599">
        <f>W270/W173/4</f>
        <v>5.9881977362871236E-2</v>
      </c>
      <c r="X271" s="599">
        <f>X270/X173/4</f>
        <v>5.2304964539007091E-2</v>
      </c>
      <c r="Y271" s="599">
        <f>Y270/Y173/4</f>
        <v>4.6129771665344266E-2</v>
      </c>
      <c r="Z271" s="599">
        <f>Z270/Z173/4</f>
        <v>4.6587258051876815E-2</v>
      </c>
      <c r="AA271" s="647">
        <f>AA270/AA173</f>
        <v>5.2011110868091251E-2</v>
      </c>
      <c r="AB271" s="599">
        <f>AB270/AB173/4</f>
        <v>5.3571428571428568E-2</v>
      </c>
      <c r="AC271" s="599">
        <f>AC270/AC173/4</f>
        <v>4.8211036992116436E-2</v>
      </c>
      <c r="AD271" s="599">
        <f>AD270/AD173/4</f>
        <v>3.6904860136974998E-2</v>
      </c>
      <c r="AE271" s="599">
        <f>AE270/AE173/4</f>
        <v>5.0794365735811975E-2</v>
      </c>
      <c r="AF271" s="647">
        <f>AF270/AF173</f>
        <v>5.3355986150239787E-2</v>
      </c>
      <c r="AG271" s="599">
        <f>AG270/AG173/4</f>
        <v>5.2687505534401845E-2</v>
      </c>
      <c r="AH271" s="599">
        <f>AH270/AH173/4</f>
        <v>5.2868886838352488E-2</v>
      </c>
      <c r="AI271" s="599">
        <f>AI270/AI173/4</f>
        <v>6.062010278877749E-2</v>
      </c>
      <c r="AJ271" s="599">
        <f>AJ270/AJ173/4</f>
        <v>6.0686833622613442E-2</v>
      </c>
      <c r="AK271" s="647">
        <f>AK270/AK173</f>
        <v>6.2248315035394852E-2</v>
      </c>
      <c r="AL271" s="599">
        <f>AL270/AL173/4</f>
        <v>6.5379403794037935E-2</v>
      </c>
      <c r="AM271" s="599">
        <f>AM270/AM173/4</f>
        <v>6.3442321178120611E-2</v>
      </c>
      <c r="AN271" s="599">
        <f>AN270/AN173/4</f>
        <v>6.43341852472019E-2</v>
      </c>
      <c r="AO271" s="599">
        <f>AO270/AO173/4</f>
        <v>6.4532211913639129E-2</v>
      </c>
      <c r="AP271" s="647">
        <f>AP270/AP173</f>
        <v>6.5633405352969701E-2</v>
      </c>
      <c r="AQ271" s="599">
        <f>AQ270/AQ173/4</f>
        <v>6.9225352112676053E-2</v>
      </c>
      <c r="AR271" s="599">
        <f>AR270/AR173/4</f>
        <v>5.8508756412524322E-2</v>
      </c>
      <c r="AS271" s="599">
        <f>AS270/AS173/4</f>
        <v>6.5188051106712261E-2</v>
      </c>
      <c r="AT271" s="599">
        <f>AT270/AT173/4</f>
        <v>5.7501995211492421E-2</v>
      </c>
      <c r="AU271" s="647">
        <f>AU270/AU173</f>
        <v>6.3201754385964912E-2</v>
      </c>
      <c r="AV271" s="599">
        <f>AV270/AV173/4</f>
        <v>7.6327761843536748E-2</v>
      </c>
      <c r="AW271" s="599">
        <f>AW270/AW173/4</f>
        <v>6.5103495662629907E-2</v>
      </c>
      <c r="AX271" s="599">
        <f>AX270/AX173/4</f>
        <v>7.0609021900357741E-2</v>
      </c>
      <c r="AY271" s="599">
        <f>AY270/AY173/4</f>
        <v>9.6036231323062632E-2</v>
      </c>
      <c r="AZ271" s="647">
        <f>AZ270/AZ173</f>
        <v>0.10756091216509148</v>
      </c>
      <c r="BA271" s="647"/>
      <c r="BB271" s="599">
        <f>BB270/BB173/4</f>
        <v>6.9225352112676053E-2</v>
      </c>
      <c r="BC271" s="599">
        <f>BC270/BC173/4</f>
        <v>5.8508756412524322E-2</v>
      </c>
      <c r="BD271" s="599">
        <f>BD270/BD173/4</f>
        <v>6.5188051106712261E-2</v>
      </c>
      <c r="BE271" s="599">
        <f>BE270/BE173/4</f>
        <v>5.7501995211492421E-2</v>
      </c>
      <c r="BF271" s="647">
        <f>BF270/BF173</f>
        <v>6.1491228070175437E-2</v>
      </c>
      <c r="BG271" s="599">
        <f>BG270/BG173/4</f>
        <v>7.6327761843536748E-2</v>
      </c>
      <c r="BH271" s="599">
        <f>BH270/BH173/4</f>
        <v>6.5103495662629907E-2</v>
      </c>
      <c r="BI271" s="599">
        <f>BI270/BI173/4</f>
        <v>7.0609021900357741E-2</v>
      </c>
      <c r="BJ271" s="599">
        <f>BJ270/BJ173/4</f>
        <v>9.6036231323062632E-2</v>
      </c>
      <c r="BK271" s="647">
        <f>+AZ271</f>
        <v>0.10756091216509148</v>
      </c>
      <c r="BL271" s="599">
        <f>BL270/BL173/4</f>
        <v>0.11158349000170911</v>
      </c>
      <c r="BM271" s="599">
        <f>BM270/BM173/4</f>
        <v>9.9426978472975061E-2</v>
      </c>
      <c r="BN271" s="599"/>
      <c r="BO271" s="599"/>
      <c r="BP271" s="647"/>
      <c r="BQ271" s="647"/>
      <c r="BR271" s="599"/>
      <c r="BS271" s="599"/>
      <c r="BT271" s="599"/>
      <c r="BU271" s="599">
        <f>BU270/BU173/4</f>
        <v>0.10457899305555556</v>
      </c>
      <c r="BV271" s="647">
        <f>+BN271</f>
        <v>0</v>
      </c>
      <c r="BW271" s="599">
        <f>BW270/BW173/4</f>
        <v>0.12594039351851852</v>
      </c>
      <c r="BX271" s="599">
        <f>BX270/BX173/4</f>
        <v>0.11090956206271055</v>
      </c>
      <c r="BY271" s="599">
        <f>BY270/BY173/4</f>
        <v>0.10501255302571207</v>
      </c>
      <c r="BZ271" s="599">
        <f>BZ270/BZ173/4</f>
        <v>8.4896742292030244E-2</v>
      </c>
      <c r="CA271" s="647">
        <f>CA270/CA173</f>
        <v>9.8840162546562818E-2</v>
      </c>
      <c r="CB271" s="599">
        <f>CB270/CB173/4</f>
        <v>0.11472370444062585</v>
      </c>
      <c r="CC271" s="1074">
        <f>CC270/CC173/4</f>
        <v>9.7378793851005119E-2</v>
      </c>
      <c r="CD271" s="1074">
        <f>CD270/CD173/4</f>
        <v>9.8672857260251462E-2</v>
      </c>
      <c r="CE271" s="599">
        <f>CE270/CE173/4</f>
        <v>7.4106494021272382E-2</v>
      </c>
      <c r="CF271" s="647">
        <f>CF270/CF173</f>
        <v>8.7897664942798936E-2</v>
      </c>
      <c r="CG271" s="599"/>
      <c r="CH271" s="599"/>
      <c r="CI271" s="599"/>
      <c r="CJ271" s="599"/>
      <c r="CK271" s="647">
        <f>CK270/CK173</f>
        <v>9.8689771766694842E-2</v>
      </c>
      <c r="CL271" s="599"/>
      <c r="CM271" s="1074"/>
      <c r="CN271" s="1074"/>
      <c r="CO271" s="599"/>
      <c r="CP271" s="647">
        <f>CP270/CP173</f>
        <v>8.9783095886025288E-2</v>
      </c>
      <c r="CQ271" s="648">
        <f>CB271</f>
        <v>0.11472370444062585</v>
      </c>
      <c r="CR271" s="648">
        <f t="shared" ref="CR271:CT271" si="1061">CC271</f>
        <v>9.7378793851005119E-2</v>
      </c>
      <c r="CS271" s="648">
        <f t="shared" si="1061"/>
        <v>9.8672857260251462E-2</v>
      </c>
      <c r="CT271" s="649">
        <f t="shared" si="1061"/>
        <v>7.4106494021272382E-2</v>
      </c>
      <c r="CU271" s="647">
        <f>CU270/CU173</f>
        <v>8.7541004633315905E-2</v>
      </c>
      <c r="CV271" s="648"/>
      <c r="CW271" s="648"/>
      <c r="CX271" s="648"/>
      <c r="CY271" s="649"/>
      <c r="CZ271" s="566">
        <f>CU271</f>
        <v>8.7541004633315905E-2</v>
      </c>
      <c r="DA271" s="648"/>
      <c r="DB271" s="648"/>
      <c r="DC271" s="648"/>
      <c r="DD271" s="649"/>
      <c r="DE271" s="566">
        <f>CZ271</f>
        <v>8.7541004633315905E-2</v>
      </c>
      <c r="DF271" s="648"/>
      <c r="DG271" s="648"/>
      <c r="DH271" s="648"/>
      <c r="DI271" s="649"/>
      <c r="DJ271" s="566">
        <f>DE271</f>
        <v>8.7541004633315905E-2</v>
      </c>
      <c r="DK271" s="384"/>
      <c r="DL271" s="1293"/>
      <c r="DM271" s="830"/>
      <c r="DN271" s="830"/>
      <c r="DO271" s="830"/>
      <c r="DP271" s="1054"/>
      <c r="DQ271" s="1053"/>
      <c r="DR271" s="1054"/>
      <c r="DS271" s="1116"/>
      <c r="DT271" s="809"/>
      <c r="DU271" s="809"/>
      <c r="DV271" s="809"/>
      <c r="DW271" s="809"/>
      <c r="DX271" s="809"/>
      <c r="DY271" s="650"/>
      <c r="DZ271" s="816"/>
      <c r="EB271"/>
      <c r="EC271"/>
      <c r="ED271"/>
      <c r="EE271"/>
      <c r="EF271"/>
      <c r="EG271"/>
    </row>
    <row r="272" spans="1:137" s="224" customFormat="1">
      <c r="A272" s="213" t="s">
        <v>207</v>
      </c>
      <c r="B272" s="119">
        <v>1566</v>
      </c>
      <c r="C272" s="119">
        <v>1277</v>
      </c>
      <c r="D272" s="119">
        <v>921</v>
      </c>
      <c r="E272" s="119">
        <v>982</v>
      </c>
      <c r="F272" s="119">
        <v>861</v>
      </c>
      <c r="G272" s="119">
        <v>900</v>
      </c>
      <c r="H272" s="121">
        <v>964</v>
      </c>
      <c r="I272" s="125">
        <v>932</v>
      </c>
      <c r="J272" s="125">
        <v>834</v>
      </c>
      <c r="K272" s="121">
        <v>756</v>
      </c>
      <c r="L272" s="119">
        <f>K272</f>
        <v>756</v>
      </c>
      <c r="M272" s="125">
        <v>732</v>
      </c>
      <c r="N272" s="125">
        <v>724</v>
      </c>
      <c r="O272" s="125">
        <v>653</v>
      </c>
      <c r="P272" s="121">
        <v>755</v>
      </c>
      <c r="Q272" s="119">
        <f>P272</f>
        <v>755</v>
      </c>
      <c r="R272" s="125">
        <v>726</v>
      </c>
      <c r="S272" s="125">
        <v>785</v>
      </c>
      <c r="T272" s="124">
        <v>747</v>
      </c>
      <c r="U272" s="124">
        <v>815</v>
      </c>
      <c r="V272" s="122">
        <f>U272</f>
        <v>815</v>
      </c>
      <c r="W272" s="125">
        <v>839</v>
      </c>
      <c r="X272" s="125">
        <v>962</v>
      </c>
      <c r="Y272" s="124">
        <v>930</v>
      </c>
      <c r="Z272" s="121">
        <v>1038</v>
      </c>
      <c r="AA272" s="119">
        <f>Z272</f>
        <v>1038</v>
      </c>
      <c r="AB272" s="125">
        <v>1156</v>
      </c>
      <c r="AC272" s="125">
        <v>1140</v>
      </c>
      <c r="AD272" s="124">
        <v>1184</v>
      </c>
      <c r="AE272" s="121">
        <v>1339</v>
      </c>
      <c r="AF272" s="119">
        <f>AE272</f>
        <v>1339</v>
      </c>
      <c r="AG272" s="124">
        <v>1332</v>
      </c>
      <c r="AH272" s="125">
        <v>1327</v>
      </c>
      <c r="AI272" s="125">
        <v>1281</v>
      </c>
      <c r="AJ272" s="121">
        <v>1269</v>
      </c>
      <c r="AK272" s="119">
        <f>AJ272</f>
        <v>1269</v>
      </c>
      <c r="AL272" s="124">
        <v>1261</v>
      </c>
      <c r="AM272" s="124">
        <v>1233</v>
      </c>
      <c r="AN272" s="124">
        <v>1167</v>
      </c>
      <c r="AO272" s="124">
        <v>1088</v>
      </c>
      <c r="AP272" s="208">
        <f>+AO272</f>
        <v>1088</v>
      </c>
      <c r="AQ272" s="743">
        <v>1135</v>
      </c>
      <c r="AR272" s="803">
        <v>1153</v>
      </c>
      <c r="AS272" s="803">
        <v>1183</v>
      </c>
      <c r="AT272" s="803">
        <v>1451</v>
      </c>
      <c r="AU272" s="814">
        <f>+AT272</f>
        <v>1451</v>
      </c>
      <c r="AV272" s="803">
        <v>1468</v>
      </c>
      <c r="AW272" s="803">
        <v>1469</v>
      </c>
      <c r="AX272" s="803">
        <v>1263</v>
      </c>
      <c r="AY272" s="855">
        <v>1463</v>
      </c>
      <c r="AZ272" s="814">
        <f>AY272</f>
        <v>1463</v>
      </c>
      <c r="BA272" s="208"/>
      <c r="BB272" s="743">
        <v>1135</v>
      </c>
      <c r="BC272" s="803">
        <v>1153</v>
      </c>
      <c r="BD272" s="803">
        <v>1183</v>
      </c>
      <c r="BE272" s="803">
        <v>1451</v>
      </c>
      <c r="BF272" s="208">
        <v>1451</v>
      </c>
      <c r="BG272" s="803">
        <v>1468</v>
      </c>
      <c r="BH272" s="803">
        <v>1469</v>
      </c>
      <c r="BI272" s="803">
        <v>1263</v>
      </c>
      <c r="BJ272" s="855">
        <v>0</v>
      </c>
      <c r="BK272" s="208">
        <v>0</v>
      </c>
      <c r="BL272" s="803">
        <v>0</v>
      </c>
      <c r="BM272" s="803">
        <v>0</v>
      </c>
      <c r="BN272" s="803"/>
      <c r="BO272" s="855"/>
      <c r="BP272" s="814"/>
      <c r="BQ272" s="208"/>
      <c r="BR272" s="803"/>
      <c r="BS272" s="803"/>
      <c r="BT272" s="803"/>
      <c r="BU272" s="855">
        <v>0</v>
      </c>
      <c r="BV272" s="208">
        <f>+BU272</f>
        <v>0</v>
      </c>
      <c r="BW272" s="803">
        <v>0</v>
      </c>
      <c r="BX272" s="803">
        <v>0</v>
      </c>
      <c r="BY272" s="803">
        <v>0</v>
      </c>
      <c r="BZ272" s="855">
        <v>0</v>
      </c>
      <c r="CA272" s="814">
        <f>+BZ272</f>
        <v>0</v>
      </c>
      <c r="CB272" s="803">
        <v>0</v>
      </c>
      <c r="CC272" s="803">
        <v>0</v>
      </c>
      <c r="CD272" s="803">
        <v>0</v>
      </c>
      <c r="CE272" s="855">
        <v>0</v>
      </c>
      <c r="CF272" s="814">
        <f>+CE272</f>
        <v>0</v>
      </c>
      <c r="CG272" s="803"/>
      <c r="CH272" s="803"/>
      <c r="CI272" s="803"/>
      <c r="CJ272" s="855"/>
      <c r="CK272" s="814">
        <v>0</v>
      </c>
      <c r="CL272" s="803"/>
      <c r="CM272" s="803"/>
      <c r="CN272" s="803"/>
      <c r="CO272" s="855"/>
      <c r="CP272" s="814">
        <f>+CF272</f>
        <v>0</v>
      </c>
      <c r="CQ272" s="151">
        <v>0</v>
      </c>
      <c r="CR272" s="151">
        <v>0</v>
      </c>
      <c r="CS272" s="151">
        <v>0</v>
      </c>
      <c r="CT272" s="172">
        <v>0</v>
      </c>
      <c r="CU272" s="814">
        <f>+CT272</f>
        <v>0</v>
      </c>
      <c r="CV272" s="151"/>
      <c r="CW272" s="151"/>
      <c r="CX272" s="151"/>
      <c r="CY272" s="172"/>
      <c r="CZ272" s="150">
        <f>+CU272</f>
        <v>0</v>
      </c>
      <c r="DA272" s="151"/>
      <c r="DB272" s="151"/>
      <c r="DC272" s="151"/>
      <c r="DD272" s="172"/>
      <c r="DE272" s="150">
        <f>+CZ272</f>
        <v>0</v>
      </c>
      <c r="DF272" s="151"/>
      <c r="DG272" s="151"/>
      <c r="DH272" s="151"/>
      <c r="DI272" s="172"/>
      <c r="DJ272" s="150">
        <f>+DE272</f>
        <v>0</v>
      </c>
      <c r="DK272" s="217"/>
      <c r="DL272" s="1286"/>
      <c r="DM272" s="810"/>
      <c r="DN272" s="811"/>
      <c r="DO272" s="811"/>
      <c r="DP272" s="1054"/>
      <c r="DQ272" s="1053"/>
      <c r="DR272" s="1054"/>
      <c r="DS272" s="1116"/>
      <c r="DT272" s="809"/>
      <c r="DU272" s="809"/>
      <c r="DV272" s="809"/>
      <c r="DW272" s="809"/>
      <c r="DX272" s="809"/>
      <c r="DY272" s="228"/>
      <c r="DZ272" s="216"/>
      <c r="EA272" s="216"/>
      <c r="EB272"/>
      <c r="EC272"/>
      <c r="ED272"/>
      <c r="EE272"/>
      <c r="EF272"/>
      <c r="EG272"/>
    </row>
    <row r="273" spans="1:137" s="224" customFormat="1">
      <c r="A273" s="128" t="s">
        <v>21</v>
      </c>
      <c r="B273" s="119">
        <f t="shared" ref="B273:AK273" si="1062">B275-B267-B268-B270-B272</f>
        <v>1111</v>
      </c>
      <c r="C273" s="119">
        <f t="shared" si="1062"/>
        <v>706</v>
      </c>
      <c r="D273" s="119">
        <f t="shared" si="1062"/>
        <v>1083</v>
      </c>
      <c r="E273" s="119">
        <f t="shared" si="1062"/>
        <v>953</v>
      </c>
      <c r="F273" s="119">
        <f t="shared" si="1062"/>
        <v>924</v>
      </c>
      <c r="G273" s="119">
        <f t="shared" si="1062"/>
        <v>1100</v>
      </c>
      <c r="H273" s="121">
        <f t="shared" si="1062"/>
        <v>841</v>
      </c>
      <c r="I273" s="125">
        <f t="shared" si="1062"/>
        <v>940</v>
      </c>
      <c r="J273" s="125">
        <f t="shared" si="1062"/>
        <v>822</v>
      </c>
      <c r="K273" s="121">
        <f t="shared" si="1062"/>
        <v>893</v>
      </c>
      <c r="L273" s="119">
        <f t="shared" si="1062"/>
        <v>893</v>
      </c>
      <c r="M273" s="125">
        <f t="shared" si="1062"/>
        <v>617</v>
      </c>
      <c r="N273" s="125">
        <f t="shared" si="1062"/>
        <v>529</v>
      </c>
      <c r="O273" s="125">
        <f t="shared" si="1062"/>
        <v>467</v>
      </c>
      <c r="P273" s="121">
        <f t="shared" si="1062"/>
        <v>562</v>
      </c>
      <c r="Q273" s="119">
        <f t="shared" si="1062"/>
        <v>562</v>
      </c>
      <c r="R273" s="125">
        <f t="shared" si="1062"/>
        <v>543</v>
      </c>
      <c r="S273" s="125">
        <f t="shared" si="1062"/>
        <v>473</v>
      </c>
      <c r="T273" s="121">
        <f t="shared" si="1062"/>
        <v>841</v>
      </c>
      <c r="U273" s="124">
        <f t="shared" si="1062"/>
        <v>1027</v>
      </c>
      <c r="V273" s="122">
        <f t="shared" si="1062"/>
        <v>1027</v>
      </c>
      <c r="W273" s="125">
        <f t="shared" si="1062"/>
        <v>706</v>
      </c>
      <c r="X273" s="125">
        <f t="shared" si="1062"/>
        <v>1785</v>
      </c>
      <c r="Y273" s="121">
        <f t="shared" si="1062"/>
        <v>1985</v>
      </c>
      <c r="Z273" s="121">
        <f t="shared" si="1062"/>
        <v>1417</v>
      </c>
      <c r="AA273" s="119">
        <f t="shared" si="1062"/>
        <v>1417</v>
      </c>
      <c r="AB273" s="125">
        <f t="shared" si="1062"/>
        <v>1358</v>
      </c>
      <c r="AC273" s="125">
        <f t="shared" si="1062"/>
        <v>763</v>
      </c>
      <c r="AD273" s="121">
        <f t="shared" si="1062"/>
        <v>618</v>
      </c>
      <c r="AE273" s="121">
        <f t="shared" si="1062"/>
        <v>628</v>
      </c>
      <c r="AF273" s="119">
        <f t="shared" si="1062"/>
        <v>628</v>
      </c>
      <c r="AG273" s="124">
        <f t="shared" si="1062"/>
        <v>611</v>
      </c>
      <c r="AH273" s="125">
        <f t="shared" si="1062"/>
        <v>581</v>
      </c>
      <c r="AI273" s="125">
        <f t="shared" si="1062"/>
        <v>552</v>
      </c>
      <c r="AJ273" s="121">
        <f>AJ275-AJ267-AJ268-AJ270-AJ272</f>
        <v>1188</v>
      </c>
      <c r="AK273" s="119">
        <f t="shared" si="1062"/>
        <v>1188</v>
      </c>
      <c r="AL273" s="121">
        <f>AL275-AL267-AL268-AL270-AL272</f>
        <v>683</v>
      </c>
      <c r="AM273" s="121">
        <f>AM275-AM267-AM268-AM270-AM272</f>
        <v>580</v>
      </c>
      <c r="AN273" s="124">
        <f>AN275-AN267-AN268-AN270-AN272</f>
        <v>452</v>
      </c>
      <c r="AO273" s="124">
        <f>AO275-AO267-AO268-AO270-AO272</f>
        <v>813</v>
      </c>
      <c r="AP273" s="122">
        <f>+AO273</f>
        <v>813</v>
      </c>
      <c r="AQ273" s="121">
        <f>AQ275-AQ267-AQ268-AQ270-AQ272</f>
        <v>631</v>
      </c>
      <c r="AR273" s="121">
        <f>AR275-AR267-AR268-AR270-AR272</f>
        <v>494</v>
      </c>
      <c r="AS273" s="121">
        <v>559</v>
      </c>
      <c r="AT273" s="120">
        <v>666</v>
      </c>
      <c r="AU273" s="119">
        <f>+AT273</f>
        <v>666</v>
      </c>
      <c r="AV273" s="121">
        <v>632</v>
      </c>
      <c r="AW273" s="121">
        <v>520</v>
      </c>
      <c r="AX273" s="121">
        <v>515</v>
      </c>
      <c r="AY273" s="120">
        <v>622</v>
      </c>
      <c r="AZ273" s="119">
        <f>+AY273</f>
        <v>622</v>
      </c>
      <c r="BA273" s="122"/>
      <c r="BB273" s="121">
        <f>BB275-BB267-BB268-BB270-BB272</f>
        <v>631</v>
      </c>
      <c r="BC273" s="121">
        <f>BC275-BC267-BC268-BC270-BC272</f>
        <v>494</v>
      </c>
      <c r="BD273" s="121">
        <v>559</v>
      </c>
      <c r="BE273" s="120">
        <v>666</v>
      </c>
      <c r="BF273" s="122">
        <v>744</v>
      </c>
      <c r="BG273" s="121">
        <v>632</v>
      </c>
      <c r="BH273" s="121">
        <v>520</v>
      </c>
      <c r="BI273" s="121">
        <v>515</v>
      </c>
      <c r="BJ273" s="120">
        <f>+BJ275-BJ272-BJ270-BJ268-BJ267</f>
        <v>460</v>
      </c>
      <c r="BK273" s="122">
        <f>+BJ273</f>
        <v>460</v>
      </c>
      <c r="BL273" s="121">
        <v>472</v>
      </c>
      <c r="BM273" s="121">
        <v>393</v>
      </c>
      <c r="BN273" s="121"/>
      <c r="BO273" s="120"/>
      <c r="BP273" s="119"/>
      <c r="BQ273" s="122"/>
      <c r="BR273" s="121"/>
      <c r="BS273" s="121"/>
      <c r="BT273" s="121"/>
      <c r="BU273" s="120">
        <v>0</v>
      </c>
      <c r="BV273" s="122">
        <f>+BU273</f>
        <v>0</v>
      </c>
      <c r="BW273" s="121">
        <v>472</v>
      </c>
      <c r="BX273" s="121">
        <v>393</v>
      </c>
      <c r="BY273" s="121">
        <f>+BY275-BY272-BY270-BY268-BY267</f>
        <v>408</v>
      </c>
      <c r="BZ273" s="120">
        <f>+BZ275-BZ272-BZ270-BZ268-BZ267</f>
        <v>399</v>
      </c>
      <c r="CA273" s="119">
        <f>+BZ273</f>
        <v>399</v>
      </c>
      <c r="CB273" s="121">
        <f>+CB275-CB272-CB270-CB268-CB267</f>
        <v>427</v>
      </c>
      <c r="CC273" s="802">
        <v>411</v>
      </c>
      <c r="CD273" s="121">
        <v>443</v>
      </c>
      <c r="CE273" s="127">
        <v>1510</v>
      </c>
      <c r="CF273" s="119">
        <f>+CE273</f>
        <v>1510</v>
      </c>
      <c r="CG273" s="121"/>
      <c r="CH273" s="121"/>
      <c r="CI273" s="121"/>
      <c r="CJ273" s="120"/>
      <c r="CK273" s="119">
        <f>+CK275-CK272-CK270-CK268-CK267</f>
        <v>399</v>
      </c>
      <c r="CL273" s="121"/>
      <c r="CM273" s="802"/>
      <c r="CN273" s="121"/>
      <c r="CO273" s="127"/>
      <c r="CP273" s="119">
        <f>+CF273</f>
        <v>1510</v>
      </c>
      <c r="CQ273" s="121">
        <f>CQ274*CQ173*4</f>
        <v>428.66057701003888</v>
      </c>
      <c r="CR273" s="121">
        <f>CR274*CR173*4</f>
        <v>416.34607804493498</v>
      </c>
      <c r="CS273" s="121">
        <f>CS274*CS173*4</f>
        <v>444.1285232969019</v>
      </c>
      <c r="CT273" s="120">
        <f>CT274*CT173*4</f>
        <v>1511.2968223558169</v>
      </c>
      <c r="CU273" s="119">
        <f>+CT273</f>
        <v>1511.2968223558169</v>
      </c>
      <c r="CV273" s="121"/>
      <c r="CW273" s="121"/>
      <c r="CX273" s="121"/>
      <c r="CY273" s="120"/>
      <c r="CZ273" s="119">
        <f>CZ274*CZ173</f>
        <v>1636.23</v>
      </c>
      <c r="DA273" s="121"/>
      <c r="DB273" s="121"/>
      <c r="DC273" s="121"/>
      <c r="DD273" s="120"/>
      <c r="DE273" s="119">
        <f>DE274*DE173</f>
        <v>1712.9870999999998</v>
      </c>
      <c r="DF273" s="121"/>
      <c r="DG273" s="121"/>
      <c r="DH273" s="121"/>
      <c r="DI273" s="120"/>
      <c r="DJ273" s="119">
        <f>DJ274*DJ173</f>
        <v>1769.2806869999999</v>
      </c>
      <c r="DK273" s="217"/>
      <c r="DL273" s="1286"/>
      <c r="DM273" s="810"/>
      <c r="DN273" s="811"/>
      <c r="DO273" s="811"/>
      <c r="DP273" s="1054"/>
      <c r="DQ273" s="1053"/>
      <c r="DR273" s="1054"/>
      <c r="DS273" s="1116"/>
      <c r="DT273" s="809"/>
      <c r="DU273" s="809"/>
      <c r="DV273" s="809"/>
      <c r="DW273" s="809"/>
      <c r="DX273" s="809"/>
      <c r="DY273" s="228"/>
      <c r="DZ273" s="818"/>
      <c r="EA273" s="216"/>
      <c r="EB273"/>
      <c r="EC273"/>
      <c r="ED273"/>
      <c r="EE273"/>
      <c r="EF273"/>
      <c r="EG273"/>
    </row>
    <row r="274" spans="1:137" s="383" customFormat="1">
      <c r="A274" s="646" t="s">
        <v>118</v>
      </c>
      <c r="B274" s="647">
        <f t="shared" ref="B274:G274" si="1063">B273/B173</f>
        <v>4.6353471295060081E-2</v>
      </c>
      <c r="C274" s="647">
        <f t="shared" si="1063"/>
        <v>2.6579323846095928E-2</v>
      </c>
      <c r="D274" s="647">
        <f t="shared" si="1063"/>
        <v>3.4048038229376257E-2</v>
      </c>
      <c r="E274" s="647">
        <f t="shared" si="1063"/>
        <v>2.6825423633395261E-2</v>
      </c>
      <c r="F274" s="647">
        <f t="shared" si="1063"/>
        <v>2.4830032515518772E-2</v>
      </c>
      <c r="G274" s="647">
        <f t="shared" si="1063"/>
        <v>2.7763755678950026E-2</v>
      </c>
      <c r="H274" s="599">
        <f>H273/H173/4</f>
        <v>2.2668463611859837E-2</v>
      </c>
      <c r="I274" s="599">
        <f>I273/I173/4</f>
        <v>2.2063655994742276E-2</v>
      </c>
      <c r="J274" s="599">
        <f>J273/J173/4</f>
        <v>1.8521856692203697E-2</v>
      </c>
      <c r="K274" s="599">
        <f>K273/K173/4</f>
        <v>2.0593118715985612E-2</v>
      </c>
      <c r="L274" s="647">
        <f>L273/L173</f>
        <v>2.1331995604605608E-2</v>
      </c>
      <c r="M274" s="599">
        <f>M273/M173/4</f>
        <v>1.5451267154162075E-2</v>
      </c>
      <c r="N274" s="599">
        <f>N273/N173/4</f>
        <v>1.198025183440529E-2</v>
      </c>
      <c r="O274" s="599">
        <f>O273/O173/4</f>
        <v>1.1038101541079702E-2</v>
      </c>
      <c r="P274" s="599">
        <f>P273/P173/4</f>
        <v>1.2621272008623787E-2</v>
      </c>
      <c r="Q274" s="647">
        <f>Q273/Q173</f>
        <v>1.3152044183379747E-2</v>
      </c>
      <c r="R274" s="599">
        <f>R273/R173/4</f>
        <v>1.3086860117613034E-2</v>
      </c>
      <c r="S274" s="599">
        <f>S273/S173/4</f>
        <v>1.0680093930635837E-2</v>
      </c>
      <c r="T274" s="599">
        <f>T273/T173/4</f>
        <v>1.9527259217980868E-2</v>
      </c>
      <c r="U274" s="599">
        <f>U273/U173/4</f>
        <v>2.1039908219290339E-2</v>
      </c>
      <c r="V274" s="647">
        <f>V273/V173</f>
        <v>2.3122818867499718E-2</v>
      </c>
      <c r="W274" s="599">
        <f>W273/W173/4</f>
        <v>1.7074586437070716E-2</v>
      </c>
      <c r="X274" s="599">
        <f>X273/X173/4</f>
        <v>3.9561170212765957E-2</v>
      </c>
      <c r="Y274" s="599">
        <f>Y273/Y173/4</f>
        <v>4.3749448999382878E-2</v>
      </c>
      <c r="Z274" s="599">
        <f>Z273/Z173/4</f>
        <v>2.7760363607867721E-2</v>
      </c>
      <c r="AA274" s="647">
        <f>AA273/AA173</f>
        <v>3.0992323002559E-2</v>
      </c>
      <c r="AB274" s="599">
        <f>AB273/AB173/4</f>
        <v>3.1949934123847168E-2</v>
      </c>
      <c r="AC274" s="599">
        <f>AC273/AC173/4</f>
        <v>1.6525166767738023E-2</v>
      </c>
      <c r="AD274" s="599">
        <f>AD273/AD173/4</f>
        <v>1.2748576615232279E-2</v>
      </c>
      <c r="AE274" s="599">
        <f>AE273/AE173/4</f>
        <v>1.2857259847678323E-2</v>
      </c>
      <c r="AF274" s="647">
        <f>AF273/AF173</f>
        <v>1.3505666788533087E-2</v>
      </c>
      <c r="AG274" s="599">
        <f>AG273/AG173/4</f>
        <v>1.3526078101478793E-2</v>
      </c>
      <c r="AH274" s="599">
        <f>AH273/AH173/4</f>
        <v>1.2184380504991193E-2</v>
      </c>
      <c r="AI274" s="599">
        <f>AI273/AI173/4</f>
        <v>1.1626927289577892E-2</v>
      </c>
      <c r="AJ274" s="599">
        <f>AJ273/AJ173/4</f>
        <v>2.4547483263079595E-2</v>
      </c>
      <c r="AK274" s="647">
        <f>AK273/AK173</f>
        <v>2.5179093722182189E-2</v>
      </c>
      <c r="AL274" s="599">
        <f>AL273/AL173/4</f>
        <v>1.542457091237579E-2</v>
      </c>
      <c r="AM274" s="599">
        <f>AM273/AM173/4</f>
        <v>1.2710378681626928E-2</v>
      </c>
      <c r="AN274" s="599">
        <f>AN273/AN173/4</f>
        <v>9.9585793601833089E-3</v>
      </c>
      <c r="AO274" s="599">
        <f>AO273/AO173/4</f>
        <v>1.7623341715078469E-2</v>
      </c>
      <c r="AP274" s="323">
        <f>AP273/AP173</f>
        <v>1.7924070726222496E-2</v>
      </c>
      <c r="AQ274" s="599">
        <f>AQ273/AQ173/4</f>
        <v>1.4812206572769953E-2</v>
      </c>
      <c r="AR274" s="599">
        <f>AR273/AR173/4</f>
        <v>1.092340350256501E-2</v>
      </c>
      <c r="AS274" s="599">
        <f>AS273/AS173/4</f>
        <v>1.2574230700017995E-2</v>
      </c>
      <c r="AT274" s="599">
        <f>AT273/AT173/4</f>
        <v>1.3288108539505187E-2</v>
      </c>
      <c r="AU274" s="647">
        <f>AU273/AU173</f>
        <v>1.4605263157894737E-2</v>
      </c>
      <c r="AV274" s="599">
        <f>AV273/AV173/4</f>
        <v>1.562654534665216E-2</v>
      </c>
      <c r="AW274" s="599">
        <f>AW273/AW173/4</f>
        <v>1.1165507171691146E-2</v>
      </c>
      <c r="AX274" s="599">
        <f>AX273/AX173/4</f>
        <v>1.1233749236541314E-2</v>
      </c>
      <c r="AY274" s="599">
        <f>AY273/AY173/4</f>
        <v>1.2038399009057831E-2</v>
      </c>
      <c r="AZ274" s="647">
        <f>AZ273/AZ173</f>
        <v>1.3483048643024366E-2</v>
      </c>
      <c r="BA274" s="323"/>
      <c r="BB274" s="599">
        <f>BB273/BB173/4</f>
        <v>1.4812206572769953E-2</v>
      </c>
      <c r="BC274" s="599">
        <f>BC273/BC173/4</f>
        <v>1.092340350256501E-2</v>
      </c>
      <c r="BD274" s="599">
        <f>BD273/BD173/4</f>
        <v>1.2574230700017995E-2</v>
      </c>
      <c r="BE274" s="599">
        <f>BE273/BE173/4</f>
        <v>1.3288108539505187E-2</v>
      </c>
      <c r="BF274" s="647">
        <f>BF273/BF173</f>
        <v>1.6315789473684211E-2</v>
      </c>
      <c r="BG274" s="599">
        <f>BG273/BG173/4</f>
        <v>1.562654534665216E-2</v>
      </c>
      <c r="BH274" s="599">
        <f>BH273/BH173/4</f>
        <v>1.1165507171691146E-2</v>
      </c>
      <c r="BI274" s="599">
        <f>BI273/BI173/4</f>
        <v>1.1233749236541314E-2</v>
      </c>
      <c r="BJ274" s="599">
        <f>BJ273/BJ173/4</f>
        <v>8.9029960517147937E-3</v>
      </c>
      <c r="BK274" s="323">
        <f>+AZ274</f>
        <v>1.3483048643024366E-2</v>
      </c>
      <c r="BL274" s="599">
        <f>BL273/BL173/4</f>
        <v>1.0083746368142198E-2</v>
      </c>
      <c r="BM274" s="599">
        <f>BM273/BM173/4</f>
        <v>7.6080223013783492E-3</v>
      </c>
      <c r="BN274" s="599"/>
      <c r="BO274" s="599"/>
      <c r="BP274" s="647"/>
      <c r="BQ274" s="323"/>
      <c r="BR274" s="599"/>
      <c r="BS274" s="599"/>
      <c r="BT274" s="599"/>
      <c r="BU274" s="599">
        <f>BU273/BU173/4</f>
        <v>0</v>
      </c>
      <c r="BV274" s="323">
        <f>+BN274</f>
        <v>0</v>
      </c>
      <c r="BW274" s="599">
        <f>BW273/BW173/4</f>
        <v>1.1381172839506173E-2</v>
      </c>
      <c r="BX274" s="599">
        <f>BX273/BX173/4</f>
        <v>8.4866545737237627E-3</v>
      </c>
      <c r="BY274" s="599">
        <f>BY273/BY173/4</f>
        <v>8.8304042940005201E-3</v>
      </c>
      <c r="BZ274" s="599">
        <f>BZ273/BZ173/4</f>
        <v>7.2534904013961607E-3</v>
      </c>
      <c r="CA274" s="647">
        <f>CA273/CA173</f>
        <v>8.4448018963765668E-3</v>
      </c>
      <c r="CB274" s="599">
        <f>CB273/CB173/4</f>
        <v>9.6545175002261015E-3</v>
      </c>
      <c r="CC274" s="1074">
        <f>CC273/CC173/4</f>
        <v>8.1001182499014588E-3</v>
      </c>
      <c r="CD274" s="1074">
        <f>CD273/CD173/4</f>
        <v>9.1009943298545476E-3</v>
      </c>
      <c r="CE274" s="599">
        <f>CE273/CE173/4</f>
        <v>2.4938891458016779E-2</v>
      </c>
      <c r="CF274" s="647">
        <f>CF273/CF173</f>
        <v>2.9580003134304967E-2</v>
      </c>
      <c r="CG274" s="599"/>
      <c r="CH274" s="599"/>
      <c r="CI274" s="599"/>
      <c r="CJ274" s="599"/>
      <c r="CK274" s="647">
        <f>CK273/CK173</f>
        <v>8.4319526627218942E-3</v>
      </c>
      <c r="CL274" s="599"/>
      <c r="CM274" s="1074"/>
      <c r="CN274" s="1074"/>
      <c r="CO274" s="599"/>
      <c r="CP274" s="647">
        <f>CP273/CP173</f>
        <v>3.0214502961421481E-2</v>
      </c>
      <c r="CQ274" s="648">
        <f>CB274</f>
        <v>9.6545175002261015E-3</v>
      </c>
      <c r="CR274" s="648">
        <f t="shared" ref="CR274:CT274" si="1064">CC274</f>
        <v>8.1001182499014588E-3</v>
      </c>
      <c r="CS274" s="648">
        <f t="shared" si="1064"/>
        <v>9.1009943298545476E-3</v>
      </c>
      <c r="CT274" s="649">
        <f t="shared" si="1064"/>
        <v>2.4938891458016779E-2</v>
      </c>
      <c r="CU274" s="647">
        <f>CU273/CU173</f>
        <v>2.9459977043973039E-2</v>
      </c>
      <c r="CV274" s="648"/>
      <c r="CW274" s="648"/>
      <c r="CX274" s="648"/>
      <c r="CY274" s="649"/>
      <c r="CZ274" s="566">
        <v>0.03</v>
      </c>
      <c r="DA274" s="648"/>
      <c r="DB274" s="648"/>
      <c r="DC274" s="648"/>
      <c r="DD274" s="649"/>
      <c r="DE274" s="566">
        <v>0.03</v>
      </c>
      <c r="DF274" s="648"/>
      <c r="DG274" s="648"/>
      <c r="DH274" s="648"/>
      <c r="DI274" s="649"/>
      <c r="DJ274" s="566">
        <v>0.03</v>
      </c>
      <c r="DK274" s="384"/>
      <c r="DL274" s="1293"/>
      <c r="DM274" s="830"/>
      <c r="DN274" s="830"/>
      <c r="DO274" s="830"/>
      <c r="DP274" s="1054"/>
      <c r="DQ274" s="1053"/>
      <c r="DR274" s="1054"/>
      <c r="DS274" s="1116"/>
      <c r="DT274" s="809"/>
      <c r="DU274" s="809"/>
      <c r="DV274" s="809"/>
      <c r="DW274" s="809"/>
      <c r="DX274" s="809"/>
      <c r="DY274" s="650"/>
      <c r="EB274"/>
      <c r="EC274"/>
      <c r="ED274"/>
      <c r="EE274"/>
      <c r="EF274"/>
      <c r="EG274"/>
    </row>
    <row r="275" spans="1:137" s="224" customFormat="1">
      <c r="A275" s="141" t="s">
        <v>251</v>
      </c>
      <c r="B275" s="139">
        <v>10778</v>
      </c>
      <c r="C275" s="139">
        <v>10626</v>
      </c>
      <c r="D275" s="139">
        <v>9401</v>
      </c>
      <c r="E275" s="139">
        <v>8953</v>
      </c>
      <c r="F275" s="139">
        <v>10529</v>
      </c>
      <c r="G275" s="139">
        <v>10164</v>
      </c>
      <c r="H275" s="141">
        <v>10860</v>
      </c>
      <c r="I275" s="141">
        <v>11498</v>
      </c>
      <c r="J275" s="141">
        <v>11074</v>
      </c>
      <c r="K275" s="141">
        <v>10940</v>
      </c>
      <c r="L275" s="139">
        <v>10940</v>
      </c>
      <c r="M275" s="141">
        <v>11180</v>
      </c>
      <c r="N275" s="141">
        <v>11308</v>
      </c>
      <c r="O275" s="141">
        <v>10710</v>
      </c>
      <c r="P275" s="141">
        <v>10683</v>
      </c>
      <c r="Q275" s="139">
        <v>10683</v>
      </c>
      <c r="R275" s="141">
        <v>11671</v>
      </c>
      <c r="S275" s="141">
        <v>11913</v>
      </c>
      <c r="T275" s="141">
        <v>12443</v>
      </c>
      <c r="U275" s="141">
        <v>12477</v>
      </c>
      <c r="V275" s="139">
        <v>12477</v>
      </c>
      <c r="W275" s="141">
        <v>13919</v>
      </c>
      <c r="X275" s="141">
        <v>14212</v>
      </c>
      <c r="Y275" s="141">
        <v>13939</v>
      </c>
      <c r="Z275" s="141">
        <v>12851</v>
      </c>
      <c r="AA275" s="139">
        <v>12851</v>
      </c>
      <c r="AB275" s="141">
        <v>14743</v>
      </c>
      <c r="AC275" s="141">
        <v>13954</v>
      </c>
      <c r="AD275" s="141">
        <v>14669</v>
      </c>
      <c r="AE275" s="141">
        <v>14094</v>
      </c>
      <c r="AF275" s="139">
        <v>14094</v>
      </c>
      <c r="AG275" s="141">
        <v>14561</v>
      </c>
      <c r="AH275" s="141">
        <v>14800</v>
      </c>
      <c r="AI275" s="141">
        <v>15791</v>
      </c>
      <c r="AJ275" s="141">
        <v>13855</v>
      </c>
      <c r="AK275" s="139">
        <v>13855</v>
      </c>
      <c r="AL275" s="141">
        <v>14872</v>
      </c>
      <c r="AM275" s="141">
        <v>14379</v>
      </c>
      <c r="AN275" s="197">
        <v>14119</v>
      </c>
      <c r="AO275" s="197">
        <v>13329</v>
      </c>
      <c r="AP275" s="571">
        <f t="shared" ref="AP275:BF275" si="1065">AP267+AP268+AP270+AP272+AP273</f>
        <v>13329</v>
      </c>
      <c r="AQ275" s="223">
        <v>14234</v>
      </c>
      <c r="AR275" s="141">
        <v>14163</v>
      </c>
      <c r="AS275" s="141">
        <f t="shared" si="1065"/>
        <v>13684</v>
      </c>
      <c r="AT275" s="141">
        <f t="shared" si="1065"/>
        <v>12329</v>
      </c>
      <c r="AU275" s="139">
        <f t="shared" si="1065"/>
        <v>12329</v>
      </c>
      <c r="AV275" s="141">
        <f>AV267+AV268+AV270+AV272+AV273</f>
        <v>15218</v>
      </c>
      <c r="AW275" s="141">
        <f>AW267+AW268+AW270+AW272+AW273</f>
        <v>15287</v>
      </c>
      <c r="AX275" s="141">
        <f>AX267+AX268+AX270+AX272+AX273</f>
        <v>15055</v>
      </c>
      <c r="AY275" s="140">
        <f>AY267+AY268+AY270+AY272+AY273</f>
        <v>16198</v>
      </c>
      <c r="AZ275" s="571">
        <f>AZ267+AZ268+AZ270+AZ272+AZ273</f>
        <v>16198</v>
      </c>
      <c r="BA275" s="571"/>
      <c r="BB275" s="223">
        <v>14234</v>
      </c>
      <c r="BC275" s="141">
        <v>14163</v>
      </c>
      <c r="BD275" s="141">
        <f t="shared" ref="BD275:BE275" si="1066">BD267+BD268+BD270+BD272+BD273</f>
        <v>13684</v>
      </c>
      <c r="BE275" s="141">
        <f t="shared" si="1066"/>
        <v>12329</v>
      </c>
      <c r="BF275" s="139">
        <f t="shared" si="1065"/>
        <v>12322.49</v>
      </c>
      <c r="BG275" s="141">
        <f t="shared" ref="BG275:BI275" si="1067">BG267+BG268+BG270+BG272+BG273</f>
        <v>15218</v>
      </c>
      <c r="BH275" s="141">
        <f t="shared" si="1067"/>
        <v>15287</v>
      </c>
      <c r="BI275" s="141">
        <f t="shared" si="1067"/>
        <v>15055</v>
      </c>
      <c r="BJ275" s="140">
        <v>14573</v>
      </c>
      <c r="BK275" s="571">
        <f>+BJ275</f>
        <v>14573</v>
      </c>
      <c r="BL275" s="141">
        <f t="shared" ref="BL275:BM275" si="1068">BL267+BL268+BL270+BL272+BL273</f>
        <v>15767</v>
      </c>
      <c r="BM275" s="141">
        <f t="shared" si="1068"/>
        <v>16073</v>
      </c>
      <c r="BN275" s="141"/>
      <c r="BO275" s="140"/>
      <c r="BP275" s="571"/>
      <c r="BQ275" s="571"/>
      <c r="BR275" s="141"/>
      <c r="BS275" s="141"/>
      <c r="BT275" s="141"/>
      <c r="BU275" s="140">
        <v>14573</v>
      </c>
      <c r="BV275" s="571">
        <f>+BU275</f>
        <v>14573</v>
      </c>
      <c r="BW275" s="141">
        <f t="shared" ref="BW275:BX275" si="1069">BW267+BW268+BW270+BW272+BW273</f>
        <v>15767</v>
      </c>
      <c r="BX275" s="141">
        <f t="shared" si="1069"/>
        <v>16073</v>
      </c>
      <c r="BY275" s="141">
        <v>17110</v>
      </c>
      <c r="BZ275" s="140">
        <v>15108</v>
      </c>
      <c r="CA275" s="571">
        <f>CA267+CA268+CA270+CA272+CA273</f>
        <v>15108</v>
      </c>
      <c r="CB275" s="141">
        <v>16586</v>
      </c>
      <c r="CC275" s="137">
        <v>16566</v>
      </c>
      <c r="CD275" s="141">
        <f t="shared" ref="CD275:CT275" si="1070">CD267+CD268+CD270+CD272+CD273</f>
        <v>17208</v>
      </c>
      <c r="CE275" s="140">
        <f t="shared" si="1070"/>
        <v>17461</v>
      </c>
      <c r="CF275" s="139">
        <f>CF267+CF268+CF270+CF272+CF273</f>
        <v>17461</v>
      </c>
      <c r="CG275" s="141"/>
      <c r="CH275" s="141"/>
      <c r="CI275" s="141"/>
      <c r="CJ275" s="140"/>
      <c r="CK275" s="571">
        <v>15108</v>
      </c>
      <c r="CL275" s="141"/>
      <c r="CM275" s="137"/>
      <c r="CN275" s="141"/>
      <c r="CO275" s="140"/>
      <c r="CP275" s="139">
        <f>CP267+CP268+CP270+CP272+CP273</f>
        <v>17461</v>
      </c>
      <c r="CQ275" s="223">
        <f t="shared" si="1070"/>
        <v>18538.197948446359</v>
      </c>
      <c r="CR275" s="141">
        <f t="shared" si="1070"/>
        <v>20167.843167565909</v>
      </c>
      <c r="CS275" s="141">
        <f t="shared" si="1070"/>
        <v>18858.879357342055</v>
      </c>
      <c r="CT275" s="140">
        <f t="shared" si="1070"/>
        <v>16421.363409194426</v>
      </c>
      <c r="CU275" s="139">
        <f>CU267+CU268+CU270+CU272+CU273</f>
        <v>16421.363409194426</v>
      </c>
      <c r="CV275" s="141"/>
      <c r="CW275" s="141"/>
      <c r="CX275" s="141"/>
      <c r="CY275" s="140"/>
      <c r="CZ275" s="139">
        <f>CZ267+CZ268+CZ270+CZ272+CZ273</f>
        <v>17823.025049581265</v>
      </c>
      <c r="DA275" s="141"/>
      <c r="DB275" s="141"/>
      <c r="DC275" s="141"/>
      <c r="DD275" s="140"/>
      <c r="DE275" s="139">
        <f>DE267+DE268+DE270+DE272+DE273</f>
        <v>18756.629413318493</v>
      </c>
      <c r="DF275" s="141"/>
      <c r="DG275" s="141"/>
      <c r="DH275" s="141"/>
      <c r="DI275" s="140"/>
      <c r="DJ275" s="139">
        <f>DJ267+DJ268+DJ270+DJ272+DJ273</f>
        <v>19110.716675834497</v>
      </c>
      <c r="DK275" s="217"/>
      <c r="DL275" s="1286"/>
      <c r="DM275" s="809"/>
      <c r="DN275" s="810"/>
      <c r="DO275" s="810"/>
      <c r="DP275" s="1054"/>
      <c r="DQ275" s="1053"/>
      <c r="DR275" s="1054"/>
      <c r="DS275" s="1116"/>
      <c r="DT275" s="809"/>
      <c r="DU275" s="809"/>
      <c r="DV275" s="809"/>
      <c r="DW275" s="809"/>
      <c r="DX275" s="809"/>
      <c r="DY275" s="228"/>
      <c r="DZ275" s="216"/>
      <c r="EA275" s="216"/>
      <c r="EB275"/>
      <c r="EC275"/>
      <c r="ED275"/>
      <c r="EE275"/>
      <c r="EF275"/>
      <c r="EG275"/>
    </row>
    <row r="276" spans="1:137" s="224" customFormat="1">
      <c r="A276" s="128" t="s">
        <v>252</v>
      </c>
      <c r="B276" s="201">
        <v>2991</v>
      </c>
      <c r="C276" s="201">
        <v>3258</v>
      </c>
      <c r="D276" s="201">
        <v>3489</v>
      </c>
      <c r="E276" s="201">
        <v>3599</v>
      </c>
      <c r="F276" s="201">
        <v>3924</v>
      </c>
      <c r="G276" s="201">
        <v>4056</v>
      </c>
      <c r="H276" s="196">
        <v>3991</v>
      </c>
      <c r="I276" s="118">
        <v>4010</v>
      </c>
      <c r="J276" s="118">
        <v>4071</v>
      </c>
      <c r="K276" s="196">
        <v>4320</v>
      </c>
      <c r="L276" s="201">
        <f>K276</f>
        <v>4320</v>
      </c>
      <c r="M276" s="118">
        <v>4258</v>
      </c>
      <c r="N276" s="118">
        <v>4256</v>
      </c>
      <c r="O276" s="118">
        <v>4294</v>
      </c>
      <c r="P276" s="196">
        <v>4488</v>
      </c>
      <c r="Q276" s="201">
        <f>P276</f>
        <v>4488</v>
      </c>
      <c r="R276" s="118">
        <v>4443</v>
      </c>
      <c r="S276" s="118">
        <v>4441</v>
      </c>
      <c r="T276" s="179">
        <v>4430</v>
      </c>
      <c r="U276" s="179">
        <v>4520</v>
      </c>
      <c r="V276" s="204">
        <f>U276</f>
        <v>4520</v>
      </c>
      <c r="W276" s="118">
        <v>4436</v>
      </c>
      <c r="X276" s="118">
        <v>4381</v>
      </c>
      <c r="Y276" s="179">
        <v>4347</v>
      </c>
      <c r="Z276" s="179">
        <v>4554</v>
      </c>
      <c r="AA276" s="204">
        <f>Z276</f>
        <v>4554</v>
      </c>
      <c r="AB276" s="118">
        <v>4461</v>
      </c>
      <c r="AC276" s="118">
        <v>4421</v>
      </c>
      <c r="AD276" s="179">
        <v>4428</v>
      </c>
      <c r="AE276" s="179">
        <v>4611</v>
      </c>
      <c r="AF276" s="204">
        <f>AE276</f>
        <v>4611</v>
      </c>
      <c r="AG276" s="179">
        <v>4530</v>
      </c>
      <c r="AH276" s="118">
        <v>4495</v>
      </c>
      <c r="AI276" s="118">
        <v>4486</v>
      </c>
      <c r="AJ276" s="179">
        <v>4675</v>
      </c>
      <c r="AK276" s="204">
        <f>AJ276</f>
        <v>4675</v>
      </c>
      <c r="AL276" s="179">
        <v>4617</v>
      </c>
      <c r="AM276" s="179">
        <v>4594</v>
      </c>
      <c r="AN276" s="179">
        <v>4598</v>
      </c>
      <c r="AO276" s="121">
        <v>4706</v>
      </c>
      <c r="AP276" s="204">
        <f>AO276</f>
        <v>4706</v>
      </c>
      <c r="AQ276" s="206">
        <v>4612</v>
      </c>
      <c r="AR276" s="179">
        <v>4559</v>
      </c>
      <c r="AS276" s="179">
        <v>4590</v>
      </c>
      <c r="AT276" s="205">
        <v>4755</v>
      </c>
      <c r="AU276" s="204">
        <f>+AT276</f>
        <v>4755</v>
      </c>
      <c r="AV276" s="179">
        <v>4654</v>
      </c>
      <c r="AW276" s="179">
        <v>4640</v>
      </c>
      <c r="AX276" s="179">
        <v>4677</v>
      </c>
      <c r="AY276" s="205">
        <v>5438</v>
      </c>
      <c r="AZ276" s="204">
        <f>AY276</f>
        <v>5438</v>
      </c>
      <c r="BA276" s="204"/>
      <c r="BB276" s="206">
        <v>4612</v>
      </c>
      <c r="BC276" s="179">
        <v>4559</v>
      </c>
      <c r="BD276" s="179">
        <v>4590</v>
      </c>
      <c r="BE276" s="205">
        <v>4755</v>
      </c>
      <c r="BF276" s="204">
        <v>4751</v>
      </c>
      <c r="BG276" s="179">
        <v>4654</v>
      </c>
      <c r="BH276" s="179">
        <v>4640</v>
      </c>
      <c r="BI276" s="179">
        <v>4677</v>
      </c>
      <c r="BJ276" s="205">
        <v>5490</v>
      </c>
      <c r="BK276" s="204">
        <f>+BJ276</f>
        <v>5490</v>
      </c>
      <c r="BL276" s="179">
        <v>5417</v>
      </c>
      <c r="BM276" s="179">
        <v>5438</v>
      </c>
      <c r="BN276" s="825"/>
      <c r="BO276" s="205"/>
      <c r="BP276" s="204"/>
      <c r="BQ276" s="204"/>
      <c r="BR276" s="179"/>
      <c r="BS276" s="179"/>
      <c r="BT276" s="179"/>
      <c r="BU276" s="205">
        <v>5389</v>
      </c>
      <c r="BV276" s="204">
        <f>+BU276</f>
        <v>5389</v>
      </c>
      <c r="BW276" s="179">
        <v>5417</v>
      </c>
      <c r="BX276" s="179">
        <v>5438</v>
      </c>
      <c r="BY276" s="825">
        <v>5369</v>
      </c>
      <c r="BZ276" s="205">
        <v>5549</v>
      </c>
      <c r="CA276" s="204">
        <f>BZ276</f>
        <v>5549</v>
      </c>
      <c r="CB276" s="179">
        <v>5481</v>
      </c>
      <c r="CC276" s="605">
        <v>5532</v>
      </c>
      <c r="CD276" s="825">
        <v>5511</v>
      </c>
      <c r="CE276" s="205">
        <v>5775</v>
      </c>
      <c r="CF276" s="204">
        <f>+CE276</f>
        <v>5775</v>
      </c>
      <c r="CG276" s="179"/>
      <c r="CH276" s="179"/>
      <c r="CI276" s="825"/>
      <c r="CJ276" s="205"/>
      <c r="CK276" s="204">
        <v>5549</v>
      </c>
      <c r="CL276" s="179"/>
      <c r="CM276" s="605"/>
      <c r="CN276" s="825"/>
      <c r="CO276" s="205"/>
      <c r="CP276" s="204">
        <f>+CF276</f>
        <v>5775</v>
      </c>
      <c r="CQ276" s="179">
        <f>CF276-CQ237-CQ244</f>
        <v>5795.05</v>
      </c>
      <c r="CR276" s="179">
        <f t="shared" ref="CR276:CT276" si="1071">CQ276-CR237-CR244</f>
        <v>5803.33</v>
      </c>
      <c r="CS276" s="179">
        <f t="shared" si="1071"/>
        <v>5808.4</v>
      </c>
      <c r="CT276" s="205">
        <f t="shared" si="1071"/>
        <v>5796.3499999999995</v>
      </c>
      <c r="CU276" s="204">
        <f>+CT276</f>
        <v>5796.3499999999995</v>
      </c>
      <c r="CV276" s="179"/>
      <c r="CW276" s="179"/>
      <c r="CX276" s="179"/>
      <c r="CY276" s="205"/>
      <c r="CZ276" s="204">
        <f>CU276-CZ237-CZ244</f>
        <v>5728.1944999999996</v>
      </c>
      <c r="DA276" s="179"/>
      <c r="DB276" s="179"/>
      <c r="DC276" s="179"/>
      <c r="DD276" s="205"/>
      <c r="DE276" s="204">
        <f>CZ276-DE237-DE244</f>
        <v>5564.2681149999989</v>
      </c>
      <c r="DF276" s="179"/>
      <c r="DG276" s="179"/>
      <c r="DH276" s="179"/>
      <c r="DI276" s="205"/>
      <c r="DJ276" s="204">
        <f>DE276-DJ237-DJ244</f>
        <v>5297.8668830499992</v>
      </c>
      <c r="DK276" s="217"/>
      <c r="DL276" s="1286"/>
      <c r="DM276" s="811"/>
      <c r="DN276" s="811"/>
      <c r="DO276" s="811"/>
      <c r="DP276" s="1054"/>
      <c r="DQ276" s="1053"/>
      <c r="DR276" s="1054"/>
      <c r="DS276" s="1116"/>
      <c r="DT276" s="809"/>
      <c r="DU276" s="809"/>
      <c r="DV276" s="809"/>
      <c r="DW276" s="809"/>
      <c r="DX276" s="809"/>
      <c r="DY276" s="228"/>
      <c r="DZ276" s="216"/>
      <c r="EA276" s="216"/>
      <c r="EB276"/>
      <c r="EC276"/>
      <c r="ED276"/>
      <c r="EE276"/>
      <c r="EF276"/>
      <c r="EG276"/>
    </row>
    <row r="277" spans="1:137" s="224" customFormat="1">
      <c r="A277" s="128" t="s">
        <v>29</v>
      </c>
      <c r="B277" s="122">
        <v>2081</v>
      </c>
      <c r="C277" s="122">
        <v>1221</v>
      </c>
      <c r="D277" s="122">
        <v>1213</v>
      </c>
      <c r="E277" s="122">
        <v>1030</v>
      </c>
      <c r="F277" s="122">
        <v>1360</v>
      </c>
      <c r="G277" s="122">
        <v>235</v>
      </c>
      <c r="H277" s="124">
        <v>240</v>
      </c>
      <c r="I277" s="123">
        <v>245</v>
      </c>
      <c r="J277" s="123">
        <v>250</v>
      </c>
      <c r="K277" s="124">
        <v>313</v>
      </c>
      <c r="L277" s="122">
        <f>K277</f>
        <v>313</v>
      </c>
      <c r="M277" s="123">
        <v>317</v>
      </c>
      <c r="N277" s="123">
        <v>322</v>
      </c>
      <c r="O277" s="123">
        <v>326</v>
      </c>
      <c r="P277" s="124">
        <v>122</v>
      </c>
      <c r="Q277" s="122">
        <f>P277</f>
        <v>122</v>
      </c>
      <c r="R277" s="123">
        <v>126</v>
      </c>
      <c r="S277" s="123">
        <v>130</v>
      </c>
      <c r="T277" s="124">
        <v>135</v>
      </c>
      <c r="U277" s="124">
        <v>160</v>
      </c>
      <c r="V277" s="122">
        <f>U277</f>
        <v>160</v>
      </c>
      <c r="W277" s="123">
        <v>164</v>
      </c>
      <c r="X277" s="123">
        <v>167</v>
      </c>
      <c r="Y277" s="124">
        <v>171</v>
      </c>
      <c r="Z277" s="124">
        <v>179</v>
      </c>
      <c r="AA277" s="122">
        <f>Z277</f>
        <v>179</v>
      </c>
      <c r="AB277" s="123">
        <v>0</v>
      </c>
      <c r="AC277" s="123">
        <v>0</v>
      </c>
      <c r="AD277" s="124">
        <v>0</v>
      </c>
      <c r="AE277" s="124">
        <v>0</v>
      </c>
      <c r="AF277" s="122">
        <f>AE277</f>
        <v>0</v>
      </c>
      <c r="AG277" s="124">
        <f>AE277-AG242</f>
        <v>473.6</v>
      </c>
      <c r="AH277" s="123">
        <v>0</v>
      </c>
      <c r="AI277" s="123">
        <v>0</v>
      </c>
      <c r="AJ277" s="124">
        <v>0</v>
      </c>
      <c r="AK277" s="122">
        <f>AJ277</f>
        <v>0</v>
      </c>
      <c r="AL277" s="124">
        <v>0</v>
      </c>
      <c r="AM277" s="124">
        <v>0</v>
      </c>
      <c r="AN277" s="124">
        <v>0</v>
      </c>
      <c r="AO277" s="121">
        <v>0</v>
      </c>
      <c r="AP277" s="122">
        <f>+AO277</f>
        <v>0</v>
      </c>
      <c r="AQ277" s="126">
        <f>AP277</f>
        <v>0</v>
      </c>
      <c r="AR277" s="803">
        <f>AQ277</f>
        <v>0</v>
      </c>
      <c r="AS277" s="124">
        <f>AR277</f>
        <v>0</v>
      </c>
      <c r="AT277" s="124">
        <v>0</v>
      </c>
      <c r="AU277" s="122">
        <f>+AT277</f>
        <v>0</v>
      </c>
      <c r="AV277" s="803">
        <v>0</v>
      </c>
      <c r="AW277" s="124">
        <v>0</v>
      </c>
      <c r="AX277" s="124">
        <v>0</v>
      </c>
      <c r="AY277" s="127">
        <v>0</v>
      </c>
      <c r="AZ277" s="122">
        <f>AY277</f>
        <v>0</v>
      </c>
      <c r="BA277" s="122"/>
      <c r="BB277" s="126">
        <f>AT277</f>
        <v>0</v>
      </c>
      <c r="BC277" s="803">
        <f>BB277</f>
        <v>0</v>
      </c>
      <c r="BD277" s="124">
        <f>BC277</f>
        <v>0</v>
      </c>
      <c r="BE277" s="124">
        <v>0</v>
      </c>
      <c r="BF277" s="122">
        <v>0</v>
      </c>
      <c r="BG277" s="803">
        <v>0</v>
      </c>
      <c r="BH277" s="124">
        <v>0</v>
      </c>
      <c r="BI277" s="124">
        <v>0</v>
      </c>
      <c r="BJ277" s="127">
        <v>0</v>
      </c>
      <c r="BK277" s="122">
        <f>+BJ277</f>
        <v>0</v>
      </c>
      <c r="BL277" s="803">
        <v>0</v>
      </c>
      <c r="BM277" s="124">
        <v>0</v>
      </c>
      <c r="BN277" s="124"/>
      <c r="BO277" s="127"/>
      <c r="BP277" s="122"/>
      <c r="BQ277" s="122"/>
      <c r="BR277" s="803"/>
      <c r="BS277" s="124"/>
      <c r="BT277" s="124"/>
      <c r="BU277" s="127">
        <v>0</v>
      </c>
      <c r="BV277" s="122">
        <f>+BU277</f>
        <v>0</v>
      </c>
      <c r="BW277" s="803">
        <v>0</v>
      </c>
      <c r="BX277" s="124">
        <v>0</v>
      </c>
      <c r="BY277" s="124">
        <v>0</v>
      </c>
      <c r="BZ277" s="127">
        <v>0</v>
      </c>
      <c r="CA277" s="122">
        <f>BZ277</f>
        <v>0</v>
      </c>
      <c r="CB277" s="803">
        <v>0</v>
      </c>
      <c r="CC277" s="803">
        <v>0</v>
      </c>
      <c r="CD277" s="803">
        <v>0</v>
      </c>
      <c r="CE277" s="855">
        <f>+CD277</f>
        <v>0</v>
      </c>
      <c r="CF277" s="122">
        <f>+CE277</f>
        <v>0</v>
      </c>
      <c r="CG277" s="803"/>
      <c r="CH277" s="124"/>
      <c r="CI277" s="124"/>
      <c r="CJ277" s="127"/>
      <c r="CK277" s="122">
        <v>0</v>
      </c>
      <c r="CL277" s="803"/>
      <c r="CM277" s="803"/>
      <c r="CN277" s="803"/>
      <c r="CO277" s="855"/>
      <c r="CP277" s="122">
        <f>+CF277</f>
        <v>0</v>
      </c>
      <c r="CQ277" s="124">
        <f>CF277</f>
        <v>0</v>
      </c>
      <c r="CR277" s="124">
        <f t="shared" ref="CR277:CT278" si="1072">CQ277</f>
        <v>0</v>
      </c>
      <c r="CS277" s="124">
        <f t="shared" si="1072"/>
        <v>0</v>
      </c>
      <c r="CT277" s="127">
        <f t="shared" si="1072"/>
        <v>0</v>
      </c>
      <c r="CU277" s="122">
        <f>+CT277</f>
        <v>0</v>
      </c>
      <c r="CV277" s="124"/>
      <c r="CW277" s="124"/>
      <c r="CX277" s="124"/>
      <c r="CY277" s="127"/>
      <c r="CZ277" s="122">
        <f>CU277</f>
        <v>0</v>
      </c>
      <c r="DA277" s="124"/>
      <c r="DB277" s="124"/>
      <c r="DC277" s="124"/>
      <c r="DD277" s="127"/>
      <c r="DE277" s="122">
        <f>CZ277</f>
        <v>0</v>
      </c>
      <c r="DF277" s="124"/>
      <c r="DG277" s="124"/>
      <c r="DH277" s="124"/>
      <c r="DI277" s="127"/>
      <c r="DJ277" s="122">
        <f>DE277</f>
        <v>0</v>
      </c>
      <c r="DK277" s="217"/>
      <c r="DL277" s="1286"/>
      <c r="DM277" s="810"/>
      <c r="DN277" s="811"/>
      <c r="DO277" s="811"/>
      <c r="DP277" s="1054"/>
      <c r="DQ277" s="1053"/>
      <c r="DR277" s="1054"/>
      <c r="DS277" s="1116"/>
      <c r="DT277" s="809"/>
      <c r="DU277" s="809"/>
      <c r="DV277" s="809"/>
      <c r="DW277" s="809"/>
      <c r="DX277" s="809"/>
      <c r="DY277" s="228"/>
      <c r="DZ277" s="216"/>
      <c r="EA277" s="216"/>
      <c r="EB277"/>
      <c r="EC277"/>
      <c r="ED277"/>
      <c r="EE277"/>
      <c r="EF277"/>
      <c r="EG277"/>
    </row>
    <row r="278" spans="1:137" s="224" customFormat="1">
      <c r="A278" s="128" t="s">
        <v>111</v>
      </c>
      <c r="B278" s="122">
        <v>7371</v>
      </c>
      <c r="C278" s="122">
        <v>7380</v>
      </c>
      <c r="D278" s="122">
        <v>7879</v>
      </c>
      <c r="E278" s="122">
        <v>7892</v>
      </c>
      <c r="F278" s="122">
        <v>8447</v>
      </c>
      <c r="G278" s="122">
        <v>9250</v>
      </c>
      <c r="H278" s="124">
        <v>9353</v>
      </c>
      <c r="I278" s="123">
        <v>9380</v>
      </c>
      <c r="J278" s="123">
        <v>9369</v>
      </c>
      <c r="K278" s="124">
        <v>9387</v>
      </c>
      <c r="L278" s="122">
        <f>K278</f>
        <v>9387</v>
      </c>
      <c r="M278" s="123">
        <v>9399</v>
      </c>
      <c r="N278" s="123">
        <v>9484</v>
      </c>
      <c r="O278" s="123">
        <v>9560</v>
      </c>
      <c r="P278" s="124">
        <v>9526</v>
      </c>
      <c r="Q278" s="122">
        <f>P278</f>
        <v>9526</v>
      </c>
      <c r="R278" s="123">
        <v>9684</v>
      </c>
      <c r="S278" s="123">
        <v>9725</v>
      </c>
      <c r="T278" s="124">
        <v>9944</v>
      </c>
      <c r="U278" s="124">
        <v>9948</v>
      </c>
      <c r="V278" s="122">
        <f>U278</f>
        <v>9948</v>
      </c>
      <c r="W278" s="123">
        <v>9938</v>
      </c>
      <c r="X278" s="123">
        <v>9797</v>
      </c>
      <c r="Y278" s="124">
        <v>9588</v>
      </c>
      <c r="Z278" s="124">
        <v>9605</v>
      </c>
      <c r="AA278" s="122">
        <f>Z278</f>
        <v>9605</v>
      </c>
      <c r="AB278" s="123">
        <v>9609</v>
      </c>
      <c r="AC278" s="123">
        <v>9615</v>
      </c>
      <c r="AD278" s="124">
        <v>9606</v>
      </c>
      <c r="AE278" s="124">
        <v>10148</v>
      </c>
      <c r="AF278" s="122">
        <f>AE278</f>
        <v>10148</v>
      </c>
      <c r="AG278" s="124">
        <v>10170</v>
      </c>
      <c r="AH278" s="125">
        <v>10158</v>
      </c>
      <c r="AI278" s="125">
        <v>10183</v>
      </c>
      <c r="AJ278" s="124">
        <v>10370</v>
      </c>
      <c r="AK278" s="122">
        <f>AJ278</f>
        <v>10370</v>
      </c>
      <c r="AL278" s="124">
        <v>10356</v>
      </c>
      <c r="AM278" s="124">
        <v>10352</v>
      </c>
      <c r="AN278" s="124">
        <v>10534</v>
      </c>
      <c r="AO278" s="121">
        <v>10348</v>
      </c>
      <c r="AP278" s="122">
        <f>AO278</f>
        <v>10348</v>
      </c>
      <c r="AQ278" s="743">
        <v>10370</v>
      </c>
      <c r="AR278" s="803">
        <v>10505</v>
      </c>
      <c r="AS278" s="803">
        <v>10774</v>
      </c>
      <c r="AT278" s="803">
        <v>10862</v>
      </c>
      <c r="AU278" s="814">
        <f>AT278</f>
        <v>10862</v>
      </c>
      <c r="AV278" s="803">
        <v>10841</v>
      </c>
      <c r="AW278" s="803">
        <v>10867</v>
      </c>
      <c r="AX278" s="803">
        <v>10832</v>
      </c>
      <c r="AY278" s="855">
        <v>13628</v>
      </c>
      <c r="AZ278" s="814">
        <f>AY278</f>
        <v>13628</v>
      </c>
      <c r="BA278" s="122"/>
      <c r="BB278" s="743">
        <v>10370</v>
      </c>
      <c r="BC278" s="803">
        <v>10505</v>
      </c>
      <c r="BD278" s="803">
        <v>10774</v>
      </c>
      <c r="BE278" s="803">
        <v>10862</v>
      </c>
      <c r="BF278" s="122">
        <v>10862</v>
      </c>
      <c r="BG278" s="803">
        <v>10841</v>
      </c>
      <c r="BH278" s="803">
        <v>10867</v>
      </c>
      <c r="BI278" s="803">
        <v>10832</v>
      </c>
      <c r="BJ278" s="855">
        <v>13576</v>
      </c>
      <c r="BK278" s="122">
        <f>+BJ278</f>
        <v>13576</v>
      </c>
      <c r="BL278" s="803">
        <v>13583</v>
      </c>
      <c r="BM278" s="803">
        <v>13621</v>
      </c>
      <c r="BN278" s="803"/>
      <c r="BO278" s="855"/>
      <c r="BP278" s="814"/>
      <c r="BQ278" s="122"/>
      <c r="BR278" s="803"/>
      <c r="BS278" s="803"/>
      <c r="BT278" s="803"/>
      <c r="BU278" s="855">
        <v>10695</v>
      </c>
      <c r="BV278" s="122">
        <f>+BU278</f>
        <v>10695</v>
      </c>
      <c r="BW278" s="803">
        <v>13583</v>
      </c>
      <c r="BX278" s="803">
        <v>13621</v>
      </c>
      <c r="BY278" s="803">
        <v>10791</v>
      </c>
      <c r="BZ278" s="855">
        <v>10764</v>
      </c>
      <c r="CA278" s="814">
        <f>BZ278</f>
        <v>10764</v>
      </c>
      <c r="CB278" s="803">
        <v>10764</v>
      </c>
      <c r="CC278" s="803">
        <v>10780</v>
      </c>
      <c r="CD278" s="803">
        <v>10812</v>
      </c>
      <c r="CE278" s="855">
        <v>10807</v>
      </c>
      <c r="CF278" s="814">
        <f>+CE278</f>
        <v>10807</v>
      </c>
      <c r="CG278" s="803"/>
      <c r="CH278" s="803"/>
      <c r="CI278" s="803"/>
      <c r="CJ278" s="855"/>
      <c r="CK278" s="814">
        <v>10764</v>
      </c>
      <c r="CL278" s="803"/>
      <c r="CM278" s="803"/>
      <c r="CN278" s="803"/>
      <c r="CO278" s="855"/>
      <c r="CP278" s="814">
        <f>+CF278</f>
        <v>10807</v>
      </c>
      <c r="CQ278" s="803">
        <f>CF278</f>
        <v>10807</v>
      </c>
      <c r="CR278" s="803">
        <f t="shared" si="1072"/>
        <v>10807</v>
      </c>
      <c r="CS278" s="803">
        <f t="shared" si="1072"/>
        <v>10807</v>
      </c>
      <c r="CT278" s="855">
        <f t="shared" si="1072"/>
        <v>10807</v>
      </c>
      <c r="CU278" s="814">
        <f>CT278</f>
        <v>10807</v>
      </c>
      <c r="CV278" s="803"/>
      <c r="CW278" s="803"/>
      <c r="CX278" s="803"/>
      <c r="CY278" s="855"/>
      <c r="CZ278" s="814">
        <f>CU278</f>
        <v>10807</v>
      </c>
      <c r="DA278" s="803"/>
      <c r="DB278" s="803"/>
      <c r="DC278" s="803"/>
      <c r="DD278" s="855"/>
      <c r="DE278" s="814">
        <f>CZ278</f>
        <v>10807</v>
      </c>
      <c r="DF278" s="803"/>
      <c r="DG278" s="803"/>
      <c r="DH278" s="803"/>
      <c r="DI278" s="855"/>
      <c r="DJ278" s="814">
        <f>DE278</f>
        <v>10807</v>
      </c>
      <c r="DK278" s="217"/>
      <c r="DL278" s="1286"/>
      <c r="DM278" s="810"/>
      <c r="DN278" s="810"/>
      <c r="DO278" s="810"/>
      <c r="DP278" s="1054"/>
      <c r="DQ278" s="1053"/>
      <c r="DR278" s="1054"/>
      <c r="DS278" s="1116"/>
      <c r="DT278" s="809"/>
      <c r="DU278" s="809"/>
      <c r="DV278" s="809"/>
      <c r="DW278" s="809"/>
      <c r="DX278" s="809"/>
      <c r="DY278" s="228"/>
      <c r="DZ278" s="216"/>
      <c r="EA278" s="216"/>
      <c r="EB278"/>
      <c r="EC278"/>
      <c r="ED278"/>
      <c r="EE278"/>
      <c r="EF278"/>
      <c r="EG278"/>
    </row>
    <row r="279" spans="1:137" s="224" customFormat="1">
      <c r="A279" s="128" t="s">
        <v>207</v>
      </c>
      <c r="B279" s="122">
        <v>0</v>
      </c>
      <c r="C279" s="122">
        <v>0</v>
      </c>
      <c r="D279" s="122">
        <v>0</v>
      </c>
      <c r="E279" s="122">
        <v>0</v>
      </c>
      <c r="F279" s="122">
        <v>555</v>
      </c>
      <c r="G279" s="122">
        <v>1487</v>
      </c>
      <c r="H279" s="124">
        <v>1473</v>
      </c>
      <c r="I279" s="123">
        <v>1661</v>
      </c>
      <c r="J279" s="123">
        <v>1736</v>
      </c>
      <c r="K279" s="124">
        <v>760</v>
      </c>
      <c r="L279" s="122">
        <f>K279</f>
        <v>760</v>
      </c>
      <c r="M279" s="123">
        <v>824</v>
      </c>
      <c r="N279" s="123">
        <v>849</v>
      </c>
      <c r="O279" s="123">
        <v>937</v>
      </c>
      <c r="P279" s="124">
        <v>4651</v>
      </c>
      <c r="Q279" s="122">
        <f>P279</f>
        <v>4651</v>
      </c>
      <c r="R279" s="123">
        <v>4644</v>
      </c>
      <c r="S279" s="123">
        <v>4542</v>
      </c>
      <c r="T279" s="124">
        <v>4596</v>
      </c>
      <c r="U279" s="124">
        <v>3779</v>
      </c>
      <c r="V279" s="122">
        <f>U279</f>
        <v>3779</v>
      </c>
      <c r="W279" s="123">
        <v>3625</v>
      </c>
      <c r="X279" s="123">
        <v>3614</v>
      </c>
      <c r="Y279" s="124">
        <v>3339</v>
      </c>
      <c r="Z279" s="124">
        <v>3482</v>
      </c>
      <c r="AA279" s="122">
        <f>Z279</f>
        <v>3482</v>
      </c>
      <c r="AB279" s="123">
        <v>3412</v>
      </c>
      <c r="AC279" s="123">
        <v>3268</v>
      </c>
      <c r="AD279" s="124">
        <v>3096</v>
      </c>
      <c r="AE279" s="124">
        <v>4388</v>
      </c>
      <c r="AF279" s="122">
        <f>AE279</f>
        <v>4388</v>
      </c>
      <c r="AG279" s="124">
        <v>4290</v>
      </c>
      <c r="AH279" s="125">
        <v>4186</v>
      </c>
      <c r="AI279" s="125">
        <v>4073</v>
      </c>
      <c r="AJ279" s="124">
        <v>4809</v>
      </c>
      <c r="AK279" s="122">
        <f>AJ279</f>
        <v>4809</v>
      </c>
      <c r="AL279" s="124">
        <v>4750</v>
      </c>
      <c r="AM279" s="124">
        <v>4681</v>
      </c>
      <c r="AN279" s="124">
        <v>4657</v>
      </c>
      <c r="AO279" s="121">
        <v>2850</v>
      </c>
      <c r="AP279" s="122">
        <f>AO279</f>
        <v>2850</v>
      </c>
      <c r="AQ279" s="121">
        <v>2782</v>
      </c>
      <c r="AR279" s="803">
        <v>3113</v>
      </c>
      <c r="AS279" s="124">
        <v>2954</v>
      </c>
      <c r="AT279" s="127">
        <v>4013</v>
      </c>
      <c r="AU279" s="122">
        <f>+AT279</f>
        <v>4013</v>
      </c>
      <c r="AV279" s="802">
        <v>4024</v>
      </c>
      <c r="AW279" s="803">
        <v>4035</v>
      </c>
      <c r="AX279" s="803">
        <v>4096</v>
      </c>
      <c r="AY279" s="855">
        <v>4470</v>
      </c>
      <c r="AZ279" s="122">
        <f>+AY279</f>
        <v>4470</v>
      </c>
      <c r="BA279" s="122"/>
      <c r="BB279" s="121">
        <v>2782</v>
      </c>
      <c r="BC279" s="803">
        <v>3113</v>
      </c>
      <c r="BD279" s="124">
        <v>2954</v>
      </c>
      <c r="BE279" s="127">
        <v>4013</v>
      </c>
      <c r="BF279" s="122">
        <v>4013</v>
      </c>
      <c r="BG279" s="802">
        <v>4024</v>
      </c>
      <c r="BH279" s="803">
        <v>4035</v>
      </c>
      <c r="BI279" s="803">
        <v>4096</v>
      </c>
      <c r="BJ279" s="855">
        <v>5931</v>
      </c>
      <c r="BK279" s="122">
        <f>+BJ279</f>
        <v>5931</v>
      </c>
      <c r="BL279" s="802">
        <v>5377</v>
      </c>
      <c r="BM279" s="803">
        <v>5830</v>
      </c>
      <c r="BN279" s="803"/>
      <c r="BO279" s="855"/>
      <c r="BP279" s="122"/>
      <c r="BQ279" s="122"/>
      <c r="BR279" s="802"/>
      <c r="BS279" s="803"/>
      <c r="BT279" s="803"/>
      <c r="BU279" s="855">
        <v>6068</v>
      </c>
      <c r="BV279" s="122">
        <f>+BU279</f>
        <v>6068</v>
      </c>
      <c r="BW279" s="802">
        <v>5377</v>
      </c>
      <c r="BX279" s="803">
        <v>5830</v>
      </c>
      <c r="BY279" s="803">
        <v>5850</v>
      </c>
      <c r="BZ279" s="855">
        <v>6625</v>
      </c>
      <c r="CA279" s="122">
        <f>+BZ279</f>
        <v>6625</v>
      </c>
      <c r="CB279" s="802">
        <v>6489</v>
      </c>
      <c r="CC279" s="803">
        <v>6332</v>
      </c>
      <c r="CD279" s="803">
        <v>5970</v>
      </c>
      <c r="CE279" s="855">
        <v>3239</v>
      </c>
      <c r="CF279" s="122">
        <f>+CE279</f>
        <v>3239</v>
      </c>
      <c r="CG279" s="802"/>
      <c r="CH279" s="803"/>
      <c r="CI279" s="803"/>
      <c r="CJ279" s="855"/>
      <c r="CK279" s="122">
        <v>6625</v>
      </c>
      <c r="CL279" s="802"/>
      <c r="CM279" s="803"/>
      <c r="CN279" s="803"/>
      <c r="CO279" s="855"/>
      <c r="CP279" s="122">
        <f>+CF279</f>
        <v>3239</v>
      </c>
      <c r="CQ279" s="126">
        <v>2981.8900690057812</v>
      </c>
      <c r="CR279" s="124">
        <v>2724.7801380115625</v>
      </c>
      <c r="CS279" s="124">
        <v>2467.6702070173437</v>
      </c>
      <c r="CT279" s="127">
        <v>2210.560276023125</v>
      </c>
      <c r="CU279" s="122">
        <f>+CT279</f>
        <v>2210.560276023125</v>
      </c>
      <c r="CV279" s="124"/>
      <c r="CW279" s="124"/>
      <c r="CX279" s="124"/>
      <c r="CY279" s="127"/>
      <c r="CZ279" s="122">
        <v>2192.1053250368823</v>
      </c>
      <c r="DA279" s="124"/>
      <c r="DB279" s="124"/>
      <c r="DC279" s="124"/>
      <c r="DD279" s="127"/>
      <c r="DE279" s="122">
        <v>1997.355103202688</v>
      </c>
      <c r="DF279" s="124"/>
      <c r="DG279" s="124"/>
      <c r="DH279" s="124"/>
      <c r="DI279" s="127"/>
      <c r="DJ279" s="122">
        <v>1629.2945013929948</v>
      </c>
      <c r="DK279" s="217"/>
      <c r="DL279" s="1286"/>
      <c r="DM279" s="810"/>
      <c r="DN279" s="810"/>
      <c r="DO279" s="810"/>
      <c r="DP279" s="1054"/>
      <c r="DQ279" s="1053"/>
      <c r="DR279" s="1054"/>
      <c r="DS279" s="1116"/>
      <c r="DT279" s="809"/>
      <c r="DU279" s="809"/>
      <c r="DV279" s="809"/>
      <c r="DW279" s="809"/>
      <c r="DX279" s="809"/>
      <c r="DY279" s="228"/>
      <c r="DZ279" s="216"/>
      <c r="EA279" s="216"/>
      <c r="EB279"/>
      <c r="EC279"/>
      <c r="ED279"/>
      <c r="EE279"/>
      <c r="EF279"/>
      <c r="EG279"/>
    </row>
    <row r="280" spans="1:137" s="224" customFormat="1">
      <c r="A280" s="213" t="s">
        <v>13</v>
      </c>
      <c r="B280" s="119">
        <f>B281-B275-B276-B277-B279</f>
        <v>11804</v>
      </c>
      <c r="C280" s="119">
        <f>C281-C275-C276-C277-C279</f>
        <v>11874</v>
      </c>
      <c r="D280" s="119">
        <f>D281-D275-D276-D277-D279</f>
        <v>12072</v>
      </c>
      <c r="E280" s="119">
        <f>E281-E275-E276-E277-E279</f>
        <v>11972</v>
      </c>
      <c r="F280" s="119">
        <f>F281-F275-F276-F277-F279</f>
        <v>11376</v>
      </c>
      <c r="G280" s="119">
        <f t="shared" ref="G280:AN280" si="1073">G281-G275-G276-G277-G279-G278</f>
        <v>3039</v>
      </c>
      <c r="H280" s="121">
        <f t="shared" si="1073"/>
        <v>2936</v>
      </c>
      <c r="I280" s="125">
        <f t="shared" si="1073"/>
        <v>3020</v>
      </c>
      <c r="J280" s="125">
        <f t="shared" si="1073"/>
        <v>3287</v>
      </c>
      <c r="K280" s="121">
        <f t="shared" si="1073"/>
        <v>3206</v>
      </c>
      <c r="L280" s="119">
        <f t="shared" si="1073"/>
        <v>3206</v>
      </c>
      <c r="M280" s="125">
        <f t="shared" si="1073"/>
        <v>3171</v>
      </c>
      <c r="N280" s="125">
        <f t="shared" si="1073"/>
        <v>3242</v>
      </c>
      <c r="O280" s="125">
        <f t="shared" si="1073"/>
        <v>3530</v>
      </c>
      <c r="P280" s="121">
        <f t="shared" si="1073"/>
        <v>3969</v>
      </c>
      <c r="Q280" s="119">
        <f t="shared" si="1073"/>
        <v>3969</v>
      </c>
      <c r="R280" s="125">
        <f t="shared" si="1073"/>
        <v>3965</v>
      </c>
      <c r="S280" s="125">
        <f t="shared" si="1073"/>
        <v>4037</v>
      </c>
      <c r="T280" s="121">
        <f t="shared" si="1073"/>
        <v>4194</v>
      </c>
      <c r="U280" s="124">
        <f t="shared" si="1073"/>
        <v>4227</v>
      </c>
      <c r="V280" s="122">
        <f t="shared" si="1073"/>
        <v>4227</v>
      </c>
      <c r="W280" s="125">
        <f t="shared" si="1073"/>
        <v>4205</v>
      </c>
      <c r="X280" s="125">
        <f t="shared" si="1073"/>
        <v>4068</v>
      </c>
      <c r="Y280" s="121">
        <f t="shared" si="1073"/>
        <v>4167</v>
      </c>
      <c r="Z280" s="121">
        <f t="shared" si="1073"/>
        <v>4396</v>
      </c>
      <c r="AA280" s="119">
        <f t="shared" si="1073"/>
        <v>4396</v>
      </c>
      <c r="AB280" s="125">
        <f t="shared" si="1073"/>
        <v>4452</v>
      </c>
      <c r="AC280" s="125">
        <f t="shared" si="1073"/>
        <v>4460</v>
      </c>
      <c r="AD280" s="121">
        <f t="shared" si="1073"/>
        <v>4388</v>
      </c>
      <c r="AE280" s="124">
        <f t="shared" si="1073"/>
        <v>4667</v>
      </c>
      <c r="AF280" s="119">
        <f t="shared" si="1073"/>
        <v>4667</v>
      </c>
      <c r="AG280" s="124">
        <f t="shared" si="1073"/>
        <v>4315.4000000000015</v>
      </c>
      <c r="AH280" s="125">
        <f t="shared" si="1073"/>
        <v>4747</v>
      </c>
      <c r="AI280" s="125">
        <f t="shared" si="1073"/>
        <v>4788</v>
      </c>
      <c r="AJ280" s="124">
        <f>AJ281-AJ275-AJ276-AJ277-AJ279-AJ278</f>
        <v>4948</v>
      </c>
      <c r="AK280" s="119">
        <f>AK281-AK275-AK276-AK277-AK279-AK278</f>
        <v>4948</v>
      </c>
      <c r="AL280" s="121">
        <f>AL281-AL275-AL276-AL277-AL279-AL278</f>
        <v>4985</v>
      </c>
      <c r="AM280" s="121">
        <f t="shared" si="1073"/>
        <v>4941</v>
      </c>
      <c r="AN280" s="121">
        <f t="shared" si="1073"/>
        <v>4999</v>
      </c>
      <c r="AO280" s="124">
        <f>AO281-AO275-AO276-AO277-AO279-AO278</f>
        <v>4955</v>
      </c>
      <c r="AP280" s="122">
        <v>4955</v>
      </c>
      <c r="AQ280" s="121">
        <f>AQ281-AQ275-AQ276-AQ277-AQ279-AQ278</f>
        <v>4921</v>
      </c>
      <c r="AR280" s="802">
        <f>AR281-AR275-AR276-AR277-AR279-AR278</f>
        <v>4910</v>
      </c>
      <c r="AS280" s="802">
        <f>AS281-AS275-AS276-AS277-AS279-AS278</f>
        <v>4931</v>
      </c>
      <c r="AT280" s="802">
        <f>AT281-AT275-AT276-AT277-AT279-AT278</f>
        <v>5114</v>
      </c>
      <c r="AU280" s="814">
        <f>+AT280</f>
        <v>5114</v>
      </c>
      <c r="AV280" s="803">
        <v>5015</v>
      </c>
      <c r="AW280" s="803">
        <v>5019</v>
      </c>
      <c r="AX280" s="803">
        <v>4957</v>
      </c>
      <c r="AY280" s="855">
        <f>+AY281-SUM(AY275:AY279)</f>
        <v>9394</v>
      </c>
      <c r="AZ280" s="814">
        <f>AY280</f>
        <v>9394</v>
      </c>
      <c r="BA280" s="122"/>
      <c r="BB280" s="121">
        <f>BB281-BB275-BB276-BB277-BB279-BB278</f>
        <v>4921</v>
      </c>
      <c r="BC280" s="802">
        <f>BC281-BC275-BC276-BC277-BC279-BC278</f>
        <v>4910</v>
      </c>
      <c r="BD280" s="802">
        <f>BD281-BD275-BD276-BD277-BD279-BD278</f>
        <v>4931</v>
      </c>
      <c r="BE280" s="802">
        <f>BE281-BE275-BE276-BE277-BE279-BE278</f>
        <v>5114</v>
      </c>
      <c r="BF280" s="122">
        <f>BF281-BF275-BF276-BF277-BF279-BF278</f>
        <v>5097.510000000002</v>
      </c>
      <c r="BG280" s="803">
        <v>5015</v>
      </c>
      <c r="BH280" s="803">
        <v>5019</v>
      </c>
      <c r="BI280" s="803">
        <v>4957</v>
      </c>
      <c r="BJ280" s="855">
        <f>+BJ281-SUM(BJ275:BJ279)</f>
        <v>9558</v>
      </c>
      <c r="BK280" s="122">
        <f>+BK281-SUM(BK275:BK279)</f>
        <v>9558</v>
      </c>
      <c r="BL280" s="803">
        <f>+BL281-SUM(BL275:BL279)</f>
        <v>10014</v>
      </c>
      <c r="BM280" s="803">
        <f>+BM281-SUM(BM275:BM279)</f>
        <v>9446</v>
      </c>
      <c r="BN280" s="803"/>
      <c r="BO280" s="855"/>
      <c r="BP280" s="814"/>
      <c r="BQ280" s="122"/>
      <c r="BR280" s="803"/>
      <c r="BS280" s="803"/>
      <c r="BT280" s="803"/>
      <c r="BU280" s="855">
        <f>+BU281-SUM(BU275:BU279)</f>
        <v>12579</v>
      </c>
      <c r="BV280" s="122">
        <f>+BV281-SUM(BV275:BV279)</f>
        <v>12579</v>
      </c>
      <c r="BW280" s="803">
        <f>+BW281-SUM(BW275:BW279)</f>
        <v>10014</v>
      </c>
      <c r="BX280" s="803">
        <f>+BX281-SUM(BX275:BX279)</f>
        <v>9446</v>
      </c>
      <c r="BY280" s="803">
        <v>4957</v>
      </c>
      <c r="BZ280" s="855">
        <f>+BZ281-SUM(BZ275:BZ279)</f>
        <v>9760</v>
      </c>
      <c r="CA280" s="814">
        <f>BZ280</f>
        <v>9760</v>
      </c>
      <c r="CB280" s="803">
        <f>+CB281-SUM(CB275:CB279)</f>
        <v>9516</v>
      </c>
      <c r="CC280" s="803">
        <f>+CC281-SUM(CC275:CC279)</f>
        <v>9501</v>
      </c>
      <c r="CD280" s="803">
        <f>+CD281-SUM(CD275:CD279)</f>
        <v>9445</v>
      </c>
      <c r="CE280" s="855">
        <f>+CE281-SUM(CE275:CE279)</f>
        <v>9239</v>
      </c>
      <c r="CF280" s="814">
        <f>+CE280</f>
        <v>9239</v>
      </c>
      <c r="CG280" s="803"/>
      <c r="CH280" s="803"/>
      <c r="CI280" s="803"/>
      <c r="CJ280" s="855"/>
      <c r="CK280" s="814">
        <f>+CK281-SUM(CK275:CK279)</f>
        <v>9760</v>
      </c>
      <c r="CL280" s="803"/>
      <c r="CM280" s="803"/>
      <c r="CN280" s="803"/>
      <c r="CO280" s="855"/>
      <c r="CP280" s="814">
        <f>+CF280</f>
        <v>9239</v>
      </c>
      <c r="CQ280" s="803">
        <f t="shared" ref="CQ280" si="1074">+CF280</f>
        <v>9239</v>
      </c>
      <c r="CR280" s="803">
        <f t="shared" ref="CR280" si="1075">+CQ280</f>
        <v>9239</v>
      </c>
      <c r="CS280" s="803">
        <f t="shared" ref="CS280" si="1076">+CR280</f>
        <v>9239</v>
      </c>
      <c r="CT280" s="855">
        <f t="shared" ref="CT280" si="1077">+CS280</f>
        <v>9239</v>
      </c>
      <c r="CU280" s="814">
        <f>CT280</f>
        <v>9239</v>
      </c>
      <c r="CV280" s="803"/>
      <c r="CW280" s="803"/>
      <c r="CX280" s="803"/>
      <c r="CY280" s="855"/>
      <c r="CZ280" s="814">
        <f>CU280</f>
        <v>9239</v>
      </c>
      <c r="DA280" s="803"/>
      <c r="DB280" s="803"/>
      <c r="DC280" s="803"/>
      <c r="DD280" s="855"/>
      <c r="DE280" s="814">
        <f>CZ280</f>
        <v>9239</v>
      </c>
      <c r="DF280" s="803"/>
      <c r="DG280" s="803"/>
      <c r="DH280" s="803"/>
      <c r="DI280" s="855"/>
      <c r="DJ280" s="814">
        <f>DE280</f>
        <v>9239</v>
      </c>
      <c r="DK280" s="217"/>
      <c r="DL280" s="1286"/>
      <c r="DM280" s="810"/>
      <c r="DN280" s="810"/>
      <c r="DO280" s="810"/>
      <c r="DP280" s="1054"/>
      <c r="DQ280" s="1053"/>
      <c r="DR280" s="1054"/>
      <c r="DS280" s="1116"/>
      <c r="DT280" s="809"/>
      <c r="DU280" s="809"/>
      <c r="DV280" s="809"/>
      <c r="DW280" s="809"/>
      <c r="DX280" s="809"/>
      <c r="DY280" s="228"/>
      <c r="DZ280" s="216"/>
      <c r="EA280" s="216"/>
      <c r="EB280"/>
      <c r="EC280"/>
      <c r="ED280"/>
      <c r="EE280"/>
      <c r="EF280"/>
      <c r="EG280"/>
    </row>
    <row r="281" spans="1:137" s="224" customFormat="1">
      <c r="A281" s="141" t="s">
        <v>205</v>
      </c>
      <c r="B281" s="139">
        <v>27654</v>
      </c>
      <c r="C281" s="139">
        <v>26979</v>
      </c>
      <c r="D281" s="139">
        <v>26175</v>
      </c>
      <c r="E281" s="139">
        <v>25554</v>
      </c>
      <c r="F281" s="139">
        <v>27744</v>
      </c>
      <c r="G281" s="139">
        <v>28231</v>
      </c>
      <c r="H281" s="141">
        <v>28853</v>
      </c>
      <c r="I281" s="141">
        <v>29814</v>
      </c>
      <c r="J281" s="141">
        <v>29787</v>
      </c>
      <c r="K281" s="141">
        <v>28926</v>
      </c>
      <c r="L281" s="139">
        <v>28926</v>
      </c>
      <c r="M281" s="141">
        <v>29149</v>
      </c>
      <c r="N281" s="141">
        <v>29461</v>
      </c>
      <c r="O281" s="141">
        <v>29357</v>
      </c>
      <c r="P281" s="141">
        <v>33439</v>
      </c>
      <c r="Q281" s="139">
        <v>33439</v>
      </c>
      <c r="R281" s="141">
        <v>34533</v>
      </c>
      <c r="S281" s="141">
        <v>34788</v>
      </c>
      <c r="T281" s="141">
        <v>35742</v>
      </c>
      <c r="U281" s="141">
        <v>35111</v>
      </c>
      <c r="V281" s="139">
        <v>35111</v>
      </c>
      <c r="W281" s="141">
        <v>36287</v>
      </c>
      <c r="X281" s="141">
        <v>36239</v>
      </c>
      <c r="Y281" s="141">
        <v>35551</v>
      </c>
      <c r="Z281" s="141">
        <v>35067</v>
      </c>
      <c r="AA281" s="139">
        <v>35067</v>
      </c>
      <c r="AB281" s="141">
        <v>36677</v>
      </c>
      <c r="AC281" s="141">
        <v>35718</v>
      </c>
      <c r="AD281" s="141">
        <v>36187</v>
      </c>
      <c r="AE281" s="141">
        <v>37908</v>
      </c>
      <c r="AF281" s="139">
        <v>37908</v>
      </c>
      <c r="AG281" s="141">
        <v>38340</v>
      </c>
      <c r="AH281" s="141">
        <v>38386</v>
      </c>
      <c r="AI281" s="141">
        <v>39321</v>
      </c>
      <c r="AJ281" s="141">
        <v>38657</v>
      </c>
      <c r="AK281" s="139">
        <v>38657</v>
      </c>
      <c r="AL281" s="141">
        <v>39580</v>
      </c>
      <c r="AM281" s="141">
        <v>38947</v>
      </c>
      <c r="AN281" s="141">
        <v>38907</v>
      </c>
      <c r="AO281" s="197">
        <v>36188</v>
      </c>
      <c r="AP281" s="571">
        <f>SUM(AP275,AP276:AP280)</f>
        <v>36188</v>
      </c>
      <c r="AQ281" s="223">
        <v>36919</v>
      </c>
      <c r="AR281" s="141">
        <v>37250</v>
      </c>
      <c r="AS281" s="141">
        <v>36933</v>
      </c>
      <c r="AT281" s="140">
        <v>37073</v>
      </c>
      <c r="AU281" s="139">
        <f>SUM(AU275,AU276:AU280)</f>
        <v>37073</v>
      </c>
      <c r="AV281" s="141">
        <f>AV275+AV276+AV277+AV279+AV280+AV278</f>
        <v>39752</v>
      </c>
      <c r="AW281" s="141">
        <f>AW275+AW276+AW277+AW279+AW280+AW278</f>
        <v>39848</v>
      </c>
      <c r="AX281" s="141">
        <f>AX275+AX276+AX277+AX279+AX280+AX278</f>
        <v>39617</v>
      </c>
      <c r="AY281" s="141">
        <v>49128</v>
      </c>
      <c r="AZ281" s="571">
        <f>SUM(AZ275,AZ276:AZ280)</f>
        <v>49128</v>
      </c>
      <c r="BA281" s="571"/>
      <c r="BB281" s="223">
        <v>36919</v>
      </c>
      <c r="BC281" s="141">
        <v>37250</v>
      </c>
      <c r="BD281" s="141">
        <v>36933</v>
      </c>
      <c r="BE281" s="140">
        <v>37073</v>
      </c>
      <c r="BF281" s="571">
        <v>37046</v>
      </c>
      <c r="BG281" s="141">
        <f>BG275+BG276+BG277+BG279+BG280+BG278</f>
        <v>39752</v>
      </c>
      <c r="BH281" s="141">
        <f>BH275+BH276+BH277+BH279+BH280+BH278</f>
        <v>39848</v>
      </c>
      <c r="BI281" s="141">
        <f>BI275+BI276+BI277+BI279+BI280+BI278</f>
        <v>39617</v>
      </c>
      <c r="BJ281" s="141">
        <v>49128</v>
      </c>
      <c r="BK281" s="571">
        <f>+BJ281</f>
        <v>49128</v>
      </c>
      <c r="BL281" s="141">
        <v>50158</v>
      </c>
      <c r="BM281" s="141">
        <v>50408</v>
      </c>
      <c r="BN281" s="141"/>
      <c r="BO281" s="141"/>
      <c r="BP281" s="571"/>
      <c r="BQ281" s="571"/>
      <c r="BR281" s="141"/>
      <c r="BS281" s="141"/>
      <c r="BT281" s="141"/>
      <c r="BU281" s="141">
        <v>49304</v>
      </c>
      <c r="BV281" s="571">
        <f>+BU281</f>
        <v>49304</v>
      </c>
      <c r="BW281" s="141">
        <v>50158</v>
      </c>
      <c r="BX281" s="141">
        <v>50408</v>
      </c>
      <c r="BY281" s="141">
        <v>48739</v>
      </c>
      <c r="BZ281" s="141">
        <v>47806</v>
      </c>
      <c r="CA281" s="571">
        <f>SUM(CA275,CA276:CA280)</f>
        <v>47806</v>
      </c>
      <c r="CB281" s="141">
        <v>48836</v>
      </c>
      <c r="CC281" s="137">
        <v>48711</v>
      </c>
      <c r="CD281" s="141">
        <v>48946</v>
      </c>
      <c r="CE281" s="141">
        <v>46521</v>
      </c>
      <c r="CF281" s="139">
        <f>SUM(CF275,CF276:CF280)</f>
        <v>46521</v>
      </c>
      <c r="CG281" s="141"/>
      <c r="CH281" s="141"/>
      <c r="CI281" s="141"/>
      <c r="CJ281" s="141"/>
      <c r="CK281" s="571">
        <v>47806</v>
      </c>
      <c r="CL281" s="141"/>
      <c r="CM281" s="137"/>
      <c r="CN281" s="141"/>
      <c r="CO281" s="141"/>
      <c r="CP281" s="139">
        <f>SUM(CP275,CP276:CP280)</f>
        <v>46521</v>
      </c>
      <c r="CQ281" s="223">
        <f t="shared" ref="CQ281:CT281" si="1078">SUM(CQ275,CQ276:CQ280)</f>
        <v>47361.138017452133</v>
      </c>
      <c r="CR281" s="141">
        <f t="shared" si="1078"/>
        <v>48741.953305577474</v>
      </c>
      <c r="CS281" s="141">
        <f t="shared" si="1078"/>
        <v>47180.949564359398</v>
      </c>
      <c r="CT281" s="140">
        <f t="shared" si="1078"/>
        <v>44474.273685217551</v>
      </c>
      <c r="CU281" s="139">
        <f>SUM(CU275,CU276:CU280)</f>
        <v>44474.273685217551</v>
      </c>
      <c r="CV281" s="223"/>
      <c r="CW281" s="141"/>
      <c r="CX281" s="141"/>
      <c r="CY281" s="140"/>
      <c r="CZ281" s="139">
        <f>SUM(CZ275,CZ276:CZ280)</f>
        <v>45789.324874618149</v>
      </c>
      <c r="DA281" s="223"/>
      <c r="DB281" s="141"/>
      <c r="DC281" s="141"/>
      <c r="DD281" s="140"/>
      <c r="DE281" s="139">
        <f>SUM(DE275,DE276:DE280)</f>
        <v>46364.25263152118</v>
      </c>
      <c r="DF281" s="223"/>
      <c r="DG281" s="141"/>
      <c r="DH281" s="141"/>
      <c r="DI281" s="140"/>
      <c r="DJ281" s="139">
        <f>SUM(DJ275,DJ276:DJ280)</f>
        <v>46083.878060277486</v>
      </c>
      <c r="DK281" s="216"/>
      <c r="DL281" s="1286"/>
      <c r="DM281" s="809"/>
      <c r="DN281" s="810"/>
      <c r="DO281" s="810"/>
      <c r="DP281" s="1061"/>
      <c r="DQ281" s="1053"/>
      <c r="DR281" s="1061"/>
      <c r="DS281" s="810"/>
      <c r="DT281" s="810"/>
      <c r="DU281" s="810"/>
      <c r="DV281" s="810"/>
      <c r="DW281" s="810"/>
      <c r="DX281" s="810"/>
      <c r="DY281" s="228"/>
      <c r="DZ281" s="216"/>
      <c r="EA281" s="216"/>
      <c r="EB281"/>
      <c r="EC281"/>
      <c r="ED281"/>
      <c r="EE281"/>
      <c r="EF281"/>
      <c r="EG281"/>
    </row>
    <row r="282" spans="1:137" s="224" customFormat="1">
      <c r="A282" s="231" t="s">
        <v>231</v>
      </c>
      <c r="B282" s="232"/>
      <c r="C282" s="232"/>
      <c r="D282" s="232"/>
      <c r="E282" s="232"/>
      <c r="F282" s="232"/>
      <c r="G282" s="232"/>
      <c r="H282" s="234"/>
      <c r="I282" s="235"/>
      <c r="J282" s="235"/>
      <c r="K282" s="234"/>
      <c r="L282" s="232"/>
      <c r="M282" s="235"/>
      <c r="N282" s="235"/>
      <c r="O282" s="235"/>
      <c r="P282" s="234"/>
      <c r="Q282" s="232"/>
      <c r="R282" s="235"/>
      <c r="S282" s="235"/>
      <c r="T282" s="235"/>
      <c r="U282" s="234"/>
      <c r="V282" s="232"/>
      <c r="W282" s="235"/>
      <c r="X282" s="235"/>
      <c r="Y282" s="235"/>
      <c r="Z282" s="234"/>
      <c r="AA282" s="232"/>
      <c r="AB282" s="235"/>
      <c r="AC282" s="235"/>
      <c r="AD282" s="235"/>
      <c r="AE282" s="234"/>
      <c r="AF282" s="232"/>
      <c r="AG282" s="234"/>
      <c r="AH282" s="235"/>
      <c r="AI282" s="235"/>
      <c r="AJ282" s="234"/>
      <c r="AK282" s="232"/>
      <c r="AL282" s="235"/>
      <c r="AM282" s="235"/>
      <c r="AN282" s="235"/>
      <c r="AO282" s="234"/>
      <c r="AP282" s="232"/>
      <c r="AQ282" s="236"/>
      <c r="AR282" s="234"/>
      <c r="AS282" s="234"/>
      <c r="AT282" s="233"/>
      <c r="AU282" s="232"/>
      <c r="AV282" s="234"/>
      <c r="AW282" s="234"/>
      <c r="AX282" s="234"/>
      <c r="AY282" s="233"/>
      <c r="AZ282" s="232"/>
      <c r="BA282" s="232"/>
      <c r="BB282" s="236"/>
      <c r="BC282" s="234"/>
      <c r="BD282" s="234"/>
      <c r="BE282" s="233"/>
      <c r="BF282" s="232">
        <f t="shared" ref="BF282:BF296" si="1079">+AU282</f>
        <v>0</v>
      </c>
      <c r="BG282" s="234"/>
      <c r="BH282" s="234"/>
      <c r="BI282" s="234"/>
      <c r="BJ282" s="233"/>
      <c r="BK282" s="232"/>
      <c r="BL282" s="234"/>
      <c r="BM282" s="234"/>
      <c r="BN282" s="234"/>
      <c r="BO282" s="233"/>
      <c r="BP282" s="232"/>
      <c r="BQ282" s="232"/>
      <c r="BR282" s="234"/>
      <c r="BS282" s="234"/>
      <c r="BT282" s="234"/>
      <c r="BU282" s="233"/>
      <c r="BV282" s="232"/>
      <c r="BW282" s="234"/>
      <c r="BX282" s="234"/>
      <c r="BY282" s="234"/>
      <c r="BZ282" s="233"/>
      <c r="CA282" s="232"/>
      <c r="CB282" s="234"/>
      <c r="CC282" s="810"/>
      <c r="CD282" s="234"/>
      <c r="CE282" s="233"/>
      <c r="CF282" s="232"/>
      <c r="CG282" s="234"/>
      <c r="CH282" s="234"/>
      <c r="CI282" s="234"/>
      <c r="CJ282" s="233"/>
      <c r="CK282" s="232"/>
      <c r="CL282" s="234"/>
      <c r="CM282" s="810"/>
      <c r="CN282" s="234"/>
      <c r="CO282" s="233"/>
      <c r="CP282" s="232"/>
      <c r="CQ282" s="234"/>
      <c r="CR282" s="234"/>
      <c r="CS282" s="234"/>
      <c r="CT282" s="233"/>
      <c r="CU282" s="232"/>
      <c r="CV282" s="234"/>
      <c r="CW282" s="234"/>
      <c r="CX282" s="234"/>
      <c r="CY282" s="233"/>
      <c r="CZ282" s="232"/>
      <c r="DA282" s="234"/>
      <c r="DB282" s="234"/>
      <c r="DC282" s="234"/>
      <c r="DD282" s="233"/>
      <c r="DE282" s="232"/>
      <c r="DF282" s="234"/>
      <c r="DG282" s="234"/>
      <c r="DH282" s="234"/>
      <c r="DI282" s="233"/>
      <c r="DJ282" s="232"/>
      <c r="DK282" s="217"/>
      <c r="DL282" s="1286"/>
      <c r="DM282" s="811"/>
      <c r="DN282" s="811"/>
      <c r="DO282" s="811"/>
      <c r="DP282" s="1115"/>
      <c r="DQ282" s="1115"/>
      <c r="DR282" s="1115"/>
      <c r="DS282" s="811"/>
      <c r="DT282" s="811"/>
      <c r="DU282" s="811"/>
      <c r="DV282" s="811"/>
      <c r="DW282" s="811"/>
      <c r="DX282" s="811"/>
      <c r="DY282" s="228"/>
      <c r="DZ282" s="216"/>
      <c r="EA282" s="216"/>
      <c r="EB282"/>
      <c r="EC282"/>
      <c r="ED282"/>
      <c r="EE282"/>
      <c r="EF282"/>
      <c r="EG282"/>
    </row>
    <row r="283" spans="1:137" s="224" customFormat="1">
      <c r="A283" s="213" t="s">
        <v>219</v>
      </c>
      <c r="B283" s="201">
        <v>1419</v>
      </c>
      <c r="C283" s="201">
        <v>1102</v>
      </c>
      <c r="D283" s="201">
        <v>1434</v>
      </c>
      <c r="E283" s="201">
        <v>1726</v>
      </c>
      <c r="F283" s="201">
        <v>1998</v>
      </c>
      <c r="G283" s="201">
        <v>2221</v>
      </c>
      <c r="H283" s="196">
        <v>2099</v>
      </c>
      <c r="I283" s="118">
        <v>2137</v>
      </c>
      <c r="J283" s="118">
        <v>1964</v>
      </c>
      <c r="K283" s="196">
        <v>2163</v>
      </c>
      <c r="L283" s="201">
        <f>K283</f>
        <v>2163</v>
      </c>
      <c r="M283" s="118">
        <v>1906</v>
      </c>
      <c r="N283" s="118">
        <v>1993</v>
      </c>
      <c r="O283" s="118">
        <v>2030</v>
      </c>
      <c r="P283" s="196">
        <v>2030</v>
      </c>
      <c r="Q283" s="201">
        <f>P283</f>
        <v>2030</v>
      </c>
      <c r="R283" s="118">
        <v>2165</v>
      </c>
      <c r="S283" s="118">
        <v>2162</v>
      </c>
      <c r="T283" s="118">
        <v>2243</v>
      </c>
      <c r="U283" s="179">
        <v>2030</v>
      </c>
      <c r="V283" s="204">
        <f>U283</f>
        <v>2030</v>
      </c>
      <c r="W283" s="118">
        <v>2247</v>
      </c>
      <c r="X283" s="118">
        <v>2271</v>
      </c>
      <c r="Y283" s="118">
        <v>2352</v>
      </c>
      <c r="Z283" s="196">
        <v>1630</v>
      </c>
      <c r="AA283" s="201">
        <f>Z283</f>
        <v>1630</v>
      </c>
      <c r="AB283" s="118">
        <v>2374</v>
      </c>
      <c r="AC283" s="118">
        <v>2219</v>
      </c>
      <c r="AD283" s="118">
        <v>2328</v>
      </c>
      <c r="AE283" s="196">
        <v>2269</v>
      </c>
      <c r="AF283" s="201">
        <f>AE283</f>
        <v>2269</v>
      </c>
      <c r="AG283" s="179">
        <v>2384</v>
      </c>
      <c r="AH283" s="118">
        <v>2359</v>
      </c>
      <c r="AI283" s="118">
        <v>2184</v>
      </c>
      <c r="AJ283" s="196">
        <v>2038</v>
      </c>
      <c r="AK283" s="201">
        <f>AJ283</f>
        <v>2038</v>
      </c>
      <c r="AL283" s="118">
        <v>2123</v>
      </c>
      <c r="AM283" s="118">
        <v>2044</v>
      </c>
      <c r="AN283" s="118">
        <v>1928</v>
      </c>
      <c r="AO283" s="118">
        <v>1397</v>
      </c>
      <c r="AP283" s="204">
        <f>AO283</f>
        <v>1397</v>
      </c>
      <c r="AQ283" s="237">
        <v>1942</v>
      </c>
      <c r="AR283" s="196">
        <v>1956</v>
      </c>
      <c r="AS283" s="196">
        <v>2000</v>
      </c>
      <c r="AT283" s="202">
        <v>1570</v>
      </c>
      <c r="AU283" s="201">
        <f>+AT283</f>
        <v>1570</v>
      </c>
      <c r="AV283" s="196">
        <v>1945</v>
      </c>
      <c r="AW283" s="196">
        <v>2016</v>
      </c>
      <c r="AX283" s="196">
        <v>2215</v>
      </c>
      <c r="AY283" s="202">
        <v>1974</v>
      </c>
      <c r="AZ283" s="201">
        <f>+AY283</f>
        <v>1974</v>
      </c>
      <c r="BA283" s="204"/>
      <c r="BB283" s="237">
        <v>1942</v>
      </c>
      <c r="BC283" s="196">
        <v>1956</v>
      </c>
      <c r="BD283" s="196">
        <v>2000</v>
      </c>
      <c r="BE283" s="202">
        <v>1570</v>
      </c>
      <c r="BF283" s="204">
        <v>1562</v>
      </c>
      <c r="BG283" s="196">
        <v>1945</v>
      </c>
      <c r="BH283" s="196">
        <v>2016</v>
      </c>
      <c r="BI283" s="196">
        <v>2215</v>
      </c>
      <c r="BJ283" s="202">
        <v>1974</v>
      </c>
      <c r="BK283" s="204">
        <f>+BJ283</f>
        <v>1974</v>
      </c>
      <c r="BL283" s="196">
        <v>2715</v>
      </c>
      <c r="BM283" s="196">
        <v>2778</v>
      </c>
      <c r="BN283" s="196"/>
      <c r="BO283" s="202"/>
      <c r="BP283" s="201"/>
      <c r="BQ283" s="204"/>
      <c r="BR283" s="196"/>
      <c r="BS283" s="196"/>
      <c r="BT283" s="196"/>
      <c r="BU283" s="202">
        <v>1745</v>
      </c>
      <c r="BV283" s="204">
        <f>+BU283</f>
        <v>1745</v>
      </c>
      <c r="BW283" s="196">
        <v>2715</v>
      </c>
      <c r="BX283" s="196">
        <v>2778</v>
      </c>
      <c r="BY283" s="196">
        <v>2840</v>
      </c>
      <c r="BZ283" s="202">
        <v>1653</v>
      </c>
      <c r="CA283" s="201">
        <f>+BZ283</f>
        <v>1653</v>
      </c>
      <c r="CB283" s="196">
        <v>2718</v>
      </c>
      <c r="CC283" s="1075">
        <v>2554</v>
      </c>
      <c r="CD283" s="196">
        <v>2848</v>
      </c>
      <c r="CE283" s="202">
        <v>1467</v>
      </c>
      <c r="CF283" s="201">
        <f>+CE283</f>
        <v>1467</v>
      </c>
      <c r="CG283" s="196"/>
      <c r="CH283" s="196"/>
      <c r="CI283" s="196"/>
      <c r="CJ283" s="202"/>
      <c r="CK283" s="201">
        <v>1653</v>
      </c>
      <c r="CL283" s="196"/>
      <c r="CM283" s="1075"/>
      <c r="CN283" s="196"/>
      <c r="CO283" s="202"/>
      <c r="CP283" s="201">
        <f>+CF283</f>
        <v>1467</v>
      </c>
      <c r="CQ283" s="196">
        <f>CQ284*CQ173/360*4</f>
        <v>2728.5701365650721</v>
      </c>
      <c r="CR283" s="196">
        <f>CR284*CR173/360*4</f>
        <v>2587.2211273157272</v>
      </c>
      <c r="CS283" s="196">
        <f>CS284*CS173/360*4</f>
        <v>2855.25515654532</v>
      </c>
      <c r="CT283" s="202">
        <f>CT284*CT173/360*4</f>
        <v>1468.2598929774724</v>
      </c>
      <c r="CU283" s="201">
        <f>+CT283</f>
        <v>1468.2598929774724</v>
      </c>
      <c r="CV283" s="196"/>
      <c r="CW283" s="196"/>
      <c r="CX283" s="196"/>
      <c r="CY283" s="202"/>
      <c r="CZ283" s="201">
        <f>CZ284*CZ173/360</f>
        <v>1561.020717795016</v>
      </c>
      <c r="DA283" s="196"/>
      <c r="DB283" s="196"/>
      <c r="DC283" s="196"/>
      <c r="DD283" s="202"/>
      <c r="DE283" s="201">
        <f>DE284*DE173/360</f>
        <v>1634.2496790888829</v>
      </c>
      <c r="DF283" s="196"/>
      <c r="DG283" s="196"/>
      <c r="DH283" s="196"/>
      <c r="DI283" s="202"/>
      <c r="DJ283" s="201">
        <f>DJ284*DJ173/360</f>
        <v>1687.9557323857889</v>
      </c>
      <c r="DK283" s="217"/>
      <c r="DL283" s="1286"/>
      <c r="DM283" s="810"/>
      <c r="DN283" s="811"/>
      <c r="DO283" s="811"/>
      <c r="DP283" s="1115"/>
      <c r="DQ283" s="1053"/>
      <c r="DR283" s="1115"/>
      <c r="DS283" s="811"/>
      <c r="DT283" s="811"/>
      <c r="DU283" s="811"/>
      <c r="DV283" s="810"/>
      <c r="DW283" s="811"/>
      <c r="DX283" s="811"/>
      <c r="DY283" s="228"/>
      <c r="DZ283" s="216"/>
      <c r="EA283" s="216"/>
      <c r="EB283"/>
      <c r="EC283"/>
      <c r="ED283"/>
      <c r="EE283"/>
      <c r="EF283"/>
      <c r="EG283"/>
    </row>
    <row r="284" spans="1:137" s="660" customFormat="1">
      <c r="A284" s="651" t="s">
        <v>119</v>
      </c>
      <c r="B284" s="652">
        <f t="shared" ref="B284:G284" si="1080">(B283/B173)*360</f>
        <v>21.313417890520697</v>
      </c>
      <c r="C284" s="652">
        <f t="shared" si="1080"/>
        <v>14.935622317596568</v>
      </c>
      <c r="D284" s="652">
        <f t="shared" si="1080"/>
        <v>16.229879275653925</v>
      </c>
      <c r="E284" s="652">
        <f t="shared" si="1080"/>
        <v>17.490288802567132</v>
      </c>
      <c r="F284" s="652">
        <f t="shared" si="1080"/>
        <v>19.328729207535002</v>
      </c>
      <c r="G284" s="652">
        <f t="shared" si="1080"/>
        <v>20.180716809692075</v>
      </c>
      <c r="H284" s="653">
        <f>(H283/H173)*360/4</f>
        <v>20.367654986522911</v>
      </c>
      <c r="I284" s="653">
        <f>(I283/I173)*360/4</f>
        <v>18.05745939348418</v>
      </c>
      <c r="J284" s="653">
        <f>(J283/J173)*360/4</f>
        <v>15.931500675980171</v>
      </c>
      <c r="K284" s="653">
        <f>(K283/K173)*360/4</f>
        <v>17.956830550687204</v>
      </c>
      <c r="L284" s="652">
        <f>(L283/L173)*360</f>
        <v>18.601117959008171</v>
      </c>
      <c r="M284" s="653">
        <f>(M283/M173)*360/4</f>
        <v>17.183211459481118</v>
      </c>
      <c r="N284" s="653">
        <f>(N283/N173)*360/4</f>
        <v>16.248754416160885</v>
      </c>
      <c r="O284" s="653">
        <f>(O283/O173)*360/4</f>
        <v>17.273328921244207</v>
      </c>
      <c r="P284" s="653">
        <f>(P283/P173)*360/4</f>
        <v>16.412145167085878</v>
      </c>
      <c r="Q284" s="652">
        <f>(Q283/Q173)*360</f>
        <v>17.10233788116356</v>
      </c>
      <c r="R284" s="653">
        <f>(R283/R173)*360/4</f>
        <v>18.784343969921913</v>
      </c>
      <c r="S284" s="653">
        <f>(S283/S173)*360/4</f>
        <v>17.574060693641616</v>
      </c>
      <c r="T284" s="653">
        <f>(T283/T173)*360/4</f>
        <v>18.748955140707718</v>
      </c>
      <c r="U284" s="653">
        <f>(U283/U173)*360/4</f>
        <v>14.971728263541753</v>
      </c>
      <c r="V284" s="652">
        <f>(V283/V173)*360</f>
        <v>16.453900709219855</v>
      </c>
      <c r="W284" s="653">
        <f>(W283/W173)*360/4</f>
        <v>19.563703202089581</v>
      </c>
      <c r="X284" s="653">
        <f>(X283/X173)*360/4</f>
        <v>18.11968085106383</v>
      </c>
      <c r="Y284" s="653">
        <f>(Y283/Y173)*360/4</f>
        <v>18.661729701137265</v>
      </c>
      <c r="Z284" s="653">
        <f>(Z283/Z173)*360/4</f>
        <v>11.495964266123345</v>
      </c>
      <c r="AA284" s="652">
        <f>(AA283/AA173)*360</f>
        <v>12.834364952647581</v>
      </c>
      <c r="AB284" s="653">
        <f>(AB283/AB173)*360/4</f>
        <v>20.107284020327501</v>
      </c>
      <c r="AC284" s="653">
        <f>(AC283/AC173)*360/4</f>
        <v>17.301394784718013</v>
      </c>
      <c r="AD284" s="653">
        <f>(AD283/AD173)*360/4</f>
        <v>17.288555161316939</v>
      </c>
      <c r="AE284" s="653">
        <f>(AE283/AE173)*360/4</f>
        <v>16.723446073212678</v>
      </c>
      <c r="AF284" s="652">
        <f>(AF283/AF173)*360</f>
        <v>17.56682939418052</v>
      </c>
      <c r="AG284" s="653">
        <f>(AG283/AG173)*360/4</f>
        <v>18.999380146993712</v>
      </c>
      <c r="AH284" s="653">
        <f>(AH283/AH173)*360/4</f>
        <v>17.809747504403994</v>
      </c>
      <c r="AI284" s="653">
        <f>(AI283/AI173)*360/4</f>
        <v>16.56078860898138</v>
      </c>
      <c r="AJ284" s="653">
        <f>(AJ283/AJ173)*360/4</f>
        <v>15.159930572774609</v>
      </c>
      <c r="AK284" s="652">
        <f>(AK283/AK173)*360</f>
        <v>15.549997880547666</v>
      </c>
      <c r="AL284" s="653">
        <f>(AL283/AL173)*360/4</f>
        <v>17.260162601626014</v>
      </c>
      <c r="AM284" s="653">
        <f>(AM283/AM173)*360/4</f>
        <v>16.125525946704066</v>
      </c>
      <c r="AN284" s="653">
        <f>(AN283/AN173)*360/4</f>
        <v>15.292147704239007</v>
      </c>
      <c r="AO284" s="653">
        <f>(AO283/AO173)*360/4</f>
        <v>10.9017601664788</v>
      </c>
      <c r="AP284" s="652">
        <f>(AP283/AP173)*360</f>
        <v>11.087790466951805</v>
      </c>
      <c r="AQ284" s="653">
        <f>(AQ283/AQ173)*360/4</f>
        <v>16.411267605633803</v>
      </c>
      <c r="AR284" s="653">
        <f>(AR283/AR173)*360/4</f>
        <v>15.570493543251372</v>
      </c>
      <c r="AS284" s="653">
        <f>(AS283/AS173)*360/4</f>
        <v>16.195789094835344</v>
      </c>
      <c r="AT284" s="653">
        <f>(AT283/AT173)*360/4</f>
        <v>11.276935355147646</v>
      </c>
      <c r="AU284" s="652">
        <f>(AU283/AU173)*360</f>
        <v>12.394736842105264</v>
      </c>
      <c r="AV284" s="653">
        <f>(AV283/AV173)*360/4</f>
        <v>17.312827613490256</v>
      </c>
      <c r="AW284" s="653">
        <f>(AW283/AW173)*360/4</f>
        <v>15.583612471012625</v>
      </c>
      <c r="AX284" s="653">
        <f>(AX283/AX173)*360/4</f>
        <v>17.393770177122413</v>
      </c>
      <c r="AY284" s="653">
        <f>(AY283/AY173)*360/4</f>
        <v>13.753967639544786</v>
      </c>
      <c r="AZ284" s="652">
        <f>(AZ283/AZ173)*360</f>
        <v>15.404491459290732</v>
      </c>
      <c r="BA284" s="652"/>
      <c r="BB284" s="653">
        <f>(BB283/BB173)*360/4</f>
        <v>16.411267605633803</v>
      </c>
      <c r="BC284" s="653">
        <f>(BC283/BC173)*360/4</f>
        <v>15.570493543251372</v>
      </c>
      <c r="BD284" s="653">
        <f>(BD283/BD173)*360/4</f>
        <v>16.195789094835344</v>
      </c>
      <c r="BE284" s="653">
        <f>(BE283/BE173)*360/4</f>
        <v>11.276935355147646</v>
      </c>
      <c r="BF284" s="652">
        <f>(BF283/BF173)*360</f>
        <v>12.331578947368421</v>
      </c>
      <c r="BG284" s="653">
        <f>(BG283/BG173)*360/4</f>
        <v>17.312827613490256</v>
      </c>
      <c r="BH284" s="653">
        <f>(BH283/BH173)*360/4</f>
        <v>15.583612471012625</v>
      </c>
      <c r="BI284" s="653">
        <f>(BI283/BI173)*360/4</f>
        <v>17.393770177122413</v>
      </c>
      <c r="BJ284" s="653">
        <f>(BJ283/BJ173)*360/4</f>
        <v>13.753967639544786</v>
      </c>
      <c r="BK284" s="652">
        <f>(BK283/BK173)*360</f>
        <v>15.404491459290732</v>
      </c>
      <c r="BL284" s="653">
        <f>(BL283/BL173)*360/4</f>
        <v>20.881045975046998</v>
      </c>
      <c r="BM284" s="653">
        <f>(BM283/BM173)*360/4</f>
        <v>19.360384079293791</v>
      </c>
      <c r="BN284" s="653"/>
      <c r="BO284" s="653"/>
      <c r="BP284" s="652"/>
      <c r="BQ284" s="652"/>
      <c r="BR284" s="653"/>
      <c r="BS284" s="653"/>
      <c r="BT284" s="653"/>
      <c r="BU284" s="653">
        <f>(BU283/BU173)*360/4</f>
        <v>13.6328125</v>
      </c>
      <c r="BV284" s="652">
        <f>(BV283/BV173)*360</f>
        <v>15.49733570159858</v>
      </c>
      <c r="BW284" s="653">
        <f>(BW283/BW173)*360/4</f>
        <v>23.567708333333332</v>
      </c>
      <c r="BX284" s="653">
        <f>(BX283/BX173)*360/4</f>
        <v>21.596268463332471</v>
      </c>
      <c r="BY284" s="653">
        <f>(BY283/BY173)*360/4</f>
        <v>22.127954289671891</v>
      </c>
      <c r="BZ284" s="653">
        <f>(BZ283/BZ173)*360/4</f>
        <v>10.81806282722513</v>
      </c>
      <c r="CA284" s="652">
        <f>(CA283/CA173)*360</f>
        <v>12.594818828310194</v>
      </c>
      <c r="CB284" s="653">
        <f>(CB283/CB173)*360/4</f>
        <v>22.123541647824908</v>
      </c>
      <c r="CC284" s="1076">
        <f>(CC283/CC173)*360/4</f>
        <v>18.120614899487585</v>
      </c>
      <c r="CD284" s="1076">
        <f>(CD283/CD173)*360/4</f>
        <v>21.063357712219574</v>
      </c>
      <c r="CE284" s="653">
        <f>(CE283/CE173)*360/4</f>
        <v>8.722335997885974</v>
      </c>
      <c r="CF284" s="652">
        <f>(CF283/CF173)*360</f>
        <v>10.345557122708041</v>
      </c>
      <c r="CG284" s="653"/>
      <c r="CH284" s="653"/>
      <c r="CI284" s="653"/>
      <c r="CJ284" s="653"/>
      <c r="CK284" s="652">
        <f>(CK283/CK173)*360</f>
        <v>12.575655114116651</v>
      </c>
      <c r="CL284" s="653"/>
      <c r="CM284" s="1076"/>
      <c r="CN284" s="1076"/>
      <c r="CO284" s="653"/>
      <c r="CP284" s="652">
        <f>(CP283/CP173)*360</f>
        <v>10.567472386745639</v>
      </c>
      <c r="CQ284" s="654">
        <f>CB284</f>
        <v>22.123541647824908</v>
      </c>
      <c r="CR284" s="654">
        <f t="shared" ref="CR284:CT284" si="1081">CC284</f>
        <v>18.120614899487585</v>
      </c>
      <c r="CS284" s="654">
        <f t="shared" si="1081"/>
        <v>21.063357712219574</v>
      </c>
      <c r="CT284" s="655">
        <f t="shared" si="1081"/>
        <v>8.722335997885974</v>
      </c>
      <c r="CU284" s="652">
        <f>(CU283/CU173)*360</f>
        <v>10.30357819633314</v>
      </c>
      <c r="CV284" s="654"/>
      <c r="CW284" s="654"/>
      <c r="CX284" s="654"/>
      <c r="CY284" s="655"/>
      <c r="CZ284" s="656">
        <f>CU284</f>
        <v>10.30357819633314</v>
      </c>
      <c r="DA284" s="654"/>
      <c r="DB284" s="654"/>
      <c r="DC284" s="654"/>
      <c r="DD284" s="655"/>
      <c r="DE284" s="656">
        <f>CZ284</f>
        <v>10.30357819633314</v>
      </c>
      <c r="DF284" s="654"/>
      <c r="DG284" s="654"/>
      <c r="DH284" s="654"/>
      <c r="DI284" s="655"/>
      <c r="DJ284" s="656">
        <f>DE284</f>
        <v>10.30357819633314</v>
      </c>
      <c r="DK284" s="657"/>
      <c r="DL284" s="1294"/>
      <c r="DM284" s="1117"/>
      <c r="DN284" s="1117"/>
      <c r="DO284" s="1117"/>
      <c r="DP284" s="1118"/>
      <c r="DQ284" s="1053"/>
      <c r="DR284" s="1118"/>
      <c r="DS284" s="1119"/>
      <c r="DT284" s="1117"/>
      <c r="DU284" s="1117"/>
      <c r="DV284" s="1117"/>
      <c r="DW284" s="1117"/>
      <c r="DX284" s="1117"/>
      <c r="DY284" s="658"/>
      <c r="DZ284" s="659"/>
      <c r="EA284" s="659"/>
      <c r="EB284"/>
      <c r="EC284"/>
      <c r="ED284"/>
      <c r="EE284"/>
      <c r="EF284"/>
      <c r="EG284"/>
    </row>
    <row r="285" spans="1:137" s="224" customFormat="1">
      <c r="A285" s="213" t="s">
        <v>30</v>
      </c>
      <c r="B285" s="122">
        <v>5002</v>
      </c>
      <c r="C285" s="122">
        <v>4542</v>
      </c>
      <c r="D285" s="122">
        <v>4256</v>
      </c>
      <c r="E285" s="122">
        <v>4028</v>
      </c>
      <c r="F285" s="122">
        <v>4331</v>
      </c>
      <c r="G285" s="122">
        <v>3856</v>
      </c>
      <c r="H285" s="124">
        <v>4056</v>
      </c>
      <c r="I285" s="123">
        <v>4580</v>
      </c>
      <c r="J285" s="123">
        <v>4272</v>
      </c>
      <c r="K285" s="124">
        <v>4254</v>
      </c>
      <c r="L285" s="122">
        <f>K285</f>
        <v>4254</v>
      </c>
      <c r="M285" s="123">
        <v>4258</v>
      </c>
      <c r="N285" s="123">
        <v>4208</v>
      </c>
      <c r="O285" s="123">
        <v>4313</v>
      </c>
      <c r="P285" s="124">
        <v>4535</v>
      </c>
      <c r="Q285" s="122">
        <f>P285</f>
        <v>4535</v>
      </c>
      <c r="R285" s="123">
        <v>4902</v>
      </c>
      <c r="S285" s="123">
        <v>4795</v>
      </c>
      <c r="T285" s="124">
        <v>4934</v>
      </c>
      <c r="U285" s="124">
        <v>5049</v>
      </c>
      <c r="V285" s="122">
        <f>U285</f>
        <v>5049</v>
      </c>
      <c r="W285" s="123">
        <v>5274</v>
      </c>
      <c r="X285" s="123">
        <v>5180</v>
      </c>
      <c r="Y285" s="124">
        <v>5060</v>
      </c>
      <c r="Z285" s="124">
        <v>5719</v>
      </c>
      <c r="AA285" s="122">
        <f>Z285</f>
        <v>5719</v>
      </c>
      <c r="AB285" s="123">
        <v>5844</v>
      </c>
      <c r="AC285" s="123">
        <v>6037</v>
      </c>
      <c r="AD285" s="124">
        <v>5544</v>
      </c>
      <c r="AE285" s="121">
        <v>6399</v>
      </c>
      <c r="AF285" s="122">
        <f>AE285</f>
        <v>6399</v>
      </c>
      <c r="AG285" s="124">
        <v>6148</v>
      </c>
      <c r="AH285" s="123">
        <v>6287</v>
      </c>
      <c r="AI285" s="123">
        <v>6396</v>
      </c>
      <c r="AJ285" s="121">
        <v>6503</v>
      </c>
      <c r="AK285" s="122">
        <f>AJ285</f>
        <v>6503</v>
      </c>
      <c r="AL285" s="124">
        <v>6406</v>
      </c>
      <c r="AM285" s="124">
        <v>6383</v>
      </c>
      <c r="AN285" s="124">
        <v>6350</v>
      </c>
      <c r="AO285" s="118">
        <v>6349</v>
      </c>
      <c r="AP285" s="122">
        <f>AO285</f>
        <v>6349</v>
      </c>
      <c r="AQ285" s="126">
        <v>6197</v>
      </c>
      <c r="AR285" s="124">
        <v>6199</v>
      </c>
      <c r="AS285" s="124">
        <v>5904</v>
      </c>
      <c r="AT285" s="127">
        <v>5790</v>
      </c>
      <c r="AU285" s="122">
        <f>+AT285</f>
        <v>5790</v>
      </c>
      <c r="AV285" s="124">
        <v>5548</v>
      </c>
      <c r="AW285" s="124">
        <v>5549</v>
      </c>
      <c r="AX285" s="124">
        <v>5339</v>
      </c>
      <c r="AY285" s="127">
        <v>6988</v>
      </c>
      <c r="AZ285" s="122">
        <f>+AY285</f>
        <v>6988</v>
      </c>
      <c r="BA285" s="122"/>
      <c r="BB285" s="126">
        <v>6197</v>
      </c>
      <c r="BC285" s="124">
        <v>6199</v>
      </c>
      <c r="BD285" s="124">
        <v>5904</v>
      </c>
      <c r="BE285" s="127">
        <v>5790</v>
      </c>
      <c r="BF285" s="122">
        <v>5775</v>
      </c>
      <c r="BG285" s="124">
        <v>5548</v>
      </c>
      <c r="BH285" s="124">
        <v>5549</v>
      </c>
      <c r="BI285" s="124">
        <v>5339</v>
      </c>
      <c r="BJ285" s="127">
        <v>6988</v>
      </c>
      <c r="BK285" s="122">
        <f>+BJ285</f>
        <v>6988</v>
      </c>
      <c r="BL285" s="124">
        <v>6856</v>
      </c>
      <c r="BM285" s="124">
        <v>7236</v>
      </c>
      <c r="BN285" s="124"/>
      <c r="BO285" s="127"/>
      <c r="BP285" s="122"/>
      <c r="BQ285" s="122"/>
      <c r="BR285" s="124"/>
      <c r="BS285" s="124"/>
      <c r="BT285" s="124"/>
      <c r="BU285" s="127">
        <v>6703</v>
      </c>
      <c r="BV285" s="122">
        <f>+BU285</f>
        <v>6703</v>
      </c>
      <c r="BW285" s="124">
        <v>6856</v>
      </c>
      <c r="BX285" s="124">
        <v>7236</v>
      </c>
      <c r="BY285" s="124">
        <v>6830</v>
      </c>
      <c r="BZ285" s="1018">
        <v>6776</v>
      </c>
      <c r="CA285" s="122">
        <f>+BZ285</f>
        <v>6776</v>
      </c>
      <c r="CB285" s="124">
        <v>6572</v>
      </c>
      <c r="CC285" s="803">
        <v>6460</v>
      </c>
      <c r="CD285" s="124">
        <v>6195</v>
      </c>
      <c r="CE285" s="1018">
        <v>6752</v>
      </c>
      <c r="CF285" s="127">
        <f>+CE285</f>
        <v>6752</v>
      </c>
      <c r="CG285" s="124"/>
      <c r="CH285" s="124"/>
      <c r="CI285" s="124"/>
      <c r="CJ285" s="1018"/>
      <c r="CK285" s="122">
        <v>6776</v>
      </c>
      <c r="CL285" s="124"/>
      <c r="CM285" s="803"/>
      <c r="CN285" s="124"/>
      <c r="CO285" s="1018"/>
      <c r="CP285" s="127">
        <f>+CF285</f>
        <v>6752</v>
      </c>
      <c r="CQ285" s="124">
        <f>CQ286/360*4*CQ55</f>
        <v>6597.5581079858912</v>
      </c>
      <c r="CR285" s="124">
        <f>CR286/360*4*CR55</f>
        <v>6544.0283799763502</v>
      </c>
      <c r="CS285" s="124">
        <f>CS286/360*4*CS55</f>
        <v>6210.7814939600621</v>
      </c>
      <c r="CT285" s="127">
        <f>CT286/360*4*CT55</f>
        <v>6757.7987712228314</v>
      </c>
      <c r="CU285" s="127">
        <f>+CT285</f>
        <v>6757.7987712228314</v>
      </c>
      <c r="CV285" s="124"/>
      <c r="CW285" s="124"/>
      <c r="CX285" s="124"/>
      <c r="CY285" s="127"/>
      <c r="CZ285" s="127">
        <f>CZ286/360*4*CZ55/4</f>
        <v>7184.7388456386825</v>
      </c>
      <c r="DA285" s="124"/>
      <c r="DB285" s="124"/>
      <c r="DC285" s="124"/>
      <c r="DD285" s="127"/>
      <c r="DE285" s="127">
        <f>DE286/360*4*DE55/4</f>
        <v>7521.7817540614433</v>
      </c>
      <c r="DF285" s="124"/>
      <c r="DG285" s="124"/>
      <c r="DH285" s="124"/>
      <c r="DI285" s="127"/>
      <c r="DJ285" s="127">
        <f>DJ286/360*4*DJ55/4</f>
        <v>7768.9687151116877</v>
      </c>
      <c r="DK285" s="217"/>
      <c r="DL285" s="1286"/>
      <c r="DM285" s="810"/>
      <c r="DN285" s="810"/>
      <c r="DO285" s="810"/>
      <c r="DP285" s="1053"/>
      <c r="DQ285" s="1053"/>
      <c r="DR285" s="1053"/>
      <c r="DS285" s="810"/>
      <c r="DT285" s="810"/>
      <c r="DU285" s="810"/>
      <c r="DV285" s="810"/>
      <c r="DW285" s="810"/>
      <c r="DX285" s="810"/>
      <c r="DY285" s="228"/>
      <c r="DZ285" s="216"/>
      <c r="EA285" s="216"/>
      <c r="EB285"/>
      <c r="EC285"/>
      <c r="ED285"/>
      <c r="EE285"/>
      <c r="EF285"/>
      <c r="EG285"/>
    </row>
    <row r="286" spans="1:137" s="666" customFormat="1">
      <c r="A286" s="661" t="s">
        <v>120</v>
      </c>
      <c r="B286" s="662">
        <f t="shared" ref="B286:G286" si="1082">B285/B55*360</f>
        <v>75.130173564753008</v>
      </c>
      <c r="C286" s="662">
        <f t="shared" si="1082"/>
        <v>61.558617573977855</v>
      </c>
      <c r="D286" s="662">
        <f t="shared" si="1082"/>
        <v>48.16901408450704</v>
      </c>
      <c r="E286" s="662">
        <f t="shared" si="1082"/>
        <v>40.817429488262121</v>
      </c>
      <c r="F286" s="662">
        <f t="shared" si="1082"/>
        <v>41.898261360277324</v>
      </c>
      <c r="G286" s="819">
        <f t="shared" si="1082"/>
        <v>35.036850075719336</v>
      </c>
      <c r="H286" s="820">
        <f>H285/H55*360/4</f>
        <v>39.357412398921831</v>
      </c>
      <c r="I286" s="820">
        <f>I285/I55*360/4</f>
        <v>38.700591493756455</v>
      </c>
      <c r="J286" s="820">
        <f>J285/J55*360/4</f>
        <v>34.653447498873369</v>
      </c>
      <c r="K286" s="820">
        <f>K285/K55*360/4</f>
        <v>35.315930264735726</v>
      </c>
      <c r="L286" s="819">
        <f>L285/L55*360</f>
        <v>36.583058621183895</v>
      </c>
      <c r="M286" s="820">
        <f>M285/M55*360/4</f>
        <v>38.387258339176597</v>
      </c>
      <c r="N286" s="820">
        <f>N285/N55*360/4</f>
        <v>34.307455385451583</v>
      </c>
      <c r="O286" s="820">
        <f>O285/O55*360/4</f>
        <v>36.699442185875014</v>
      </c>
      <c r="P286" s="820">
        <f>P285/P55*360/4</f>
        <v>36.664570607258355</v>
      </c>
      <c r="Q286" s="819">
        <f>Q285/Q55*360</f>
        <v>38.206454330579675</v>
      </c>
      <c r="R286" s="820">
        <f>R285/R55*360/4</f>
        <v>42.531572351296631</v>
      </c>
      <c r="S286" s="820">
        <f>S285/S55*360/4</f>
        <v>38.976697976878611</v>
      </c>
      <c r="T286" s="820">
        <f>T285/T55*360/4</f>
        <v>41.242685984954029</v>
      </c>
      <c r="U286" s="820">
        <f>U285/U55*360/4</f>
        <v>37.237564533311478</v>
      </c>
      <c r="V286" s="819">
        <f>V285/V55*360</f>
        <v>40.924012158054708</v>
      </c>
      <c r="W286" s="820">
        <f>W285/W55*360/4</f>
        <v>45.918545032407856</v>
      </c>
      <c r="X286" s="820">
        <f>X285/X55*360/4</f>
        <v>41.329787234042556</v>
      </c>
      <c r="Y286" s="820">
        <f>Y285/Y55*360/4</f>
        <v>40.148108965882038</v>
      </c>
      <c r="Z286" s="820">
        <f>Z285/Z55*360/4</f>
        <v>40.33461327482172</v>
      </c>
      <c r="AA286" s="819">
        <f>AA285/AA55*360</f>
        <v>45.030511143675774</v>
      </c>
      <c r="AB286" s="820">
        <f>AB285/AB55*360/4</f>
        <v>49.497459062676455</v>
      </c>
      <c r="AC286" s="820">
        <f>AC285/AC55*360/4</f>
        <v>47.070085766265272</v>
      </c>
      <c r="AD286" s="820">
        <f>AD285/AD55*360/4</f>
        <v>41.171713837775393</v>
      </c>
      <c r="AE286" s="820">
        <f>AE285/AE55*360/4</f>
        <v>47.16321349602817</v>
      </c>
      <c r="AF286" s="819">
        <f>AF285/AF55*360</f>
        <v>49.541710574420954</v>
      </c>
      <c r="AG286" s="820">
        <f>AG285/AG55*360/4</f>
        <v>48.996723634109621</v>
      </c>
      <c r="AH286" s="820">
        <f>AH285/AH55*360/4</f>
        <v>47.464977770321283</v>
      </c>
      <c r="AI286" s="820">
        <f>AI285/AI55*360/4</f>
        <v>48.499452354874037</v>
      </c>
      <c r="AJ286" s="820">
        <f>AJ285/AJ55*360/4</f>
        <v>48.373419290850485</v>
      </c>
      <c r="AK286" s="819">
        <f>AK285/AK55*360</f>
        <v>49.618074689500233</v>
      </c>
      <c r="AL286" s="820">
        <f>AL285/AL55*360/4</f>
        <v>52.081300813008127</v>
      </c>
      <c r="AM286" s="820">
        <f>AM285/AM55*360/4</f>
        <v>50.356767180925665</v>
      </c>
      <c r="AN286" s="820">
        <f>AN285/AN55*360/4</f>
        <v>50.365735436679302</v>
      </c>
      <c r="AO286" s="820">
        <f>AO285/AO55*360/4</f>
        <v>49.545651608427995</v>
      </c>
      <c r="AP286" s="819">
        <f>AP285/AP55*360</f>
        <v>50.391110719167507</v>
      </c>
      <c r="AQ286" s="820">
        <f>AQ285/AQ55*360/4</f>
        <v>52.369014084507043</v>
      </c>
      <c r="AR286" s="820">
        <f>AR285/AR55*360/4</f>
        <v>49.346364762073243</v>
      </c>
      <c r="AS286" s="820">
        <f>AS285/AS55*360/4</f>
        <v>47.809969407953929</v>
      </c>
      <c r="AT286" s="820">
        <f>AT285/AT55*360/4</f>
        <v>41.588188347964881</v>
      </c>
      <c r="AU286" s="819">
        <f>AU285/AU55*360</f>
        <v>45.710526315789473</v>
      </c>
      <c r="AV286" s="820">
        <f>AV285/AV55*360/4</f>
        <v>49.383839382850361</v>
      </c>
      <c r="AW286" s="820">
        <f>AW285/AW55*360/4</f>
        <v>42.893584127802114</v>
      </c>
      <c r="AX286" s="820">
        <f>AX285/AX55*360/4</f>
        <v>41.925660937091003</v>
      </c>
      <c r="AY286" s="820">
        <f>AY285/AY55*360/4</f>
        <v>48.689324146473638</v>
      </c>
      <c r="AZ286" s="819">
        <f>AZ285/AZ55*360</f>
        <v>54.532211913639124</v>
      </c>
      <c r="BA286" s="819"/>
      <c r="BB286" s="820">
        <f>BB285/BB55*360/4</f>
        <v>52.369014084507043</v>
      </c>
      <c r="BC286" s="820">
        <f>BC285/BC55*360/4</f>
        <v>49.346364762073243</v>
      </c>
      <c r="BD286" s="820">
        <f>BD285/BD55*360/4</f>
        <v>47.809969407953929</v>
      </c>
      <c r="BE286" s="820">
        <f>BE285/BE55*360/4</f>
        <v>41.588188347964881</v>
      </c>
      <c r="BF286" s="819">
        <f>BF285/BF55*360</f>
        <v>45.59210526315789</v>
      </c>
      <c r="BG286" s="820">
        <f>BG285/BG55*360/4</f>
        <v>49.383839382850361</v>
      </c>
      <c r="BH286" s="820">
        <f>BH285/BH55*360/4</f>
        <v>42.893584127802114</v>
      </c>
      <c r="BI286" s="820">
        <f>BI285/BI55*360/4</f>
        <v>41.925660937091003</v>
      </c>
      <c r="BJ286" s="820">
        <f>BJ285/BJ55*360/4</f>
        <v>48.689324146473638</v>
      </c>
      <c r="BK286" s="819">
        <f>BK285/BK55*360</f>
        <v>54.532211913639124</v>
      </c>
      <c r="BL286" s="820">
        <f>BL285/BL55*360/4</f>
        <v>52.729447957614084</v>
      </c>
      <c r="BM286" s="820">
        <f>BM285/BM55*360/4</f>
        <v>50.428991791853804</v>
      </c>
      <c r="BN286" s="820"/>
      <c r="BO286" s="820"/>
      <c r="BP286" s="819"/>
      <c r="BQ286" s="819"/>
      <c r="BR286" s="820"/>
      <c r="BS286" s="820"/>
      <c r="BT286" s="820"/>
      <c r="BU286" s="820">
        <f>BU285/BU55*360/4</f>
        <v>52.3671875</v>
      </c>
      <c r="BV286" s="819">
        <f>BV285/BV55*360</f>
        <v>59.52930728241563</v>
      </c>
      <c r="BW286" s="820">
        <f>BW285/BW55*360/4</f>
        <v>59.513888888888886</v>
      </c>
      <c r="BX286" s="820">
        <f>BX285/BX55*360/4</f>
        <v>56.252915263021507</v>
      </c>
      <c r="BY286" s="820">
        <f>BY285/BY55*360/4</f>
        <v>53.216171760020771</v>
      </c>
      <c r="BZ286" s="820">
        <f>BZ285/BZ55*360/4</f>
        <v>44.345549738219894</v>
      </c>
      <c r="CA286" s="819">
        <f>CA285/CA55*360</f>
        <v>51.628852014900097</v>
      </c>
      <c r="CB286" s="820">
        <f>CB285/CB55*360/4</f>
        <v>53.493714389074789</v>
      </c>
      <c r="CC286" s="1077">
        <f>CC285/CC55*360/4</f>
        <v>45.833661805281828</v>
      </c>
      <c r="CD286" s="1077">
        <f>CD285/CD55*360/4</f>
        <v>45.817240529213571</v>
      </c>
      <c r="CE286" s="820">
        <f>CE285/CE55*360/4</f>
        <v>40.145339234987119</v>
      </c>
      <c r="CF286" s="819">
        <f>CF285/CF55*360</f>
        <v>47.616361071932296</v>
      </c>
      <c r="CG286" s="820"/>
      <c r="CH286" s="820"/>
      <c r="CI286" s="820"/>
      <c r="CJ286" s="820"/>
      <c r="CK286" s="819">
        <f>CK285/CK55*360</f>
        <v>51.550295857988161</v>
      </c>
      <c r="CL286" s="820"/>
      <c r="CM286" s="1077"/>
      <c r="CN286" s="1077"/>
      <c r="CO286" s="820"/>
      <c r="CP286" s="819">
        <f>CP285/CP55*360</f>
        <v>48.637746118136711</v>
      </c>
      <c r="CQ286" s="821">
        <f>CB286</f>
        <v>53.493714389074789</v>
      </c>
      <c r="CR286" s="821">
        <f t="shared" ref="CR286:CT286" si="1083">CC286</f>
        <v>45.833661805281828</v>
      </c>
      <c r="CS286" s="821">
        <f t="shared" si="1083"/>
        <v>45.817240529213571</v>
      </c>
      <c r="CT286" s="822">
        <f t="shared" si="1083"/>
        <v>40.145339234987119</v>
      </c>
      <c r="CU286" s="819">
        <f>CU285/CU55*360</f>
        <v>47.423149271739163</v>
      </c>
      <c r="CV286" s="821"/>
      <c r="CW286" s="821"/>
      <c r="CX286" s="821"/>
      <c r="CY286" s="822"/>
      <c r="CZ286" s="823">
        <f>CU286</f>
        <v>47.423149271739163</v>
      </c>
      <c r="DA286" s="821"/>
      <c r="DB286" s="821"/>
      <c r="DC286" s="821"/>
      <c r="DD286" s="822"/>
      <c r="DE286" s="823">
        <f>CZ286</f>
        <v>47.423149271739163</v>
      </c>
      <c r="DF286" s="821"/>
      <c r="DG286" s="821"/>
      <c r="DH286" s="821"/>
      <c r="DI286" s="822"/>
      <c r="DJ286" s="823">
        <f>DE286</f>
        <v>47.423149271739163</v>
      </c>
      <c r="DK286" s="663"/>
      <c r="DL286" s="1295"/>
      <c r="DM286" s="842"/>
      <c r="DN286" s="842"/>
      <c r="DO286" s="842"/>
      <c r="DP286" s="1120"/>
      <c r="DQ286" s="1053"/>
      <c r="DR286" s="1120"/>
      <c r="DS286" s="842"/>
      <c r="DT286" s="842"/>
      <c r="DU286" s="842"/>
      <c r="DV286" s="842"/>
      <c r="DW286" s="842"/>
      <c r="DX286" s="842"/>
      <c r="DY286" s="664"/>
      <c r="DZ286" s="665"/>
      <c r="EA286" s="665"/>
      <c r="EB286"/>
      <c r="EC286"/>
      <c r="ED286"/>
      <c r="EE286"/>
      <c r="EF286"/>
      <c r="EG286"/>
    </row>
    <row r="287" spans="1:137" s="224" customFormat="1">
      <c r="A287" s="128" t="s">
        <v>265</v>
      </c>
      <c r="B287" s="119">
        <v>89</v>
      </c>
      <c r="C287" s="119">
        <v>1365</v>
      </c>
      <c r="D287" s="119">
        <v>136</v>
      </c>
      <c r="E287" s="119">
        <v>15</v>
      </c>
      <c r="F287" s="119">
        <v>202</v>
      </c>
      <c r="G287" s="119">
        <v>34</v>
      </c>
      <c r="H287" s="124">
        <v>17</v>
      </c>
      <c r="I287" s="125">
        <v>105</v>
      </c>
      <c r="J287" s="125">
        <v>104</v>
      </c>
      <c r="K287" s="121">
        <v>104</v>
      </c>
      <c r="L287" s="119">
        <f>K287</f>
        <v>104</v>
      </c>
      <c r="M287" s="125">
        <v>104</v>
      </c>
      <c r="N287" s="125">
        <v>1001</v>
      </c>
      <c r="O287" s="125">
        <v>1</v>
      </c>
      <c r="P287" s="121">
        <v>242</v>
      </c>
      <c r="Q287" s="119">
        <f>P287</f>
        <v>242</v>
      </c>
      <c r="R287" s="125">
        <v>242</v>
      </c>
      <c r="S287" s="125">
        <v>242</v>
      </c>
      <c r="T287" s="124">
        <v>242</v>
      </c>
      <c r="U287" s="124">
        <v>0</v>
      </c>
      <c r="V287" s="122">
        <f>U287</f>
        <v>0</v>
      </c>
      <c r="W287" s="125">
        <v>0</v>
      </c>
      <c r="X287" s="125">
        <v>0</v>
      </c>
      <c r="Y287" s="124">
        <v>0</v>
      </c>
      <c r="Z287" s="124">
        <v>0</v>
      </c>
      <c r="AA287" s="122">
        <f>Z287</f>
        <v>0</v>
      </c>
      <c r="AB287" s="125">
        <v>0</v>
      </c>
      <c r="AC287" s="125">
        <v>0</v>
      </c>
      <c r="AD287" s="125">
        <v>500</v>
      </c>
      <c r="AE287" s="124">
        <v>0</v>
      </c>
      <c r="AF287" s="122">
        <f>AE287</f>
        <v>0</v>
      </c>
      <c r="AG287" s="124">
        <v>0</v>
      </c>
      <c r="AH287" s="123">
        <v>150</v>
      </c>
      <c r="AI287" s="123">
        <v>150</v>
      </c>
      <c r="AJ287" s="124">
        <v>150</v>
      </c>
      <c r="AK287" s="122">
        <f>AJ287</f>
        <v>150</v>
      </c>
      <c r="AL287" s="123">
        <v>150</v>
      </c>
      <c r="AM287" s="123">
        <v>0</v>
      </c>
      <c r="AN287" s="123">
        <v>0</v>
      </c>
      <c r="AO287" s="213">
        <v>0</v>
      </c>
      <c r="AP287" s="122">
        <f>+AO287</f>
        <v>0</v>
      </c>
      <c r="AQ287" s="743">
        <v>0</v>
      </c>
      <c r="AR287" s="803">
        <f>AQ287</f>
        <v>0</v>
      </c>
      <c r="AS287" s="803">
        <f>AR287</f>
        <v>0</v>
      </c>
      <c r="AT287" s="855">
        <v>0</v>
      </c>
      <c r="AU287" s="122">
        <f>+AT287</f>
        <v>0</v>
      </c>
      <c r="AV287" s="124">
        <v>0</v>
      </c>
      <c r="AW287" s="124">
        <v>0</v>
      </c>
      <c r="AX287" s="124">
        <v>952</v>
      </c>
      <c r="AY287" s="127">
        <v>956</v>
      </c>
      <c r="AZ287" s="122">
        <f>AY287</f>
        <v>956</v>
      </c>
      <c r="BA287" s="122"/>
      <c r="BB287" s="743">
        <v>0</v>
      </c>
      <c r="BC287" s="803">
        <f>BB287</f>
        <v>0</v>
      </c>
      <c r="BD287" s="803">
        <f>BC287</f>
        <v>0</v>
      </c>
      <c r="BE287" s="855">
        <v>0</v>
      </c>
      <c r="BF287" s="122">
        <v>0</v>
      </c>
      <c r="BG287" s="124">
        <v>0</v>
      </c>
      <c r="BH287" s="124">
        <v>0</v>
      </c>
      <c r="BI287" s="124">
        <v>952</v>
      </c>
      <c r="BJ287" s="127">
        <v>956</v>
      </c>
      <c r="BK287" s="122">
        <f>+BJ287</f>
        <v>956</v>
      </c>
      <c r="BL287" s="124">
        <v>956</v>
      </c>
      <c r="BM287" s="124">
        <v>502</v>
      </c>
      <c r="BN287" s="124"/>
      <c r="BO287" s="127"/>
      <c r="BP287" s="122"/>
      <c r="BQ287" s="122"/>
      <c r="BR287" s="124"/>
      <c r="BS287" s="124"/>
      <c r="BT287" s="124"/>
      <c r="BU287" s="127">
        <v>956</v>
      </c>
      <c r="BV287" s="122">
        <f>+BU287</f>
        <v>956</v>
      </c>
      <c r="BW287" s="124">
        <v>956</v>
      </c>
      <c r="BX287" s="124">
        <v>502</v>
      </c>
      <c r="BY287" s="124">
        <v>0</v>
      </c>
      <c r="BZ287" s="127">
        <v>0</v>
      </c>
      <c r="CA287" s="122">
        <f>BZ287</f>
        <v>0</v>
      </c>
      <c r="CB287" s="124">
        <v>0</v>
      </c>
      <c r="CC287" s="803">
        <v>0</v>
      </c>
      <c r="CD287" s="803">
        <v>0</v>
      </c>
      <c r="CE287" s="855">
        <v>750</v>
      </c>
      <c r="CF287" s="122">
        <f>CE287</f>
        <v>750</v>
      </c>
      <c r="CG287" s="124"/>
      <c r="CH287" s="124"/>
      <c r="CI287" s="124"/>
      <c r="CJ287" s="127"/>
      <c r="CK287" s="122">
        <v>0</v>
      </c>
      <c r="CL287" s="124"/>
      <c r="CM287" s="803"/>
      <c r="CN287" s="803"/>
      <c r="CO287" s="855"/>
      <c r="CP287" s="122">
        <f>CF287</f>
        <v>750</v>
      </c>
      <c r="CQ287" s="124">
        <v>750</v>
      </c>
      <c r="CR287" s="124">
        <v>750</v>
      </c>
      <c r="CS287" s="124">
        <v>750</v>
      </c>
      <c r="CT287" s="1018">
        <v>0</v>
      </c>
      <c r="CU287" s="122">
        <f>CT287</f>
        <v>0</v>
      </c>
      <c r="CV287" s="124"/>
      <c r="CW287" s="124"/>
      <c r="CX287" s="124"/>
      <c r="CY287" s="127"/>
      <c r="CZ287" s="122">
        <f>CU287</f>
        <v>0</v>
      </c>
      <c r="DA287" s="124"/>
      <c r="DB287" s="124"/>
      <c r="DC287" s="124"/>
      <c r="DD287" s="127"/>
      <c r="DE287" s="122">
        <f>CZ287</f>
        <v>0</v>
      </c>
      <c r="DF287" s="124"/>
      <c r="DG287" s="124"/>
      <c r="DH287" s="124"/>
      <c r="DI287" s="127"/>
      <c r="DJ287" s="122">
        <f>DE287</f>
        <v>0</v>
      </c>
      <c r="DK287" s="217"/>
      <c r="DL287" s="1286"/>
      <c r="DM287" s="810"/>
      <c r="DN287" s="810"/>
      <c r="DO287" s="810"/>
      <c r="DP287" s="1053"/>
      <c r="DQ287" s="1053"/>
      <c r="DR287" s="1053"/>
      <c r="DS287" s="810"/>
      <c r="DT287" s="810"/>
      <c r="DU287" s="810"/>
      <c r="DV287" s="810"/>
      <c r="DW287" s="810"/>
      <c r="DX287" s="810"/>
      <c r="DY287" s="228"/>
      <c r="DZ287" s="216"/>
      <c r="EA287" s="216"/>
      <c r="EB287"/>
      <c r="EC287"/>
      <c r="ED287"/>
      <c r="EE287"/>
      <c r="EF287"/>
      <c r="EG287"/>
    </row>
    <row r="288" spans="1:137" s="224" customFormat="1">
      <c r="A288" s="128" t="s">
        <v>275</v>
      </c>
      <c r="B288" s="122">
        <f t="shared" ref="B288:AL288" si="1084">B290-B283-B285-B287</f>
        <v>3179</v>
      </c>
      <c r="C288" s="122">
        <f t="shared" si="1084"/>
        <v>2812</v>
      </c>
      <c r="D288" s="122">
        <f t="shared" si="1084"/>
        <v>3067</v>
      </c>
      <c r="E288" s="122">
        <f t="shared" si="1084"/>
        <v>2797</v>
      </c>
      <c r="F288" s="122">
        <f t="shared" si="1084"/>
        <v>2897</v>
      </c>
      <c r="G288" s="122">
        <f t="shared" si="1084"/>
        <v>3442</v>
      </c>
      <c r="H288" s="124">
        <f t="shared" si="1084"/>
        <v>3748</v>
      </c>
      <c r="I288" s="123">
        <f t="shared" si="1084"/>
        <v>3742</v>
      </c>
      <c r="J288" s="123">
        <f t="shared" si="1084"/>
        <v>3551</v>
      </c>
      <c r="K288" s="124">
        <f t="shared" si="1084"/>
        <v>3350</v>
      </c>
      <c r="L288" s="122">
        <f t="shared" si="1084"/>
        <v>3350</v>
      </c>
      <c r="M288" s="123">
        <f t="shared" si="1084"/>
        <v>3606</v>
      </c>
      <c r="N288" s="123">
        <f t="shared" si="1084"/>
        <v>4054</v>
      </c>
      <c r="O288" s="123">
        <f t="shared" si="1084"/>
        <v>4189</v>
      </c>
      <c r="P288" s="124">
        <f t="shared" si="1084"/>
        <v>3735</v>
      </c>
      <c r="Q288" s="122">
        <f t="shared" si="1084"/>
        <v>3735</v>
      </c>
      <c r="R288" s="123">
        <f t="shared" si="1084"/>
        <v>4056</v>
      </c>
      <c r="S288" s="123">
        <f t="shared" si="1084"/>
        <v>4088</v>
      </c>
      <c r="T288" s="124">
        <f t="shared" si="1084"/>
        <v>4164</v>
      </c>
      <c r="U288" s="124">
        <f t="shared" si="1084"/>
        <v>3624</v>
      </c>
      <c r="V288" s="122">
        <f t="shared" si="1084"/>
        <v>3624</v>
      </c>
      <c r="W288" s="123">
        <f t="shared" si="1084"/>
        <v>4051</v>
      </c>
      <c r="X288" s="123">
        <f t="shared" si="1084"/>
        <v>4408</v>
      </c>
      <c r="Y288" s="124">
        <f t="shared" si="1084"/>
        <v>4226</v>
      </c>
      <c r="Z288" s="124">
        <f t="shared" si="1084"/>
        <v>3811</v>
      </c>
      <c r="AA288" s="122">
        <f t="shared" si="1084"/>
        <v>3811</v>
      </c>
      <c r="AB288" s="123">
        <f t="shared" si="1084"/>
        <v>4212</v>
      </c>
      <c r="AC288" s="123">
        <f t="shared" si="1084"/>
        <v>3800</v>
      </c>
      <c r="AD288" s="123">
        <f t="shared" si="1084"/>
        <v>3772</v>
      </c>
      <c r="AE288" s="124">
        <f t="shared" si="1084"/>
        <v>3462</v>
      </c>
      <c r="AF288" s="122">
        <f t="shared" si="1084"/>
        <v>3462</v>
      </c>
      <c r="AG288" s="124">
        <f t="shared" si="1084"/>
        <v>3679</v>
      </c>
      <c r="AH288" s="123">
        <f t="shared" si="1084"/>
        <v>3472</v>
      </c>
      <c r="AI288" s="123">
        <f t="shared" si="1084"/>
        <v>3938</v>
      </c>
      <c r="AJ288" s="124">
        <f t="shared" si="1084"/>
        <v>3464</v>
      </c>
      <c r="AK288" s="122">
        <f t="shared" si="1084"/>
        <v>3464</v>
      </c>
      <c r="AL288" s="123">
        <f t="shared" si="1084"/>
        <v>3946</v>
      </c>
      <c r="AM288" s="123">
        <f>AM290-AM283-AM285-AM287</f>
        <v>3826</v>
      </c>
      <c r="AN288" s="123">
        <f>AN290-AN283-AN285-AN287</f>
        <v>4015</v>
      </c>
      <c r="AO288" s="209">
        <f>AO290-AO283-AO285-AO287</f>
        <v>3374</v>
      </c>
      <c r="AP288" s="123">
        <f>AO288</f>
        <v>3374</v>
      </c>
      <c r="AQ288" s="126">
        <f>AQ290-AQ283-AQ285-AQ287</f>
        <v>3856</v>
      </c>
      <c r="AR288" s="124">
        <f>AR290-AR283-AR285-AR287</f>
        <v>3992</v>
      </c>
      <c r="AS288" s="124">
        <f>AS290-AS283-AS285-AS287</f>
        <v>4229</v>
      </c>
      <c r="AT288" s="124">
        <f>AT290-AT283-AT285-AT287</f>
        <v>3752</v>
      </c>
      <c r="AU288" s="122">
        <f>+AT288</f>
        <v>3752</v>
      </c>
      <c r="AV288" s="124">
        <f>AV290-AV283-AV285-AV287</f>
        <v>4074</v>
      </c>
      <c r="AW288" s="124">
        <f>AW290-AW283-AW285-AW287</f>
        <v>5059</v>
      </c>
      <c r="AX288" s="124">
        <f>AX290-AX283-AX285-AX287</f>
        <v>4474</v>
      </c>
      <c r="AY288" s="124">
        <f>AY290-AY283-AY285-AY287</f>
        <v>4139</v>
      </c>
      <c r="AZ288" s="122">
        <f>+AY288</f>
        <v>4139</v>
      </c>
      <c r="BA288" s="123"/>
      <c r="BB288" s="126">
        <f t="shared" ref="BB288:BJ288" si="1085">BB290-BB283-BB285-BB287</f>
        <v>3856</v>
      </c>
      <c r="BC288" s="124">
        <f t="shared" si="1085"/>
        <v>3992</v>
      </c>
      <c r="BD288" s="124">
        <f t="shared" si="1085"/>
        <v>4229</v>
      </c>
      <c r="BE288" s="124">
        <f t="shared" si="1085"/>
        <v>3752</v>
      </c>
      <c r="BF288" s="122">
        <f t="shared" si="1085"/>
        <v>3775</v>
      </c>
      <c r="BG288" s="124">
        <f t="shared" si="1085"/>
        <v>4074</v>
      </c>
      <c r="BH288" s="124">
        <f t="shared" si="1085"/>
        <v>5059</v>
      </c>
      <c r="BI288" s="124">
        <f t="shared" si="1085"/>
        <v>4474</v>
      </c>
      <c r="BJ288" s="124">
        <f t="shared" si="1085"/>
        <v>4001</v>
      </c>
      <c r="BK288" s="122">
        <f>+BJ288</f>
        <v>4001</v>
      </c>
      <c r="BL288" s="124">
        <f>BL290-BL283-BL285-BL287</f>
        <v>4385</v>
      </c>
      <c r="BM288" s="124">
        <f>BM290-BM283-BM285-BM287</f>
        <v>5079</v>
      </c>
      <c r="BN288" s="124"/>
      <c r="BO288" s="124"/>
      <c r="BP288" s="122"/>
      <c r="BQ288" s="122"/>
      <c r="BR288" s="124"/>
      <c r="BS288" s="124"/>
      <c r="BT288" s="124"/>
      <c r="BU288" s="124">
        <f>BU290-BU283-BU285-BU287</f>
        <v>4514</v>
      </c>
      <c r="BV288" s="122">
        <f>+BU288</f>
        <v>4514</v>
      </c>
      <c r="BW288" s="124">
        <f>BW290-BW283-BW285-BW287</f>
        <v>4385</v>
      </c>
      <c r="BX288" s="124">
        <f>BX290-BX283-BX285-BX287</f>
        <v>5079</v>
      </c>
      <c r="BY288" s="124">
        <f>BY290-BY283-BY285-BY287</f>
        <v>4755</v>
      </c>
      <c r="BZ288" s="124">
        <f>BZ290-BZ283-BZ285-BZ287</f>
        <v>4113</v>
      </c>
      <c r="CA288" s="122">
        <f>+BZ288</f>
        <v>4113</v>
      </c>
      <c r="CB288" s="124">
        <f>CB290-CB283-CB285-CB287</f>
        <v>4307</v>
      </c>
      <c r="CC288" s="803">
        <f>CC290-CC283-CC285-CC287</f>
        <v>4627</v>
      </c>
      <c r="CD288" s="803">
        <f>CD290-CD283-CD285-CD287</f>
        <v>4041</v>
      </c>
      <c r="CE288" s="124">
        <f>CE290-CE283-CE285-CE287</f>
        <v>3668</v>
      </c>
      <c r="CF288" s="122">
        <f>+CE288</f>
        <v>3668</v>
      </c>
      <c r="CG288" s="124"/>
      <c r="CH288" s="124"/>
      <c r="CI288" s="124"/>
      <c r="CJ288" s="124"/>
      <c r="CK288" s="122">
        <f>CK290-CK283-CK285-CK287</f>
        <v>4113</v>
      </c>
      <c r="CL288" s="124"/>
      <c r="CM288" s="803"/>
      <c r="CN288" s="803"/>
      <c r="CO288" s="124"/>
      <c r="CP288" s="122">
        <f>+CF288</f>
        <v>3668</v>
      </c>
      <c r="CQ288" s="124">
        <f>CQ289*CQ173*4</f>
        <v>4323.7496608483316</v>
      </c>
      <c r="CR288" s="124">
        <f>CR289*CR173*4</f>
        <v>4687.1856523452898</v>
      </c>
      <c r="CS288" s="124">
        <f>CS289*CS173*4</f>
        <v>4051.2942723313336</v>
      </c>
      <c r="CT288" s="124">
        <f>CT289*CT173*4</f>
        <v>3671.1501618550569</v>
      </c>
      <c r="CU288" s="122">
        <f>+CT288</f>
        <v>3671.1501618550569</v>
      </c>
      <c r="CV288" s="124"/>
      <c r="CW288" s="124"/>
      <c r="CX288" s="124"/>
      <c r="CY288" s="127"/>
      <c r="CZ288" s="122">
        <f>CZ289*CZ173</f>
        <v>3903.0838397219618</v>
      </c>
      <c r="DA288" s="124"/>
      <c r="DB288" s="124"/>
      <c r="DC288" s="124"/>
      <c r="DD288" s="127"/>
      <c r="DE288" s="122">
        <f>DE289*DE173</f>
        <v>4086.1812017028096</v>
      </c>
      <c r="DF288" s="124"/>
      <c r="DG288" s="124"/>
      <c r="DH288" s="124"/>
      <c r="DI288" s="127"/>
      <c r="DJ288" s="122">
        <f>DJ289*DJ173</f>
        <v>4220.4646396667167</v>
      </c>
      <c r="DK288" s="217"/>
      <c r="DL288" s="1286"/>
      <c r="DM288" s="809"/>
      <c r="DN288" s="810"/>
      <c r="DO288" s="810"/>
      <c r="DP288" s="1053"/>
      <c r="DQ288" s="1053"/>
      <c r="DR288" s="1053"/>
      <c r="DS288" s="810"/>
      <c r="DT288" s="810"/>
      <c r="DU288" s="810"/>
      <c r="DV288" s="810"/>
      <c r="DW288" s="810"/>
      <c r="DX288" s="810"/>
      <c r="DY288" s="228"/>
      <c r="DZ288" s="216"/>
      <c r="EA288" s="216"/>
      <c r="EB288"/>
      <c r="EC288"/>
      <c r="ED288"/>
      <c r="EE288"/>
      <c r="EF288"/>
      <c r="EG288"/>
    </row>
    <row r="289" spans="1:137" s="383" customFormat="1">
      <c r="A289" s="646" t="s">
        <v>118</v>
      </c>
      <c r="B289" s="647">
        <f t="shared" ref="B289:G289" si="1086">B288/B173</f>
        <v>0.13263518024032042</v>
      </c>
      <c r="C289" s="647">
        <f t="shared" si="1086"/>
        <v>0.10586552217453506</v>
      </c>
      <c r="D289" s="647">
        <f t="shared" si="1086"/>
        <v>9.6422283702213285E-2</v>
      </c>
      <c r="E289" s="647">
        <f t="shared" si="1086"/>
        <v>7.8731070202105499E-2</v>
      </c>
      <c r="F289" s="647">
        <f t="shared" si="1086"/>
        <v>7.7849138741837534E-2</v>
      </c>
      <c r="G289" s="647">
        <f t="shared" si="1086"/>
        <v>8.6875315497223618E-2</v>
      </c>
      <c r="H289" s="599">
        <f>H288/H173/4</f>
        <v>0.10102425876010782</v>
      </c>
      <c r="I289" s="599">
        <f>I288/I173/4</f>
        <v>8.7832128438644255E-2</v>
      </c>
      <c r="J289" s="599">
        <f>J288/J173/4</f>
        <v>8.0013519603424968E-2</v>
      </c>
      <c r="K289" s="599">
        <f>K288/K173/4</f>
        <v>7.7253020939027764E-2</v>
      </c>
      <c r="L289" s="647">
        <f>L288/L173</f>
        <v>8.0024843533514883E-2</v>
      </c>
      <c r="M289" s="599">
        <f>M288/M173/4</f>
        <v>9.0303515977161172E-2</v>
      </c>
      <c r="N289" s="599">
        <f>N288/N173/4</f>
        <v>9.1810852432285539E-2</v>
      </c>
      <c r="O289" s="599">
        <f>O288/O173/4</f>
        <v>9.901200718540229E-2</v>
      </c>
      <c r="P289" s="599">
        <f>P288/P173/4</f>
        <v>8.3879805964786197E-2</v>
      </c>
      <c r="Q289" s="647">
        <f>Q288/Q173</f>
        <v>8.740726872762164E-2</v>
      </c>
      <c r="R289" s="599">
        <f>R288/R173/4</f>
        <v>9.7753783861949287E-2</v>
      </c>
      <c r="S289" s="599">
        <f>S288/S173/4</f>
        <v>9.2304913294797689E-2</v>
      </c>
      <c r="T289" s="599">
        <f>T288/T173/4</f>
        <v>9.6684313179158543E-2</v>
      </c>
      <c r="U289" s="599">
        <f>U288/U173/4</f>
        <v>7.4244038351225103E-2</v>
      </c>
      <c r="V289" s="647">
        <f>V288/V173</f>
        <v>8.1594056062141165E-2</v>
      </c>
      <c r="W289" s="599">
        <f>W288/W173/4</f>
        <v>9.7973299796846283E-2</v>
      </c>
      <c r="X289" s="599">
        <f>X288/X173/4</f>
        <v>9.769503546099291E-2</v>
      </c>
      <c r="Y289" s="599">
        <f>Y288/Y173/4</f>
        <v>9.314114431808164E-2</v>
      </c>
      <c r="Z289" s="599">
        <f>Z288/Z173/4</f>
        <v>7.4661076718125538E-2</v>
      </c>
      <c r="AA289" s="647">
        <f>AA288/AA173</f>
        <v>8.3353382471949428E-2</v>
      </c>
      <c r="AB289" s="599">
        <f>AB288/AB173/4</f>
        <v>9.9096555618294752E-2</v>
      </c>
      <c r="AC289" s="599">
        <f>AC288/AC173/4</f>
        <v>8.2300961621762106E-2</v>
      </c>
      <c r="AD289" s="599">
        <f>AD288/AD173/4</f>
        <v>7.7811700635365952E-2</v>
      </c>
      <c r="AE289" s="599">
        <f>AE288/AE173/4</f>
        <v>7.0878715911882731E-2</v>
      </c>
      <c r="AF289" s="647">
        <f>AF288/AF173</f>
        <v>7.445321404761393E-2</v>
      </c>
      <c r="AG289" s="599">
        <f>AG288/AG173/4</f>
        <v>8.1444257504648898E-2</v>
      </c>
      <c r="AH289" s="599">
        <f>AH288/AH173/4</f>
        <v>7.2812683499706404E-2</v>
      </c>
      <c r="AI289" s="599">
        <f>AI288/AI173/4</f>
        <v>8.2947173308619088E-2</v>
      </c>
      <c r="AJ289" s="599">
        <f>AJ288/AJ173/4</f>
        <v>7.1576163319282585E-2</v>
      </c>
      <c r="AK289" s="647">
        <f>AK288/AK173</f>
        <v>7.3417828833029539E-2</v>
      </c>
      <c r="AL289" s="599">
        <f>AL288/AL173/4</f>
        <v>8.9114724480578139E-2</v>
      </c>
      <c r="AM289" s="599">
        <f>AM288/AM173/4</f>
        <v>8.3844670406732116E-2</v>
      </c>
      <c r="AN289" s="599">
        <f>AN288/AN173/4</f>
        <v>8.8459504714902618E-2</v>
      </c>
      <c r="AO289" s="599">
        <f>AO288/AO173/4</f>
        <v>7.3137951963929596E-2</v>
      </c>
      <c r="AP289" s="323">
        <f>AP288/AP173</f>
        <v>7.4385995855196438E-2</v>
      </c>
      <c r="AQ289" s="599">
        <f>AQ288/AQ173/4</f>
        <v>9.0516431924882623E-2</v>
      </c>
      <c r="AR289" s="599">
        <f>AR288/AR173/4</f>
        <v>8.8271714134088089E-2</v>
      </c>
      <c r="AS289" s="599">
        <f>AS288/AS173/4</f>
        <v>9.512776678063703E-2</v>
      </c>
      <c r="AT289" s="599">
        <f>AT288/AT173/4</f>
        <v>7.4860335195530731E-2</v>
      </c>
      <c r="AU289" s="647">
        <f>AU288/AU173</f>
        <v>8.2280701754385968E-2</v>
      </c>
      <c r="AV289" s="599">
        <f>AV288/AV173/4</f>
        <v>0.10073187617446346</v>
      </c>
      <c r="AW289" s="599">
        <f>AW288/AW173/4</f>
        <v>0.10862750150304905</v>
      </c>
      <c r="AX289" s="599">
        <f>AX288/AX173/4</f>
        <v>9.7591833173370557E-2</v>
      </c>
      <c r="AY289" s="599">
        <f>AY288/AY173/4</f>
        <v>8.010761012619029E-2</v>
      </c>
      <c r="AZ289" s="647">
        <f>AZ288/AZ173</f>
        <v>8.9720801179224832E-2</v>
      </c>
      <c r="BA289" s="323"/>
      <c r="BB289" s="599">
        <f>BB288/BB173/4</f>
        <v>9.0516431924882623E-2</v>
      </c>
      <c r="BC289" s="599">
        <f>BC288/BC173/4</f>
        <v>8.8271714134088089E-2</v>
      </c>
      <c r="BD289" s="599">
        <f>BD288/BD173/4</f>
        <v>9.512776678063703E-2</v>
      </c>
      <c r="BE289" s="599">
        <f>BE288/BE173/4</f>
        <v>7.4860335195530731E-2</v>
      </c>
      <c r="BF289" s="323">
        <f t="shared" si="1079"/>
        <v>8.2280701754385968E-2</v>
      </c>
      <c r="BG289" s="599">
        <f>BG288/BG173/4</f>
        <v>0.10073187617446346</v>
      </c>
      <c r="BH289" s="599">
        <f>BH288/BH173/4</f>
        <v>0.10862750150304905</v>
      </c>
      <c r="BI289" s="599">
        <f>BI288/BI173/4</f>
        <v>9.7591833173370557E-2</v>
      </c>
      <c r="BJ289" s="599">
        <f>BJ288/BJ173/4</f>
        <v>7.7436711310675851E-2</v>
      </c>
      <c r="BK289" s="323">
        <f>+AZ289</f>
        <v>8.9720801179224832E-2</v>
      </c>
      <c r="BL289" s="599">
        <f>BL288/BL173/4</f>
        <v>9.3680567424371905E-2</v>
      </c>
      <c r="BM289" s="599">
        <f>BM288/BM173/4</f>
        <v>9.8323524856744615E-2</v>
      </c>
      <c r="BN289" s="599"/>
      <c r="BO289" s="599"/>
      <c r="BP289" s="647"/>
      <c r="BQ289" s="323"/>
      <c r="BR289" s="599"/>
      <c r="BS289" s="599"/>
      <c r="BT289" s="599"/>
      <c r="BU289" s="599">
        <f>BU288/BU173/4</f>
        <v>9.796006944444445E-2</v>
      </c>
      <c r="BV289" s="323">
        <f>+BN289</f>
        <v>0</v>
      </c>
      <c r="BW289" s="599">
        <f>BW288/BW173/4</f>
        <v>0.10573398919753087</v>
      </c>
      <c r="BX289" s="599">
        <f>BX288/BX173/4</f>
        <v>0.10967867323140711</v>
      </c>
      <c r="BY289" s="599">
        <f>BY288/BY173/4</f>
        <v>0.10291316769110899</v>
      </c>
      <c r="BZ289" s="599">
        <f>BZ288/BZ173/4</f>
        <v>7.4770942408376964E-2</v>
      </c>
      <c r="CA289" s="647">
        <f>CA288/CA173</f>
        <v>8.7051303758889267E-2</v>
      </c>
      <c r="CB289" s="599">
        <f>CB288/CB173/4</f>
        <v>9.7381749118205657E-2</v>
      </c>
      <c r="CC289" s="1074">
        <f>CC288/CC173/4</f>
        <v>9.1190382341348047E-2</v>
      </c>
      <c r="CD289" s="1074">
        <f>CD288/CD173/4</f>
        <v>8.3018325252691261E-2</v>
      </c>
      <c r="CE289" s="599">
        <f>CE288/CE173/4</f>
        <v>6.0580035674175858E-2</v>
      </c>
      <c r="CF289" s="647">
        <f>CF288/CF173</f>
        <v>7.18539413884971E-2</v>
      </c>
      <c r="CG289" s="599"/>
      <c r="CH289" s="599"/>
      <c r="CI289" s="599"/>
      <c r="CJ289" s="599"/>
      <c r="CK289" s="647">
        <f>CK288/CK173</f>
        <v>8.6918850380388837E-2</v>
      </c>
      <c r="CL289" s="599"/>
      <c r="CM289" s="1074"/>
      <c r="CN289" s="1074"/>
      <c r="CO289" s="599"/>
      <c r="CP289" s="647">
        <f>CP288/CP173</f>
        <v>7.3395229710260926E-2</v>
      </c>
      <c r="CQ289" s="648">
        <f>CB289</f>
        <v>9.7381749118205657E-2</v>
      </c>
      <c r="CR289" s="648">
        <f t="shared" ref="CR289:CT289" si="1087">CC289</f>
        <v>9.1190382341348047E-2</v>
      </c>
      <c r="CS289" s="648">
        <f t="shared" si="1087"/>
        <v>8.3018325252691261E-2</v>
      </c>
      <c r="CT289" s="649">
        <f t="shared" si="1087"/>
        <v>6.0580035674175858E-2</v>
      </c>
      <c r="CU289" s="647">
        <f>CU288/CU173</f>
        <v>7.1562381322710658E-2</v>
      </c>
      <c r="CV289" s="648"/>
      <c r="CW289" s="648"/>
      <c r="CX289" s="648"/>
      <c r="CY289" s="649"/>
      <c r="CZ289" s="566">
        <f>CU289</f>
        <v>7.1562381322710658E-2</v>
      </c>
      <c r="DA289" s="648"/>
      <c r="DB289" s="648"/>
      <c r="DC289" s="648"/>
      <c r="DD289" s="649"/>
      <c r="DE289" s="566">
        <f>CZ289</f>
        <v>7.1562381322710658E-2</v>
      </c>
      <c r="DF289" s="648"/>
      <c r="DG289" s="648"/>
      <c r="DH289" s="648"/>
      <c r="DI289" s="649"/>
      <c r="DJ289" s="566">
        <f>DE289</f>
        <v>7.1562381322710658E-2</v>
      </c>
      <c r="DK289" s="384"/>
      <c r="DL289" s="1293"/>
      <c r="DM289" s="830"/>
      <c r="DN289" s="830"/>
      <c r="DO289" s="830"/>
      <c r="DP289" s="1084"/>
      <c r="DQ289" s="1053"/>
      <c r="DR289" s="1084"/>
      <c r="DS289" s="830"/>
      <c r="DT289" s="830"/>
      <c r="DU289" s="1121"/>
      <c r="DV289" s="830"/>
      <c r="DW289" s="830"/>
      <c r="DX289" s="830"/>
      <c r="DY289" s="650"/>
      <c r="EB289"/>
      <c r="EC289"/>
      <c r="ED289"/>
      <c r="EE289"/>
      <c r="EF289"/>
      <c r="EG289"/>
    </row>
    <row r="290" spans="1:137" s="224" customFormat="1">
      <c r="A290" s="141" t="s">
        <v>206</v>
      </c>
      <c r="B290" s="139">
        <v>9689</v>
      </c>
      <c r="C290" s="139">
        <v>9821</v>
      </c>
      <c r="D290" s="139">
        <v>8893</v>
      </c>
      <c r="E290" s="139">
        <v>8566</v>
      </c>
      <c r="F290" s="139">
        <v>9428</v>
      </c>
      <c r="G290" s="139">
        <v>9553</v>
      </c>
      <c r="H290" s="141">
        <v>9920</v>
      </c>
      <c r="I290" s="141">
        <v>10564</v>
      </c>
      <c r="J290" s="141">
        <v>9891</v>
      </c>
      <c r="K290" s="141">
        <v>9871</v>
      </c>
      <c r="L290" s="139">
        <v>9871</v>
      </c>
      <c r="M290" s="141">
        <v>9874</v>
      </c>
      <c r="N290" s="141">
        <v>11256</v>
      </c>
      <c r="O290" s="141">
        <v>10533</v>
      </c>
      <c r="P290" s="141">
        <v>10542</v>
      </c>
      <c r="Q290" s="139">
        <v>10542</v>
      </c>
      <c r="R290" s="141">
        <v>11365</v>
      </c>
      <c r="S290" s="141">
        <v>11287</v>
      </c>
      <c r="T290" s="141">
        <v>11583</v>
      </c>
      <c r="U290" s="141">
        <v>10703</v>
      </c>
      <c r="V290" s="139">
        <v>10703</v>
      </c>
      <c r="W290" s="141">
        <v>11572</v>
      </c>
      <c r="X290" s="141">
        <v>11859</v>
      </c>
      <c r="Y290" s="141">
        <v>11638</v>
      </c>
      <c r="Z290" s="141">
        <v>11160</v>
      </c>
      <c r="AA290" s="139">
        <v>11160</v>
      </c>
      <c r="AB290" s="141">
        <v>12430</v>
      </c>
      <c r="AC290" s="141">
        <v>12056</v>
      </c>
      <c r="AD290" s="141">
        <v>12144</v>
      </c>
      <c r="AE290" s="141">
        <v>12130</v>
      </c>
      <c r="AF290" s="139">
        <v>12130</v>
      </c>
      <c r="AG290" s="141">
        <v>12211</v>
      </c>
      <c r="AH290" s="141">
        <v>12268</v>
      </c>
      <c r="AI290" s="141">
        <v>12668</v>
      </c>
      <c r="AJ290" s="141">
        <v>12155</v>
      </c>
      <c r="AK290" s="139">
        <v>12155</v>
      </c>
      <c r="AL290" s="141">
        <v>12625</v>
      </c>
      <c r="AM290" s="141">
        <v>12253</v>
      </c>
      <c r="AN290" s="176">
        <v>12293</v>
      </c>
      <c r="AO290" s="141">
        <f>AP290</f>
        <v>11120</v>
      </c>
      <c r="AP290" s="139">
        <v>11120</v>
      </c>
      <c r="AQ290" s="223">
        <v>11995</v>
      </c>
      <c r="AR290" s="141">
        <v>12147</v>
      </c>
      <c r="AS290" s="141">
        <v>12133</v>
      </c>
      <c r="AT290" s="140">
        <v>11112</v>
      </c>
      <c r="AU290" s="139">
        <f>AU283+AU285+AU287+AU288</f>
        <v>11112</v>
      </c>
      <c r="AV290" s="141">
        <v>11567</v>
      </c>
      <c r="AW290" s="141">
        <v>12624</v>
      </c>
      <c r="AX290" s="141">
        <v>12980</v>
      </c>
      <c r="AY290" s="140">
        <v>14057</v>
      </c>
      <c r="AZ290" s="571">
        <f>AZ283+AZ285+AZ287+AZ288</f>
        <v>14057</v>
      </c>
      <c r="BA290" s="139"/>
      <c r="BB290" s="223">
        <v>11995</v>
      </c>
      <c r="BC290" s="141">
        <v>12147</v>
      </c>
      <c r="BD290" s="141">
        <v>12133</v>
      </c>
      <c r="BE290" s="140">
        <v>11112</v>
      </c>
      <c r="BF290" s="139">
        <v>11112</v>
      </c>
      <c r="BG290" s="141">
        <v>11567</v>
      </c>
      <c r="BH290" s="141">
        <v>12624</v>
      </c>
      <c r="BI290" s="141">
        <v>12980</v>
      </c>
      <c r="BJ290" s="140">
        <v>13919</v>
      </c>
      <c r="BK290" s="139">
        <f>+BJ290</f>
        <v>13919</v>
      </c>
      <c r="BL290" s="141">
        <v>14912</v>
      </c>
      <c r="BM290" s="141">
        <v>15595</v>
      </c>
      <c r="BN290" s="141"/>
      <c r="BO290" s="140"/>
      <c r="BP290" s="571"/>
      <c r="BQ290" s="139"/>
      <c r="BR290" s="141"/>
      <c r="BS290" s="141"/>
      <c r="BT290" s="141"/>
      <c r="BU290" s="140">
        <v>13918</v>
      </c>
      <c r="BV290" s="139">
        <f>+BU290</f>
        <v>13918</v>
      </c>
      <c r="BW290" s="141">
        <v>14912</v>
      </c>
      <c r="BX290" s="141">
        <v>15595</v>
      </c>
      <c r="BY290" s="141">
        <v>14425</v>
      </c>
      <c r="BZ290" s="140">
        <v>12542</v>
      </c>
      <c r="CA290" s="571">
        <f>CA283+CA285+CA287+CA288</f>
        <v>12542</v>
      </c>
      <c r="CB290" s="141">
        <v>13597</v>
      </c>
      <c r="CC290" s="137">
        <v>13641</v>
      </c>
      <c r="CD290" s="141">
        <v>13084</v>
      </c>
      <c r="CE290" s="140">
        <v>12637</v>
      </c>
      <c r="CF290" s="139">
        <f>CF283+CF285+CF287+CF288</f>
        <v>12637</v>
      </c>
      <c r="CG290" s="141"/>
      <c r="CH290" s="141"/>
      <c r="CI290" s="141"/>
      <c r="CJ290" s="140"/>
      <c r="CK290" s="571">
        <v>12542</v>
      </c>
      <c r="CL290" s="141"/>
      <c r="CM290" s="137"/>
      <c r="CN290" s="141"/>
      <c r="CO290" s="140"/>
      <c r="CP290" s="139">
        <f>CP283+CP285+CP287+CP288</f>
        <v>12637</v>
      </c>
      <c r="CQ290" s="223">
        <f t="shared" ref="CQ290:CT290" si="1088">CQ283+CQ285+CQ287+CQ288</f>
        <v>14399.877905399295</v>
      </c>
      <c r="CR290" s="141">
        <f t="shared" si="1088"/>
        <v>14568.435159637367</v>
      </c>
      <c r="CS290" s="141">
        <f t="shared" si="1088"/>
        <v>13867.330922836716</v>
      </c>
      <c r="CT290" s="140">
        <f t="shared" si="1088"/>
        <v>11897.208826055361</v>
      </c>
      <c r="CU290" s="139">
        <f>CU283+CU285+CU287+CU288</f>
        <v>11897.208826055361</v>
      </c>
      <c r="CV290" s="141"/>
      <c r="CW290" s="141"/>
      <c r="CX290" s="141"/>
      <c r="CY290" s="140"/>
      <c r="CZ290" s="139">
        <f>CZ283+CZ285+CZ287+CZ288</f>
        <v>12648.843403155659</v>
      </c>
      <c r="DA290" s="141"/>
      <c r="DB290" s="141"/>
      <c r="DC290" s="141"/>
      <c r="DD290" s="140"/>
      <c r="DE290" s="139">
        <f>DE283+DE285+DE287+DE288</f>
        <v>13242.212634853136</v>
      </c>
      <c r="DF290" s="141"/>
      <c r="DG290" s="141"/>
      <c r="DH290" s="141"/>
      <c r="DI290" s="140"/>
      <c r="DJ290" s="139">
        <f>DJ283+DJ285+DJ287+DJ288</f>
        <v>13677.389087164192</v>
      </c>
      <c r="DK290" s="217"/>
      <c r="DL290" s="1286"/>
      <c r="DM290" s="811"/>
      <c r="DN290" s="811"/>
      <c r="DO290" s="811"/>
      <c r="DP290" s="1115"/>
      <c r="DQ290" s="1053"/>
      <c r="DR290" s="1115"/>
      <c r="DS290" s="811"/>
      <c r="DT290" s="811"/>
      <c r="DU290" s="811"/>
      <c r="DV290" s="811"/>
      <c r="DW290" s="811"/>
      <c r="DX290" s="811"/>
      <c r="DY290" s="228"/>
      <c r="DZ290" s="216"/>
      <c r="EA290" s="216"/>
      <c r="EB290"/>
      <c r="EC290"/>
      <c r="ED290"/>
      <c r="EE290"/>
      <c r="EF290"/>
      <c r="EG290"/>
    </row>
    <row r="291" spans="1:137" s="224" customFormat="1">
      <c r="A291" s="128" t="s">
        <v>266</v>
      </c>
      <c r="B291" s="201">
        <v>7422</v>
      </c>
      <c r="C291" s="201">
        <v>6217</v>
      </c>
      <c r="D291" s="201">
        <v>6072</v>
      </c>
      <c r="E291" s="201">
        <v>5104</v>
      </c>
      <c r="F291" s="201">
        <v>4784</v>
      </c>
      <c r="G291" s="201">
        <v>4405</v>
      </c>
      <c r="H291" s="179">
        <v>4405</v>
      </c>
      <c r="I291" s="118">
        <v>4302</v>
      </c>
      <c r="J291" s="118">
        <v>4303</v>
      </c>
      <c r="K291" s="196">
        <v>4303</v>
      </c>
      <c r="L291" s="201">
        <f>K291</f>
        <v>4303</v>
      </c>
      <c r="M291" s="118">
        <v>4803</v>
      </c>
      <c r="N291" s="118">
        <v>3803</v>
      </c>
      <c r="O291" s="118">
        <v>3804</v>
      </c>
      <c r="P291" s="196">
        <v>3563</v>
      </c>
      <c r="Q291" s="201">
        <f>P291</f>
        <v>3563</v>
      </c>
      <c r="R291" s="118">
        <v>3563</v>
      </c>
      <c r="S291" s="118">
        <v>3563</v>
      </c>
      <c r="T291" s="118">
        <v>3563</v>
      </c>
      <c r="U291" s="179">
        <v>5052</v>
      </c>
      <c r="V291" s="204">
        <f>U291</f>
        <v>5052</v>
      </c>
      <c r="W291" s="118">
        <v>5053</v>
      </c>
      <c r="X291" s="118">
        <v>5019</v>
      </c>
      <c r="Y291" s="118">
        <v>5019</v>
      </c>
      <c r="Z291" s="179">
        <v>5019</v>
      </c>
      <c r="AA291" s="204">
        <f>Z291</f>
        <v>5019</v>
      </c>
      <c r="AB291" s="118">
        <v>5023</v>
      </c>
      <c r="AC291" s="118">
        <v>5031</v>
      </c>
      <c r="AD291" s="128">
        <v>6538</v>
      </c>
      <c r="AE291" s="196">
        <v>6460</v>
      </c>
      <c r="AF291" s="204">
        <f>AE291</f>
        <v>6460</v>
      </c>
      <c r="AG291" s="196">
        <v>6472</v>
      </c>
      <c r="AH291" s="118">
        <v>6343</v>
      </c>
      <c r="AI291" s="118">
        <v>6374</v>
      </c>
      <c r="AJ291" s="196">
        <v>6158</v>
      </c>
      <c r="AK291" s="204">
        <f>AJ291</f>
        <v>6158</v>
      </c>
      <c r="AL291" s="128">
        <v>6154</v>
      </c>
      <c r="AM291" s="128">
        <v>6140</v>
      </c>
      <c r="AN291" s="128">
        <v>6156</v>
      </c>
      <c r="AO291" s="121">
        <f>AP291</f>
        <v>6152</v>
      </c>
      <c r="AP291" s="204">
        <v>6152</v>
      </c>
      <c r="AQ291" s="185">
        <v>6152</v>
      </c>
      <c r="AR291" s="605">
        <v>6169</v>
      </c>
      <c r="AS291" s="605">
        <v>6165</v>
      </c>
      <c r="AT291" s="606">
        <v>6169</v>
      </c>
      <c r="AU291" s="604">
        <f>+AT291</f>
        <v>6169</v>
      </c>
      <c r="AV291" s="605">
        <v>8404</v>
      </c>
      <c r="AW291" s="605">
        <v>7950</v>
      </c>
      <c r="AX291" s="605">
        <v>7460</v>
      </c>
      <c r="AY291" s="606">
        <v>14305</v>
      </c>
      <c r="AZ291" s="604">
        <f>AY291</f>
        <v>14305</v>
      </c>
      <c r="BA291" s="204"/>
      <c r="BB291" s="185">
        <v>6152</v>
      </c>
      <c r="BC291" s="605">
        <v>6169</v>
      </c>
      <c r="BD291" s="605">
        <v>6165</v>
      </c>
      <c r="BE291" s="606">
        <v>6169</v>
      </c>
      <c r="BF291" s="204">
        <v>6142</v>
      </c>
      <c r="BG291" s="605">
        <v>8404</v>
      </c>
      <c r="BH291" s="605">
        <v>7950</v>
      </c>
      <c r="BI291" s="605">
        <v>7460</v>
      </c>
      <c r="BJ291" s="606">
        <v>14305</v>
      </c>
      <c r="BK291" s="204">
        <f>+BJ291</f>
        <v>14305</v>
      </c>
      <c r="BL291" s="605">
        <v>14320</v>
      </c>
      <c r="BM291" s="605">
        <v>14307</v>
      </c>
      <c r="BN291" s="605"/>
      <c r="BO291" s="606"/>
      <c r="BP291" s="604"/>
      <c r="BQ291" s="204"/>
      <c r="BR291" s="605"/>
      <c r="BS291" s="605"/>
      <c r="BT291" s="605"/>
      <c r="BU291" s="606">
        <v>14305</v>
      </c>
      <c r="BV291" s="204">
        <f>+BU291</f>
        <v>14305</v>
      </c>
      <c r="BW291" s="605">
        <v>14320</v>
      </c>
      <c r="BX291" s="605">
        <v>14307</v>
      </c>
      <c r="BY291" s="605">
        <v>14304</v>
      </c>
      <c r="BZ291" s="606">
        <v>14282</v>
      </c>
      <c r="CA291" s="604">
        <f>BZ291</f>
        <v>14282</v>
      </c>
      <c r="CB291" s="605">
        <v>14276</v>
      </c>
      <c r="CC291" s="605">
        <v>14283</v>
      </c>
      <c r="CD291" s="605">
        <v>14268</v>
      </c>
      <c r="CE291" s="606">
        <v>13513</v>
      </c>
      <c r="CF291" s="604">
        <f>+CE291</f>
        <v>13513</v>
      </c>
      <c r="CG291" s="605"/>
      <c r="CH291" s="605"/>
      <c r="CI291" s="605"/>
      <c r="CJ291" s="606"/>
      <c r="CK291" s="604">
        <v>14282</v>
      </c>
      <c r="CL291" s="605"/>
      <c r="CM291" s="605"/>
      <c r="CN291" s="605"/>
      <c r="CO291" s="606"/>
      <c r="CP291" s="604">
        <f>+CF291</f>
        <v>13513</v>
      </c>
      <c r="CQ291" s="605">
        <f t="shared" ref="CQ291:CS291" si="1089">CP291+CQ253+CQ254+(CP287-CQ287)</f>
        <v>13513</v>
      </c>
      <c r="CR291" s="605">
        <f t="shared" si="1089"/>
        <v>15513</v>
      </c>
      <c r="CS291" s="605">
        <f t="shared" si="1089"/>
        <v>15513</v>
      </c>
      <c r="CT291" s="606">
        <f>CS291+CT253+CT254+(CS287-CT287)</f>
        <v>15513</v>
      </c>
      <c r="CU291" s="604">
        <f>+CT291</f>
        <v>15513</v>
      </c>
      <c r="CV291" s="605"/>
      <c r="CW291" s="605"/>
      <c r="CX291" s="605"/>
      <c r="CY291" s="606"/>
      <c r="CZ291" s="604">
        <f>CU291+CZ253+CZ254+(CU287-CZ287)</f>
        <v>15213</v>
      </c>
      <c r="DA291" s="605"/>
      <c r="DB291" s="605"/>
      <c r="DC291" s="605"/>
      <c r="DD291" s="606"/>
      <c r="DE291" s="604">
        <f>CZ291+DE253+DE254+(CZ287-DE287)</f>
        <v>14913</v>
      </c>
      <c r="DF291" s="605"/>
      <c r="DG291" s="605"/>
      <c r="DH291" s="605"/>
      <c r="DI291" s="606"/>
      <c r="DJ291" s="604">
        <f>DE291+DJ253+DJ254+(DE287-DJ287)</f>
        <v>14613</v>
      </c>
      <c r="DK291" s="217"/>
      <c r="DL291" s="1286"/>
      <c r="DM291" s="810"/>
      <c r="DN291" s="811"/>
      <c r="DO291" s="811"/>
      <c r="DP291" s="1115"/>
      <c r="DQ291" s="1053"/>
      <c r="DR291" s="1115"/>
      <c r="DS291" s="811"/>
      <c r="DT291" s="811"/>
      <c r="DU291" s="811"/>
      <c r="DV291" s="811"/>
      <c r="DW291" s="811"/>
      <c r="DX291" s="811"/>
      <c r="DY291" s="228"/>
      <c r="DZ291" s="216"/>
      <c r="EA291" s="216"/>
      <c r="EB291"/>
      <c r="EC291"/>
      <c r="ED291"/>
      <c r="EE291"/>
      <c r="EF291"/>
      <c r="EG291"/>
    </row>
    <row r="292" spans="1:137" s="224" customFormat="1">
      <c r="A292" s="128" t="s">
        <v>31</v>
      </c>
      <c r="B292" s="119">
        <v>0</v>
      </c>
      <c r="C292" s="119">
        <v>1480</v>
      </c>
      <c r="D292" s="119">
        <v>1100</v>
      </c>
      <c r="E292" s="119">
        <v>1660</v>
      </c>
      <c r="F292" s="119">
        <v>2097</v>
      </c>
      <c r="G292" s="119">
        <v>3025</v>
      </c>
      <c r="H292" s="124">
        <v>3201</v>
      </c>
      <c r="I292" s="125">
        <v>3378</v>
      </c>
      <c r="J292" s="125">
        <v>3555</v>
      </c>
      <c r="K292" s="121">
        <v>1192</v>
      </c>
      <c r="L292" s="119">
        <f>K292</f>
        <v>1192</v>
      </c>
      <c r="M292" s="125">
        <v>1311</v>
      </c>
      <c r="N292" s="125">
        <v>1431</v>
      </c>
      <c r="O292" s="125">
        <v>1551</v>
      </c>
      <c r="P292" s="121">
        <v>12004</v>
      </c>
      <c r="Q292" s="119">
        <f>P292</f>
        <v>12004</v>
      </c>
      <c r="R292" s="125">
        <v>12267</v>
      </c>
      <c r="S292" s="125">
        <v>12530</v>
      </c>
      <c r="T292" s="124">
        <v>12793</v>
      </c>
      <c r="U292" s="124">
        <v>10823</v>
      </c>
      <c r="V292" s="122">
        <f>U292</f>
        <v>10823</v>
      </c>
      <c r="W292" s="125">
        <v>11184</v>
      </c>
      <c r="X292" s="125">
        <v>11194</v>
      </c>
      <c r="Y292" s="124">
        <v>10506</v>
      </c>
      <c r="Z292" s="121">
        <v>10607</v>
      </c>
      <c r="AA292" s="119">
        <f>Z292</f>
        <v>10607</v>
      </c>
      <c r="AB292" s="125">
        <v>10826</v>
      </c>
      <c r="AC292" s="125">
        <v>10720</v>
      </c>
      <c r="AD292" s="125">
        <v>9979</v>
      </c>
      <c r="AE292" s="121">
        <v>13502</v>
      </c>
      <c r="AF292" s="119">
        <f>AE292</f>
        <v>13502</v>
      </c>
      <c r="AG292" s="121">
        <v>13190</v>
      </c>
      <c r="AH292" s="125">
        <v>12775</v>
      </c>
      <c r="AI292" s="125">
        <v>12967</v>
      </c>
      <c r="AJ292" s="121">
        <v>15278</v>
      </c>
      <c r="AK292" s="119">
        <f>AJ292</f>
        <v>15278</v>
      </c>
      <c r="AL292" s="125">
        <v>15397</v>
      </c>
      <c r="AM292" s="125">
        <v>14766</v>
      </c>
      <c r="AN292" s="125">
        <v>14135</v>
      </c>
      <c r="AO292" s="121">
        <f>AP292</f>
        <v>9361</v>
      </c>
      <c r="AP292" s="119">
        <v>9361</v>
      </c>
      <c r="AQ292" s="152">
        <v>9438</v>
      </c>
      <c r="AR292" s="121">
        <v>10046</v>
      </c>
      <c r="AS292" s="121">
        <v>9556</v>
      </c>
      <c r="AT292" s="120">
        <v>11413</v>
      </c>
      <c r="AU292" s="119">
        <f>+AT292</f>
        <v>11413</v>
      </c>
      <c r="AV292" s="121">
        <v>11400</v>
      </c>
      <c r="AW292" s="121">
        <v>11387</v>
      </c>
      <c r="AX292" s="121">
        <v>11374</v>
      </c>
      <c r="AY292" s="120">
        <v>11807</v>
      </c>
      <c r="AZ292" s="122">
        <f>AY292</f>
        <v>11807</v>
      </c>
      <c r="BA292" s="119"/>
      <c r="BB292" s="152">
        <v>9438</v>
      </c>
      <c r="BC292" s="121">
        <v>10046</v>
      </c>
      <c r="BD292" s="121">
        <v>9556</v>
      </c>
      <c r="BE292" s="120">
        <v>11413</v>
      </c>
      <c r="BF292" s="119">
        <v>11413</v>
      </c>
      <c r="BG292" s="121">
        <v>11400</v>
      </c>
      <c r="BH292" s="121">
        <v>11387</v>
      </c>
      <c r="BI292" s="121">
        <v>11374</v>
      </c>
      <c r="BJ292" s="120">
        <v>11807</v>
      </c>
      <c r="BK292" s="119">
        <f>+BJ292</f>
        <v>11807</v>
      </c>
      <c r="BL292" s="121">
        <v>11800</v>
      </c>
      <c r="BM292" s="121">
        <v>11387</v>
      </c>
      <c r="BN292" s="121"/>
      <c r="BO292" s="120"/>
      <c r="BP292" s="122"/>
      <c r="BQ292" s="119"/>
      <c r="BR292" s="121"/>
      <c r="BS292" s="121"/>
      <c r="BT292" s="121"/>
      <c r="BU292" s="120">
        <v>11807</v>
      </c>
      <c r="BV292" s="119">
        <f>+BU292</f>
        <v>11807</v>
      </c>
      <c r="BW292" s="121">
        <v>11800</v>
      </c>
      <c r="BX292" s="121">
        <v>11387</v>
      </c>
      <c r="BY292" s="121">
        <v>11859</v>
      </c>
      <c r="BZ292" s="120">
        <v>13855</v>
      </c>
      <c r="CA292" s="122">
        <f>BZ292</f>
        <v>13855</v>
      </c>
      <c r="CB292" s="121">
        <v>13908</v>
      </c>
      <c r="CC292" s="802">
        <v>13960</v>
      </c>
      <c r="CD292" s="121">
        <v>13998</v>
      </c>
      <c r="CE292" s="120">
        <v>15703</v>
      </c>
      <c r="CF292" s="119">
        <f>+CE292</f>
        <v>15703</v>
      </c>
      <c r="CG292" s="121"/>
      <c r="CH292" s="121"/>
      <c r="CI292" s="121"/>
      <c r="CJ292" s="120"/>
      <c r="CK292" s="122">
        <v>13855</v>
      </c>
      <c r="CL292" s="121"/>
      <c r="CM292" s="802"/>
      <c r="CN292" s="121"/>
      <c r="CO292" s="120"/>
      <c r="CP292" s="119">
        <f>+CF292</f>
        <v>15703</v>
      </c>
      <c r="CQ292" s="152">
        <v>14490.534111328125</v>
      </c>
      <c r="CR292" s="121">
        <v>13278.068222656249</v>
      </c>
      <c r="CS292" s="121">
        <v>12065.602333984374</v>
      </c>
      <c r="CT292" s="120">
        <v>10853.136445312499</v>
      </c>
      <c r="CU292" s="119">
        <f>+CT292</f>
        <v>10853.136445312499</v>
      </c>
      <c r="CV292" s="121"/>
      <c r="CW292" s="121"/>
      <c r="CX292" s="121"/>
      <c r="CY292" s="120"/>
      <c r="CZ292" s="119">
        <v>10814.844916650392</v>
      </c>
      <c r="DA292" s="121"/>
      <c r="DB292" s="121"/>
      <c r="DC292" s="121"/>
      <c r="DD292" s="120"/>
      <c r="DE292" s="119">
        <v>9938.924302411433</v>
      </c>
      <c r="DF292" s="121"/>
      <c r="DG292" s="121"/>
      <c r="DH292" s="121"/>
      <c r="DI292" s="120"/>
      <c r="DJ292" s="119">
        <v>8239.6549045641223</v>
      </c>
      <c r="DK292" s="217"/>
      <c r="DL292" s="1286"/>
      <c r="DM292" s="811"/>
      <c r="DN292" s="811"/>
      <c r="DO292" s="811"/>
      <c r="DP292" s="1062"/>
      <c r="DQ292" s="1053"/>
      <c r="DR292" s="1062"/>
      <c r="DS292" s="811"/>
      <c r="DT292" s="811"/>
      <c r="DU292" s="811"/>
      <c r="DV292" s="810"/>
      <c r="DW292" s="811"/>
      <c r="DX292" s="811"/>
      <c r="DY292" s="228"/>
      <c r="DZ292" s="216"/>
      <c r="EA292" s="216"/>
      <c r="EB292"/>
      <c r="EC292"/>
      <c r="ED292"/>
      <c r="EE292"/>
      <c r="EF292"/>
      <c r="EG292"/>
    </row>
    <row r="293" spans="1:137" s="224" customFormat="1">
      <c r="A293" s="128" t="s">
        <v>32</v>
      </c>
      <c r="B293" s="122">
        <v>1565</v>
      </c>
      <c r="C293" s="122">
        <v>1872</v>
      </c>
      <c r="D293" s="122">
        <v>1440</v>
      </c>
      <c r="E293" s="122">
        <v>1236</v>
      </c>
      <c r="F293" s="122">
        <v>1277</v>
      </c>
      <c r="G293" s="122">
        <v>1496</v>
      </c>
      <c r="H293" s="124">
        <v>1519</v>
      </c>
      <c r="I293" s="123">
        <v>1500</v>
      </c>
      <c r="J293" s="123">
        <v>1481</v>
      </c>
      <c r="K293" s="124">
        <v>928</v>
      </c>
      <c r="L293" s="122">
        <f>K293</f>
        <v>928</v>
      </c>
      <c r="M293" s="123">
        <v>939</v>
      </c>
      <c r="N293" s="123">
        <v>949</v>
      </c>
      <c r="O293" s="123">
        <v>960</v>
      </c>
      <c r="P293" s="124">
        <v>1386</v>
      </c>
      <c r="Q293" s="122">
        <f>P293</f>
        <v>1386</v>
      </c>
      <c r="R293" s="123">
        <v>1414</v>
      </c>
      <c r="S293" s="123">
        <v>1442</v>
      </c>
      <c r="T293" s="124">
        <v>1517</v>
      </c>
      <c r="U293" s="124">
        <v>1308</v>
      </c>
      <c r="V293" s="122">
        <f>U293</f>
        <v>1308</v>
      </c>
      <c r="W293" s="123">
        <v>1328</v>
      </c>
      <c r="X293" s="123">
        <v>1310</v>
      </c>
      <c r="Y293" s="124">
        <v>1292</v>
      </c>
      <c r="Z293" s="124">
        <v>1213</v>
      </c>
      <c r="AA293" s="122">
        <f>Z293</f>
        <v>1213</v>
      </c>
      <c r="AB293" s="123">
        <v>1227</v>
      </c>
      <c r="AC293" s="123">
        <v>1240</v>
      </c>
      <c r="AD293" s="123">
        <v>1254</v>
      </c>
      <c r="AE293" s="121">
        <v>1274</v>
      </c>
      <c r="AF293" s="122">
        <f>AE293</f>
        <v>1274</v>
      </c>
      <c r="AG293" s="121">
        <v>1281</v>
      </c>
      <c r="AH293" s="125">
        <v>1267</v>
      </c>
      <c r="AI293" s="125">
        <v>1245</v>
      </c>
      <c r="AJ293" s="121">
        <v>1220</v>
      </c>
      <c r="AK293" s="122">
        <f>AJ293</f>
        <v>1220</v>
      </c>
      <c r="AL293" s="125">
        <v>1220</v>
      </c>
      <c r="AM293" s="125">
        <v>1219</v>
      </c>
      <c r="AN293" s="125">
        <v>1219</v>
      </c>
      <c r="AO293" s="121">
        <f>AP293</f>
        <v>902</v>
      </c>
      <c r="AP293" s="122">
        <v>902</v>
      </c>
      <c r="AQ293" s="121">
        <v>902</v>
      </c>
      <c r="AR293" s="124">
        <v>901</v>
      </c>
      <c r="AS293" s="124">
        <v>901</v>
      </c>
      <c r="AT293" s="127">
        <v>1102</v>
      </c>
      <c r="AU293" s="122">
        <f>+AT293</f>
        <v>1102</v>
      </c>
      <c r="AV293" s="124">
        <v>1098</v>
      </c>
      <c r="AW293" s="124">
        <v>1090</v>
      </c>
      <c r="AX293" s="124">
        <v>1082</v>
      </c>
      <c r="AY293" s="127">
        <v>1070</v>
      </c>
      <c r="AZ293" s="122">
        <f>AY293</f>
        <v>1070</v>
      </c>
      <c r="BA293" s="122"/>
      <c r="BB293" s="121">
        <v>902</v>
      </c>
      <c r="BC293" s="124">
        <v>901</v>
      </c>
      <c r="BD293" s="124">
        <v>901</v>
      </c>
      <c r="BE293" s="127">
        <v>1102</v>
      </c>
      <c r="BF293" s="122">
        <v>1102</v>
      </c>
      <c r="BG293" s="124">
        <v>1098</v>
      </c>
      <c r="BH293" s="124">
        <v>1090</v>
      </c>
      <c r="BI293" s="124">
        <v>1082</v>
      </c>
      <c r="BJ293" s="127">
        <v>1070</v>
      </c>
      <c r="BK293" s="122">
        <f>+BJ293</f>
        <v>1070</v>
      </c>
      <c r="BL293" s="124">
        <v>1072</v>
      </c>
      <c r="BM293" s="124">
        <v>1090</v>
      </c>
      <c r="BN293" s="124"/>
      <c r="BO293" s="127"/>
      <c r="BP293" s="122"/>
      <c r="BQ293" s="122"/>
      <c r="BR293" s="124"/>
      <c r="BS293" s="124"/>
      <c r="BT293" s="124"/>
      <c r="BU293" s="127">
        <v>1070</v>
      </c>
      <c r="BV293" s="122">
        <f>+BU293</f>
        <v>1070</v>
      </c>
      <c r="BW293" s="124">
        <v>1072</v>
      </c>
      <c r="BX293" s="124">
        <v>1090</v>
      </c>
      <c r="BY293" s="124">
        <v>1083</v>
      </c>
      <c r="BZ293" s="127">
        <v>862</v>
      </c>
      <c r="CA293" s="122">
        <f>BZ293</f>
        <v>862</v>
      </c>
      <c r="CB293" s="124">
        <v>861</v>
      </c>
      <c r="CC293" s="803">
        <v>859</v>
      </c>
      <c r="CD293" s="124">
        <v>858</v>
      </c>
      <c r="CE293" s="127">
        <v>719</v>
      </c>
      <c r="CF293" s="122">
        <f>+CE293</f>
        <v>719</v>
      </c>
      <c r="CG293" s="124"/>
      <c r="CH293" s="124"/>
      <c r="CI293" s="124"/>
      <c r="CJ293" s="127"/>
      <c r="CK293" s="122">
        <v>862</v>
      </c>
      <c r="CL293" s="124"/>
      <c r="CM293" s="803"/>
      <c r="CN293" s="124"/>
      <c r="CO293" s="127"/>
      <c r="CP293" s="122">
        <f>+CF293</f>
        <v>719</v>
      </c>
      <c r="CQ293" s="126">
        <v>707.13288393750008</v>
      </c>
      <c r="CR293" s="124">
        <v>695.26576787500017</v>
      </c>
      <c r="CS293" s="124">
        <v>683.39865181250025</v>
      </c>
      <c r="CT293" s="127">
        <v>671.53153575000033</v>
      </c>
      <c r="CU293" s="122">
        <f>+CT293</f>
        <v>671.53153575000033</v>
      </c>
      <c r="CV293" s="124"/>
      <c r="CW293" s="124"/>
      <c r="CX293" s="124"/>
      <c r="CY293" s="127"/>
      <c r="CZ293" s="122">
        <v>621.94234543000039</v>
      </c>
      <c r="DA293" s="124"/>
      <c r="DB293" s="124"/>
      <c r="DC293" s="124"/>
      <c r="DD293" s="127"/>
      <c r="DE293" s="122">
        <v>570.4809509347001</v>
      </c>
      <c r="DF293" s="124"/>
      <c r="DG293" s="124"/>
      <c r="DH293" s="124"/>
      <c r="DI293" s="127"/>
      <c r="DJ293" s="122">
        <v>517.08081635490043</v>
      </c>
      <c r="DK293" s="217"/>
      <c r="DL293" s="1286"/>
      <c r="DM293" s="810"/>
      <c r="DN293" s="810"/>
      <c r="DO293" s="810"/>
      <c r="DP293" s="1108"/>
      <c r="DQ293" s="1053"/>
      <c r="DR293" s="1108"/>
      <c r="DS293" s="1109"/>
      <c r="DT293" s="1109"/>
      <c r="DU293" s="1109"/>
      <c r="DV293" s="810"/>
      <c r="DW293" s="810"/>
      <c r="DX293" s="810"/>
      <c r="DY293" s="228"/>
      <c r="DZ293" s="216"/>
      <c r="EA293" s="216"/>
      <c r="EB293"/>
      <c r="EC293"/>
      <c r="ED293"/>
      <c r="EE293"/>
      <c r="EF293"/>
      <c r="EG293"/>
    </row>
    <row r="294" spans="1:137" s="224" customFormat="1">
      <c r="A294" s="128" t="s">
        <v>261</v>
      </c>
      <c r="B294" s="119">
        <f t="shared" ref="B294:AT294" si="1090">B295-B290-B291-B292-B293</f>
        <v>2535</v>
      </c>
      <c r="C294" s="119">
        <f t="shared" si="1090"/>
        <v>1724</v>
      </c>
      <c r="D294" s="119">
        <f t="shared" si="1090"/>
        <v>1914</v>
      </c>
      <c r="E294" s="119">
        <f t="shared" si="1090"/>
        <v>1967</v>
      </c>
      <c r="F294" s="119">
        <f t="shared" si="1090"/>
        <v>2291</v>
      </c>
      <c r="G294" s="119">
        <f t="shared" si="1090"/>
        <v>2868</v>
      </c>
      <c r="H294" s="124">
        <f t="shared" si="1090"/>
        <v>2780</v>
      </c>
      <c r="I294" s="125">
        <f t="shared" si="1090"/>
        <v>2911</v>
      </c>
      <c r="J294" s="125">
        <f t="shared" si="1090"/>
        <v>3129</v>
      </c>
      <c r="K294" s="121">
        <f t="shared" si="1090"/>
        <v>2827</v>
      </c>
      <c r="L294" s="119">
        <f t="shared" si="1090"/>
        <v>2827</v>
      </c>
      <c r="M294" s="125">
        <f t="shared" si="1090"/>
        <v>2855</v>
      </c>
      <c r="N294" s="125">
        <f t="shared" si="1090"/>
        <v>2688</v>
      </c>
      <c r="O294" s="125">
        <f t="shared" si="1090"/>
        <v>2701</v>
      </c>
      <c r="P294" s="121">
        <f t="shared" si="1090"/>
        <v>3079</v>
      </c>
      <c r="Q294" s="119">
        <f t="shared" si="1090"/>
        <v>3079</v>
      </c>
      <c r="R294" s="125">
        <f t="shared" si="1090"/>
        <v>3105</v>
      </c>
      <c r="S294" s="125">
        <f t="shared" si="1090"/>
        <v>3146</v>
      </c>
      <c r="T294" s="125">
        <f t="shared" si="1090"/>
        <v>3146</v>
      </c>
      <c r="U294" s="124">
        <f t="shared" si="1090"/>
        <v>3096</v>
      </c>
      <c r="V294" s="122">
        <f t="shared" si="1090"/>
        <v>3096</v>
      </c>
      <c r="W294" s="125">
        <f t="shared" si="1090"/>
        <v>3122</v>
      </c>
      <c r="X294" s="125">
        <f t="shared" si="1090"/>
        <v>3123</v>
      </c>
      <c r="Y294" s="125">
        <f t="shared" si="1090"/>
        <v>3178</v>
      </c>
      <c r="Z294" s="121">
        <f t="shared" si="1090"/>
        <v>3360</v>
      </c>
      <c r="AA294" s="119">
        <f t="shared" si="1090"/>
        <v>3360</v>
      </c>
      <c r="AB294" s="125">
        <f t="shared" si="1090"/>
        <v>3380</v>
      </c>
      <c r="AC294" s="125">
        <f t="shared" si="1090"/>
        <v>3383</v>
      </c>
      <c r="AD294" s="125">
        <f t="shared" si="1090"/>
        <v>3329</v>
      </c>
      <c r="AE294" s="121">
        <f t="shared" si="1090"/>
        <v>3541</v>
      </c>
      <c r="AF294" s="119">
        <f t="shared" si="1090"/>
        <v>3541</v>
      </c>
      <c r="AG294" s="124">
        <f t="shared" si="1090"/>
        <v>3613</v>
      </c>
      <c r="AH294" s="125">
        <f t="shared" si="1090"/>
        <v>3529</v>
      </c>
      <c r="AI294" s="125">
        <f t="shared" si="1090"/>
        <v>3625</v>
      </c>
      <c r="AJ294" s="121">
        <f t="shared" si="1090"/>
        <v>3807</v>
      </c>
      <c r="AK294" s="119">
        <f t="shared" si="1090"/>
        <v>3807</v>
      </c>
      <c r="AL294" s="125">
        <f t="shared" si="1090"/>
        <v>3880</v>
      </c>
      <c r="AM294" s="125">
        <f t="shared" si="1090"/>
        <v>3875</v>
      </c>
      <c r="AN294" s="125">
        <f t="shared" si="1090"/>
        <v>3827</v>
      </c>
      <c r="AO294" s="120">
        <f t="shared" si="1090"/>
        <v>3735</v>
      </c>
      <c r="AP294" s="125">
        <f t="shared" si="1090"/>
        <v>3735</v>
      </c>
      <c r="AQ294" s="743">
        <f t="shared" si="1090"/>
        <v>3632</v>
      </c>
      <c r="AR294" s="168">
        <f t="shared" si="1090"/>
        <v>3668</v>
      </c>
      <c r="AS294" s="168">
        <f t="shared" si="1090"/>
        <v>3604</v>
      </c>
      <c r="AT294" s="168">
        <f t="shared" si="1090"/>
        <v>3877</v>
      </c>
      <c r="AU294" s="814">
        <f>+AT294</f>
        <v>3877</v>
      </c>
      <c r="AV294" s="168">
        <f>AV295-AV290-AV291-AV292-AV293</f>
        <v>3763</v>
      </c>
      <c r="AW294" s="168">
        <f>AW295-AW290-AW291-AW292-AW293</f>
        <v>3815</v>
      </c>
      <c r="AX294" s="168">
        <f>AX295-AX290-AX291-AX292-AX293</f>
        <v>3908</v>
      </c>
      <c r="AY294" s="168">
        <f>AY295-AY290-AY291-AY292-AY293</f>
        <v>4792</v>
      </c>
      <c r="AZ294" s="814">
        <f>AY294</f>
        <v>4792</v>
      </c>
      <c r="BA294" s="125"/>
      <c r="BB294" s="743">
        <f t="shared" ref="BB294:BE294" si="1091">BB295-BB290-BB291-BB292-BB293</f>
        <v>3632</v>
      </c>
      <c r="BC294" s="168">
        <f t="shared" si="1091"/>
        <v>3668</v>
      </c>
      <c r="BD294" s="168">
        <f t="shared" si="1091"/>
        <v>3604</v>
      </c>
      <c r="BE294" s="168">
        <f t="shared" si="1091"/>
        <v>3877</v>
      </c>
      <c r="BF294" s="119">
        <v>3877</v>
      </c>
      <c r="BG294" s="168">
        <f t="shared" ref="BG294:BM294" si="1092">BG295-BG290-BG291-BG292-BG293</f>
        <v>3763</v>
      </c>
      <c r="BH294" s="168">
        <f t="shared" si="1092"/>
        <v>3815</v>
      </c>
      <c r="BI294" s="168">
        <f t="shared" si="1092"/>
        <v>3908</v>
      </c>
      <c r="BJ294" s="168">
        <f t="shared" si="1092"/>
        <v>4930</v>
      </c>
      <c r="BK294" s="119">
        <f t="shared" si="1092"/>
        <v>4930</v>
      </c>
      <c r="BL294" s="168">
        <f t="shared" si="1092"/>
        <v>4877</v>
      </c>
      <c r="BM294" s="168">
        <f t="shared" si="1092"/>
        <v>5032</v>
      </c>
      <c r="BN294" s="168"/>
      <c r="BO294" s="168"/>
      <c r="BP294" s="814"/>
      <c r="BQ294" s="119"/>
      <c r="BR294" s="168"/>
      <c r="BS294" s="168"/>
      <c r="BT294" s="168"/>
      <c r="BU294" s="168">
        <f t="shared" ref="BU294:BZ294" si="1093">BU295-BU290-BU291-BU292-BU293</f>
        <v>5107</v>
      </c>
      <c r="BV294" s="119">
        <f t="shared" si="1093"/>
        <v>5107</v>
      </c>
      <c r="BW294" s="168">
        <f t="shared" si="1093"/>
        <v>4877</v>
      </c>
      <c r="BX294" s="168">
        <f t="shared" si="1093"/>
        <v>5032</v>
      </c>
      <c r="BY294" s="168">
        <f t="shared" si="1093"/>
        <v>4638</v>
      </c>
      <c r="BZ294" s="168">
        <f t="shared" si="1093"/>
        <v>4659</v>
      </c>
      <c r="CA294" s="814">
        <f>BZ294</f>
        <v>4659</v>
      </c>
      <c r="CB294" s="168">
        <f>CB295-CB290-CB291-CB292-CB293</f>
        <v>4609</v>
      </c>
      <c r="CC294" s="803">
        <f>CC295-CC290-CC291-CC292-CC293</f>
        <v>4619</v>
      </c>
      <c r="CD294" s="803">
        <f>CD295-CD290-CD291-CD292-CD293</f>
        <v>4563</v>
      </c>
      <c r="CE294" s="168">
        <f t="shared" ref="CE294" si="1094">CE295-CE290-CE291-CE292-CE293</f>
        <v>4558</v>
      </c>
      <c r="CF294" s="814">
        <f>+CE294</f>
        <v>4558</v>
      </c>
      <c r="CG294" s="168"/>
      <c r="CH294" s="168"/>
      <c r="CI294" s="168"/>
      <c r="CJ294" s="168"/>
      <c r="CK294" s="814">
        <f t="shared" ref="CK294" si="1095">CK295-CK290-CK291-CK292-CK293</f>
        <v>4659</v>
      </c>
      <c r="CL294" s="168"/>
      <c r="CM294" s="803"/>
      <c r="CN294" s="803"/>
      <c r="CO294" s="168"/>
      <c r="CP294" s="814">
        <f>+CF294</f>
        <v>4558</v>
      </c>
      <c r="CQ294" s="803">
        <f t="shared" ref="CQ294" si="1096">+CF294</f>
        <v>4558</v>
      </c>
      <c r="CR294" s="803">
        <f t="shared" ref="CR294" si="1097">+CQ294</f>
        <v>4558</v>
      </c>
      <c r="CS294" s="803">
        <f t="shared" ref="CS294" si="1098">+CR294</f>
        <v>4558</v>
      </c>
      <c r="CT294" s="855">
        <f t="shared" ref="CT294" si="1099">+CS294</f>
        <v>4558</v>
      </c>
      <c r="CU294" s="814">
        <f>+CT294</f>
        <v>4558</v>
      </c>
      <c r="CV294" s="803"/>
      <c r="CW294" s="803"/>
      <c r="CX294" s="803"/>
      <c r="CY294" s="855"/>
      <c r="CZ294" s="814">
        <f>CU294</f>
        <v>4558</v>
      </c>
      <c r="DA294" s="803"/>
      <c r="DB294" s="803"/>
      <c r="DC294" s="803"/>
      <c r="DD294" s="855"/>
      <c r="DE294" s="814">
        <f>CZ294</f>
        <v>4558</v>
      </c>
      <c r="DF294" s="803"/>
      <c r="DG294" s="803"/>
      <c r="DH294" s="803"/>
      <c r="DI294" s="855"/>
      <c r="DJ294" s="814">
        <f>DE294</f>
        <v>4558</v>
      </c>
      <c r="DK294" s="217"/>
      <c r="DL294" s="1286"/>
      <c r="DM294" s="810"/>
      <c r="DN294" s="810"/>
      <c r="DO294" s="810"/>
      <c r="DP294" s="1108"/>
      <c r="DQ294" s="1053"/>
      <c r="DR294" s="1108"/>
      <c r="DS294" s="1109"/>
      <c r="DT294" s="1109"/>
      <c r="DU294" s="1109"/>
      <c r="DV294" s="810"/>
      <c r="DW294" s="810"/>
      <c r="DX294" s="810"/>
      <c r="DY294" s="228"/>
      <c r="DZ294" s="216"/>
      <c r="EA294" s="216"/>
      <c r="EB294"/>
      <c r="EC294"/>
      <c r="ED294"/>
      <c r="EE294"/>
      <c r="EF294"/>
      <c r="EG294"/>
    </row>
    <row r="295" spans="1:137" s="224" customFormat="1">
      <c r="A295" s="141" t="s">
        <v>262</v>
      </c>
      <c r="B295" s="139">
        <v>21211</v>
      </c>
      <c r="C295" s="139">
        <v>21114</v>
      </c>
      <c r="D295" s="139">
        <v>19419</v>
      </c>
      <c r="E295" s="139">
        <v>18533</v>
      </c>
      <c r="F295" s="139">
        <v>19877</v>
      </c>
      <c r="G295" s="139">
        <v>21347</v>
      </c>
      <c r="H295" s="141">
        <v>21825</v>
      </c>
      <c r="I295" s="141">
        <v>22655</v>
      </c>
      <c r="J295" s="141">
        <v>22359</v>
      </c>
      <c r="K295" s="141">
        <v>19121</v>
      </c>
      <c r="L295" s="139">
        <v>19121</v>
      </c>
      <c r="M295" s="141">
        <v>19782</v>
      </c>
      <c r="N295" s="141">
        <v>20127</v>
      </c>
      <c r="O295" s="141">
        <v>19549</v>
      </c>
      <c r="P295" s="141">
        <v>30574</v>
      </c>
      <c r="Q295" s="139">
        <v>30574</v>
      </c>
      <c r="R295" s="141">
        <v>31714</v>
      </c>
      <c r="S295" s="141">
        <v>31968</v>
      </c>
      <c r="T295" s="141">
        <v>32602</v>
      </c>
      <c r="U295" s="141">
        <v>30982</v>
      </c>
      <c r="V295" s="139">
        <v>30982</v>
      </c>
      <c r="W295" s="141">
        <v>32259</v>
      </c>
      <c r="X295" s="141">
        <v>32505</v>
      </c>
      <c r="Y295" s="141">
        <v>31633</v>
      </c>
      <c r="Z295" s="141">
        <v>31359</v>
      </c>
      <c r="AA295" s="139">
        <v>31359</v>
      </c>
      <c r="AB295" s="141">
        <v>32886</v>
      </c>
      <c r="AC295" s="141">
        <v>32430</v>
      </c>
      <c r="AD295" s="141">
        <v>33244</v>
      </c>
      <c r="AE295" s="141">
        <v>36907</v>
      </c>
      <c r="AF295" s="139">
        <v>36907</v>
      </c>
      <c r="AG295" s="141">
        <v>36767</v>
      </c>
      <c r="AH295" s="141">
        <v>36182</v>
      </c>
      <c r="AI295" s="141">
        <v>36879</v>
      </c>
      <c r="AJ295" s="141">
        <v>38618</v>
      </c>
      <c r="AK295" s="139">
        <v>38618</v>
      </c>
      <c r="AL295" s="141">
        <v>39276</v>
      </c>
      <c r="AM295" s="141">
        <v>38253</v>
      </c>
      <c r="AN295" s="141">
        <v>37630</v>
      </c>
      <c r="AO295" s="141">
        <f>AP295</f>
        <v>31270</v>
      </c>
      <c r="AP295" s="139">
        <v>31270</v>
      </c>
      <c r="AQ295" s="223">
        <v>32119</v>
      </c>
      <c r="AR295" s="141">
        <v>32931</v>
      </c>
      <c r="AS295" s="141">
        <v>32359</v>
      </c>
      <c r="AT295" s="140">
        <v>33673</v>
      </c>
      <c r="AU295" s="140">
        <f>AU290+AU291+AU292+AU293+AU294</f>
        <v>33673</v>
      </c>
      <c r="AV295" s="141">
        <v>36232</v>
      </c>
      <c r="AW295" s="141">
        <v>36866</v>
      </c>
      <c r="AX295" s="141">
        <v>36804</v>
      </c>
      <c r="AY295" s="140">
        <v>46031</v>
      </c>
      <c r="AZ295" s="571">
        <f>AZ290+AZ291+AZ292+AZ293+AZ294</f>
        <v>46031</v>
      </c>
      <c r="BA295" s="139"/>
      <c r="BB295" s="223">
        <v>32119</v>
      </c>
      <c r="BC295" s="141">
        <v>32931</v>
      </c>
      <c r="BD295" s="141">
        <v>32359</v>
      </c>
      <c r="BE295" s="140">
        <v>33673</v>
      </c>
      <c r="BF295" s="139">
        <f>BF290+BF291+BF292+BF293+BF294</f>
        <v>33646</v>
      </c>
      <c r="BG295" s="141">
        <v>36232</v>
      </c>
      <c r="BH295" s="141">
        <v>36866</v>
      </c>
      <c r="BI295" s="141">
        <v>36804</v>
      </c>
      <c r="BJ295" s="140">
        <v>46031</v>
      </c>
      <c r="BK295" s="139">
        <f>+BJ295</f>
        <v>46031</v>
      </c>
      <c r="BL295" s="141">
        <v>46981</v>
      </c>
      <c r="BM295" s="141">
        <v>47411</v>
      </c>
      <c r="BN295" s="141"/>
      <c r="BO295" s="140"/>
      <c r="BP295" s="571"/>
      <c r="BQ295" s="139"/>
      <c r="BR295" s="141"/>
      <c r="BS295" s="141"/>
      <c r="BT295" s="141"/>
      <c r="BU295" s="140">
        <v>46207</v>
      </c>
      <c r="BV295" s="139">
        <f>+BU295</f>
        <v>46207</v>
      </c>
      <c r="BW295" s="141">
        <v>46981</v>
      </c>
      <c r="BX295" s="141">
        <v>47411</v>
      </c>
      <c r="BY295" s="141">
        <v>46309</v>
      </c>
      <c r="BZ295" s="140">
        <v>46200</v>
      </c>
      <c r="CA295" s="571">
        <f>CA290+CA291+CA292+CA293+CA294</f>
        <v>46200</v>
      </c>
      <c r="CB295" s="141">
        <v>47251</v>
      </c>
      <c r="CC295" s="137">
        <v>47362</v>
      </c>
      <c r="CD295" s="141">
        <v>46771</v>
      </c>
      <c r="CE295" s="140">
        <v>47130</v>
      </c>
      <c r="CF295" s="139">
        <f>CF290+CF291+CF292+CF293+CF294</f>
        <v>47130</v>
      </c>
      <c r="CG295" s="141"/>
      <c r="CH295" s="141"/>
      <c r="CI295" s="141"/>
      <c r="CJ295" s="140"/>
      <c r="CK295" s="571">
        <v>46200</v>
      </c>
      <c r="CL295" s="141"/>
      <c r="CM295" s="137"/>
      <c r="CN295" s="141"/>
      <c r="CO295" s="140"/>
      <c r="CP295" s="139">
        <f>CP290+CP291+CP292+CP293+CP294</f>
        <v>47130</v>
      </c>
      <c r="CQ295" s="141">
        <f t="shared" ref="CQ295:CT295" si="1100">CQ290+CQ291+CQ292+CQ293+CQ294</f>
        <v>47668.544900664921</v>
      </c>
      <c r="CR295" s="141">
        <f t="shared" si="1100"/>
        <v>48612.76915016862</v>
      </c>
      <c r="CS295" s="141">
        <f t="shared" si="1100"/>
        <v>46687.331908633591</v>
      </c>
      <c r="CT295" s="140">
        <f t="shared" si="1100"/>
        <v>43492.876807117857</v>
      </c>
      <c r="CU295" s="139">
        <f>CU290+CU291+CU292+CU293+CU294</f>
        <v>43492.876807117857</v>
      </c>
      <c r="CV295" s="141"/>
      <c r="CW295" s="141"/>
      <c r="CX295" s="141"/>
      <c r="CY295" s="140"/>
      <c r="CZ295" s="139">
        <f>CZ290+CZ291+CZ292+CZ293+CZ294</f>
        <v>43856.630665236051</v>
      </c>
      <c r="DA295" s="141"/>
      <c r="DB295" s="141"/>
      <c r="DC295" s="141"/>
      <c r="DD295" s="140"/>
      <c r="DE295" s="139">
        <f>DE290+DE291+DE292+DE293+DE294</f>
        <v>43222.617888199275</v>
      </c>
      <c r="DF295" s="141"/>
      <c r="DG295" s="141"/>
      <c r="DH295" s="141"/>
      <c r="DI295" s="140"/>
      <c r="DJ295" s="139">
        <f>DJ290+DJ291+DJ292+DJ293+DJ294</f>
        <v>41605.124808083216</v>
      </c>
      <c r="DK295" s="217"/>
      <c r="DL295" s="1286"/>
      <c r="DM295" s="810"/>
      <c r="DN295" s="810"/>
      <c r="DO295" s="810"/>
      <c r="DP295" s="1053"/>
      <c r="DQ295" s="1053"/>
      <c r="DR295" s="1053"/>
      <c r="DS295" s="810"/>
      <c r="DT295" s="810"/>
      <c r="DU295" s="810"/>
      <c r="DV295" s="810"/>
      <c r="DW295" s="810"/>
      <c r="DX295" s="810"/>
      <c r="DY295" s="228"/>
      <c r="DZ295" s="216"/>
      <c r="EA295" s="216"/>
      <c r="EB295"/>
      <c r="EC295"/>
      <c r="ED295"/>
      <c r="EE295"/>
      <c r="EF295"/>
      <c r="EG295"/>
    </row>
    <row r="296" spans="1:137" s="224" customFormat="1">
      <c r="A296" s="231" t="s">
        <v>232</v>
      </c>
      <c r="B296" s="232"/>
      <c r="C296" s="232"/>
      <c r="D296" s="232"/>
      <c r="E296" s="232"/>
      <c r="F296" s="232"/>
      <c r="G296" s="232"/>
      <c r="H296" s="234"/>
      <c r="I296" s="235"/>
      <c r="J296" s="235"/>
      <c r="K296" s="234"/>
      <c r="L296" s="232"/>
      <c r="M296" s="235"/>
      <c r="N296" s="235"/>
      <c r="O296" s="235"/>
      <c r="P296" s="234"/>
      <c r="Q296" s="232"/>
      <c r="R296" s="235"/>
      <c r="S296" s="235"/>
      <c r="T296" s="235"/>
      <c r="U296" s="234"/>
      <c r="V296" s="232"/>
      <c r="W296" s="235"/>
      <c r="X296" s="235"/>
      <c r="Y296" s="235"/>
      <c r="Z296" s="234"/>
      <c r="AA296" s="232"/>
      <c r="AB296" s="235"/>
      <c r="AC296" s="235"/>
      <c r="AD296" s="235"/>
      <c r="AE296" s="234"/>
      <c r="AF296" s="232"/>
      <c r="AG296" s="234"/>
      <c r="AH296" s="235"/>
      <c r="AI296" s="235"/>
      <c r="AJ296" s="234"/>
      <c r="AK296" s="232"/>
      <c r="AL296" s="235"/>
      <c r="AM296" s="235"/>
      <c r="AN296" s="235"/>
      <c r="AO296" s="234"/>
      <c r="AP296" s="232"/>
      <c r="AQ296" s="236"/>
      <c r="AR296" s="234"/>
      <c r="AS296" s="234"/>
      <c r="AT296" s="233"/>
      <c r="AU296" s="232"/>
      <c r="AV296" s="234"/>
      <c r="AW296" s="234"/>
      <c r="AX296" s="234"/>
      <c r="AY296" s="233"/>
      <c r="AZ296" s="232"/>
      <c r="BA296" s="232"/>
      <c r="BB296" s="236"/>
      <c r="BC296" s="234"/>
      <c r="BD296" s="234"/>
      <c r="BE296" s="233"/>
      <c r="BF296" s="232">
        <f t="shared" si="1079"/>
        <v>0</v>
      </c>
      <c r="BG296" s="234"/>
      <c r="BH296" s="234"/>
      <c r="BI296" s="234"/>
      <c r="BJ296" s="233"/>
      <c r="BK296" s="232"/>
      <c r="BL296" s="234"/>
      <c r="BM296" s="234"/>
      <c r="BN296" s="234"/>
      <c r="BO296" s="233"/>
      <c r="BP296" s="232"/>
      <c r="BQ296" s="232"/>
      <c r="BR296" s="234"/>
      <c r="BS296" s="234"/>
      <c r="BT296" s="234"/>
      <c r="BU296" s="233"/>
      <c r="BV296" s="232"/>
      <c r="BW296" s="234"/>
      <c r="BX296" s="234"/>
      <c r="BY296" s="234"/>
      <c r="BZ296" s="233"/>
      <c r="CA296" s="232"/>
      <c r="CB296" s="234"/>
      <c r="CC296" s="810"/>
      <c r="CD296" s="234"/>
      <c r="CE296" s="233"/>
      <c r="CF296" s="232"/>
      <c r="CG296" s="234"/>
      <c r="CH296" s="234"/>
      <c r="CI296" s="234"/>
      <c r="CJ296" s="233"/>
      <c r="CK296" s="232"/>
      <c r="CL296" s="234"/>
      <c r="CM296" s="810"/>
      <c r="CN296" s="234"/>
      <c r="CO296" s="233"/>
      <c r="CP296" s="232"/>
      <c r="CQ296" s="234"/>
      <c r="CR296" s="234"/>
      <c r="CS296" s="234"/>
      <c r="CT296" s="233"/>
      <c r="CU296" s="232"/>
      <c r="CV296" s="234"/>
      <c r="CW296" s="234"/>
      <c r="CX296" s="234"/>
      <c r="CY296" s="233"/>
      <c r="CZ296" s="232"/>
      <c r="DA296" s="234"/>
      <c r="DB296" s="234"/>
      <c r="DC296" s="234"/>
      <c r="DD296" s="233"/>
      <c r="DE296" s="232"/>
      <c r="DF296" s="234"/>
      <c r="DG296" s="234"/>
      <c r="DH296" s="234"/>
      <c r="DI296" s="233"/>
      <c r="DJ296" s="232"/>
      <c r="DK296" s="217"/>
      <c r="DL296" s="1286"/>
      <c r="DM296" s="810"/>
      <c r="DN296" s="810"/>
      <c r="DO296" s="810"/>
      <c r="DP296" s="1053"/>
      <c r="DQ296" s="1053"/>
      <c r="DR296" s="1053"/>
      <c r="DS296" s="810"/>
      <c r="DT296" s="810"/>
      <c r="DU296" s="810"/>
      <c r="DV296" s="810"/>
      <c r="DW296" s="810"/>
      <c r="DX296" s="810"/>
      <c r="DY296" s="228"/>
      <c r="DZ296" s="216"/>
      <c r="EA296" s="216"/>
      <c r="EB296"/>
      <c r="EC296"/>
      <c r="ED296"/>
      <c r="EE296"/>
      <c r="EF296"/>
      <c r="EG296"/>
    </row>
    <row r="297" spans="1:137" s="224" customFormat="1">
      <c r="A297" s="118" t="s">
        <v>153</v>
      </c>
      <c r="B297" s="201">
        <v>441</v>
      </c>
      <c r="C297" s="201">
        <v>455</v>
      </c>
      <c r="D297" s="201">
        <v>446</v>
      </c>
      <c r="E297" s="201">
        <v>438</v>
      </c>
      <c r="F297" s="201">
        <v>432</v>
      </c>
      <c r="G297" s="201">
        <v>421</v>
      </c>
      <c r="H297" s="196">
        <v>417</v>
      </c>
      <c r="I297" s="128">
        <v>412</v>
      </c>
      <c r="J297" s="118">
        <v>411</v>
      </c>
      <c r="K297" s="196">
        <v>409</v>
      </c>
      <c r="L297" s="201">
        <f>K297</f>
        <v>409</v>
      </c>
      <c r="M297" s="118">
        <v>400</v>
      </c>
      <c r="N297" s="118">
        <v>394</v>
      </c>
      <c r="O297" s="118">
        <v>398</v>
      </c>
      <c r="P297" s="196">
        <v>393</v>
      </c>
      <c r="Q297" s="201">
        <f>P297</f>
        <v>393</v>
      </c>
      <c r="R297" s="118">
        <v>386</v>
      </c>
      <c r="S297" s="118">
        <v>382</v>
      </c>
      <c r="T297" s="118">
        <v>378</v>
      </c>
      <c r="U297" s="179">
        <v>373</v>
      </c>
      <c r="V297" s="204">
        <f>U297</f>
        <v>373</v>
      </c>
      <c r="W297" s="118">
        <v>369</v>
      </c>
      <c r="X297" s="118">
        <v>360</v>
      </c>
      <c r="Y297" s="118">
        <v>358</v>
      </c>
      <c r="Z297" s="179">
        <v>346</v>
      </c>
      <c r="AA297" s="204">
        <f>Z297</f>
        <v>346</v>
      </c>
      <c r="AB297" s="118">
        <v>345</v>
      </c>
      <c r="AC297" s="118">
        <v>333</v>
      </c>
      <c r="AD297" s="118">
        <v>321</v>
      </c>
      <c r="AE297" s="196">
        <v>321</v>
      </c>
      <c r="AF297" s="204">
        <f>AE297</f>
        <v>321</v>
      </c>
      <c r="AG297" s="196">
        <v>322</v>
      </c>
      <c r="AH297" s="118">
        <v>322</v>
      </c>
      <c r="AI297" s="118">
        <v>321</v>
      </c>
      <c r="AJ297" s="196">
        <v>321</v>
      </c>
      <c r="AK297" s="204">
        <f>AJ297</f>
        <v>321</v>
      </c>
      <c r="AL297" s="118">
        <v>318</v>
      </c>
      <c r="AM297" s="118">
        <v>319</v>
      </c>
      <c r="AN297" s="118">
        <v>318</v>
      </c>
      <c r="AO297" s="196">
        <f>AP297</f>
        <v>319</v>
      </c>
      <c r="AP297" s="204">
        <v>319</v>
      </c>
      <c r="AQ297" s="185">
        <v>315</v>
      </c>
      <c r="AR297" s="605">
        <v>315</v>
      </c>
      <c r="AS297" s="605">
        <v>314</v>
      </c>
      <c r="AT297" s="606">
        <v>314</v>
      </c>
      <c r="AU297" s="604">
        <f>+AT297</f>
        <v>314</v>
      </c>
      <c r="AV297" s="605">
        <v>313</v>
      </c>
      <c r="AW297" s="605">
        <v>309</v>
      </c>
      <c r="AX297" s="605">
        <v>306</v>
      </c>
      <c r="AY297" s="606">
        <v>303</v>
      </c>
      <c r="AZ297" s="122">
        <f>AY297</f>
        <v>303</v>
      </c>
      <c r="BA297" s="204"/>
      <c r="BB297" s="185">
        <v>315</v>
      </c>
      <c r="BC297" s="605">
        <v>315</v>
      </c>
      <c r="BD297" s="605">
        <v>314</v>
      </c>
      <c r="BE297" s="606">
        <v>314</v>
      </c>
      <c r="BF297" s="204">
        <v>314</v>
      </c>
      <c r="BG297" s="605">
        <v>313</v>
      </c>
      <c r="BH297" s="605">
        <v>309</v>
      </c>
      <c r="BI297" s="605">
        <v>306</v>
      </c>
      <c r="BJ297" s="606">
        <v>303</v>
      </c>
      <c r="BK297" s="204">
        <v>303</v>
      </c>
      <c r="BL297" s="605">
        <v>303</v>
      </c>
      <c r="BM297" s="605">
        <v>301</v>
      </c>
      <c r="BN297" s="605"/>
      <c r="BO297" s="606"/>
      <c r="BP297" s="122"/>
      <c r="BQ297" s="204"/>
      <c r="BR297" s="605"/>
      <c r="BS297" s="605"/>
      <c r="BT297" s="605"/>
      <c r="BU297" s="606">
        <v>303</v>
      </c>
      <c r="BV297" s="204">
        <v>303</v>
      </c>
      <c r="BW297" s="605">
        <v>303</v>
      </c>
      <c r="BX297" s="605">
        <v>301</v>
      </c>
      <c r="BY297" s="605">
        <v>291</v>
      </c>
      <c r="BZ297" s="606">
        <v>289</v>
      </c>
      <c r="CA297" s="122">
        <f>BZ297</f>
        <v>289</v>
      </c>
      <c r="CB297" s="605">
        <v>288</v>
      </c>
      <c r="CC297" s="605">
        <v>286</v>
      </c>
      <c r="CD297" s="605">
        <v>285</v>
      </c>
      <c r="CE297" s="606">
        <v>284</v>
      </c>
      <c r="CF297" s="604">
        <f>+CE297</f>
        <v>284</v>
      </c>
      <c r="CG297" s="605"/>
      <c r="CH297" s="605"/>
      <c r="CI297" s="605"/>
      <c r="CJ297" s="606"/>
      <c r="CK297" s="122">
        <v>289</v>
      </c>
      <c r="CL297" s="605"/>
      <c r="CM297" s="605"/>
      <c r="CN297" s="605"/>
      <c r="CO297" s="606"/>
      <c r="CP297" s="604">
        <f>+CF297</f>
        <v>284</v>
      </c>
      <c r="CQ297" s="605">
        <f t="shared" ref="CQ297" si="1101">+CF297</f>
        <v>284</v>
      </c>
      <c r="CR297" s="605">
        <f t="shared" ref="CR297" si="1102">+CQ297</f>
        <v>284</v>
      </c>
      <c r="CS297" s="605">
        <f t="shared" ref="CS297" si="1103">+CR297</f>
        <v>284</v>
      </c>
      <c r="CT297" s="606">
        <f t="shared" ref="CT297" si="1104">+CS297</f>
        <v>284</v>
      </c>
      <c r="CU297" s="604">
        <f>+CT297</f>
        <v>284</v>
      </c>
      <c r="CV297" s="605"/>
      <c r="CW297" s="605"/>
      <c r="CX297" s="605"/>
      <c r="CY297" s="606"/>
      <c r="CZ297" s="604">
        <f>CU297</f>
        <v>284</v>
      </c>
      <c r="DA297" s="605"/>
      <c r="DB297" s="605"/>
      <c r="DC297" s="605"/>
      <c r="DD297" s="606"/>
      <c r="DE297" s="604">
        <f>CZ297</f>
        <v>284</v>
      </c>
      <c r="DF297" s="605"/>
      <c r="DG297" s="605"/>
      <c r="DH297" s="605"/>
      <c r="DI297" s="606"/>
      <c r="DJ297" s="604">
        <f>DE297</f>
        <v>284</v>
      </c>
      <c r="DK297" s="217"/>
      <c r="DL297" s="1286"/>
      <c r="DM297" s="810"/>
      <c r="DN297" s="810"/>
      <c r="DO297" s="810"/>
      <c r="DP297" s="1053"/>
      <c r="DQ297" s="1053"/>
      <c r="DR297" s="1053"/>
      <c r="DS297" s="810"/>
      <c r="DT297" s="1109"/>
      <c r="DU297" s="1109"/>
      <c r="DV297" s="810"/>
      <c r="DW297" s="810"/>
      <c r="DX297" s="810"/>
      <c r="DY297" s="228"/>
      <c r="DZ297" s="216"/>
      <c r="EA297" s="216"/>
      <c r="EB297"/>
      <c r="EC297"/>
      <c r="ED297"/>
      <c r="EE297"/>
      <c r="EF297"/>
      <c r="EG297"/>
    </row>
    <row r="298" spans="1:137" s="224" customFormat="1">
      <c r="A298" s="118" t="s">
        <v>33</v>
      </c>
      <c r="B298" s="119">
        <v>2142</v>
      </c>
      <c r="C298" s="119">
        <v>2796</v>
      </c>
      <c r="D298" s="119">
        <v>2477</v>
      </c>
      <c r="E298" s="119">
        <v>2223</v>
      </c>
      <c r="F298" s="119">
        <v>1724</v>
      </c>
      <c r="G298" s="119">
        <v>755</v>
      </c>
      <c r="H298" s="121">
        <v>330</v>
      </c>
      <c r="I298" s="123">
        <v>0</v>
      </c>
      <c r="J298" s="125">
        <v>0</v>
      </c>
      <c r="K298" s="121">
        <v>0</v>
      </c>
      <c r="L298" s="119">
        <f>K298</f>
        <v>0</v>
      </c>
      <c r="M298" s="125">
        <v>0</v>
      </c>
      <c r="N298" s="125">
        <v>0</v>
      </c>
      <c r="O298" s="125">
        <v>0</v>
      </c>
      <c r="P298" s="121">
        <v>0</v>
      </c>
      <c r="Q298" s="119">
        <f>P298</f>
        <v>0</v>
      </c>
      <c r="R298" s="125">
        <v>0</v>
      </c>
      <c r="S298" s="125">
        <v>0</v>
      </c>
      <c r="T298" s="125">
        <v>0</v>
      </c>
      <c r="U298" s="124">
        <v>0</v>
      </c>
      <c r="V298" s="122">
        <f>U298</f>
        <v>0</v>
      </c>
      <c r="W298" s="125">
        <v>0</v>
      </c>
      <c r="X298" s="125">
        <v>0</v>
      </c>
      <c r="Y298" s="125">
        <v>0</v>
      </c>
      <c r="Z298" s="121">
        <f>Y298</f>
        <v>0</v>
      </c>
      <c r="AA298" s="119">
        <f>Z298</f>
        <v>0</v>
      </c>
      <c r="AB298" s="125">
        <v>0</v>
      </c>
      <c r="AC298" s="125">
        <v>0</v>
      </c>
      <c r="AD298" s="125">
        <v>0</v>
      </c>
      <c r="AE298" s="121">
        <v>0</v>
      </c>
      <c r="AF298" s="119">
        <f>AE298</f>
        <v>0</v>
      </c>
      <c r="AG298" s="121">
        <v>4</v>
      </c>
      <c r="AH298" s="125">
        <v>19</v>
      </c>
      <c r="AI298" s="125">
        <v>0</v>
      </c>
      <c r="AJ298" s="121">
        <v>0</v>
      </c>
      <c r="AK298" s="119">
        <f>AJ298</f>
        <v>0</v>
      </c>
      <c r="AL298" s="125">
        <v>0</v>
      </c>
      <c r="AM298" s="125">
        <v>0</v>
      </c>
      <c r="AN298" s="123">
        <v>0</v>
      </c>
      <c r="AO298" s="124">
        <v>0</v>
      </c>
      <c r="AP298" s="119">
        <f>+AO298</f>
        <v>0</v>
      </c>
      <c r="AQ298" s="743">
        <v>0</v>
      </c>
      <c r="AR298" s="803">
        <v>0</v>
      </c>
      <c r="AS298" s="803">
        <v>0</v>
      </c>
      <c r="AT298" s="606">
        <v>0</v>
      </c>
      <c r="AU298" s="814">
        <f>+AT298</f>
        <v>0</v>
      </c>
      <c r="AV298" s="803">
        <v>0</v>
      </c>
      <c r="AW298" s="803">
        <v>0</v>
      </c>
      <c r="AX298" s="803">
        <v>0</v>
      </c>
      <c r="AY298" s="855">
        <v>0</v>
      </c>
      <c r="AZ298" s="122">
        <f>AY298</f>
        <v>0</v>
      </c>
      <c r="BA298" s="119"/>
      <c r="BB298" s="743">
        <v>0</v>
      </c>
      <c r="BC298" s="803">
        <v>0</v>
      </c>
      <c r="BD298" s="803">
        <v>0</v>
      </c>
      <c r="BE298" s="606">
        <v>0</v>
      </c>
      <c r="BF298" s="119">
        <v>0</v>
      </c>
      <c r="BG298" s="803">
        <v>0</v>
      </c>
      <c r="BH298" s="803">
        <v>0</v>
      </c>
      <c r="BI298" s="803">
        <v>0</v>
      </c>
      <c r="BJ298" s="855">
        <v>0</v>
      </c>
      <c r="BK298" s="119">
        <v>0</v>
      </c>
      <c r="BL298" s="803">
        <v>0</v>
      </c>
      <c r="BM298" s="803">
        <v>0</v>
      </c>
      <c r="BN298" s="803"/>
      <c r="BO298" s="855"/>
      <c r="BP298" s="122"/>
      <c r="BQ298" s="119"/>
      <c r="BR298" s="803"/>
      <c r="BS298" s="803"/>
      <c r="BT298" s="803"/>
      <c r="BU298" s="855">
        <v>0</v>
      </c>
      <c r="BV298" s="119">
        <v>0</v>
      </c>
      <c r="BW298" s="803">
        <v>0</v>
      </c>
      <c r="BX298" s="803">
        <v>0</v>
      </c>
      <c r="BY298" s="803">
        <v>0</v>
      </c>
      <c r="BZ298" s="855">
        <v>0</v>
      </c>
      <c r="CA298" s="122">
        <f>BZ298</f>
        <v>0</v>
      </c>
      <c r="CB298" s="803">
        <v>0</v>
      </c>
      <c r="CC298" s="803">
        <v>0</v>
      </c>
      <c r="CD298" s="803">
        <v>0</v>
      </c>
      <c r="CE298" s="855">
        <f t="shared" ref="CE298" si="1105">+CD298</f>
        <v>0</v>
      </c>
      <c r="CF298" s="814">
        <f>+CE298</f>
        <v>0</v>
      </c>
      <c r="CG298" s="803"/>
      <c r="CH298" s="803"/>
      <c r="CI298" s="803"/>
      <c r="CJ298" s="855"/>
      <c r="CK298" s="122">
        <v>0</v>
      </c>
      <c r="CL298" s="803"/>
      <c r="CM298" s="803"/>
      <c r="CN298" s="803"/>
      <c r="CO298" s="855"/>
      <c r="CP298" s="814">
        <f>+CF298</f>
        <v>0</v>
      </c>
      <c r="CQ298" s="605">
        <f t="shared" ref="CQ298" si="1106">+CF298</f>
        <v>0</v>
      </c>
      <c r="CR298" s="605">
        <f t="shared" ref="CR298" si="1107">+CQ298</f>
        <v>0</v>
      </c>
      <c r="CS298" s="605">
        <f t="shared" ref="CS298" si="1108">+CR298</f>
        <v>0</v>
      </c>
      <c r="CT298" s="606">
        <f t="shared" ref="CT298" si="1109">+CS298</f>
        <v>0</v>
      </c>
      <c r="CU298" s="604">
        <f>+CT298</f>
        <v>0</v>
      </c>
      <c r="CV298" s="803"/>
      <c r="CW298" s="803"/>
      <c r="CX298" s="803"/>
      <c r="CY298" s="855"/>
      <c r="CZ298" s="814">
        <f>CU298</f>
        <v>0</v>
      </c>
      <c r="DA298" s="803"/>
      <c r="DB298" s="803"/>
      <c r="DC298" s="803"/>
      <c r="DD298" s="855"/>
      <c r="DE298" s="814">
        <f>CZ298</f>
        <v>0</v>
      </c>
      <c r="DF298" s="803"/>
      <c r="DG298" s="803"/>
      <c r="DH298" s="803"/>
      <c r="DI298" s="855"/>
      <c r="DJ298" s="814">
        <f>DE298</f>
        <v>0</v>
      </c>
      <c r="DK298" s="217"/>
      <c r="DL298" s="1286"/>
      <c r="DM298" s="810"/>
      <c r="DN298" s="810"/>
      <c r="DO298" s="810"/>
      <c r="DP298" s="1108"/>
      <c r="DQ298" s="1053"/>
      <c r="DR298" s="1108"/>
      <c r="DS298" s="1109"/>
      <c r="DT298" s="1109"/>
      <c r="DU298" s="1109"/>
      <c r="DV298" s="810"/>
      <c r="DW298" s="810"/>
      <c r="DX298" s="810"/>
      <c r="DY298" s="228"/>
      <c r="DZ298" s="216"/>
      <c r="EA298" s="216"/>
      <c r="EB298"/>
      <c r="EC298"/>
      <c r="ED298"/>
      <c r="EE298"/>
      <c r="EF298"/>
      <c r="EG298"/>
    </row>
    <row r="299" spans="1:137" s="224" customFormat="1">
      <c r="A299" s="118" t="s">
        <v>154</v>
      </c>
      <c r="B299" s="119">
        <v>3961</v>
      </c>
      <c r="C299" s="119">
        <v>4262</v>
      </c>
      <c r="D299" s="119">
        <v>5054</v>
      </c>
      <c r="E299" s="119">
        <v>5915</v>
      </c>
      <c r="F299" s="119">
        <v>7278</v>
      </c>
      <c r="G299" s="119">
        <v>9269</v>
      </c>
      <c r="H299" s="121">
        <v>9842</v>
      </c>
      <c r="I299" s="123">
        <v>10304</v>
      </c>
      <c r="J299" s="125">
        <v>10605</v>
      </c>
      <c r="K299" s="121">
        <v>11247</v>
      </c>
      <c r="L299" s="119">
        <f>K299</f>
        <v>11247</v>
      </c>
      <c r="M299" s="125">
        <v>10805</v>
      </c>
      <c r="N299" s="125">
        <v>10756</v>
      </c>
      <c r="O299" s="125">
        <v>11243</v>
      </c>
      <c r="P299" s="121">
        <v>11621</v>
      </c>
      <c r="Q299" s="119">
        <f>P299</f>
        <v>11621</v>
      </c>
      <c r="R299" s="125">
        <v>11583</v>
      </c>
      <c r="S299" s="125">
        <v>11547</v>
      </c>
      <c r="T299" s="125">
        <v>11881</v>
      </c>
      <c r="U299" s="124">
        <v>12351</v>
      </c>
      <c r="V299" s="122">
        <f>U299</f>
        <v>12351</v>
      </c>
      <c r="W299" s="125">
        <v>12267</v>
      </c>
      <c r="X299" s="125">
        <v>11988</v>
      </c>
      <c r="Y299" s="125">
        <v>12150</v>
      </c>
      <c r="Z299" s="121">
        <v>12372</v>
      </c>
      <c r="AA299" s="119">
        <f>Z299</f>
        <v>12372</v>
      </c>
      <c r="AB299" s="125">
        <v>12274</v>
      </c>
      <c r="AC299" s="125">
        <v>11626</v>
      </c>
      <c r="AD299" s="125">
        <v>11189</v>
      </c>
      <c r="AE299" s="124">
        <v>11937</v>
      </c>
      <c r="AF299" s="122">
        <f>AE299</f>
        <v>11937</v>
      </c>
      <c r="AG299" s="121">
        <v>12277</v>
      </c>
      <c r="AH299" s="125">
        <v>12727</v>
      </c>
      <c r="AI299" s="125">
        <v>12703</v>
      </c>
      <c r="AJ299" s="124">
        <v>13211</v>
      </c>
      <c r="AK299" s="122">
        <f>AJ299</f>
        <v>13211</v>
      </c>
      <c r="AL299" s="125">
        <v>13268</v>
      </c>
      <c r="AM299" s="125">
        <v>13416</v>
      </c>
      <c r="AN299" s="125">
        <v>13694</v>
      </c>
      <c r="AO299" s="121">
        <f>AP299</f>
        <v>14200</v>
      </c>
      <c r="AP299" s="119">
        <v>14200</v>
      </c>
      <c r="AQ299" s="152">
        <v>13922</v>
      </c>
      <c r="AR299" s="121">
        <v>13988</v>
      </c>
      <c r="AS299" s="121">
        <v>14124</v>
      </c>
      <c r="AT299" s="120">
        <v>14956</v>
      </c>
      <c r="AU299" s="119">
        <f>AT299</f>
        <v>14956</v>
      </c>
      <c r="AV299" s="121">
        <v>14922</v>
      </c>
      <c r="AW299" s="121">
        <v>14129</v>
      </c>
      <c r="AX299" s="121">
        <v>13828</v>
      </c>
      <c r="AY299" s="120">
        <v>14238</v>
      </c>
      <c r="AZ299" s="122">
        <f>AY299</f>
        <v>14238</v>
      </c>
      <c r="BA299" s="119"/>
      <c r="BB299" s="152">
        <v>13922</v>
      </c>
      <c r="BC299" s="121">
        <v>13988</v>
      </c>
      <c r="BD299" s="121">
        <v>14124</v>
      </c>
      <c r="BE299" s="120">
        <v>14956</v>
      </c>
      <c r="BF299" s="119">
        <v>14956</v>
      </c>
      <c r="BG299" s="121">
        <v>14922</v>
      </c>
      <c r="BH299" s="121">
        <v>14129</v>
      </c>
      <c r="BI299" s="121">
        <v>13828</v>
      </c>
      <c r="BJ299" s="120">
        <v>14238</v>
      </c>
      <c r="BK299" s="119">
        <v>14238</v>
      </c>
      <c r="BL299" s="121">
        <v>14128</v>
      </c>
      <c r="BM299" s="121">
        <v>13800</v>
      </c>
      <c r="BN299" s="121"/>
      <c r="BO299" s="120"/>
      <c r="BP299" s="122"/>
      <c r="BQ299" s="119"/>
      <c r="BR299" s="121"/>
      <c r="BS299" s="121"/>
      <c r="BT299" s="121"/>
      <c r="BU299" s="120">
        <v>14238</v>
      </c>
      <c r="BV299" s="119">
        <v>14238</v>
      </c>
      <c r="BW299" s="121">
        <v>14128</v>
      </c>
      <c r="BX299" s="121">
        <v>13800</v>
      </c>
      <c r="BY299" s="121">
        <v>13023</v>
      </c>
      <c r="BZ299" s="120">
        <v>13324</v>
      </c>
      <c r="CA299" s="122">
        <f>BZ299</f>
        <v>13324</v>
      </c>
      <c r="CB299" s="121">
        <v>13087</v>
      </c>
      <c r="CC299" s="802">
        <v>12616</v>
      </c>
      <c r="CD299" s="121">
        <v>13173</v>
      </c>
      <c r="CE299" s="120">
        <v>11573</v>
      </c>
      <c r="CF299" s="119">
        <f>+CE299</f>
        <v>11573</v>
      </c>
      <c r="CG299" s="121"/>
      <c r="CH299" s="121"/>
      <c r="CI299" s="121"/>
      <c r="CJ299" s="120"/>
      <c r="CK299" s="122">
        <v>13324</v>
      </c>
      <c r="CL299" s="121"/>
      <c r="CM299" s="802"/>
      <c r="CN299" s="121"/>
      <c r="CO299" s="120"/>
      <c r="CP299" s="119">
        <f>+CF299</f>
        <v>11573</v>
      </c>
      <c r="CQ299" s="121">
        <f>CF299+CQ257+CQ215+CQ238+CQ255+CQ256</f>
        <v>11627.126272240343</v>
      </c>
      <c r="CR299" s="121">
        <f t="shared" ref="CR299:CT299" si="1110">CQ299+CR257+CR215+CR238+CR255+CR256</f>
        <v>11816.250466315103</v>
      </c>
      <c r="CS299" s="121">
        <f t="shared" si="1110"/>
        <v>11933.217122085183</v>
      </c>
      <c r="CT299" s="120">
        <f t="shared" si="1110"/>
        <v>12173.529499912189</v>
      </c>
      <c r="CU299" s="119">
        <f>+CT299</f>
        <v>12173.529499912189</v>
      </c>
      <c r="CV299" s="121"/>
      <c r="CW299" s="121"/>
      <c r="CX299" s="121"/>
      <c r="CY299" s="120"/>
      <c r="CZ299" s="119">
        <f>CU299+CZ257+CZ215+CZ238+CZ255+CZ256</f>
        <v>12283.084453007092</v>
      </c>
      <c r="DA299" s="121"/>
      <c r="DB299" s="121"/>
      <c r="DC299" s="121"/>
      <c r="DD299" s="120"/>
      <c r="DE299" s="119">
        <f>CZ299+DE257+DE215+DE238+DE255+DE256</f>
        <v>13046.954693134405</v>
      </c>
      <c r="DF299" s="121"/>
      <c r="DG299" s="121"/>
      <c r="DH299" s="121"/>
      <c r="DI299" s="120"/>
      <c r="DJ299" s="119">
        <f>DE299+DJ257+DJ215+DJ238+DJ255+DJ256</f>
        <v>13916.784158194265</v>
      </c>
      <c r="DK299" s="217"/>
      <c r="DL299" s="1286"/>
      <c r="DM299" s="810"/>
      <c r="DN299" s="810"/>
      <c r="DO299" s="810"/>
      <c r="DP299" s="1108"/>
      <c r="DQ299" s="1053"/>
      <c r="DR299" s="1108"/>
      <c r="DS299" s="1109"/>
      <c r="DT299" s="1109"/>
      <c r="DU299" s="1109"/>
      <c r="DV299" s="810"/>
      <c r="DW299" s="810"/>
      <c r="DX299" s="810"/>
      <c r="DY299" s="228"/>
      <c r="DZ299" s="216"/>
      <c r="EA299" s="216"/>
      <c r="EB299"/>
      <c r="EC299"/>
      <c r="ED299"/>
      <c r="EE299"/>
      <c r="EF299"/>
      <c r="EG299"/>
    </row>
    <row r="300" spans="1:137" s="224" customFormat="1">
      <c r="A300" s="118" t="s">
        <v>263</v>
      </c>
      <c r="B300" s="119">
        <f>-84-17</f>
        <v>-101</v>
      </c>
      <c r="C300" s="119">
        <f>-1598-50</f>
        <v>-1648</v>
      </c>
      <c r="D300" s="119">
        <f>-1204-17</f>
        <v>-1221</v>
      </c>
      <c r="E300" s="119">
        <f>-1532-23</f>
        <v>-1555</v>
      </c>
      <c r="F300" s="119">
        <f>-1553-14</f>
        <v>-1567</v>
      </c>
      <c r="G300" s="119">
        <v>-3561</v>
      </c>
      <c r="H300" s="121">
        <v>-3561</v>
      </c>
      <c r="I300" s="123">
        <v>-3557</v>
      </c>
      <c r="J300" s="125">
        <v>-3588</v>
      </c>
      <c r="K300" s="121">
        <v>-1851</v>
      </c>
      <c r="L300" s="119">
        <f>K300</f>
        <v>-1851</v>
      </c>
      <c r="M300" s="125">
        <v>-1838</v>
      </c>
      <c r="N300" s="125">
        <v>-1816</v>
      </c>
      <c r="O300" s="125">
        <v>-1833</v>
      </c>
      <c r="P300" s="121">
        <v>-9149</v>
      </c>
      <c r="Q300" s="119">
        <f>P300</f>
        <v>-9149</v>
      </c>
      <c r="R300" s="125">
        <v>-9150</v>
      </c>
      <c r="S300" s="125">
        <v>-9109</v>
      </c>
      <c r="T300" s="125">
        <v>-9119</v>
      </c>
      <c r="U300" s="124">
        <v>-8595</v>
      </c>
      <c r="V300" s="122">
        <f>U300</f>
        <v>-8595</v>
      </c>
      <c r="W300" s="125">
        <v>-8608</v>
      </c>
      <c r="X300" s="125">
        <v>-8614</v>
      </c>
      <c r="Y300" s="125">
        <v>-8590</v>
      </c>
      <c r="Z300" s="121">
        <v>-9010</v>
      </c>
      <c r="AA300" s="119">
        <f>Z300</f>
        <v>-9010</v>
      </c>
      <c r="AB300" s="125">
        <v>-8828</v>
      </c>
      <c r="AC300" s="125">
        <v>-8671</v>
      </c>
      <c r="AD300" s="125">
        <v>-8567</v>
      </c>
      <c r="AE300" s="121">
        <v>-11257</v>
      </c>
      <c r="AF300" s="119">
        <f>AE300</f>
        <v>-11257</v>
      </c>
      <c r="AG300" s="121">
        <v>-11030</v>
      </c>
      <c r="AH300" s="125">
        <v>-10864</v>
      </c>
      <c r="AI300" s="125">
        <v>-10582</v>
      </c>
      <c r="AJ300" s="121">
        <v>-13493</v>
      </c>
      <c r="AK300" s="119">
        <f>AJ300</f>
        <v>-13493</v>
      </c>
      <c r="AL300" s="125">
        <v>-13282</v>
      </c>
      <c r="AM300" s="125">
        <v>-13041</v>
      </c>
      <c r="AN300" s="125">
        <v>-12735</v>
      </c>
      <c r="AO300" s="121">
        <f>AP300</f>
        <v>-9601</v>
      </c>
      <c r="AP300" s="119">
        <v>-9601</v>
      </c>
      <c r="AQ300" s="152">
        <v>-9437</v>
      </c>
      <c r="AR300" s="121">
        <v>-9984</v>
      </c>
      <c r="AS300" s="121">
        <v>-9864</v>
      </c>
      <c r="AT300" s="120">
        <v>-11870</v>
      </c>
      <c r="AU300" s="119">
        <f>+AT300</f>
        <v>-11870</v>
      </c>
      <c r="AV300" s="121">
        <v>-11715</v>
      </c>
      <c r="AW300" s="121">
        <v>-11456</v>
      </c>
      <c r="AX300" s="121">
        <v>-11321</v>
      </c>
      <c r="AY300" s="120">
        <v>-11444</v>
      </c>
      <c r="AZ300" s="122">
        <f>AY300</f>
        <v>-11444</v>
      </c>
      <c r="BA300" s="119"/>
      <c r="BB300" s="152">
        <v>-9437</v>
      </c>
      <c r="BC300" s="121">
        <v>-9984</v>
      </c>
      <c r="BD300" s="121">
        <v>-9864</v>
      </c>
      <c r="BE300" s="120">
        <v>-11870</v>
      </c>
      <c r="BF300" s="119">
        <v>-11870</v>
      </c>
      <c r="BG300" s="121">
        <v>-11715</v>
      </c>
      <c r="BH300" s="121">
        <v>-11456</v>
      </c>
      <c r="BI300" s="121">
        <v>-11321</v>
      </c>
      <c r="BJ300" s="120">
        <v>-11444</v>
      </c>
      <c r="BK300" s="119">
        <v>-11444</v>
      </c>
      <c r="BL300" s="121">
        <v>-11254</v>
      </c>
      <c r="BM300" s="121">
        <v>-11104</v>
      </c>
      <c r="BN300" s="121"/>
      <c r="BO300" s="120"/>
      <c r="BP300" s="122"/>
      <c r="BQ300" s="119"/>
      <c r="BR300" s="121"/>
      <c r="BS300" s="121"/>
      <c r="BT300" s="121"/>
      <c r="BU300" s="120">
        <v>-11444</v>
      </c>
      <c r="BV300" s="119">
        <v>-11444</v>
      </c>
      <c r="BW300" s="121">
        <v>-11254</v>
      </c>
      <c r="BX300" s="121">
        <v>-11104</v>
      </c>
      <c r="BY300" s="121">
        <v>-10991</v>
      </c>
      <c r="BZ300" s="120">
        <v>-12102</v>
      </c>
      <c r="CA300" s="122">
        <f>BZ300</f>
        <v>-12102</v>
      </c>
      <c r="CB300" s="121">
        <v>-11892</v>
      </c>
      <c r="CC300" s="802">
        <v>-11637</v>
      </c>
      <c r="CD300" s="121">
        <v>-11360</v>
      </c>
      <c r="CE300" s="120">
        <v>-12540</v>
      </c>
      <c r="CF300" s="119">
        <f>+CE300</f>
        <v>-12540</v>
      </c>
      <c r="CG300" s="121"/>
      <c r="CH300" s="121"/>
      <c r="CI300" s="121"/>
      <c r="CJ300" s="120"/>
      <c r="CK300" s="122">
        <v>-12102</v>
      </c>
      <c r="CL300" s="121"/>
      <c r="CM300" s="802"/>
      <c r="CN300" s="121"/>
      <c r="CO300" s="120"/>
      <c r="CP300" s="119">
        <f>+CF300</f>
        <v>-12540</v>
      </c>
      <c r="CQ300" s="121">
        <v>-12292.533155453126</v>
      </c>
      <c r="CR300" s="121">
        <v>-12045.066310906252</v>
      </c>
      <c r="CS300" s="121">
        <v>-11797.599466359377</v>
      </c>
      <c r="CT300" s="120">
        <v>-11550.132621812503</v>
      </c>
      <c r="CU300" s="119">
        <f>+CT300</f>
        <v>-11550.132621812503</v>
      </c>
      <c r="CV300" s="121"/>
      <c r="CW300" s="121"/>
      <c r="CX300" s="121"/>
      <c r="CY300" s="120"/>
      <c r="CZ300" s="119">
        <v>-10708.390243625003</v>
      </c>
      <c r="DA300" s="121"/>
      <c r="DB300" s="121"/>
      <c r="DC300" s="121"/>
      <c r="DD300" s="120"/>
      <c r="DE300" s="119">
        <v>-10263.319949812503</v>
      </c>
      <c r="DF300" s="121"/>
      <c r="DG300" s="121"/>
      <c r="DH300" s="121"/>
      <c r="DI300" s="120"/>
      <c r="DJ300" s="119">
        <v>-9796.0309060000036</v>
      </c>
      <c r="DK300" s="217"/>
      <c r="DL300" s="1286"/>
      <c r="DM300" s="810"/>
      <c r="DN300" s="810"/>
      <c r="DO300" s="810"/>
      <c r="DP300" s="1110"/>
      <c r="DQ300" s="1053"/>
      <c r="DR300" s="1110"/>
      <c r="DS300" s="1109"/>
      <c r="DT300" s="1109"/>
      <c r="DU300" s="1109"/>
      <c r="DV300" s="810"/>
      <c r="DW300" s="810"/>
      <c r="DX300" s="810"/>
      <c r="DY300" s="228"/>
      <c r="DZ300" s="216"/>
      <c r="EA300" s="216"/>
      <c r="EB300"/>
      <c r="EC300"/>
      <c r="ED300"/>
      <c r="EE300"/>
      <c r="EF300"/>
      <c r="EG300"/>
    </row>
    <row r="301" spans="1:137" s="224" customFormat="1">
      <c r="A301" s="1012" t="s">
        <v>349</v>
      </c>
      <c r="B301" s="119"/>
      <c r="C301" s="119"/>
      <c r="D301" s="119"/>
      <c r="E301" s="119"/>
      <c r="F301" s="119"/>
      <c r="G301" s="119"/>
      <c r="H301" s="121"/>
      <c r="I301" s="123"/>
      <c r="J301" s="125"/>
      <c r="K301" s="121"/>
      <c r="L301" s="119"/>
      <c r="M301" s="125"/>
      <c r="N301" s="125"/>
      <c r="O301" s="125"/>
      <c r="P301" s="121"/>
      <c r="Q301" s="119"/>
      <c r="R301" s="125"/>
      <c r="S301" s="125"/>
      <c r="T301" s="125"/>
      <c r="U301" s="124"/>
      <c r="V301" s="122"/>
      <c r="W301" s="125"/>
      <c r="X301" s="125"/>
      <c r="Y301" s="125"/>
      <c r="Z301" s="121"/>
      <c r="AA301" s="119"/>
      <c r="AB301" s="125"/>
      <c r="AC301" s="125"/>
      <c r="AD301" s="125"/>
      <c r="AE301" s="121"/>
      <c r="AF301" s="119"/>
      <c r="AG301" s="121"/>
      <c r="AH301" s="125"/>
      <c r="AI301" s="125"/>
      <c r="AJ301" s="121"/>
      <c r="AK301" s="119"/>
      <c r="AL301" s="125"/>
      <c r="AM301" s="125"/>
      <c r="AN301" s="125"/>
      <c r="AO301" s="121"/>
      <c r="AP301" s="119"/>
      <c r="AQ301" s="152"/>
      <c r="AR301" s="121"/>
      <c r="AS301" s="121"/>
      <c r="AT301" s="120"/>
      <c r="AU301" s="119"/>
      <c r="AV301" s="121"/>
      <c r="AW301" s="121"/>
      <c r="AX301" s="121"/>
      <c r="AY301" s="120"/>
      <c r="AZ301" s="122"/>
      <c r="BA301" s="119"/>
      <c r="BB301" s="152"/>
      <c r="BC301" s="121"/>
      <c r="BD301" s="121"/>
      <c r="BE301" s="120"/>
      <c r="BF301" s="119"/>
      <c r="BG301" s="121"/>
      <c r="BH301" s="121"/>
      <c r="BI301" s="121"/>
      <c r="BJ301" s="120">
        <v>0</v>
      </c>
      <c r="BK301" s="119">
        <v>0</v>
      </c>
      <c r="BL301" s="121">
        <v>0</v>
      </c>
      <c r="BM301" s="121">
        <v>0</v>
      </c>
      <c r="BN301" s="121"/>
      <c r="BO301" s="120"/>
      <c r="BP301" s="122"/>
      <c r="BQ301" s="119"/>
      <c r="BR301" s="121"/>
      <c r="BS301" s="121"/>
      <c r="BT301" s="121"/>
      <c r="BU301" s="120">
        <v>0</v>
      </c>
      <c r="BV301" s="119">
        <v>0</v>
      </c>
      <c r="BW301" s="121">
        <v>0</v>
      </c>
      <c r="BX301" s="121">
        <v>0</v>
      </c>
      <c r="BY301" s="121">
        <v>107</v>
      </c>
      <c r="BZ301" s="120">
        <v>95</v>
      </c>
      <c r="CA301" s="122">
        <f>BZ301</f>
        <v>95</v>
      </c>
      <c r="CB301" s="121">
        <v>102</v>
      </c>
      <c r="CC301" s="802">
        <v>84</v>
      </c>
      <c r="CD301" s="802">
        <v>77</v>
      </c>
      <c r="CE301" s="802">
        <v>74</v>
      </c>
      <c r="CF301" s="119">
        <f>+CE301</f>
        <v>74</v>
      </c>
      <c r="CG301" s="121"/>
      <c r="CH301" s="121"/>
      <c r="CI301" s="121"/>
      <c r="CJ301" s="120"/>
      <c r="CK301" s="122">
        <v>95</v>
      </c>
      <c r="CL301" s="121"/>
      <c r="CM301" s="802"/>
      <c r="CN301" s="802"/>
      <c r="CO301" s="802"/>
      <c r="CP301" s="119">
        <f>+CF301</f>
        <v>74</v>
      </c>
      <c r="CQ301" s="121">
        <f t="shared" ref="CQ301" si="1111">+CF301</f>
        <v>74</v>
      </c>
      <c r="CR301" s="121">
        <f t="shared" ref="CR301" si="1112">+CQ301</f>
        <v>74</v>
      </c>
      <c r="CS301" s="121">
        <f t="shared" ref="CS301" si="1113">+CR301</f>
        <v>74</v>
      </c>
      <c r="CT301" s="120">
        <f t="shared" ref="CT301" si="1114">+CS301</f>
        <v>74</v>
      </c>
      <c r="CU301" s="119">
        <f>CT301</f>
        <v>74</v>
      </c>
      <c r="CV301" s="121"/>
      <c r="CW301" s="121"/>
      <c r="CX301" s="121"/>
      <c r="CY301" s="120"/>
      <c r="CZ301" s="119">
        <f>+CU301</f>
        <v>74</v>
      </c>
      <c r="DA301" s="121"/>
      <c r="DB301" s="121"/>
      <c r="DC301" s="121"/>
      <c r="DD301" s="120"/>
      <c r="DE301" s="119">
        <f>+CZ301</f>
        <v>74</v>
      </c>
      <c r="DF301" s="121"/>
      <c r="DG301" s="121"/>
      <c r="DH301" s="121"/>
      <c r="DI301" s="120"/>
      <c r="DJ301" s="119">
        <f>+DE301</f>
        <v>74</v>
      </c>
      <c r="DK301" s="217"/>
      <c r="DL301" s="1286"/>
      <c r="DM301" s="810"/>
      <c r="DN301" s="810"/>
      <c r="DO301" s="810"/>
      <c r="DP301" s="1110"/>
      <c r="DQ301" s="1053"/>
      <c r="DR301" s="1110"/>
      <c r="DS301" s="1109"/>
      <c r="DT301" s="1109"/>
      <c r="DU301" s="1109"/>
      <c r="DV301" s="810"/>
      <c r="DW301" s="810"/>
      <c r="DX301" s="810"/>
      <c r="DY301" s="228"/>
      <c r="DZ301" s="216"/>
      <c r="EA301" s="216"/>
      <c r="EB301"/>
      <c r="EC301"/>
      <c r="ED301"/>
      <c r="EE301"/>
      <c r="EF301"/>
      <c r="EG301"/>
    </row>
    <row r="302" spans="1:137" s="224" customFormat="1">
      <c r="A302" s="141" t="s">
        <v>112</v>
      </c>
      <c r="B302" s="139">
        <f t="shared" ref="B302:BM302" si="1115">SUM(B297:B301)</f>
        <v>6443</v>
      </c>
      <c r="C302" s="139">
        <f t="shared" si="1115"/>
        <v>5865</v>
      </c>
      <c r="D302" s="139">
        <f t="shared" si="1115"/>
        <v>6756</v>
      </c>
      <c r="E302" s="139">
        <f t="shared" si="1115"/>
        <v>7021</v>
      </c>
      <c r="F302" s="139">
        <f t="shared" si="1115"/>
        <v>7867</v>
      </c>
      <c r="G302" s="139">
        <f t="shared" si="1115"/>
        <v>6884</v>
      </c>
      <c r="H302" s="141">
        <f t="shared" si="1115"/>
        <v>7028</v>
      </c>
      <c r="I302" s="141">
        <f t="shared" si="1115"/>
        <v>7159</v>
      </c>
      <c r="J302" s="141">
        <f t="shared" si="1115"/>
        <v>7428</v>
      </c>
      <c r="K302" s="141">
        <f t="shared" si="1115"/>
        <v>9805</v>
      </c>
      <c r="L302" s="139">
        <f t="shared" si="1115"/>
        <v>9805</v>
      </c>
      <c r="M302" s="141">
        <f t="shared" si="1115"/>
        <v>9367</v>
      </c>
      <c r="N302" s="141">
        <f t="shared" si="1115"/>
        <v>9334</v>
      </c>
      <c r="O302" s="141">
        <f t="shared" si="1115"/>
        <v>9808</v>
      </c>
      <c r="P302" s="141">
        <f t="shared" si="1115"/>
        <v>2865</v>
      </c>
      <c r="Q302" s="139">
        <f t="shared" si="1115"/>
        <v>2865</v>
      </c>
      <c r="R302" s="141">
        <f t="shared" si="1115"/>
        <v>2819</v>
      </c>
      <c r="S302" s="141">
        <f t="shared" si="1115"/>
        <v>2820</v>
      </c>
      <c r="T302" s="141">
        <f t="shared" si="1115"/>
        <v>3140</v>
      </c>
      <c r="U302" s="141">
        <f t="shared" si="1115"/>
        <v>4129</v>
      </c>
      <c r="V302" s="139">
        <f t="shared" si="1115"/>
        <v>4129</v>
      </c>
      <c r="W302" s="141">
        <f t="shared" si="1115"/>
        <v>4028</v>
      </c>
      <c r="X302" s="141">
        <f t="shared" si="1115"/>
        <v>3734</v>
      </c>
      <c r="Y302" s="141">
        <f t="shared" si="1115"/>
        <v>3918</v>
      </c>
      <c r="Z302" s="141">
        <f t="shared" si="1115"/>
        <v>3708</v>
      </c>
      <c r="AA302" s="139">
        <f t="shared" si="1115"/>
        <v>3708</v>
      </c>
      <c r="AB302" s="141">
        <f t="shared" si="1115"/>
        <v>3791</v>
      </c>
      <c r="AC302" s="141">
        <f t="shared" si="1115"/>
        <v>3288</v>
      </c>
      <c r="AD302" s="141">
        <f t="shared" si="1115"/>
        <v>2943</v>
      </c>
      <c r="AE302" s="141">
        <f t="shared" si="1115"/>
        <v>1001</v>
      </c>
      <c r="AF302" s="139">
        <f t="shared" si="1115"/>
        <v>1001</v>
      </c>
      <c r="AG302" s="141">
        <f t="shared" si="1115"/>
        <v>1573</v>
      </c>
      <c r="AH302" s="141">
        <f t="shared" si="1115"/>
        <v>2204</v>
      </c>
      <c r="AI302" s="141">
        <f t="shared" si="1115"/>
        <v>2442</v>
      </c>
      <c r="AJ302" s="141">
        <f t="shared" si="1115"/>
        <v>39</v>
      </c>
      <c r="AK302" s="139">
        <f t="shared" si="1115"/>
        <v>39</v>
      </c>
      <c r="AL302" s="141">
        <f t="shared" si="1115"/>
        <v>304</v>
      </c>
      <c r="AM302" s="141">
        <f t="shared" si="1115"/>
        <v>694</v>
      </c>
      <c r="AN302" s="141">
        <f t="shared" si="1115"/>
        <v>1277</v>
      </c>
      <c r="AO302" s="141">
        <f t="shared" si="1115"/>
        <v>4918</v>
      </c>
      <c r="AP302" s="139">
        <f t="shared" si="1115"/>
        <v>4918</v>
      </c>
      <c r="AQ302" s="223">
        <f t="shared" si="1115"/>
        <v>4800</v>
      </c>
      <c r="AR302" s="141">
        <f t="shared" si="1115"/>
        <v>4319</v>
      </c>
      <c r="AS302" s="141">
        <f t="shared" si="1115"/>
        <v>4574</v>
      </c>
      <c r="AT302" s="140">
        <f t="shared" si="1115"/>
        <v>3400</v>
      </c>
      <c r="AU302" s="139">
        <f t="shared" si="1115"/>
        <v>3400</v>
      </c>
      <c r="AV302" s="141">
        <f t="shared" si="1115"/>
        <v>3520</v>
      </c>
      <c r="AW302" s="141">
        <f t="shared" si="1115"/>
        <v>2982</v>
      </c>
      <c r="AX302" s="141">
        <f t="shared" si="1115"/>
        <v>2813</v>
      </c>
      <c r="AY302" s="140">
        <f t="shared" si="1115"/>
        <v>3097</v>
      </c>
      <c r="AZ302" s="139">
        <f t="shared" si="1115"/>
        <v>3097</v>
      </c>
      <c r="BA302" s="139"/>
      <c r="BB302" s="223">
        <f t="shared" si="1115"/>
        <v>4800</v>
      </c>
      <c r="BC302" s="141">
        <f t="shared" si="1115"/>
        <v>4319</v>
      </c>
      <c r="BD302" s="141">
        <f t="shared" si="1115"/>
        <v>4574</v>
      </c>
      <c r="BE302" s="140">
        <f t="shared" si="1115"/>
        <v>3400</v>
      </c>
      <c r="BF302" s="139">
        <f t="shared" si="1115"/>
        <v>3400</v>
      </c>
      <c r="BG302" s="141">
        <f t="shared" si="1115"/>
        <v>3520</v>
      </c>
      <c r="BH302" s="141">
        <f t="shared" si="1115"/>
        <v>2982</v>
      </c>
      <c r="BI302" s="141">
        <f t="shared" si="1115"/>
        <v>2813</v>
      </c>
      <c r="BJ302" s="140">
        <f t="shared" si="1115"/>
        <v>3097</v>
      </c>
      <c r="BK302" s="139">
        <f t="shared" si="1115"/>
        <v>3097</v>
      </c>
      <c r="BL302" s="141">
        <f t="shared" si="1115"/>
        <v>3177</v>
      </c>
      <c r="BM302" s="141">
        <f t="shared" si="1115"/>
        <v>2997</v>
      </c>
      <c r="BN302" s="141"/>
      <c r="BO302" s="140"/>
      <c r="BP302" s="139"/>
      <c r="BQ302" s="139"/>
      <c r="BR302" s="141"/>
      <c r="BS302" s="141"/>
      <c r="BT302" s="141"/>
      <c r="BU302" s="140">
        <f t="shared" ref="BU302" si="1116">SUM(BU297:BU301)</f>
        <v>3097</v>
      </c>
      <c r="BV302" s="139">
        <f t="shared" ref="BV302" si="1117">SUM(BV297:BV301)</f>
        <v>3097</v>
      </c>
      <c r="BW302" s="141">
        <f t="shared" ref="BW302" si="1118">SUM(BW297:BW301)</f>
        <v>3177</v>
      </c>
      <c r="BX302" s="141">
        <f t="shared" ref="BX302" si="1119">SUM(BX297:BX301)</f>
        <v>2997</v>
      </c>
      <c r="BY302" s="141">
        <f>SUM(BY297:BY301)</f>
        <v>2430</v>
      </c>
      <c r="BZ302" s="140">
        <f t="shared" ref="BZ302" si="1120">SUM(BZ297:BZ301)</f>
        <v>1606</v>
      </c>
      <c r="CA302" s="139">
        <f t="shared" ref="CA302" si="1121">SUM(CA297:CA301)</f>
        <v>1606</v>
      </c>
      <c r="CB302" s="141">
        <f t="shared" ref="CB302" si="1122">SUM(CB297:CB301)</f>
        <v>1585</v>
      </c>
      <c r="CC302" s="141">
        <f t="shared" ref="CC302" si="1123">SUM(CC297:CC301)</f>
        <v>1349</v>
      </c>
      <c r="CD302" s="141">
        <f>SUM(CD297:CD301)</f>
        <v>2175</v>
      </c>
      <c r="CE302" s="140">
        <f t="shared" ref="CE302" si="1124">SUM(CE297:CE301)</f>
        <v>-609</v>
      </c>
      <c r="CF302" s="139">
        <f t="shared" ref="CF302:DJ302" si="1125">SUM(CF297:CF301)</f>
        <v>-609</v>
      </c>
      <c r="CG302" s="141"/>
      <c r="CH302" s="141"/>
      <c r="CI302" s="141"/>
      <c r="CJ302" s="140"/>
      <c r="CK302" s="139">
        <f t="shared" ref="CK302" si="1126">SUM(CK297:CK301)</f>
        <v>1606</v>
      </c>
      <c r="CL302" s="141"/>
      <c r="CM302" s="141"/>
      <c r="CN302" s="141"/>
      <c r="CO302" s="140"/>
      <c r="CP302" s="139">
        <f t="shared" ref="CP302" si="1127">SUM(CP297:CP301)</f>
        <v>-609</v>
      </c>
      <c r="CQ302" s="141">
        <f t="shared" si="1125"/>
        <v>-307.40688321278321</v>
      </c>
      <c r="CR302" s="141">
        <f t="shared" si="1125"/>
        <v>129.18415540885144</v>
      </c>
      <c r="CS302" s="141">
        <f t="shared" si="1125"/>
        <v>493.61765572580589</v>
      </c>
      <c r="CT302" s="140">
        <f t="shared" si="1125"/>
        <v>981.39687809968564</v>
      </c>
      <c r="CU302" s="139">
        <f t="shared" si="1125"/>
        <v>981.39687809968564</v>
      </c>
      <c r="CV302" s="141">
        <f t="shared" si="1125"/>
        <v>0</v>
      </c>
      <c r="CW302" s="141">
        <f t="shared" si="1125"/>
        <v>0</v>
      </c>
      <c r="CX302" s="141">
        <f t="shared" si="1125"/>
        <v>0</v>
      </c>
      <c r="CY302" s="140">
        <f t="shared" si="1125"/>
        <v>0</v>
      </c>
      <c r="CZ302" s="139">
        <f t="shared" si="1125"/>
        <v>1932.694209382089</v>
      </c>
      <c r="DA302" s="141">
        <f t="shared" si="1125"/>
        <v>0</v>
      </c>
      <c r="DB302" s="141">
        <f t="shared" si="1125"/>
        <v>0</v>
      </c>
      <c r="DC302" s="141">
        <f t="shared" si="1125"/>
        <v>0</v>
      </c>
      <c r="DD302" s="140">
        <f t="shared" si="1125"/>
        <v>0</v>
      </c>
      <c r="DE302" s="139">
        <f t="shared" si="1125"/>
        <v>3141.6347433219016</v>
      </c>
      <c r="DF302" s="141">
        <f t="shared" si="1125"/>
        <v>0</v>
      </c>
      <c r="DG302" s="141">
        <f t="shared" si="1125"/>
        <v>0</v>
      </c>
      <c r="DH302" s="141">
        <f t="shared" si="1125"/>
        <v>0</v>
      </c>
      <c r="DI302" s="140">
        <f t="shared" si="1125"/>
        <v>0</v>
      </c>
      <c r="DJ302" s="139">
        <f t="shared" si="1125"/>
        <v>4478.7532521942612</v>
      </c>
      <c r="DK302" s="217"/>
      <c r="DL302" s="1286"/>
      <c r="DM302" s="810"/>
      <c r="DN302" s="810"/>
      <c r="DO302" s="810"/>
      <c r="DP302" s="1053"/>
      <c r="DQ302" s="1053"/>
      <c r="DR302" s="1053"/>
      <c r="DS302" s="810"/>
      <c r="DT302" s="810"/>
      <c r="DU302" s="810"/>
      <c r="DV302" s="810"/>
      <c r="DW302" s="810"/>
      <c r="DX302" s="810"/>
      <c r="DY302" s="228"/>
      <c r="DZ302" s="216"/>
      <c r="EA302" s="216"/>
      <c r="EB302"/>
      <c r="EC302"/>
      <c r="ED302"/>
      <c r="EE302"/>
      <c r="EF302"/>
      <c r="EG302"/>
    </row>
    <row r="303" spans="1:137" s="224" customFormat="1">
      <c r="A303" s="141" t="s">
        <v>113</v>
      </c>
      <c r="B303" s="139">
        <f t="shared" ref="B303:AL303" si="1128">SUM(B295,B302)</f>
        <v>27654</v>
      </c>
      <c r="C303" s="139">
        <f t="shared" si="1128"/>
        <v>26979</v>
      </c>
      <c r="D303" s="139">
        <f t="shared" si="1128"/>
        <v>26175</v>
      </c>
      <c r="E303" s="139">
        <f t="shared" si="1128"/>
        <v>25554</v>
      </c>
      <c r="F303" s="139">
        <f t="shared" si="1128"/>
        <v>27744</v>
      </c>
      <c r="G303" s="139">
        <f t="shared" si="1128"/>
        <v>28231</v>
      </c>
      <c r="H303" s="141">
        <f t="shared" si="1128"/>
        <v>28853</v>
      </c>
      <c r="I303" s="141">
        <f t="shared" si="1128"/>
        <v>29814</v>
      </c>
      <c r="J303" s="141">
        <f t="shared" si="1128"/>
        <v>29787</v>
      </c>
      <c r="K303" s="141">
        <f t="shared" si="1128"/>
        <v>28926</v>
      </c>
      <c r="L303" s="139">
        <f t="shared" si="1128"/>
        <v>28926</v>
      </c>
      <c r="M303" s="141">
        <f t="shared" si="1128"/>
        <v>29149</v>
      </c>
      <c r="N303" s="141">
        <f t="shared" si="1128"/>
        <v>29461</v>
      </c>
      <c r="O303" s="141">
        <f t="shared" si="1128"/>
        <v>29357</v>
      </c>
      <c r="P303" s="141">
        <f t="shared" si="1128"/>
        <v>33439</v>
      </c>
      <c r="Q303" s="139">
        <f t="shared" si="1128"/>
        <v>33439</v>
      </c>
      <c r="R303" s="141">
        <f t="shared" si="1128"/>
        <v>34533</v>
      </c>
      <c r="S303" s="141">
        <f t="shared" si="1128"/>
        <v>34788</v>
      </c>
      <c r="T303" s="141">
        <f t="shared" si="1128"/>
        <v>35742</v>
      </c>
      <c r="U303" s="141">
        <f t="shared" si="1128"/>
        <v>35111</v>
      </c>
      <c r="V303" s="139">
        <f t="shared" si="1128"/>
        <v>35111</v>
      </c>
      <c r="W303" s="141">
        <f t="shared" si="1128"/>
        <v>36287</v>
      </c>
      <c r="X303" s="141">
        <f t="shared" si="1128"/>
        <v>36239</v>
      </c>
      <c r="Y303" s="141">
        <f t="shared" si="1128"/>
        <v>35551</v>
      </c>
      <c r="Z303" s="141">
        <f t="shared" si="1128"/>
        <v>35067</v>
      </c>
      <c r="AA303" s="139">
        <f t="shared" si="1128"/>
        <v>35067</v>
      </c>
      <c r="AB303" s="141">
        <f t="shared" si="1128"/>
        <v>36677</v>
      </c>
      <c r="AC303" s="141">
        <f t="shared" si="1128"/>
        <v>35718</v>
      </c>
      <c r="AD303" s="141">
        <f t="shared" si="1128"/>
        <v>36187</v>
      </c>
      <c r="AE303" s="141">
        <f t="shared" si="1128"/>
        <v>37908</v>
      </c>
      <c r="AF303" s="139">
        <f t="shared" si="1128"/>
        <v>37908</v>
      </c>
      <c r="AG303" s="141">
        <f t="shared" si="1128"/>
        <v>38340</v>
      </c>
      <c r="AH303" s="141">
        <f t="shared" si="1128"/>
        <v>38386</v>
      </c>
      <c r="AI303" s="141">
        <f t="shared" si="1128"/>
        <v>39321</v>
      </c>
      <c r="AJ303" s="141">
        <f t="shared" si="1128"/>
        <v>38657</v>
      </c>
      <c r="AK303" s="139">
        <f>SUM(AK295,AK302)</f>
        <v>38657</v>
      </c>
      <c r="AL303" s="141">
        <f t="shared" si="1128"/>
        <v>39580</v>
      </c>
      <c r="AM303" s="141">
        <f t="shared" ref="AM303:BK303" si="1129">SUM(AM295,AM302)</f>
        <v>38947</v>
      </c>
      <c r="AN303" s="141">
        <f t="shared" si="1129"/>
        <v>38907</v>
      </c>
      <c r="AO303" s="141">
        <f>SUM(AO295,AO302)</f>
        <v>36188</v>
      </c>
      <c r="AP303" s="139">
        <f t="shared" si="1129"/>
        <v>36188</v>
      </c>
      <c r="AQ303" s="223">
        <f>SUM(AQ295,AQ302)</f>
        <v>36919</v>
      </c>
      <c r="AR303" s="141">
        <f t="shared" si="1129"/>
        <v>37250</v>
      </c>
      <c r="AS303" s="141">
        <f t="shared" si="1129"/>
        <v>36933</v>
      </c>
      <c r="AT303" s="140">
        <f t="shared" si="1129"/>
        <v>37073</v>
      </c>
      <c r="AU303" s="139">
        <f t="shared" si="1129"/>
        <v>37073</v>
      </c>
      <c r="AV303" s="141">
        <f>SUM(AV295,AV302)</f>
        <v>39752</v>
      </c>
      <c r="AW303" s="141">
        <f>SUM(AW295,AW302)</f>
        <v>39848</v>
      </c>
      <c r="AX303" s="141">
        <f>SUM(AX295,AX302)</f>
        <v>39617</v>
      </c>
      <c r="AY303" s="140">
        <f>SUM(AY295,AY302)</f>
        <v>49128</v>
      </c>
      <c r="AZ303" s="139">
        <f>SUM(AZ295,AZ302)</f>
        <v>49128</v>
      </c>
      <c r="BA303" s="139"/>
      <c r="BB303" s="223">
        <f>SUM(BB295,BB302)</f>
        <v>36919</v>
      </c>
      <c r="BC303" s="141">
        <f t="shared" ref="BC303:BE303" si="1130">SUM(BC295,BC302)</f>
        <v>37250</v>
      </c>
      <c r="BD303" s="141">
        <f t="shared" si="1130"/>
        <v>36933</v>
      </c>
      <c r="BE303" s="140">
        <f t="shared" si="1130"/>
        <v>37073</v>
      </c>
      <c r="BF303" s="139">
        <f>SUM(BF295,BF302)</f>
        <v>37046</v>
      </c>
      <c r="BG303" s="141">
        <f>SUM(BG295,BG302)</f>
        <v>39752</v>
      </c>
      <c r="BH303" s="141">
        <f t="shared" ref="BH303:BJ303" si="1131">SUM(BH295,BH302)</f>
        <v>39848</v>
      </c>
      <c r="BI303" s="141">
        <f t="shared" si="1131"/>
        <v>39617</v>
      </c>
      <c r="BJ303" s="140">
        <f t="shared" si="1131"/>
        <v>49128</v>
      </c>
      <c r="BK303" s="139">
        <f t="shared" si="1129"/>
        <v>49128</v>
      </c>
      <c r="BL303" s="141">
        <f>SUM(BL295,BL302)</f>
        <v>50158</v>
      </c>
      <c r="BM303" s="141">
        <f t="shared" ref="BM303" si="1132">SUM(BM295,BM302)</f>
        <v>50408</v>
      </c>
      <c r="BN303" s="141"/>
      <c r="BO303" s="140"/>
      <c r="BP303" s="139"/>
      <c r="BQ303" s="139"/>
      <c r="BR303" s="141"/>
      <c r="BS303" s="141"/>
      <c r="BT303" s="141"/>
      <c r="BU303" s="140">
        <f t="shared" ref="BU303:BV303" si="1133">SUM(BU295,BU302)</f>
        <v>49304</v>
      </c>
      <c r="BV303" s="139">
        <f t="shared" si="1133"/>
        <v>49304</v>
      </c>
      <c r="BW303" s="141">
        <f>SUM(BW295,BW302)</f>
        <v>50158</v>
      </c>
      <c r="BX303" s="141">
        <f t="shared" ref="BX303:CA303" si="1134">SUM(BX295,BX302)</f>
        <v>50408</v>
      </c>
      <c r="BY303" s="141">
        <f t="shared" si="1134"/>
        <v>48739</v>
      </c>
      <c r="BZ303" s="140">
        <f t="shared" si="1134"/>
        <v>47806</v>
      </c>
      <c r="CA303" s="139">
        <f t="shared" si="1134"/>
        <v>47806</v>
      </c>
      <c r="CB303" s="141">
        <f>SUM(CB295,CB302)</f>
        <v>48836</v>
      </c>
      <c r="CC303" s="141">
        <f t="shared" ref="CC303:CT303" si="1135">SUM(CC295,CC302)</f>
        <v>48711</v>
      </c>
      <c r="CD303" s="141">
        <f t="shared" si="1135"/>
        <v>48946</v>
      </c>
      <c r="CE303" s="140">
        <f t="shared" si="1135"/>
        <v>46521</v>
      </c>
      <c r="CF303" s="139">
        <f>SUM(CF295,CF302)</f>
        <v>46521</v>
      </c>
      <c r="CG303" s="141"/>
      <c r="CH303" s="141"/>
      <c r="CI303" s="141"/>
      <c r="CJ303" s="140"/>
      <c r="CK303" s="139">
        <f t="shared" ref="CK303" si="1136">SUM(CK295,CK302)</f>
        <v>47806</v>
      </c>
      <c r="CL303" s="141"/>
      <c r="CM303" s="141"/>
      <c r="CN303" s="141"/>
      <c r="CO303" s="140"/>
      <c r="CP303" s="139">
        <f>SUM(CP295,CP302)</f>
        <v>46521</v>
      </c>
      <c r="CQ303" s="141">
        <f t="shared" si="1135"/>
        <v>47361.13801745214</v>
      </c>
      <c r="CR303" s="141">
        <f t="shared" si="1135"/>
        <v>48741.953305577474</v>
      </c>
      <c r="CS303" s="141">
        <f t="shared" si="1135"/>
        <v>47180.949564359398</v>
      </c>
      <c r="CT303" s="140">
        <f t="shared" si="1135"/>
        <v>44474.273685217544</v>
      </c>
      <c r="CU303" s="139">
        <f>SUM(CU295,CU302)</f>
        <v>44474.273685217544</v>
      </c>
      <c r="CV303" s="141"/>
      <c r="CW303" s="141"/>
      <c r="CX303" s="141"/>
      <c r="CY303" s="140"/>
      <c r="CZ303" s="139">
        <f>SUM(CZ295,CZ302)</f>
        <v>45789.324874618142</v>
      </c>
      <c r="DA303" s="141"/>
      <c r="DB303" s="141"/>
      <c r="DC303" s="141"/>
      <c r="DD303" s="140"/>
      <c r="DE303" s="139">
        <f>SUM(DE295,DE302)</f>
        <v>46364.252631521173</v>
      </c>
      <c r="DF303" s="141"/>
      <c r="DG303" s="141"/>
      <c r="DH303" s="141"/>
      <c r="DI303" s="140"/>
      <c r="DJ303" s="139">
        <f>SUM(DJ295,DJ302)</f>
        <v>46083.878060277479</v>
      </c>
      <c r="DK303" s="217"/>
      <c r="DL303" s="1286"/>
      <c r="DM303" s="810"/>
      <c r="DN303" s="810"/>
      <c r="DO303" s="810"/>
      <c r="DP303" s="1053"/>
      <c r="DQ303" s="1053"/>
      <c r="DR303" s="1053"/>
      <c r="DS303" s="810"/>
      <c r="DT303" s="810"/>
      <c r="DU303" s="810"/>
      <c r="DV303" s="810"/>
      <c r="DW303" s="810"/>
      <c r="DX303" s="810"/>
      <c r="DY303" s="228"/>
      <c r="DZ303" s="216"/>
      <c r="EA303" s="216"/>
      <c r="EB303"/>
      <c r="EC303"/>
      <c r="ED303"/>
      <c r="EE303"/>
      <c r="EF303"/>
      <c r="EG303"/>
    </row>
    <row r="304" spans="1:137" s="398" customFormat="1">
      <c r="A304" s="276" t="s">
        <v>204</v>
      </c>
      <c r="B304" s="277">
        <f t="shared" ref="B304:AG304" si="1137">B281-B303</f>
        <v>0</v>
      </c>
      <c r="C304" s="277">
        <f t="shared" si="1137"/>
        <v>0</v>
      </c>
      <c r="D304" s="277">
        <f t="shared" si="1137"/>
        <v>0</v>
      </c>
      <c r="E304" s="277">
        <f t="shared" si="1137"/>
        <v>0</v>
      </c>
      <c r="F304" s="277">
        <f t="shared" si="1137"/>
        <v>0</v>
      </c>
      <c r="G304" s="277">
        <f t="shared" si="1137"/>
        <v>0</v>
      </c>
      <c r="H304" s="279">
        <f t="shared" si="1137"/>
        <v>0</v>
      </c>
      <c r="I304" s="276">
        <f t="shared" si="1137"/>
        <v>0</v>
      </c>
      <c r="J304" s="276">
        <f t="shared" si="1137"/>
        <v>0</v>
      </c>
      <c r="K304" s="279">
        <f t="shared" si="1137"/>
        <v>0</v>
      </c>
      <c r="L304" s="277">
        <f t="shared" si="1137"/>
        <v>0</v>
      </c>
      <c r="M304" s="276">
        <f t="shared" si="1137"/>
        <v>0</v>
      </c>
      <c r="N304" s="276">
        <f t="shared" si="1137"/>
        <v>0</v>
      </c>
      <c r="O304" s="276">
        <f t="shared" si="1137"/>
        <v>0</v>
      </c>
      <c r="P304" s="279">
        <f t="shared" si="1137"/>
        <v>0</v>
      </c>
      <c r="Q304" s="277">
        <f t="shared" si="1137"/>
        <v>0</v>
      </c>
      <c r="R304" s="276">
        <f t="shared" si="1137"/>
        <v>0</v>
      </c>
      <c r="S304" s="276">
        <f t="shared" si="1137"/>
        <v>0</v>
      </c>
      <c r="T304" s="276">
        <f t="shared" si="1137"/>
        <v>0</v>
      </c>
      <c r="U304" s="279">
        <f t="shared" si="1137"/>
        <v>0</v>
      </c>
      <c r="V304" s="277">
        <f t="shared" si="1137"/>
        <v>0</v>
      </c>
      <c r="W304" s="276">
        <f t="shared" si="1137"/>
        <v>0</v>
      </c>
      <c r="X304" s="276">
        <f t="shared" si="1137"/>
        <v>0</v>
      </c>
      <c r="Y304" s="276">
        <f t="shared" si="1137"/>
        <v>0</v>
      </c>
      <c r="Z304" s="279">
        <f t="shared" si="1137"/>
        <v>0</v>
      </c>
      <c r="AA304" s="277">
        <f t="shared" si="1137"/>
        <v>0</v>
      </c>
      <c r="AB304" s="276">
        <f t="shared" si="1137"/>
        <v>0</v>
      </c>
      <c r="AC304" s="276">
        <f t="shared" si="1137"/>
        <v>0</v>
      </c>
      <c r="AD304" s="276">
        <f t="shared" si="1137"/>
        <v>0</v>
      </c>
      <c r="AE304" s="279">
        <f t="shared" si="1137"/>
        <v>0</v>
      </c>
      <c r="AF304" s="277">
        <f t="shared" si="1137"/>
        <v>0</v>
      </c>
      <c r="AG304" s="279">
        <f t="shared" si="1137"/>
        <v>0</v>
      </c>
      <c r="AH304" s="276">
        <f t="shared" ref="AH304:BF304" si="1138">AH281-AH303</f>
        <v>0</v>
      </c>
      <c r="AI304" s="276">
        <f t="shared" si="1138"/>
        <v>0</v>
      </c>
      <c r="AJ304" s="279">
        <f t="shared" si="1138"/>
        <v>0</v>
      </c>
      <c r="AK304" s="277">
        <f t="shared" si="1138"/>
        <v>0</v>
      </c>
      <c r="AL304" s="276">
        <f t="shared" si="1138"/>
        <v>0</v>
      </c>
      <c r="AM304" s="276">
        <f t="shared" si="1138"/>
        <v>0</v>
      </c>
      <c r="AN304" s="276">
        <f t="shared" si="1138"/>
        <v>0</v>
      </c>
      <c r="AO304" s="279">
        <f t="shared" si="1138"/>
        <v>0</v>
      </c>
      <c r="AP304" s="277">
        <f t="shared" si="1138"/>
        <v>0</v>
      </c>
      <c r="AQ304" s="280">
        <f t="shared" si="1138"/>
        <v>0</v>
      </c>
      <c r="AR304" s="279">
        <f t="shared" si="1138"/>
        <v>0</v>
      </c>
      <c r="AS304" s="279">
        <f t="shared" si="1138"/>
        <v>0</v>
      </c>
      <c r="AT304" s="278">
        <f t="shared" si="1138"/>
        <v>0</v>
      </c>
      <c r="AU304" s="277">
        <f t="shared" si="1138"/>
        <v>0</v>
      </c>
      <c r="AV304" s="280">
        <f>AV281-AV303</f>
        <v>0</v>
      </c>
      <c r="AW304" s="279">
        <f>AW281-AW303</f>
        <v>0</v>
      </c>
      <c r="AX304" s="279">
        <f>AX281-AX303</f>
        <v>0</v>
      </c>
      <c r="AY304" s="278">
        <f>AY281-AY303</f>
        <v>0</v>
      </c>
      <c r="AZ304" s="277">
        <f>AZ281-AZ303</f>
        <v>0</v>
      </c>
      <c r="BA304" s="277"/>
      <c r="BB304" s="280">
        <f t="shared" si="1138"/>
        <v>0</v>
      </c>
      <c r="BC304" s="279">
        <f t="shared" si="1138"/>
        <v>0</v>
      </c>
      <c r="BD304" s="279">
        <f t="shared" si="1138"/>
        <v>0</v>
      </c>
      <c r="BE304" s="278">
        <f t="shared" si="1138"/>
        <v>0</v>
      </c>
      <c r="BF304" s="277">
        <f t="shared" si="1138"/>
        <v>0</v>
      </c>
      <c r="BG304" s="280">
        <f t="shared" ref="BG304:BM304" si="1139">BG281-BG303</f>
        <v>0</v>
      </c>
      <c r="BH304" s="279">
        <f t="shared" si="1139"/>
        <v>0</v>
      </c>
      <c r="BI304" s="279">
        <f t="shared" si="1139"/>
        <v>0</v>
      </c>
      <c r="BJ304" s="278">
        <f t="shared" si="1139"/>
        <v>0</v>
      </c>
      <c r="BK304" s="277">
        <f t="shared" ref="BK304" si="1140">BK281-BK303</f>
        <v>0</v>
      </c>
      <c r="BL304" s="280">
        <f t="shared" si="1139"/>
        <v>0</v>
      </c>
      <c r="BM304" s="279">
        <f t="shared" si="1139"/>
        <v>0</v>
      </c>
      <c r="BN304" s="279"/>
      <c r="BO304" s="140"/>
      <c r="BP304" s="140"/>
      <c r="BQ304" s="277"/>
      <c r="BR304" s="280"/>
      <c r="BS304" s="279"/>
      <c r="BT304" s="279"/>
      <c r="BU304" s="278">
        <f t="shared" ref="BU304:CA304" si="1141">BU281-BU303</f>
        <v>0</v>
      </c>
      <c r="BV304" s="277">
        <f t="shared" si="1141"/>
        <v>0</v>
      </c>
      <c r="BW304" s="280">
        <f t="shared" si="1141"/>
        <v>0</v>
      </c>
      <c r="BX304" s="279">
        <f t="shared" si="1141"/>
        <v>0</v>
      </c>
      <c r="BY304" s="279">
        <f t="shared" si="1141"/>
        <v>0</v>
      </c>
      <c r="BZ304" s="278">
        <f t="shared" si="1141"/>
        <v>0</v>
      </c>
      <c r="CA304" s="277">
        <f t="shared" si="1141"/>
        <v>0</v>
      </c>
      <c r="CB304" s="280">
        <f t="shared" ref="CB304:CS304" si="1142">CB281-CB303</f>
        <v>0</v>
      </c>
      <c r="CC304" s="279">
        <f t="shared" si="1142"/>
        <v>0</v>
      </c>
      <c r="CD304" s="279">
        <f t="shared" si="1142"/>
        <v>0</v>
      </c>
      <c r="CE304" s="278">
        <f t="shared" si="1142"/>
        <v>0</v>
      </c>
      <c r="CF304" s="277">
        <f>CF281-CF303</f>
        <v>0</v>
      </c>
      <c r="CG304" s="280"/>
      <c r="CH304" s="279"/>
      <c r="CI304" s="279"/>
      <c r="CJ304" s="278"/>
      <c r="CK304" s="277">
        <f t="shared" ref="CK304" si="1143">CK281-CK303</f>
        <v>0</v>
      </c>
      <c r="CL304" s="280"/>
      <c r="CM304" s="279"/>
      <c r="CN304" s="279"/>
      <c r="CO304" s="278"/>
      <c r="CP304" s="277">
        <f>CP281-CP303</f>
        <v>0</v>
      </c>
      <c r="CQ304" s="279">
        <f t="shared" si="1142"/>
        <v>0</v>
      </c>
      <c r="CR304" s="279">
        <f t="shared" si="1142"/>
        <v>0</v>
      </c>
      <c r="CS304" s="279">
        <f t="shared" si="1142"/>
        <v>0</v>
      </c>
      <c r="CT304" s="278">
        <f>CT281-CT303</f>
        <v>0</v>
      </c>
      <c r="CU304" s="277">
        <f>CU281-CU303</f>
        <v>0</v>
      </c>
      <c r="CV304" s="279"/>
      <c r="CW304" s="279"/>
      <c r="CX304" s="279"/>
      <c r="CY304" s="278"/>
      <c r="CZ304" s="277">
        <f>CZ281-CZ303</f>
        <v>0</v>
      </c>
      <c r="DA304" s="279"/>
      <c r="DB304" s="279"/>
      <c r="DC304" s="279"/>
      <c r="DD304" s="278"/>
      <c r="DE304" s="277">
        <f>DE281-DE303</f>
        <v>0</v>
      </c>
      <c r="DF304" s="279"/>
      <c r="DG304" s="279"/>
      <c r="DH304" s="279"/>
      <c r="DI304" s="278"/>
      <c r="DJ304" s="277">
        <f>DJ281-DJ303</f>
        <v>0</v>
      </c>
      <c r="DK304" s="397"/>
      <c r="DL304" s="1285"/>
      <c r="DM304" s="809"/>
      <c r="DN304" s="809"/>
      <c r="DO304" s="809"/>
      <c r="DP304" s="1054"/>
      <c r="DQ304" s="1054"/>
      <c r="DR304" s="1054"/>
      <c r="DS304" s="809"/>
      <c r="DT304" s="809"/>
      <c r="DU304" s="809"/>
      <c r="DV304" s="809"/>
      <c r="DW304" s="809"/>
      <c r="DX304" s="809"/>
      <c r="DY304" s="360"/>
      <c r="DZ304" s="167"/>
      <c r="EA304" s="167"/>
      <c r="EB304"/>
      <c r="EC304"/>
      <c r="ED304"/>
      <c r="EE304"/>
      <c r="EF304"/>
      <c r="EG304"/>
    </row>
    <row r="305" spans="1:137" s="398" customFormat="1">
      <c r="A305" s="64"/>
      <c r="B305" s="69"/>
      <c r="C305" s="69"/>
      <c r="D305" s="69"/>
      <c r="E305" s="69"/>
      <c r="F305" s="69"/>
      <c r="G305" s="69"/>
      <c r="H305" s="68"/>
      <c r="I305" s="64"/>
      <c r="J305" s="64"/>
      <c r="K305" s="68"/>
      <c r="L305" s="69"/>
      <c r="M305" s="64"/>
      <c r="N305" s="64"/>
      <c r="O305" s="64"/>
      <c r="P305" s="68"/>
      <c r="Q305" s="69"/>
      <c r="R305" s="64"/>
      <c r="S305" s="64"/>
      <c r="T305" s="70"/>
      <c r="U305" s="66"/>
      <c r="V305" s="69"/>
      <c r="W305" s="64"/>
      <c r="X305" s="64"/>
      <c r="Y305" s="70"/>
      <c r="Z305" s="66"/>
      <c r="AA305" s="69"/>
      <c r="AB305" s="64"/>
      <c r="AC305" s="64"/>
      <c r="AD305" s="64"/>
      <c r="AE305" s="68"/>
      <c r="AF305" s="69"/>
      <c r="AG305" s="68"/>
      <c r="AH305" s="64"/>
      <c r="AI305" s="64"/>
      <c r="AJ305" s="68"/>
      <c r="AK305" s="69"/>
      <c r="AL305" s="64"/>
      <c r="AM305" s="64"/>
      <c r="AN305" s="64"/>
      <c r="AO305" s="66"/>
      <c r="AP305" s="69"/>
      <c r="AQ305" s="65"/>
      <c r="AR305" s="66"/>
      <c r="AS305" s="66"/>
      <c r="AT305" s="67"/>
      <c r="AU305" s="69"/>
      <c r="AV305" s="65"/>
      <c r="AW305" s="66"/>
      <c r="AX305" s="66"/>
      <c r="AY305" s="67"/>
      <c r="AZ305" s="69"/>
      <c r="BA305" s="69"/>
      <c r="BB305" s="65"/>
      <c r="BC305" s="66"/>
      <c r="BD305" s="66"/>
      <c r="BE305" s="67"/>
      <c r="BF305" s="69"/>
      <c r="BG305" s="65"/>
      <c r="BH305" s="66"/>
      <c r="BI305" s="66"/>
      <c r="BJ305" s="67"/>
      <c r="BK305" s="69"/>
      <c r="BL305" s="65"/>
      <c r="BM305" s="66"/>
      <c r="BN305" s="66"/>
      <c r="BO305" s="67"/>
      <c r="BP305" s="69"/>
      <c r="BQ305" s="69"/>
      <c r="BR305" s="65"/>
      <c r="BS305" s="66"/>
      <c r="BT305" s="66"/>
      <c r="BU305" s="67"/>
      <c r="BV305" s="69"/>
      <c r="BW305" s="65"/>
      <c r="BX305" s="66"/>
      <c r="BY305" s="66"/>
      <c r="BZ305" s="67"/>
      <c r="CA305" s="69"/>
      <c r="CB305" s="65"/>
      <c r="CC305" s="66"/>
      <c r="CD305" s="66"/>
      <c r="CE305" s="67"/>
      <c r="CF305" s="69"/>
      <c r="CG305" s="65"/>
      <c r="CH305" s="66"/>
      <c r="CI305" s="66"/>
      <c r="CJ305" s="67"/>
      <c r="CK305" s="69"/>
      <c r="CL305" s="65"/>
      <c r="CM305" s="66"/>
      <c r="CN305" s="66"/>
      <c r="CO305" s="67"/>
      <c r="CP305" s="69"/>
      <c r="CQ305" s="66"/>
      <c r="CR305" s="66"/>
      <c r="CS305" s="66"/>
      <c r="CT305" s="67"/>
      <c r="CU305" s="69"/>
      <c r="CV305" s="66"/>
      <c r="CW305" s="66"/>
      <c r="CX305" s="66"/>
      <c r="CY305" s="67"/>
      <c r="CZ305" s="69"/>
      <c r="DA305" s="66"/>
      <c r="DB305" s="66"/>
      <c r="DC305" s="66"/>
      <c r="DD305" s="67"/>
      <c r="DE305" s="69"/>
      <c r="DF305" s="66"/>
      <c r="DG305" s="66"/>
      <c r="DH305" s="66"/>
      <c r="DI305" s="67"/>
      <c r="DJ305" s="69"/>
      <c r="DK305" s="397"/>
      <c r="DL305" s="1285"/>
      <c r="DM305" s="809"/>
      <c r="DN305" s="809"/>
      <c r="DO305" s="809"/>
      <c r="DP305" s="1054"/>
      <c r="DQ305" s="1054"/>
      <c r="DR305" s="1054"/>
      <c r="DS305" s="809"/>
      <c r="DT305" s="809"/>
      <c r="DU305" s="809"/>
      <c r="DV305" s="809"/>
      <c r="DW305" s="809"/>
      <c r="DX305" s="809"/>
      <c r="DY305" s="360"/>
      <c r="DZ305" s="167"/>
      <c r="EA305" s="167"/>
      <c r="EB305"/>
      <c r="EC305"/>
      <c r="ED305"/>
      <c r="EE305"/>
      <c r="EF305"/>
      <c r="EG305"/>
    </row>
    <row r="306" spans="1:137" s="398" customFormat="1">
      <c r="A306" s="166"/>
      <c r="B306" s="342"/>
      <c r="C306" s="342"/>
      <c r="D306" s="69"/>
      <c r="E306" s="69"/>
      <c r="F306" s="69"/>
      <c r="G306" s="69"/>
      <c r="H306" s="68"/>
      <c r="I306" s="64"/>
      <c r="J306" s="64"/>
      <c r="K306" s="68"/>
      <c r="L306" s="69"/>
      <c r="M306" s="64"/>
      <c r="N306" s="64"/>
      <c r="O306" s="64"/>
      <c r="P306" s="68"/>
      <c r="Q306" s="69"/>
      <c r="R306" s="64"/>
      <c r="S306" s="64"/>
      <c r="T306" s="70"/>
      <c r="U306" s="66"/>
      <c r="V306" s="69"/>
      <c r="W306" s="64"/>
      <c r="X306" s="64"/>
      <c r="Y306" s="70"/>
      <c r="Z306" s="66"/>
      <c r="AA306" s="69"/>
      <c r="AB306" s="64"/>
      <c r="AC306" s="64"/>
      <c r="AD306" s="64"/>
      <c r="AE306" s="68"/>
      <c r="AF306" s="69"/>
      <c r="AG306" s="68"/>
      <c r="AH306" s="64"/>
      <c r="AI306" s="64"/>
      <c r="AJ306" s="68"/>
      <c r="AK306" s="69"/>
      <c r="AL306" s="64"/>
      <c r="AM306" s="64"/>
      <c r="AN306" s="64"/>
      <c r="AO306" s="66"/>
      <c r="AP306" s="69"/>
      <c r="AQ306" s="65"/>
      <c r="AR306" s="66"/>
      <c r="AS306" s="66"/>
      <c r="AT306" s="67"/>
      <c r="AU306" s="69"/>
      <c r="AV306" s="65"/>
      <c r="AW306" s="66"/>
      <c r="AX306" s="66"/>
      <c r="AY306" s="67"/>
      <c r="AZ306" s="69"/>
      <c r="BA306" s="69"/>
      <c r="BB306" s="65"/>
      <c r="BC306" s="66"/>
      <c r="BD306" s="66"/>
      <c r="BE306" s="67"/>
      <c r="BF306" s="69"/>
      <c r="BG306" s="65"/>
      <c r="BH306" s="66"/>
      <c r="BI306" s="66"/>
      <c r="BJ306" s="67"/>
      <c r="BK306" s="69"/>
      <c r="BL306" s="65"/>
      <c r="BM306" s="66"/>
      <c r="BN306" s="66"/>
      <c r="BO306" s="67"/>
      <c r="BP306" s="69"/>
      <c r="BQ306" s="69"/>
      <c r="BR306" s="65"/>
      <c r="BS306" s="66"/>
      <c r="BT306" s="66"/>
      <c r="BU306" s="67"/>
      <c r="BV306" s="69"/>
      <c r="BW306" s="65"/>
      <c r="BX306" s="66"/>
      <c r="BY306" s="66"/>
      <c r="BZ306" s="67"/>
      <c r="CA306" s="69"/>
      <c r="CB306" s="65"/>
      <c r="CC306" s="66"/>
      <c r="CD306" s="66"/>
      <c r="CE306" s="67"/>
      <c r="CF306" s="69"/>
      <c r="CG306" s="65"/>
      <c r="CH306" s="66"/>
      <c r="CI306" s="66"/>
      <c r="CJ306" s="67"/>
      <c r="CK306" s="69"/>
      <c r="CL306" s="65"/>
      <c r="CM306" s="66"/>
      <c r="CN306" s="66"/>
      <c r="CO306" s="67"/>
      <c r="CP306" s="69"/>
      <c r="CQ306" s="66"/>
      <c r="CR306" s="66"/>
      <c r="CS306" s="66"/>
      <c r="CT306" s="67"/>
      <c r="CU306" s="69"/>
      <c r="CV306" s="66"/>
      <c r="CW306" s="66"/>
      <c r="CX306" s="66"/>
      <c r="CY306" s="67"/>
      <c r="CZ306" s="69"/>
      <c r="DA306" s="66"/>
      <c r="DB306" s="66"/>
      <c r="DC306" s="66"/>
      <c r="DD306" s="67"/>
      <c r="DE306" s="69"/>
      <c r="DF306" s="66"/>
      <c r="DG306" s="66"/>
      <c r="DH306" s="66"/>
      <c r="DI306" s="67"/>
      <c r="DJ306" s="69"/>
      <c r="DK306" s="397"/>
      <c r="DL306" s="1285"/>
      <c r="DM306" s="809"/>
      <c r="DN306" s="809"/>
      <c r="DO306" s="809"/>
      <c r="DP306" s="1054"/>
      <c r="DQ306" s="1054"/>
      <c r="DR306" s="1054"/>
      <c r="DS306" s="809"/>
      <c r="DT306" s="809"/>
      <c r="DU306" s="809"/>
      <c r="DV306" s="809"/>
      <c r="DW306" s="809"/>
      <c r="DX306" s="809"/>
      <c r="DY306" s="360"/>
      <c r="DZ306" s="167"/>
      <c r="EA306" s="167"/>
      <c r="EB306"/>
      <c r="EC306"/>
      <c r="ED306"/>
      <c r="EE306"/>
      <c r="EF306"/>
      <c r="EG306"/>
    </row>
    <row r="307" spans="1:137" ht="12" customHeight="1">
      <c r="A307" s="344" t="s">
        <v>78</v>
      </c>
      <c r="B307" s="345"/>
      <c r="C307" s="345"/>
      <c r="D307" s="345"/>
      <c r="E307" s="345"/>
      <c r="F307" s="345"/>
      <c r="G307" s="345"/>
      <c r="H307" s="346"/>
      <c r="I307" s="347"/>
      <c r="J307" s="347"/>
      <c r="K307" s="346"/>
      <c r="L307" s="345"/>
      <c r="M307" s="347"/>
      <c r="N307" s="347"/>
      <c r="O307" s="347"/>
      <c r="P307" s="346"/>
      <c r="Q307" s="345"/>
      <c r="R307" s="347"/>
      <c r="S307" s="347"/>
      <c r="T307" s="347"/>
      <c r="U307" s="346"/>
      <c r="V307" s="345"/>
      <c r="W307" s="347"/>
      <c r="X307" s="347"/>
      <c r="Y307" s="347"/>
      <c r="Z307" s="346"/>
      <c r="AA307" s="345"/>
      <c r="AB307" s="347"/>
      <c r="AC307" s="347"/>
      <c r="AD307" s="347"/>
      <c r="AE307" s="346"/>
      <c r="AF307" s="345"/>
      <c r="AG307" s="346"/>
      <c r="AH307" s="347"/>
      <c r="AI307" s="347"/>
      <c r="AJ307" s="346"/>
      <c r="AK307" s="345"/>
      <c r="AL307" s="347"/>
      <c r="AM307" s="347"/>
      <c r="AN307" s="347"/>
      <c r="AO307" s="346"/>
      <c r="AP307" s="345"/>
      <c r="AQ307" s="348"/>
      <c r="AR307" s="346"/>
      <c r="AS307" s="346"/>
      <c r="AT307" s="349"/>
      <c r="AU307" s="345"/>
      <c r="AV307" s="348"/>
      <c r="AW307" s="346"/>
      <c r="AX307" s="346"/>
      <c r="AY307" s="349"/>
      <c r="AZ307" s="345"/>
      <c r="BA307" s="345"/>
      <c r="BB307" s="348"/>
      <c r="BC307" s="346"/>
      <c r="BD307" s="346"/>
      <c r="BE307" s="349"/>
      <c r="BF307" s="345"/>
      <c r="BG307" s="348"/>
      <c r="BH307" s="346"/>
      <c r="BI307" s="346"/>
      <c r="BJ307" s="349"/>
      <c r="BK307" s="345"/>
      <c r="BL307" s="348"/>
      <c r="BM307" s="346"/>
      <c r="BN307" s="346"/>
      <c r="BO307" s="349"/>
      <c r="BP307" s="345"/>
      <c r="BQ307" s="345"/>
      <c r="BR307" s="348"/>
      <c r="BS307" s="346"/>
      <c r="BT307" s="346"/>
      <c r="BU307" s="349"/>
      <c r="BV307" s="345"/>
      <c r="BW307" s="348"/>
      <c r="BX307" s="346"/>
      <c r="BY307" s="346"/>
      <c r="BZ307" s="349"/>
      <c r="CA307" s="345"/>
      <c r="CB307" s="348"/>
      <c r="CC307" s="346"/>
      <c r="CD307" s="346"/>
      <c r="CE307" s="349"/>
      <c r="CF307" s="345"/>
      <c r="CG307" s="348"/>
      <c r="CH307" s="346"/>
      <c r="CI307" s="346"/>
      <c r="CJ307" s="349"/>
      <c r="CK307" s="345"/>
      <c r="CL307" s="348"/>
      <c r="CM307" s="346"/>
      <c r="CN307" s="346"/>
      <c r="CO307" s="349"/>
      <c r="CP307" s="345"/>
      <c r="CQ307" s="346"/>
      <c r="CR307" s="346"/>
      <c r="CS307" s="346"/>
      <c r="CT307" s="349"/>
      <c r="CU307" s="345"/>
      <c r="CV307" s="346"/>
      <c r="CW307" s="346"/>
      <c r="CX307" s="346"/>
      <c r="CY307" s="349"/>
      <c r="CZ307" s="345"/>
      <c r="DA307" s="346"/>
      <c r="DB307" s="346"/>
      <c r="DC307" s="346"/>
      <c r="DD307" s="349"/>
      <c r="DE307" s="345"/>
      <c r="DF307" s="346"/>
      <c r="DG307" s="346"/>
      <c r="DH307" s="346"/>
      <c r="DI307" s="349"/>
      <c r="DJ307" s="345"/>
      <c r="DK307" s="397"/>
      <c r="DL307" s="1285"/>
      <c r="DM307" s="809"/>
      <c r="DN307" s="809"/>
      <c r="DO307" s="809"/>
      <c r="DP307" s="1054"/>
      <c r="DQ307" s="1054"/>
      <c r="DR307" s="1054"/>
      <c r="DS307" s="809"/>
      <c r="DT307" s="809"/>
      <c r="DU307" s="809"/>
      <c r="DV307" s="809"/>
      <c r="DW307" s="809"/>
      <c r="DX307" s="809"/>
      <c r="DY307" s="360"/>
      <c r="DZ307" s="167"/>
      <c r="EA307" s="167"/>
    </row>
    <row r="308" spans="1:137" s="437" customFormat="1">
      <c r="A308" s="135" t="s">
        <v>208</v>
      </c>
      <c r="B308" s="178"/>
      <c r="C308" s="178">
        <f>(C299-B299)-C215-C310</f>
        <v>0</v>
      </c>
      <c r="D308" s="178">
        <f>(D299-C299)-D215-D310</f>
        <v>0</v>
      </c>
      <c r="E308" s="178">
        <f>(E299-D299)-E215-E310</f>
        <v>0</v>
      </c>
      <c r="F308" s="178">
        <f>(F299-E299)-F215-F310</f>
        <v>0</v>
      </c>
      <c r="G308" s="178">
        <f>(G299-F299)-G215-G310</f>
        <v>0</v>
      </c>
      <c r="H308" s="135">
        <f>(H299-F299)-H215-H310</f>
        <v>1874</v>
      </c>
      <c r="I308" s="135">
        <f>(I299-H299)-I215-I310</f>
        <v>-21</v>
      </c>
      <c r="J308" s="135">
        <f>(J299-I299)-J215-J310</f>
        <v>-320</v>
      </c>
      <c r="K308" s="173">
        <f>(K299-J299)-K215-K310</f>
        <v>18</v>
      </c>
      <c r="L308" s="178">
        <f>(L299-G299)-L215-L310</f>
        <v>-440</v>
      </c>
      <c r="M308" s="135">
        <f>(M299-K299)-M215-M310</f>
        <v>-1000</v>
      </c>
      <c r="N308" s="135">
        <f>(N299-M299)-N215-N310</f>
        <v>-763</v>
      </c>
      <c r="O308" s="135">
        <f>(O299-N299)-O215-O310</f>
        <v>-125</v>
      </c>
      <c r="P308" s="173">
        <f>(P299-O299)-P215-P310</f>
        <v>-218</v>
      </c>
      <c r="Q308" s="178">
        <f>(Q299-L299)-Q215-Q310</f>
        <v>-2106</v>
      </c>
      <c r="R308" s="135">
        <f>(R299-P299)-R215-R310</f>
        <v>-477</v>
      </c>
      <c r="S308" s="135">
        <f>(S299-R299)-S215-S310</f>
        <v>-548</v>
      </c>
      <c r="T308" s="135">
        <f>(T299-S299)-T215-T310</f>
        <v>-244</v>
      </c>
      <c r="U308" s="173">
        <f>(U299-T299)-U215-U310</f>
        <v>-117</v>
      </c>
      <c r="V308" s="178">
        <f>(V299-Q299)-V215-V310</f>
        <v>-1386.9799999999996</v>
      </c>
      <c r="W308" s="135">
        <f>(W299-U299)-W215-W310</f>
        <v>-379</v>
      </c>
      <c r="X308" s="135">
        <f>(X299-W299)-X215-X310</f>
        <v>-870</v>
      </c>
      <c r="Y308" s="135">
        <f>(Y299-X299)-Y215-Y310</f>
        <v>-169</v>
      </c>
      <c r="Z308" s="173">
        <f>(Z299-Y299)-Z215-Z310</f>
        <v>-470</v>
      </c>
      <c r="AA308" s="178">
        <f>(AA299-V299)-AA215-AA310</f>
        <v>-1888</v>
      </c>
      <c r="AB308" s="135">
        <f>(AB299-Z299)-AB215-AB310</f>
        <v>-362</v>
      </c>
      <c r="AC308" s="135">
        <f>(AC299-AB299)-AC215-AC310</f>
        <v>-1132</v>
      </c>
      <c r="AD308" s="135">
        <f>(AD299-AC299)-AD215-AD310</f>
        <v>-890</v>
      </c>
      <c r="AE308" s="173">
        <f>(AE299-AD299)-AE215-AE310</f>
        <v>389.75</v>
      </c>
      <c r="AF308" s="178">
        <f>(AF299-AA299)-AF215-AF310</f>
        <v>-1995.25</v>
      </c>
      <c r="AG308" s="135">
        <f>(AG299-AE299)-AG215-AG310</f>
        <v>-0.60000000000002274</v>
      </c>
      <c r="AH308" s="135">
        <f>(AH299-AG299)-AH215-AH310</f>
        <v>-5</v>
      </c>
      <c r="AI308" s="135">
        <f>(AI299-AH299)-AI215-AI310</f>
        <v>-425</v>
      </c>
      <c r="AJ308" s="173">
        <f>(AJ299-AI299)-AJ215-AJ310</f>
        <v>312</v>
      </c>
      <c r="AK308" s="178">
        <f>(AK299-AF299)-AK215-AK310</f>
        <v>-119</v>
      </c>
      <c r="AL308" s="135">
        <f>(AL299-AJ299)-AL215-AL310</f>
        <v>-333</v>
      </c>
      <c r="AM308" s="135">
        <f>(AM299-AL299)-AM215-AM310</f>
        <v>-340</v>
      </c>
      <c r="AN308" s="135">
        <f>(AN299-AM299)-AN215-AN310</f>
        <v>-225</v>
      </c>
      <c r="AO308" s="173">
        <f>(AO299-AN299)-AO215-AO310</f>
        <v>446</v>
      </c>
      <c r="AP308" s="178">
        <f>(AP299-AK299)-AP215-AP310</f>
        <v>-452.48999999999978</v>
      </c>
      <c r="AQ308" s="135">
        <f>(AQ299-AO299)-AQ215-AQ310</f>
        <v>-767</v>
      </c>
      <c r="AR308" s="135">
        <f>(AR299-AQ299)-AR215-AR310</f>
        <v>-402</v>
      </c>
      <c r="AS308" s="135">
        <f>(AS299-AR299)-AS215-AS310</f>
        <v>-331</v>
      </c>
      <c r="AT308" s="173">
        <f>(AT299-AS299)-AT215-AT310</f>
        <v>402</v>
      </c>
      <c r="AU308" s="178">
        <f>(AU299-AP299)-AU215-AU310</f>
        <v>-1098</v>
      </c>
      <c r="AV308" s="135">
        <f>(AV299-AT299)-AV215-AV310</f>
        <v>-414</v>
      </c>
      <c r="AW308" s="135">
        <f>(AW299-AV299)-AW215-AW310</f>
        <v>-1255</v>
      </c>
      <c r="AX308" s="135">
        <f>(AX299-AW299)-AX215-AX310</f>
        <v>-704</v>
      </c>
      <c r="AY308" s="173">
        <f>(AY299-AX299)-AY215-AY310</f>
        <v>-18</v>
      </c>
      <c r="AZ308" s="178">
        <f>(AZ299-AU299)-AZ215-AZ310</f>
        <v>-2391</v>
      </c>
      <c r="BA308" s="178"/>
      <c r="BB308" s="135">
        <f>(BB299-AO299)-BB215-BB310</f>
        <v>-767</v>
      </c>
      <c r="BC308" s="135">
        <f>(BC299-BB299)-BC215-BC310</f>
        <v>-402</v>
      </c>
      <c r="BD308" s="135">
        <f>(BD299-BC299)-BD215-BD310</f>
        <v>-331</v>
      </c>
      <c r="BE308" s="173">
        <f>(BE299-BD299)-BE215-BE310</f>
        <v>402</v>
      </c>
      <c r="BF308" s="178">
        <f>(BF299-AQ299)-BF215-BF310</f>
        <v>-820.48999999999978</v>
      </c>
      <c r="BG308" s="184">
        <f>(BG299-BE299)-BG215-BG310</f>
        <v>-414</v>
      </c>
      <c r="BH308" s="135">
        <f>(BH299-BG299)-BH215-BH310</f>
        <v>-1255</v>
      </c>
      <c r="BI308" s="135">
        <f>(BI299-BH299)-BI215-BI310</f>
        <v>-704</v>
      </c>
      <c r="BJ308" s="173">
        <f>(BJ299-BI299)-BJ215-BJ310</f>
        <v>-18</v>
      </c>
      <c r="BK308" s="178">
        <f>(BK299-AV299)-BK215-BK310</f>
        <v>-2357.4899999999998</v>
      </c>
      <c r="BL308" s="184">
        <f>(BL299-AY299)-BL215-BL310</f>
        <v>-371</v>
      </c>
      <c r="BM308" s="135">
        <f>(BM299-BL299)-BM215-BM310</f>
        <v>-848</v>
      </c>
      <c r="BN308" s="135"/>
      <c r="BO308" s="173"/>
      <c r="BP308" s="178"/>
      <c r="BQ308" s="178"/>
      <c r="BR308" s="184">
        <f>(BR299-BL299)-BR215-BR310</f>
        <v>-14508</v>
      </c>
      <c r="BS308" s="135">
        <f>(BS299-BR299)-BS215-BS310</f>
        <v>-462</v>
      </c>
      <c r="BT308" s="135">
        <f>(BT299-BS299)-BT215-BT310</f>
        <v>-403</v>
      </c>
      <c r="BU308" s="173">
        <f>(BU299-BT299)-BU215-BU310</f>
        <v>13810</v>
      </c>
      <c r="BV308" s="178">
        <f>(BV299-BJ299)-BV215-BV310</f>
        <v>-1673.4899999999998</v>
      </c>
      <c r="BW308" s="184">
        <f>(BW299-BU299)-BW215-BW310</f>
        <v>-475</v>
      </c>
      <c r="BX308" s="135">
        <f>(BX299-BW299)-BX215-BX310</f>
        <v>-848</v>
      </c>
      <c r="BY308" s="135">
        <f>(BY299-BX299)-BY215-BY310</f>
        <v>-2688</v>
      </c>
      <c r="BZ308" s="173">
        <f>(BZ299-BY299)-BZ215-BZ310</f>
        <v>-157</v>
      </c>
      <c r="CA308" s="178">
        <f>(CA299-BN299)-CA215-CA310</f>
        <v>10070</v>
      </c>
      <c r="CB308" s="184">
        <f>(CB299-BZ299)-CB215-CB310</f>
        <v>-456</v>
      </c>
      <c r="CC308" s="135">
        <f>(CC299-CB299)-CC215-CC310</f>
        <v>-888</v>
      </c>
      <c r="CD308" s="135">
        <f>(CD299-CC299)-CD215-CD310</f>
        <v>140</v>
      </c>
      <c r="CE308" s="173">
        <f>(CE299-CD299)-CE215-CE310</f>
        <v>-386</v>
      </c>
      <c r="CF308" s="178">
        <f>(CF299-CA299)-CF215-CF310</f>
        <v>-1590</v>
      </c>
      <c r="CG308" s="184"/>
      <c r="CH308" s="135"/>
      <c r="CI308" s="135"/>
      <c r="CJ308" s="173"/>
      <c r="CK308" s="178">
        <f>(CK299-BV299)-CK215-CK310</f>
        <v>-4054</v>
      </c>
      <c r="CL308" s="184"/>
      <c r="CM308" s="135"/>
      <c r="CN308" s="135"/>
      <c r="CO308" s="173"/>
      <c r="CP308" s="178">
        <f>(CP299-CK299)-CP215-CP310</f>
        <v>-1569.4755000000005</v>
      </c>
      <c r="CQ308" s="184">
        <f>(CQ299-CE299)-CQ215-CQ310</f>
        <v>-358.23982775965737</v>
      </c>
      <c r="CR308" s="135">
        <f>(CR299-CQ299)-CR215-CR310</f>
        <v>-368.12449854977513</v>
      </c>
      <c r="CS308" s="135">
        <f>(CS299-CR299)-CS215-CS310</f>
        <v>-378.2420646633658</v>
      </c>
      <c r="CT308" s="173">
        <f>(CT299-CS299)-CT215-CT310</f>
        <v>-386.84802938981159</v>
      </c>
      <c r="CU308" s="178">
        <f>(CU299-CF299)-CU215-CU310</f>
        <v>-1491.4544203626097</v>
      </c>
      <c r="CV308" s="173"/>
      <c r="CW308" s="173"/>
      <c r="CX308" s="173"/>
      <c r="CY308" s="183"/>
      <c r="CZ308" s="178">
        <f>(CZ299-CU299)-CZ215-CZ310</f>
        <v>-2273.7961081292547</v>
      </c>
      <c r="DA308" s="173"/>
      <c r="DB308" s="173"/>
      <c r="DC308" s="173"/>
      <c r="DD308" s="183"/>
      <c r="DE308" s="178">
        <f>(DE299-CZ299)-DE215-DE310</f>
        <v>-3041.9220626617134</v>
      </c>
      <c r="DF308" s="173"/>
      <c r="DG308" s="173"/>
      <c r="DH308" s="173"/>
      <c r="DI308" s="183"/>
      <c r="DJ308" s="178">
        <f>(DJ299-DE299)-DJ215-DJ310</f>
        <v>-2991.5562493924322</v>
      </c>
      <c r="DK308" s="399"/>
      <c r="DL308" s="1282"/>
      <c r="DM308" s="810"/>
      <c r="DN308" s="810"/>
      <c r="DO308" s="810"/>
      <c r="DP308" s="1053"/>
      <c r="DQ308" s="1053"/>
      <c r="DR308" s="1053"/>
      <c r="DS308" s="810"/>
      <c r="DT308" s="810"/>
      <c r="DU308" s="810"/>
      <c r="DV308" s="810"/>
      <c r="DW308" s="810"/>
      <c r="DX308" s="810"/>
      <c r="DY308" s="357"/>
      <c r="DZ308" s="143"/>
      <c r="EA308" s="143"/>
      <c r="EB308"/>
      <c r="EC308"/>
      <c r="ED308"/>
      <c r="EE308"/>
      <c r="EF308"/>
      <c r="EG308"/>
    </row>
    <row r="309" spans="1:137" s="437" customFormat="1">
      <c r="A309" s="135" t="s">
        <v>208</v>
      </c>
      <c r="B309" s="178"/>
      <c r="C309" s="178">
        <f>(C297-B297)+(C298-B298)</f>
        <v>668</v>
      </c>
      <c r="D309" s="178">
        <f>(D297-C297)+(D298-C298)</f>
        <v>-328</v>
      </c>
      <c r="E309" s="178">
        <f>(E297-D297)+(E298-D298)</f>
        <v>-262</v>
      </c>
      <c r="F309" s="178">
        <f>(F297-E297)+(F298-E298)</f>
        <v>-505</v>
      </c>
      <c r="G309" s="178">
        <f>(G297-F297)+(G298-F298)</f>
        <v>-980</v>
      </c>
      <c r="H309" s="135">
        <f>(H297-F297)+(H298-F298)</f>
        <v>-1409</v>
      </c>
      <c r="I309" s="135">
        <f>(I297-H297)+(I298-H298)</f>
        <v>-335</v>
      </c>
      <c r="J309" s="135">
        <f>(J297-I297)+(J298-I298)</f>
        <v>-1</v>
      </c>
      <c r="K309" s="173">
        <f>(K297-J297)+(K298-J298)</f>
        <v>-2</v>
      </c>
      <c r="L309" s="178">
        <f>(L297-G297)+(L298-G298)</f>
        <v>-767</v>
      </c>
      <c r="M309" s="135">
        <f>(M297-K297)+(M298-K298)</f>
        <v>-9</v>
      </c>
      <c r="N309" s="135">
        <f>(N297-M297)+(N298-M298)</f>
        <v>-6</v>
      </c>
      <c r="O309" s="135">
        <f>(O297-N297)+(O298-N298)</f>
        <v>4</v>
      </c>
      <c r="P309" s="173">
        <f>(P297-O297)+(P298-O298)</f>
        <v>-5</v>
      </c>
      <c r="Q309" s="178">
        <f>(Q297-L297)+(Q298-L298)</f>
        <v>-16</v>
      </c>
      <c r="R309" s="135">
        <f>(R297-P297)+(R298-P298)</f>
        <v>-7</v>
      </c>
      <c r="S309" s="135">
        <f>(S297-R297)+(S298-R298)</f>
        <v>-4</v>
      </c>
      <c r="T309" s="135">
        <f>(T297-S297)+(T298-S298)</f>
        <v>-4</v>
      </c>
      <c r="U309" s="173">
        <f>(U297-T297)+(U298-T298)</f>
        <v>-5</v>
      </c>
      <c r="V309" s="178">
        <f>(V297-Q297)+(V298-Q298)</f>
        <v>-20</v>
      </c>
      <c r="W309" s="135">
        <f>(W297-U297)+(W298-U298)</f>
        <v>-4</v>
      </c>
      <c r="X309" s="135">
        <f>(X297-W297)+(X298-W298)</f>
        <v>-9</v>
      </c>
      <c r="Y309" s="135">
        <f>(Y297-X297)+(Y298-X298)</f>
        <v>-2</v>
      </c>
      <c r="Z309" s="173">
        <f>(Z297-Y297)+(Z298-Y298)</f>
        <v>-12</v>
      </c>
      <c r="AA309" s="178">
        <f>(AA297-V297)+(AA298-V298)</f>
        <v>-27</v>
      </c>
      <c r="AB309" s="135">
        <f>(AB297-Z297)+(AB298-Z298)</f>
        <v>-1</v>
      </c>
      <c r="AC309" s="135">
        <f>(AC297-AB297)+(AC298-AB298)</f>
        <v>-12</v>
      </c>
      <c r="AD309" s="135">
        <f>(AD297-AC297)+(AD298-AC298)</f>
        <v>-12</v>
      </c>
      <c r="AE309" s="173">
        <f>(AE297-AD297)+(AE298-AD298)</f>
        <v>0</v>
      </c>
      <c r="AF309" s="178">
        <f>(AF297-AA297)+(AF298-AA298)</f>
        <v>-25</v>
      </c>
      <c r="AG309" s="135">
        <f>(AG297-AE297)+(AG298-AE298)</f>
        <v>5</v>
      </c>
      <c r="AH309" s="135">
        <f>(AH297-AG297)+(AH298-AG298)</f>
        <v>15</v>
      </c>
      <c r="AI309" s="135">
        <f>(AI297-AH297)+(AI298-AH298)</f>
        <v>-20</v>
      </c>
      <c r="AJ309" s="173">
        <f>(AJ297-AI297)+(AJ298-AI298)</f>
        <v>0</v>
      </c>
      <c r="AK309" s="178">
        <f>(AK297-AF297)+(AK298-AF298)</f>
        <v>0</v>
      </c>
      <c r="AL309" s="135">
        <f>(AL297-AJ297)+(AL298-AJ298)</f>
        <v>-3</v>
      </c>
      <c r="AM309" s="135">
        <f>(AM297-AL297)+(AM298-AL298)</f>
        <v>1</v>
      </c>
      <c r="AN309" s="135">
        <f>(AN297-AM297)+(AN298-AM298)</f>
        <v>-1</v>
      </c>
      <c r="AO309" s="173">
        <f>(AO297-AN297)+(AO298-AN298)</f>
        <v>1</v>
      </c>
      <c r="AP309" s="178">
        <f>(AP297-AK297)+(AP298-AK298)</f>
        <v>-2</v>
      </c>
      <c r="AQ309" s="135">
        <f>(AQ297-AO297)+(AQ298-AO298)</f>
        <v>-4</v>
      </c>
      <c r="AR309" s="135">
        <f>(AR297-AQ297)+(AR298-AQ298)</f>
        <v>0</v>
      </c>
      <c r="AS309" s="135">
        <f>(AS297-AR297)+(AS298-AR298)</f>
        <v>-1</v>
      </c>
      <c r="AT309" s="173">
        <f>(AT297-AS297)+(AT298-AS298)</f>
        <v>0</v>
      </c>
      <c r="AU309" s="178">
        <f>(AU297-AP297)+(AU298-AP298)</f>
        <v>-5</v>
      </c>
      <c r="AV309" s="135">
        <f>(AV297-AT297)+(AV298-AT298)</f>
        <v>-1</v>
      </c>
      <c r="AW309" s="135">
        <f>(AW297-AV297)+(AW298-AV298)</f>
        <v>-4</v>
      </c>
      <c r="AX309" s="135">
        <f>(AX297-AW297)+(AX298-AW298)</f>
        <v>-3</v>
      </c>
      <c r="AY309" s="173">
        <f>(AY297-AX297)+(AY298-AX298)</f>
        <v>-3</v>
      </c>
      <c r="AZ309" s="178">
        <f>(AZ297-AU297)+(AZ298-AU298)</f>
        <v>-11</v>
      </c>
      <c r="BA309" s="178"/>
      <c r="BB309" s="135">
        <f>(BB297-AZ297)+(BB298-AZ298)</f>
        <v>12</v>
      </c>
      <c r="BC309" s="135">
        <f>(BC297-BB297)+(BC298-BB298)</f>
        <v>0</v>
      </c>
      <c r="BD309" s="135">
        <f>(BD297-BC297)+(BD298-BC298)</f>
        <v>-1</v>
      </c>
      <c r="BE309" s="173">
        <f>(BE297-BD297)+(BE298-BD298)</f>
        <v>0</v>
      </c>
      <c r="BF309" s="178">
        <f>(BF297-AQ297)+(BF298-AQ298)</f>
        <v>-1</v>
      </c>
      <c r="BG309" s="184">
        <f>(BG297-BE297)+(BG298-BE298)</f>
        <v>-1</v>
      </c>
      <c r="BH309" s="135">
        <f>(BH297-BG297)+(BH298-BG298)</f>
        <v>-4</v>
      </c>
      <c r="BI309" s="135">
        <f>(BI297-BH297)+(BI298-BH298)</f>
        <v>-3</v>
      </c>
      <c r="BJ309" s="173">
        <f>(BJ297-BI297)+(BJ298-BI298)</f>
        <v>-3</v>
      </c>
      <c r="BK309" s="178">
        <f>(BK297-AV297)+(BK298-AV298)</f>
        <v>-10</v>
      </c>
      <c r="BL309" s="184">
        <f>(BL297-AY297)+(BL298-AY298)</f>
        <v>0</v>
      </c>
      <c r="BM309" s="135">
        <f>(BM297-BL297)+(BM298-BL298)</f>
        <v>-2</v>
      </c>
      <c r="BN309" s="135"/>
      <c r="BO309" s="173"/>
      <c r="BP309" s="178"/>
      <c r="BQ309" s="178"/>
      <c r="BR309" s="184">
        <f>(BR297-BL297)+(BR298-BL298)</f>
        <v>-303</v>
      </c>
      <c r="BS309" s="135">
        <f>(BS297-BR297)+(BS298-BR298)</f>
        <v>0</v>
      </c>
      <c r="BT309" s="135">
        <f>(BT297-BS297)+(BT298-BS298)</f>
        <v>0</v>
      </c>
      <c r="BU309" s="173">
        <f>(BU297-BT297)+(BU298-BT298)</f>
        <v>303</v>
      </c>
      <c r="BV309" s="178">
        <f>(BV297-BJ297)+(BV298-BJ298)</f>
        <v>0</v>
      </c>
      <c r="BW309" s="184">
        <f>(BW297-BU297)+(BW298-BU298)</f>
        <v>0</v>
      </c>
      <c r="BX309" s="135">
        <f>(BX297-BW297)+(BX298-BW298)</f>
        <v>-2</v>
      </c>
      <c r="BY309" s="135">
        <f>(BY297-BX297)+(BY298-BX298)</f>
        <v>-10</v>
      </c>
      <c r="BZ309" s="173">
        <f>(BZ297-BY297)+(BZ298-BY298)</f>
        <v>-2</v>
      </c>
      <c r="CA309" s="178">
        <f>(CA297-BN297)+(CA298-BN298)</f>
        <v>289</v>
      </c>
      <c r="CB309" s="184">
        <f>(CB297-BZ297)+(CB298-BZ298)</f>
        <v>-1</v>
      </c>
      <c r="CC309" s="135">
        <f>(CC297-CB297)+(CC298-CB298)</f>
        <v>-2</v>
      </c>
      <c r="CD309" s="135">
        <f>(CD297-CC297)+(CD298-CC298)</f>
        <v>-1</v>
      </c>
      <c r="CE309" s="173">
        <f>(CE297-CD297)+(CE298-CD298)</f>
        <v>-1</v>
      </c>
      <c r="CF309" s="178">
        <f>(CF297-CA297)+(CF298-CA298)</f>
        <v>-5</v>
      </c>
      <c r="CG309" s="184"/>
      <c r="CH309" s="135"/>
      <c r="CI309" s="135"/>
      <c r="CJ309" s="173"/>
      <c r="CK309" s="178">
        <f>(CK297-BV297)+(CK298-BV298)</f>
        <v>-14</v>
      </c>
      <c r="CL309" s="184"/>
      <c r="CM309" s="135"/>
      <c r="CN309" s="135"/>
      <c r="CO309" s="173"/>
      <c r="CP309" s="178">
        <f>(CP297-CK297)+(CP298-CK298)</f>
        <v>-5</v>
      </c>
      <c r="CQ309" s="184">
        <f>(CQ297-CE297)+(CQ298-CE298)</f>
        <v>0</v>
      </c>
      <c r="CR309" s="135">
        <f>(CR297-CQ297)+(CR298-CQ298)</f>
        <v>0</v>
      </c>
      <c r="CS309" s="135">
        <f>(CS297-CR297)+(CS298-CR298)</f>
        <v>0</v>
      </c>
      <c r="CT309" s="173">
        <f>(CT297-CS297)+(CT298-CS298)</f>
        <v>0</v>
      </c>
      <c r="CU309" s="178">
        <f>(CU297-CF297)+(CU298-CF298)</f>
        <v>0</v>
      </c>
      <c r="CV309" s="173"/>
      <c r="CW309" s="173"/>
      <c r="CX309" s="173"/>
      <c r="CY309" s="183"/>
      <c r="CZ309" s="178">
        <f>(CZ297-CU297)+(CZ298-CU298)</f>
        <v>0</v>
      </c>
      <c r="DA309" s="173"/>
      <c r="DB309" s="173"/>
      <c r="DC309" s="173"/>
      <c r="DD309" s="183"/>
      <c r="DE309" s="178">
        <f>(DE297-CZ297)+(DE298-CZ298)</f>
        <v>0</v>
      </c>
      <c r="DF309" s="173"/>
      <c r="DG309" s="173"/>
      <c r="DH309" s="173"/>
      <c r="DI309" s="183"/>
      <c r="DJ309" s="178">
        <f>(DJ297-DE297)+(DJ298-DE298)</f>
        <v>0</v>
      </c>
      <c r="DK309" s="399"/>
      <c r="DL309" s="1282"/>
      <c r="DM309" s="810"/>
      <c r="DN309" s="810"/>
      <c r="DO309" s="810"/>
      <c r="DP309" s="1053"/>
      <c r="DQ309" s="1053"/>
      <c r="DR309" s="1053"/>
      <c r="DS309" s="810"/>
      <c r="DT309" s="810"/>
      <c r="DU309" s="810"/>
      <c r="DV309" s="810"/>
      <c r="DW309" s="810"/>
      <c r="DX309" s="810"/>
      <c r="DY309" s="357"/>
      <c r="DZ309" s="143"/>
      <c r="EA309" s="143"/>
      <c r="EB309"/>
      <c r="EC309"/>
      <c r="ED309"/>
      <c r="EE309"/>
      <c r="EF309"/>
      <c r="EG309"/>
    </row>
    <row r="310" spans="1:137" s="437" customFormat="1">
      <c r="A310" s="135" t="s">
        <v>222</v>
      </c>
      <c r="B310" s="180"/>
      <c r="C310" s="180">
        <f t="shared" ref="C310:AP310" si="1144">C257</f>
        <v>-199</v>
      </c>
      <c r="D310" s="180">
        <f t="shared" si="1144"/>
        <v>-261</v>
      </c>
      <c r="E310" s="180">
        <f t="shared" si="1144"/>
        <v>-405</v>
      </c>
      <c r="F310" s="180">
        <f t="shared" si="1144"/>
        <v>-462</v>
      </c>
      <c r="G310" s="180">
        <f t="shared" si="1144"/>
        <v>-538</v>
      </c>
      <c r="H310" s="135">
        <f t="shared" si="1144"/>
        <v>0</v>
      </c>
      <c r="I310" s="135">
        <f t="shared" si="1144"/>
        <v>-295</v>
      </c>
      <c r="J310" s="135">
        <f t="shared" si="1144"/>
        <v>-145</v>
      </c>
      <c r="K310" s="173">
        <f t="shared" si="1144"/>
        <v>-175</v>
      </c>
      <c r="L310" s="180">
        <f t="shared" si="1144"/>
        <v>-615</v>
      </c>
      <c r="M310" s="135">
        <f t="shared" si="1144"/>
        <v>-172</v>
      </c>
      <c r="N310" s="135">
        <f t="shared" si="1144"/>
        <v>-168</v>
      </c>
      <c r="O310" s="135">
        <f t="shared" si="1144"/>
        <v>-170</v>
      </c>
      <c r="P310" s="173">
        <f t="shared" si="1144"/>
        <v>-227</v>
      </c>
      <c r="Q310" s="180">
        <f t="shared" si="1144"/>
        <v>-737</v>
      </c>
      <c r="R310" s="135">
        <f t="shared" si="1144"/>
        <v>-227</v>
      </c>
      <c r="S310" s="135">
        <f t="shared" si="1144"/>
        <v>-222</v>
      </c>
      <c r="T310" s="135">
        <f t="shared" si="1144"/>
        <v>-219</v>
      </c>
      <c r="U310" s="173">
        <f t="shared" si="1144"/>
        <v>-240</v>
      </c>
      <c r="V310" s="180">
        <f t="shared" si="1144"/>
        <v>-908</v>
      </c>
      <c r="W310" s="135">
        <f t="shared" si="1144"/>
        <v>-238</v>
      </c>
      <c r="X310" s="135">
        <f t="shared" si="1144"/>
        <v>-233</v>
      </c>
      <c r="Y310" s="135">
        <f t="shared" si="1144"/>
        <v>-229</v>
      </c>
      <c r="Z310" s="173">
        <f t="shared" si="1144"/>
        <v>-269</v>
      </c>
      <c r="AA310" s="180">
        <f t="shared" si="1144"/>
        <v>-969</v>
      </c>
      <c r="AB310" s="135">
        <f t="shared" si="1144"/>
        <v>-266</v>
      </c>
      <c r="AC310" s="135">
        <f t="shared" si="1144"/>
        <v>-258</v>
      </c>
      <c r="AD310" s="135">
        <f t="shared" si="1144"/>
        <v>-246</v>
      </c>
      <c r="AE310" s="173">
        <f t="shared" si="1144"/>
        <v>-325</v>
      </c>
      <c r="AF310" s="180">
        <f t="shared" si="1144"/>
        <v>-1095</v>
      </c>
      <c r="AG310" s="173">
        <f t="shared" si="1144"/>
        <v>-327</v>
      </c>
      <c r="AH310" s="135">
        <f t="shared" si="1144"/>
        <v>-326</v>
      </c>
      <c r="AI310" s="135">
        <f t="shared" si="1144"/>
        <v>-326</v>
      </c>
      <c r="AJ310" s="173">
        <f t="shared" si="1144"/>
        <v>-373</v>
      </c>
      <c r="AK310" s="180">
        <f t="shared" si="1144"/>
        <v>-1352</v>
      </c>
      <c r="AL310" s="135">
        <f t="shared" si="1144"/>
        <v>-371</v>
      </c>
      <c r="AM310" s="135">
        <f t="shared" si="1144"/>
        <v>-371</v>
      </c>
      <c r="AN310" s="135">
        <f t="shared" si="1144"/>
        <v>-370</v>
      </c>
      <c r="AO310" s="173">
        <f t="shared" si="1144"/>
        <v>-428</v>
      </c>
      <c r="AP310" s="180">
        <f t="shared" si="1144"/>
        <v>-1540</v>
      </c>
      <c r="AQ310" s="135">
        <f t="shared" ref="AQ310:BF310" si="1145">AQ257</f>
        <v>-444</v>
      </c>
      <c r="AR310" s="135">
        <f t="shared" si="1145"/>
        <v>-421</v>
      </c>
      <c r="AS310" s="135">
        <f t="shared" si="1145"/>
        <v>-421</v>
      </c>
      <c r="AT310" s="173">
        <f t="shared" si="1145"/>
        <v>-474</v>
      </c>
      <c r="AU310" s="180">
        <f t="shared" si="1145"/>
        <v>-1760</v>
      </c>
      <c r="AV310" s="184">
        <f>AV257</f>
        <v>-498</v>
      </c>
      <c r="AW310" s="135">
        <f>AW257</f>
        <v>-467</v>
      </c>
      <c r="AX310" s="135">
        <f>AX257</f>
        <v>-462</v>
      </c>
      <c r="AY310" s="173">
        <f>AY257</f>
        <v>-505</v>
      </c>
      <c r="AZ310" s="180">
        <f>AZ257</f>
        <v>-1932</v>
      </c>
      <c r="BA310" s="180"/>
      <c r="BB310" s="184">
        <f t="shared" si="1145"/>
        <v>-444</v>
      </c>
      <c r="BC310" s="135">
        <f t="shared" si="1145"/>
        <v>-421</v>
      </c>
      <c r="BD310" s="135">
        <f t="shared" si="1145"/>
        <v>-421</v>
      </c>
      <c r="BE310" s="173">
        <f t="shared" si="1145"/>
        <v>-474</v>
      </c>
      <c r="BF310" s="180">
        <f t="shared" si="1145"/>
        <v>-1760</v>
      </c>
      <c r="BG310" s="184">
        <f t="shared" ref="BG310:BJ310" si="1146">BG257</f>
        <v>-498</v>
      </c>
      <c r="BH310" s="135">
        <f t="shared" si="1146"/>
        <v>-467</v>
      </c>
      <c r="BI310" s="135">
        <f t="shared" si="1146"/>
        <v>-462</v>
      </c>
      <c r="BJ310" s="173">
        <f t="shared" si="1146"/>
        <v>-505</v>
      </c>
      <c r="BK310" s="180">
        <f t="shared" ref="BK310:BM310" si="1147">BK257</f>
        <v>-1932</v>
      </c>
      <c r="BL310" s="184">
        <f t="shared" si="1147"/>
        <v>-533</v>
      </c>
      <c r="BM310" s="135">
        <f t="shared" si="1147"/>
        <v>-501</v>
      </c>
      <c r="BN310" s="135"/>
      <c r="BO310" s="173"/>
      <c r="BP310" s="180"/>
      <c r="BQ310" s="180"/>
      <c r="BR310" s="184">
        <f t="shared" ref="BR310:BZ310" si="1148">BR257</f>
        <v>-498</v>
      </c>
      <c r="BS310" s="135">
        <f t="shared" si="1148"/>
        <v>-467</v>
      </c>
      <c r="BT310" s="135">
        <f t="shared" si="1148"/>
        <v>-462</v>
      </c>
      <c r="BU310" s="173">
        <f t="shared" si="1148"/>
        <v>-505</v>
      </c>
      <c r="BV310" s="180">
        <f t="shared" si="1148"/>
        <v>-1932</v>
      </c>
      <c r="BW310" s="184">
        <f t="shared" si="1148"/>
        <v>-533</v>
      </c>
      <c r="BX310" s="135">
        <f t="shared" si="1148"/>
        <v>-501</v>
      </c>
      <c r="BY310" s="135">
        <f t="shared" si="1148"/>
        <v>-484</v>
      </c>
      <c r="BZ310" s="173">
        <f t="shared" si="1148"/>
        <v>-530</v>
      </c>
      <c r="CA310" s="180">
        <f>CA257</f>
        <v>-2048</v>
      </c>
      <c r="CB310" s="184">
        <f t="shared" ref="CB310:CE310" si="1149">CB257</f>
        <v>-544</v>
      </c>
      <c r="CC310" s="135">
        <f t="shared" si="1149"/>
        <v>-525</v>
      </c>
      <c r="CD310" s="135">
        <f t="shared" si="1149"/>
        <v>-522</v>
      </c>
      <c r="CE310" s="173">
        <f t="shared" si="1149"/>
        <v>-572</v>
      </c>
      <c r="CF310" s="180">
        <f>CF257</f>
        <v>-2163</v>
      </c>
      <c r="CG310" s="184"/>
      <c r="CH310" s="135"/>
      <c r="CI310" s="135"/>
      <c r="CJ310" s="173"/>
      <c r="CK310" s="180">
        <f>CK257</f>
        <v>-2048</v>
      </c>
      <c r="CL310" s="184"/>
      <c r="CM310" s="135"/>
      <c r="CN310" s="135"/>
      <c r="CO310" s="173"/>
      <c r="CP310" s="180">
        <f>CP257</f>
        <v>-2163</v>
      </c>
      <c r="CQ310" s="184">
        <f t="shared" ref="CQ310:CT310" si="1150">CQ257</f>
        <v>-570.37049999999999</v>
      </c>
      <c r="CR310" s="135">
        <f t="shared" si="1150"/>
        <v>-568.94457375000002</v>
      </c>
      <c r="CS310" s="135">
        <f t="shared" si="1150"/>
        <v>-567.5222123156251</v>
      </c>
      <c r="CT310" s="173">
        <f t="shared" si="1150"/>
        <v>-679.32408814180314</v>
      </c>
      <c r="CU310" s="180">
        <f>CU257</f>
        <v>-2386.1613742074283</v>
      </c>
      <c r="CV310" s="181"/>
      <c r="CW310" s="181"/>
      <c r="CX310" s="181"/>
      <c r="CY310" s="186"/>
      <c r="CZ310" s="180">
        <f>CZ257</f>
        <v>-2584.5551794885273</v>
      </c>
      <c r="DA310" s="181"/>
      <c r="DB310" s="181"/>
      <c r="DC310" s="181"/>
      <c r="DD310" s="186"/>
      <c r="DE310" s="180">
        <f>DE257</f>
        <v>-2786.1504834886327</v>
      </c>
      <c r="DF310" s="181"/>
      <c r="DG310" s="181"/>
      <c r="DH310" s="181"/>
      <c r="DI310" s="186"/>
      <c r="DJ310" s="180">
        <f>DJ257</f>
        <v>-3011.1321350303401</v>
      </c>
      <c r="DK310" s="399"/>
      <c r="DL310" s="1282"/>
      <c r="DM310" s="810"/>
      <c r="DN310" s="810"/>
      <c r="DO310" s="810"/>
      <c r="DP310" s="1053"/>
      <c r="DQ310" s="1053"/>
      <c r="DR310" s="1053"/>
      <c r="DS310" s="810"/>
      <c r="DT310" s="810"/>
      <c r="DU310" s="810"/>
      <c r="DV310" s="810"/>
      <c r="DW310" s="810"/>
      <c r="DX310" s="810"/>
      <c r="DY310" s="357"/>
      <c r="DZ310" s="143"/>
      <c r="EA310" s="143"/>
      <c r="EB310"/>
      <c r="EC310"/>
      <c r="ED310"/>
      <c r="EE310"/>
      <c r="EF310"/>
      <c r="EG310"/>
    </row>
    <row r="311" spans="1:137" s="437" customFormat="1">
      <c r="A311" s="135" t="s">
        <v>264</v>
      </c>
      <c r="B311" s="178">
        <f t="shared" ref="B311:AG311" si="1151">(B55-B171)</f>
        <v>23135</v>
      </c>
      <c r="C311" s="178">
        <f t="shared" si="1151"/>
        <v>25404</v>
      </c>
      <c r="D311" s="178">
        <f t="shared" si="1151"/>
        <v>29789</v>
      </c>
      <c r="E311" s="178">
        <f t="shared" si="1151"/>
        <v>33437</v>
      </c>
      <c r="F311" s="178">
        <f t="shared" si="1151"/>
        <v>34360</v>
      </c>
      <c r="G311" s="178">
        <f t="shared" si="1151"/>
        <v>35850</v>
      </c>
      <c r="H311" s="135">
        <f t="shared" si="1151"/>
        <v>8290</v>
      </c>
      <c r="I311" s="135">
        <f t="shared" si="1151"/>
        <v>9487</v>
      </c>
      <c r="J311" s="135">
        <f t="shared" si="1151"/>
        <v>9932</v>
      </c>
      <c r="K311" s="173">
        <f t="shared" si="1151"/>
        <v>9626</v>
      </c>
      <c r="L311" s="178">
        <f t="shared" si="1151"/>
        <v>37335</v>
      </c>
      <c r="M311" s="135">
        <f t="shared" si="1151"/>
        <v>8805</v>
      </c>
      <c r="N311" s="135">
        <f t="shared" si="1151"/>
        <v>9676</v>
      </c>
      <c r="O311" s="135">
        <f t="shared" si="1151"/>
        <v>9335</v>
      </c>
      <c r="P311" s="173">
        <f t="shared" si="1151"/>
        <v>9784</v>
      </c>
      <c r="Q311" s="178">
        <f t="shared" si="1151"/>
        <v>37600</v>
      </c>
      <c r="R311" s="135">
        <f t="shared" si="1151"/>
        <v>9316</v>
      </c>
      <c r="S311" s="135">
        <f t="shared" si="1151"/>
        <v>9994</v>
      </c>
      <c r="T311" s="135">
        <f t="shared" si="1151"/>
        <v>9699</v>
      </c>
      <c r="U311" s="173">
        <f t="shared" si="1151"/>
        <v>10959</v>
      </c>
      <c r="V311" s="178">
        <f t="shared" si="1151"/>
        <v>39968</v>
      </c>
      <c r="W311" s="135">
        <f t="shared" si="1151"/>
        <v>9399</v>
      </c>
      <c r="X311" s="135">
        <f t="shared" si="1151"/>
        <v>10165</v>
      </c>
      <c r="Y311" s="135">
        <f t="shared" si="1151"/>
        <v>10466</v>
      </c>
      <c r="Z311" s="173">
        <f t="shared" si="1151"/>
        <v>11646</v>
      </c>
      <c r="AA311" s="178">
        <f t="shared" si="1151"/>
        <v>41676</v>
      </c>
      <c r="AB311" s="135">
        <f t="shared" si="1151"/>
        <v>9746</v>
      </c>
      <c r="AC311" s="135">
        <f t="shared" si="1151"/>
        <v>10544</v>
      </c>
      <c r="AD311" s="135">
        <f t="shared" si="1151"/>
        <v>11084</v>
      </c>
      <c r="AE311" s="173">
        <f t="shared" si="1151"/>
        <v>11104.75</v>
      </c>
      <c r="AF311" s="178">
        <f t="shared" si="1151"/>
        <v>42478.75</v>
      </c>
      <c r="AG311" s="173">
        <f t="shared" si="1151"/>
        <v>10249</v>
      </c>
      <c r="AH311" s="135">
        <f t="shared" ref="AH311:AZ311" si="1152">(AH55-AH171)</f>
        <v>10729</v>
      </c>
      <c r="AI311" s="135">
        <f t="shared" si="1152"/>
        <v>10732</v>
      </c>
      <c r="AJ311" s="173">
        <f t="shared" si="1152"/>
        <v>11038</v>
      </c>
      <c r="AK311" s="178">
        <f t="shared" si="1152"/>
        <v>42748</v>
      </c>
      <c r="AL311" s="135">
        <f t="shared" si="1152"/>
        <v>9951</v>
      </c>
      <c r="AM311" s="135">
        <f t="shared" si="1152"/>
        <v>10110</v>
      </c>
      <c r="AN311" s="135">
        <f t="shared" si="1152"/>
        <v>10093</v>
      </c>
      <c r="AO311" s="173">
        <f t="shared" si="1152"/>
        <v>10504</v>
      </c>
      <c r="AP311" s="178">
        <f t="shared" si="1152"/>
        <v>40658</v>
      </c>
      <c r="AQ311" s="135">
        <f t="shared" si="1152"/>
        <v>9218</v>
      </c>
      <c r="AR311" s="135">
        <f t="shared" si="1152"/>
        <v>9880</v>
      </c>
      <c r="AS311" s="135">
        <f t="shared" si="1152"/>
        <v>9722</v>
      </c>
      <c r="AT311" s="173">
        <f t="shared" si="1152"/>
        <v>11069</v>
      </c>
      <c r="AU311" s="178">
        <f t="shared" si="1152"/>
        <v>39889</v>
      </c>
      <c r="AV311" s="184">
        <f t="shared" si="1152"/>
        <v>8755</v>
      </c>
      <c r="AW311" s="135">
        <f t="shared" si="1152"/>
        <v>10198</v>
      </c>
      <c r="AX311" s="135">
        <f t="shared" si="1152"/>
        <v>10107</v>
      </c>
      <c r="AY311" s="173">
        <f t="shared" si="1152"/>
        <v>11636</v>
      </c>
      <c r="AZ311" s="178">
        <f t="shared" si="1152"/>
        <v>40696</v>
      </c>
      <c r="BA311" s="178"/>
      <c r="BB311" s="184">
        <f t="shared" ref="BB311:BM311" si="1153">(BB55-BB171)</f>
        <v>9218</v>
      </c>
      <c r="BC311" s="135">
        <f t="shared" si="1153"/>
        <v>9880</v>
      </c>
      <c r="BD311" s="135">
        <f t="shared" si="1153"/>
        <v>9722</v>
      </c>
      <c r="BE311" s="173">
        <f t="shared" si="1153"/>
        <v>11069</v>
      </c>
      <c r="BF311" s="178">
        <f t="shared" si="1153"/>
        <v>39889</v>
      </c>
      <c r="BG311" s="184">
        <f t="shared" si="1153"/>
        <v>8755</v>
      </c>
      <c r="BH311" s="135">
        <f t="shared" si="1153"/>
        <v>10198</v>
      </c>
      <c r="BI311" s="135">
        <f t="shared" si="1153"/>
        <v>10107</v>
      </c>
      <c r="BJ311" s="173">
        <f t="shared" si="1153"/>
        <v>11636</v>
      </c>
      <c r="BK311" s="178">
        <f t="shared" si="1153"/>
        <v>40696</v>
      </c>
      <c r="BL311" s="184">
        <f t="shared" si="1153"/>
        <v>10405</v>
      </c>
      <c r="BM311" s="135">
        <f t="shared" si="1153"/>
        <v>11348</v>
      </c>
      <c r="BN311" s="135"/>
      <c r="BO311" s="173"/>
      <c r="BP311" s="178"/>
      <c r="BQ311" s="178"/>
      <c r="BR311" s="184">
        <f t="shared" ref="BR311:CD311" si="1154">(BR55-BR171)</f>
        <v>7574</v>
      </c>
      <c r="BS311" s="135">
        <f t="shared" si="1154"/>
        <v>8962</v>
      </c>
      <c r="BT311" s="135">
        <f t="shared" si="1154"/>
        <v>8868</v>
      </c>
      <c r="BU311" s="173">
        <f t="shared" si="1154"/>
        <v>10420</v>
      </c>
      <c r="BV311" s="178">
        <f t="shared" si="1154"/>
        <v>35824</v>
      </c>
      <c r="BW311" s="184">
        <f t="shared" si="1154"/>
        <v>9210</v>
      </c>
      <c r="BX311" s="135">
        <f t="shared" si="1154"/>
        <v>10202</v>
      </c>
      <c r="BY311" s="135">
        <f t="shared" si="1154"/>
        <v>9963</v>
      </c>
      <c r="BZ311" s="173">
        <f>(BZ55-BZ171)</f>
        <v>12324</v>
      </c>
      <c r="CA311" s="178">
        <f>(CA55-CA171)</f>
        <v>41699</v>
      </c>
      <c r="CB311" s="184">
        <f t="shared" si="1154"/>
        <v>9908</v>
      </c>
      <c r="CC311" s="135">
        <f t="shared" si="1154"/>
        <v>11200</v>
      </c>
      <c r="CD311" s="135">
        <f t="shared" si="1154"/>
        <v>10741</v>
      </c>
      <c r="CE311" s="173">
        <f>(CE55-CE171)</f>
        <v>13278</v>
      </c>
      <c r="CF311" s="178">
        <f>(CF55-CF171)</f>
        <v>45127</v>
      </c>
      <c r="CG311" s="184"/>
      <c r="CH311" s="135"/>
      <c r="CI311" s="135"/>
      <c r="CJ311" s="173"/>
      <c r="CK311" s="178">
        <f>(CK55-CK171)</f>
        <v>41410</v>
      </c>
      <c r="CL311" s="184"/>
      <c r="CM311" s="135"/>
      <c r="CN311" s="135"/>
      <c r="CO311" s="173"/>
      <c r="CP311" s="178">
        <f>(CP55-CP171)</f>
        <v>43217</v>
      </c>
      <c r="CQ311" s="184">
        <f t="shared" ref="CQ311:CU311" si="1155">(CQ55-CQ171)</f>
        <v>9539.9</v>
      </c>
      <c r="CR311" s="135">
        <f t="shared" si="1155"/>
        <v>11105.65</v>
      </c>
      <c r="CS311" s="135">
        <f t="shared" si="1155"/>
        <v>10520.7</v>
      </c>
      <c r="CT311" s="173">
        <f t="shared" si="1155"/>
        <v>13177.15</v>
      </c>
      <c r="CU311" s="178">
        <f t="shared" si="1155"/>
        <v>44343.4</v>
      </c>
      <c r="CV311" s="173"/>
      <c r="CW311" s="173"/>
      <c r="CX311" s="173"/>
      <c r="CY311" s="183"/>
      <c r="CZ311" s="178">
        <f>(CZ55-CZ171)</f>
        <v>47010.68</v>
      </c>
      <c r="DA311" s="173"/>
      <c r="DB311" s="173"/>
      <c r="DC311" s="173"/>
      <c r="DD311" s="183"/>
      <c r="DE311" s="178">
        <f>(DE55-DE171)</f>
        <v>48533.415849999998</v>
      </c>
      <c r="DF311" s="173"/>
      <c r="DG311" s="173"/>
      <c r="DH311" s="173"/>
      <c r="DI311" s="183"/>
      <c r="DJ311" s="178">
        <f>(DJ55-DJ171)</f>
        <v>50121.162892000008</v>
      </c>
      <c r="DK311" s="399"/>
      <c r="DL311" s="1282"/>
      <c r="DM311" s="810"/>
      <c r="DN311" s="810"/>
      <c r="DO311" s="810"/>
      <c r="DP311" s="1053"/>
      <c r="DQ311" s="1053"/>
      <c r="DR311" s="1053"/>
      <c r="DS311" s="810"/>
      <c r="DT311" s="810"/>
      <c r="DU311" s="810"/>
      <c r="DV311" s="810"/>
      <c r="DW311" s="810"/>
      <c r="DX311" s="810"/>
      <c r="DY311" s="357"/>
      <c r="DZ311" s="143"/>
      <c r="EA311" s="143"/>
      <c r="EB311"/>
      <c r="EC311"/>
      <c r="ED311"/>
      <c r="EE311"/>
      <c r="EF311"/>
      <c r="EG311"/>
    </row>
    <row r="312" spans="1:137" s="553" customFormat="1">
      <c r="A312" s="135" t="s">
        <v>79</v>
      </c>
      <c r="B312" s="178">
        <v>0</v>
      </c>
      <c r="C312" s="178">
        <v>0</v>
      </c>
      <c r="D312" s="178">
        <v>0</v>
      </c>
      <c r="E312" s="178">
        <v>0</v>
      </c>
      <c r="F312" s="178">
        <v>0</v>
      </c>
      <c r="G312" s="178">
        <v>0</v>
      </c>
      <c r="H312" s="135">
        <v>0</v>
      </c>
      <c r="I312" s="135">
        <v>0</v>
      </c>
      <c r="J312" s="135">
        <v>0</v>
      </c>
      <c r="K312" s="173">
        <v>0</v>
      </c>
      <c r="L312" s="178">
        <v>0</v>
      </c>
      <c r="M312" s="135">
        <v>0</v>
      </c>
      <c r="N312" s="135">
        <v>0</v>
      </c>
      <c r="O312" s="135">
        <v>0</v>
      </c>
      <c r="P312" s="173">
        <v>0</v>
      </c>
      <c r="Q312" s="178">
        <v>0</v>
      </c>
      <c r="R312" s="135">
        <v>0</v>
      </c>
      <c r="S312" s="135">
        <v>0</v>
      </c>
      <c r="T312" s="135">
        <v>0</v>
      </c>
      <c r="U312" s="173">
        <v>0</v>
      </c>
      <c r="V312" s="178">
        <v>0</v>
      </c>
      <c r="W312" s="135">
        <v>0</v>
      </c>
      <c r="X312" s="135">
        <v>0</v>
      </c>
      <c r="Y312" s="135">
        <v>0</v>
      </c>
      <c r="Z312" s="173">
        <v>0</v>
      </c>
      <c r="AA312" s="178">
        <v>0</v>
      </c>
      <c r="AB312" s="135">
        <v>0</v>
      </c>
      <c r="AC312" s="135">
        <v>0</v>
      </c>
      <c r="AD312" s="135">
        <v>0</v>
      </c>
      <c r="AE312" s="173">
        <v>0</v>
      </c>
      <c r="AF312" s="178">
        <v>0</v>
      </c>
      <c r="AG312" s="173">
        <v>0</v>
      </c>
      <c r="AH312" s="135">
        <v>0</v>
      </c>
      <c r="AI312" s="135">
        <v>0</v>
      </c>
      <c r="AJ312" s="173">
        <v>0</v>
      </c>
      <c r="AK312" s="178">
        <v>0</v>
      </c>
      <c r="AL312" s="135">
        <v>0</v>
      </c>
      <c r="AM312" s="135">
        <v>0</v>
      </c>
      <c r="AN312" s="135">
        <v>0</v>
      </c>
      <c r="AO312" s="173">
        <v>0</v>
      </c>
      <c r="AP312" s="178">
        <v>0</v>
      </c>
      <c r="AQ312" s="135">
        <v>0</v>
      </c>
      <c r="AR312" s="135">
        <v>0</v>
      </c>
      <c r="AS312" s="135">
        <v>0</v>
      </c>
      <c r="AT312" s="173">
        <v>0</v>
      </c>
      <c r="AU312" s="178">
        <v>0</v>
      </c>
      <c r="AV312" s="184">
        <v>0</v>
      </c>
      <c r="AW312" s="135">
        <v>0</v>
      </c>
      <c r="AX312" s="135">
        <v>0</v>
      </c>
      <c r="AY312" s="173">
        <v>0</v>
      </c>
      <c r="AZ312" s="178">
        <v>0</v>
      </c>
      <c r="BA312" s="178"/>
      <c r="BB312" s="184">
        <v>0</v>
      </c>
      <c r="BC312" s="135">
        <v>0</v>
      </c>
      <c r="BD312" s="135">
        <v>0</v>
      </c>
      <c r="BE312" s="173">
        <v>0</v>
      </c>
      <c r="BF312" s="178">
        <v>0</v>
      </c>
      <c r="BG312" s="184">
        <v>0</v>
      </c>
      <c r="BH312" s="135">
        <v>0</v>
      </c>
      <c r="BI312" s="135">
        <v>0</v>
      </c>
      <c r="BJ312" s="173">
        <v>0</v>
      </c>
      <c r="BK312" s="178">
        <v>0</v>
      </c>
      <c r="BL312" s="184">
        <v>0</v>
      </c>
      <c r="BM312" s="135">
        <v>0</v>
      </c>
      <c r="BN312" s="135"/>
      <c r="BO312" s="173"/>
      <c r="BP312" s="178"/>
      <c r="BQ312" s="178"/>
      <c r="BR312" s="184">
        <v>0</v>
      </c>
      <c r="BS312" s="135">
        <v>0</v>
      </c>
      <c r="BT312" s="135">
        <v>0</v>
      </c>
      <c r="BU312" s="173">
        <v>0</v>
      </c>
      <c r="BV312" s="178">
        <v>0</v>
      </c>
      <c r="BW312" s="184">
        <v>0</v>
      </c>
      <c r="BX312" s="135">
        <v>0</v>
      </c>
      <c r="BY312" s="135">
        <v>0</v>
      </c>
      <c r="BZ312" s="173">
        <v>0</v>
      </c>
      <c r="CA312" s="178">
        <v>0</v>
      </c>
      <c r="CB312" s="184">
        <v>0</v>
      </c>
      <c r="CC312" s="135">
        <v>0</v>
      </c>
      <c r="CD312" s="135">
        <v>0</v>
      </c>
      <c r="CE312" s="173">
        <v>0</v>
      </c>
      <c r="CF312" s="178">
        <v>0</v>
      </c>
      <c r="CG312" s="184"/>
      <c r="CH312" s="135"/>
      <c r="CI312" s="135"/>
      <c r="CJ312" s="173"/>
      <c r="CK312" s="178">
        <v>0</v>
      </c>
      <c r="CL312" s="184"/>
      <c r="CM312" s="135"/>
      <c r="CN312" s="135"/>
      <c r="CO312" s="173"/>
      <c r="CP312" s="178">
        <v>0</v>
      </c>
      <c r="CQ312" s="184">
        <v>0</v>
      </c>
      <c r="CR312" s="135">
        <v>0</v>
      </c>
      <c r="CS312" s="135">
        <v>0</v>
      </c>
      <c r="CT312" s="173">
        <v>0</v>
      </c>
      <c r="CU312" s="178">
        <v>0</v>
      </c>
      <c r="CV312" s="173"/>
      <c r="CW312" s="173"/>
      <c r="CX312" s="173"/>
      <c r="CY312" s="183"/>
      <c r="CZ312" s="178">
        <v>0</v>
      </c>
      <c r="DA312" s="173"/>
      <c r="DB312" s="173"/>
      <c r="DC312" s="173"/>
      <c r="DD312" s="183"/>
      <c r="DE312" s="178">
        <v>0</v>
      </c>
      <c r="DF312" s="173"/>
      <c r="DG312" s="173"/>
      <c r="DH312" s="173"/>
      <c r="DI312" s="183"/>
      <c r="DJ312" s="178">
        <v>0</v>
      </c>
      <c r="DK312" s="399"/>
      <c r="DL312" s="1282"/>
      <c r="DM312" s="810"/>
      <c r="DN312" s="810"/>
      <c r="DO312" s="810"/>
      <c r="DP312" s="1053"/>
      <c r="DQ312" s="1053"/>
      <c r="DR312" s="1053"/>
      <c r="DS312" s="810"/>
      <c r="DT312" s="810"/>
      <c r="DU312" s="810"/>
      <c r="DV312" s="810"/>
      <c r="DW312" s="810"/>
      <c r="DX312" s="810"/>
      <c r="DY312" s="357"/>
      <c r="DZ312" s="143"/>
      <c r="EA312" s="143"/>
      <c r="EB312"/>
      <c r="EC312"/>
      <c r="ED312"/>
      <c r="EE312"/>
      <c r="EF312"/>
      <c r="EG312"/>
    </row>
    <row r="313" spans="1:137">
      <c r="A313" s="5"/>
      <c r="B313" s="9"/>
      <c r="C313" s="9"/>
      <c r="D313" s="9"/>
      <c r="E313" s="9"/>
      <c r="F313" s="9"/>
      <c r="G313" s="9"/>
      <c r="H313" s="5"/>
      <c r="I313" s="5"/>
      <c r="J313" s="5"/>
      <c r="K313" s="7"/>
      <c r="L313" s="9"/>
      <c r="M313" s="5"/>
      <c r="N313" s="5"/>
      <c r="O313" s="5"/>
      <c r="P313" s="7"/>
      <c r="Q313" s="9"/>
      <c r="R313" s="5"/>
      <c r="S313" s="5"/>
      <c r="T313" s="5"/>
      <c r="U313" s="7"/>
      <c r="V313" s="9"/>
      <c r="W313" s="5"/>
      <c r="X313" s="5"/>
      <c r="Y313" s="5"/>
      <c r="Z313" s="7"/>
      <c r="AA313" s="9"/>
      <c r="AB313" s="5"/>
      <c r="AC313" s="5"/>
      <c r="AD313" s="5"/>
      <c r="AE313" s="7"/>
      <c r="AF313" s="9"/>
      <c r="AG313" s="7"/>
      <c r="AH313" s="5"/>
      <c r="AI313" s="5"/>
      <c r="AJ313" s="7"/>
      <c r="AK313" s="9"/>
      <c r="AL313" s="5"/>
      <c r="AM313" s="5"/>
      <c r="AN313" s="5"/>
      <c r="AO313" s="7"/>
      <c r="AP313" s="9"/>
      <c r="AQ313" s="6"/>
      <c r="AR313" s="7"/>
      <c r="AS313" s="7"/>
      <c r="AT313" s="7"/>
      <c r="AU313" s="9"/>
      <c r="AV313" s="6"/>
      <c r="AW313" s="7"/>
      <c r="AX313" s="7"/>
      <c r="AY313" s="8"/>
      <c r="AZ313" s="9"/>
      <c r="BA313" s="9"/>
      <c r="BB313" s="6"/>
      <c r="BC313" s="7"/>
      <c r="BD313" s="7"/>
      <c r="BE313" s="8"/>
      <c r="BF313" s="9"/>
      <c r="BG313" s="6"/>
      <c r="BH313" s="7"/>
      <c r="BI313" s="7"/>
      <c r="BJ313" s="8"/>
      <c r="BK313" s="9"/>
      <c r="BL313" s="6"/>
      <c r="BM313" s="7"/>
      <c r="BN313" s="7"/>
      <c r="BO313" s="8"/>
      <c r="BP313" s="9"/>
      <c r="BQ313" s="9"/>
      <c r="BR313" s="6"/>
      <c r="BS313" s="7"/>
      <c r="BT313" s="7"/>
      <c r="BU313" s="8"/>
      <c r="BV313" s="9"/>
      <c r="BW313" s="6"/>
      <c r="BX313" s="7"/>
      <c r="BY313" s="7"/>
      <c r="BZ313" s="8"/>
      <c r="CA313" s="9"/>
      <c r="CB313" s="6"/>
      <c r="CC313" s="7"/>
      <c r="CD313" s="7"/>
      <c r="CE313" s="8"/>
      <c r="CF313" s="9"/>
      <c r="CG313" s="6"/>
      <c r="CH313" s="7"/>
      <c r="CI313" s="7"/>
      <c r="CJ313" s="8"/>
      <c r="CK313" s="9"/>
      <c r="CL313" s="6"/>
      <c r="CM313" s="7"/>
      <c r="CN313" s="7"/>
      <c r="CO313" s="8"/>
      <c r="CP313" s="9"/>
      <c r="CQ313" s="7"/>
      <c r="CR313" s="7"/>
      <c r="CS313" s="7"/>
      <c r="CT313" s="8"/>
      <c r="CU313" s="9"/>
      <c r="CV313" s="7"/>
      <c r="CW313" s="7"/>
      <c r="CX313" s="7"/>
      <c r="CY313" s="8"/>
      <c r="CZ313" s="9"/>
      <c r="DA313" s="7"/>
      <c r="DB313" s="7"/>
      <c r="DC313" s="7"/>
      <c r="DD313" s="8"/>
      <c r="DE313" s="9"/>
      <c r="DF313" s="7"/>
      <c r="DG313" s="7"/>
      <c r="DH313" s="7"/>
      <c r="DI313" s="8"/>
      <c r="DJ313" s="9"/>
      <c r="DK313" s="397"/>
      <c r="DL313" s="1285"/>
      <c r="DM313" s="809"/>
      <c r="DN313" s="809"/>
      <c r="DO313" s="809"/>
      <c r="DP313" s="1054"/>
      <c r="DQ313" s="1054"/>
      <c r="DR313" s="1054"/>
      <c r="DS313" s="809"/>
      <c r="DT313" s="809"/>
      <c r="DU313" s="809"/>
      <c r="DV313" s="809"/>
      <c r="DW313" s="809"/>
      <c r="DX313" s="809"/>
      <c r="DY313" s="360"/>
      <c r="DZ313" s="167"/>
      <c r="EA313" s="167"/>
    </row>
    <row r="314" spans="1:137" customFormat="1"/>
    <row r="315" spans="1:137" s="398" customFormat="1">
      <c r="A315" s="166"/>
      <c r="B315" s="69"/>
      <c r="C315" s="69"/>
      <c r="D315" s="69"/>
      <c r="E315" s="69"/>
      <c r="F315" s="69"/>
      <c r="G315" s="69"/>
      <c r="H315" s="68"/>
      <c r="I315" s="64"/>
      <c r="J315" s="64"/>
      <c r="K315" s="68"/>
      <c r="L315" s="69"/>
      <c r="M315" s="64"/>
      <c r="N315" s="64"/>
      <c r="O315" s="64"/>
      <c r="P315" s="68"/>
      <c r="Q315" s="69"/>
      <c r="R315" s="64"/>
      <c r="S315" s="64"/>
      <c r="T315" s="70"/>
      <c r="U315" s="66"/>
      <c r="V315" s="69"/>
      <c r="W315" s="64"/>
      <c r="X315" s="64"/>
      <c r="Y315" s="70"/>
      <c r="Z315" s="66"/>
      <c r="AA315" s="69"/>
      <c r="AB315" s="64"/>
      <c r="AC315" s="64"/>
      <c r="AD315" s="64"/>
      <c r="AE315" s="68"/>
      <c r="AF315" s="69"/>
      <c r="AG315" s="68"/>
      <c r="AH315" s="64"/>
      <c r="AI315" s="64"/>
      <c r="AJ315" s="68"/>
      <c r="AK315" s="69"/>
      <c r="AL315" s="64"/>
      <c r="AM315" s="64"/>
      <c r="AN315" s="64"/>
      <c r="AO315" s="66"/>
      <c r="AP315" s="69"/>
      <c r="AQ315" s="65"/>
      <c r="AR315" s="66"/>
      <c r="AS315" s="66"/>
      <c r="AT315" s="67"/>
      <c r="AU315" s="69"/>
      <c r="AV315" s="66"/>
      <c r="AW315" s="66"/>
      <c r="AX315" s="66"/>
      <c r="AY315" s="67"/>
      <c r="AZ315" s="69"/>
      <c r="BA315" s="69"/>
      <c r="BB315" s="66"/>
      <c r="BC315" s="66"/>
      <c r="BD315" s="66"/>
      <c r="BE315" s="67"/>
      <c r="BF315" s="69"/>
      <c r="BG315" s="66"/>
      <c r="BH315" s="66"/>
      <c r="BI315" s="66"/>
      <c r="BJ315" s="67"/>
      <c r="BK315" s="69"/>
      <c r="BL315" s="66"/>
      <c r="BM315" s="66"/>
      <c r="BN315" s="66"/>
      <c r="BO315" s="67"/>
      <c r="BP315" s="69"/>
      <c r="BQ315" s="69"/>
      <c r="BR315" s="66"/>
      <c r="BS315" s="66"/>
      <c r="BT315" s="66"/>
      <c r="BU315" s="67"/>
      <c r="BV315" s="69"/>
      <c r="BW315" s="66"/>
      <c r="BX315" s="66"/>
      <c r="BY315" s="66"/>
      <c r="BZ315" s="67"/>
      <c r="CA315" s="69"/>
      <c r="CB315" s="66"/>
      <c r="CC315" s="66"/>
      <c r="CD315" s="66"/>
      <c r="CE315" s="67"/>
      <c r="CF315" s="69"/>
      <c r="CG315" s="66"/>
      <c r="CH315" s="66"/>
      <c r="CI315" s="66"/>
      <c r="CJ315" s="67"/>
      <c r="CK315" s="69"/>
      <c r="CL315" s="66"/>
      <c r="CM315" s="66"/>
      <c r="CN315" s="66"/>
      <c r="CO315" s="67"/>
      <c r="CP315" s="69"/>
      <c r="CQ315" s="66"/>
      <c r="CR315" s="66"/>
      <c r="CS315" s="66"/>
      <c r="CT315" s="67"/>
      <c r="CU315" s="69"/>
      <c r="CV315" s="66"/>
      <c r="CW315" s="66"/>
      <c r="CX315" s="66"/>
      <c r="CY315" s="67"/>
      <c r="CZ315" s="69"/>
      <c r="DA315" s="66"/>
      <c r="DB315" s="66"/>
      <c r="DC315" s="66"/>
      <c r="DD315" s="67"/>
      <c r="DE315" s="69"/>
      <c r="DF315" s="66"/>
      <c r="DG315" s="66"/>
      <c r="DH315" s="66"/>
      <c r="DI315" s="67"/>
      <c r="DJ315" s="69"/>
      <c r="DK315" s="397"/>
      <c r="DL315" s="1285"/>
      <c r="DM315" s="809"/>
      <c r="DN315" s="809"/>
      <c r="DO315" s="809"/>
      <c r="DP315" s="1054"/>
      <c r="DQ315" s="1054"/>
      <c r="DR315" s="1054"/>
      <c r="DS315" s="809"/>
      <c r="DT315" s="809"/>
      <c r="DU315" s="809"/>
      <c r="DV315" s="809"/>
      <c r="DW315" s="809"/>
      <c r="DX315" s="809"/>
      <c r="DY315" s="360"/>
      <c r="DZ315" s="167"/>
      <c r="EA315" s="167"/>
      <c r="EB315"/>
      <c r="EC315"/>
      <c r="ED315"/>
      <c r="EE315"/>
      <c r="EF315"/>
      <c r="EG315"/>
    </row>
    <row r="316" spans="1:137" s="398" customFormat="1">
      <c r="A316" s="166"/>
      <c r="B316" s="69"/>
      <c r="C316" s="69"/>
      <c r="D316" s="69"/>
      <c r="E316" s="69"/>
      <c r="F316" s="69"/>
      <c r="G316" s="69"/>
      <c r="H316" s="68"/>
      <c r="I316" s="64"/>
      <c r="J316" s="64"/>
      <c r="K316" s="68"/>
      <c r="L316" s="69"/>
      <c r="M316" s="64"/>
      <c r="N316" s="64"/>
      <c r="O316" s="64"/>
      <c r="P316" s="68"/>
      <c r="Q316" s="69"/>
      <c r="R316" s="64"/>
      <c r="S316" s="64"/>
      <c r="T316" s="70"/>
      <c r="U316" s="66"/>
      <c r="V316" s="69"/>
      <c r="W316" s="64"/>
      <c r="X316" s="64"/>
      <c r="Y316" s="70"/>
      <c r="Z316" s="66"/>
      <c r="AA316" s="69"/>
      <c r="AB316" s="64"/>
      <c r="AC316" s="64"/>
      <c r="AD316" s="64"/>
      <c r="AE316" s="68"/>
      <c r="AF316" s="69"/>
      <c r="AG316" s="68"/>
      <c r="AH316" s="64"/>
      <c r="AI316" s="64"/>
      <c r="AJ316" s="68"/>
      <c r="AK316" s="69"/>
      <c r="AL316" s="64"/>
      <c r="AM316" s="64"/>
      <c r="AN316" s="64"/>
      <c r="AO316" s="66"/>
      <c r="AP316" s="69"/>
      <c r="AQ316" s="65"/>
      <c r="AR316" s="66"/>
      <c r="AS316" s="66"/>
      <c r="AT316" s="67"/>
      <c r="AU316" s="69"/>
      <c r="AV316" s="66"/>
      <c r="AW316" s="66"/>
      <c r="AX316" s="66"/>
      <c r="AY316" s="67"/>
      <c r="AZ316" s="69"/>
      <c r="BA316" s="69"/>
      <c r="BB316" s="66"/>
      <c r="BC316" s="66"/>
      <c r="BD316" s="66"/>
      <c r="BE316" s="67"/>
      <c r="BF316" s="69"/>
      <c r="BG316" s="66"/>
      <c r="BH316" s="66"/>
      <c r="BI316" s="66"/>
      <c r="BJ316" s="67"/>
      <c r="BK316" s="69"/>
      <c r="BL316" s="66"/>
      <c r="BM316" s="66"/>
      <c r="BN316" s="66"/>
      <c r="BO316" s="67"/>
      <c r="BP316" s="69"/>
      <c r="BQ316" s="69"/>
      <c r="BR316" s="66"/>
      <c r="BS316" s="66"/>
      <c r="BT316" s="66"/>
      <c r="BU316" s="67"/>
      <c r="BV316" s="69"/>
      <c r="BW316" s="66"/>
      <c r="BX316" s="66"/>
      <c r="BY316" s="66"/>
      <c r="BZ316" s="67"/>
      <c r="CA316" s="69"/>
      <c r="CB316" s="66"/>
      <c r="CC316" s="66"/>
      <c r="CD316" s="66"/>
      <c r="CE316" s="67"/>
      <c r="CF316" s="69"/>
      <c r="CG316" s="66"/>
      <c r="CH316" s="66"/>
      <c r="CI316" s="66"/>
      <c r="CJ316" s="67"/>
      <c r="CK316" s="69"/>
      <c r="CL316" s="66"/>
      <c r="CM316" s="66"/>
      <c r="CN316" s="66"/>
      <c r="CO316" s="67"/>
      <c r="CP316" s="69"/>
      <c r="CQ316" s="66"/>
      <c r="CR316" s="66"/>
      <c r="CS316" s="66"/>
      <c r="CT316" s="67"/>
      <c r="CU316" s="69"/>
      <c r="CV316" s="66"/>
      <c r="CW316" s="66"/>
      <c r="CX316" s="66"/>
      <c r="CY316" s="67"/>
      <c r="CZ316" s="69"/>
      <c r="DA316" s="66"/>
      <c r="DB316" s="66"/>
      <c r="DC316" s="66"/>
      <c r="DD316" s="67"/>
      <c r="DE316" s="69"/>
      <c r="DF316" s="66"/>
      <c r="DG316" s="66"/>
      <c r="DH316" s="66"/>
      <c r="DI316" s="67"/>
      <c r="DJ316" s="69"/>
      <c r="DK316" s="397"/>
      <c r="DL316" s="1285"/>
      <c r="DM316" s="809"/>
      <c r="DN316" s="809"/>
      <c r="DO316" s="809"/>
      <c r="DP316" s="1054"/>
      <c r="DQ316" s="1054"/>
      <c r="DR316" s="1054"/>
      <c r="DS316" s="809"/>
      <c r="DT316" s="809"/>
      <c r="DU316" s="809"/>
      <c r="DV316" s="809"/>
      <c r="DW316" s="809"/>
      <c r="DX316" s="809"/>
      <c r="DY316" s="360"/>
      <c r="DZ316" s="167"/>
      <c r="EA316" s="167"/>
      <c r="EB316"/>
      <c r="EC316"/>
      <c r="ED316"/>
      <c r="EE316"/>
      <c r="EF316"/>
      <c r="EG316"/>
    </row>
    <row r="317" spans="1:137">
      <c r="AG317" s="53"/>
    </row>
    <row r="318" spans="1:137">
      <c r="AG318" s="53"/>
    </row>
    <row r="319" spans="1:137">
      <c r="AG319" s="53"/>
    </row>
    <row r="320" spans="1:137">
      <c r="AG320" s="53"/>
    </row>
    <row r="321" spans="33:33">
      <c r="AG321" s="53"/>
    </row>
    <row r="322" spans="33:33">
      <c r="AG322" s="53"/>
    </row>
    <row r="323" spans="33:33">
      <c r="AG323" s="53"/>
    </row>
    <row r="324" spans="33:33">
      <c r="AG324" s="53"/>
    </row>
    <row r="325" spans="33:33">
      <c r="AG325" s="53"/>
    </row>
    <row r="326" spans="33:33">
      <c r="AG326" s="53"/>
    </row>
    <row r="327" spans="33:33">
      <c r="AG327" s="53"/>
    </row>
    <row r="328" spans="33:33">
      <c r="AG328" s="53"/>
    </row>
    <row r="329" spans="33:33">
      <c r="AG329" s="53"/>
    </row>
    <row r="330" spans="33:33">
      <c r="AG330" s="53"/>
    </row>
    <row r="331" spans="33:33">
      <c r="AG331" s="53"/>
    </row>
    <row r="332" spans="33:33">
      <c r="AG332" s="53"/>
    </row>
    <row r="333" spans="33:33">
      <c r="AG333" s="53"/>
    </row>
    <row r="334" spans="33:33">
      <c r="AG334" s="53"/>
    </row>
    <row r="335" spans="33:33">
      <c r="AG335" s="53"/>
    </row>
    <row r="336" spans="33:33">
      <c r="AG336" s="53"/>
    </row>
    <row r="337" spans="33:33">
      <c r="AG337" s="53"/>
    </row>
    <row r="338" spans="33:33">
      <c r="AG338" s="53"/>
    </row>
    <row r="339" spans="33:33">
      <c r="AG339" s="53"/>
    </row>
  </sheetData>
  <phoneticPr fontId="3" type="noConversion"/>
  <conditionalFormatting sqref="B304:AZ304 CF304">
    <cfRule type="cellIs" dxfId="30" priority="46" stopIfTrue="1" operator="notEqual">
      <formula>0</formula>
    </cfRule>
  </conditionalFormatting>
  <conditionalFormatting sqref="CQ304:CU304">
    <cfRule type="cellIs" dxfId="29" priority="45" stopIfTrue="1" operator="notEqual">
      <formula>0</formula>
    </cfRule>
  </conditionalFormatting>
  <conditionalFormatting sqref="CV304:CZ304">
    <cfRule type="cellIs" dxfId="28" priority="44" stopIfTrue="1" operator="notEqual">
      <formula>0</formula>
    </cfRule>
  </conditionalFormatting>
  <conditionalFormatting sqref="DA304:DE304">
    <cfRule type="cellIs" dxfId="27" priority="40" stopIfTrue="1" operator="notEqual">
      <formula>0</formula>
    </cfRule>
  </conditionalFormatting>
  <conditionalFormatting sqref="BA304">
    <cfRule type="cellIs" dxfId="26" priority="38" stopIfTrue="1" operator="notEqual">
      <formula>0</formula>
    </cfRule>
  </conditionalFormatting>
  <conditionalFormatting sqref="DF304:DJ304">
    <cfRule type="cellIs" dxfId="25" priority="39" stopIfTrue="1" operator="notEqual">
      <formula>0</formula>
    </cfRule>
  </conditionalFormatting>
  <conditionalFormatting sqref="BM304">
    <cfRule type="cellIs" dxfId="24" priority="30" stopIfTrue="1" operator="notEqual">
      <formula>0</formula>
    </cfRule>
  </conditionalFormatting>
  <conditionalFormatting sqref="BF304">
    <cfRule type="cellIs" dxfId="23" priority="36" stopIfTrue="1" operator="notEqual">
      <formula>0</formula>
    </cfRule>
  </conditionalFormatting>
  <conditionalFormatting sqref="BK304">
    <cfRule type="cellIs" dxfId="22" priority="35" stopIfTrue="1" operator="notEqual">
      <formula>0</formula>
    </cfRule>
  </conditionalFormatting>
  <conditionalFormatting sqref="BG304:BJ304">
    <cfRule type="cellIs" dxfId="21" priority="34" stopIfTrue="1" operator="notEqual">
      <formula>0</formula>
    </cfRule>
  </conditionalFormatting>
  <conditionalFormatting sqref="BB304:BE304">
    <cfRule type="cellIs" dxfId="20" priority="33" stopIfTrue="1" operator="notEqual">
      <formula>0</formula>
    </cfRule>
  </conditionalFormatting>
  <conditionalFormatting sqref="BL304">
    <cfRule type="cellIs" dxfId="19" priority="31" stopIfTrue="1" operator="notEqual">
      <formula>0</formula>
    </cfRule>
  </conditionalFormatting>
  <conditionalFormatting sqref="BN304">
    <cfRule type="cellIs" dxfId="18" priority="29" stopIfTrue="1" operator="notEqual">
      <formula>0</formula>
    </cfRule>
  </conditionalFormatting>
  <conditionalFormatting sqref="BR304:BU304">
    <cfRule type="cellIs" dxfId="17" priority="26" stopIfTrue="1" operator="notEqual">
      <formula>0</formula>
    </cfRule>
  </conditionalFormatting>
  <conditionalFormatting sqref="BV304">
    <cfRule type="cellIs" dxfId="16" priority="27" stopIfTrue="1" operator="notEqual">
      <formula>0</formula>
    </cfRule>
  </conditionalFormatting>
  <conditionalFormatting sqref="BX304">
    <cfRule type="cellIs" dxfId="15" priority="23" stopIfTrue="1" operator="notEqual">
      <formula>0</formula>
    </cfRule>
  </conditionalFormatting>
  <conditionalFormatting sqref="BW304">
    <cfRule type="cellIs" dxfId="14" priority="24" stopIfTrue="1" operator="notEqual">
      <formula>0</formula>
    </cfRule>
  </conditionalFormatting>
  <conditionalFormatting sqref="BY304">
    <cfRule type="cellIs" dxfId="13" priority="22" stopIfTrue="1" operator="notEqual">
      <formula>0</formula>
    </cfRule>
  </conditionalFormatting>
  <conditionalFormatting sqref="CB304">
    <cfRule type="cellIs" dxfId="12" priority="14" stopIfTrue="1" operator="notEqual">
      <formula>0</formula>
    </cfRule>
  </conditionalFormatting>
  <conditionalFormatting sqref="BZ304">
    <cfRule type="cellIs" dxfId="11" priority="20" stopIfTrue="1" operator="notEqual">
      <formula>0</formula>
    </cfRule>
  </conditionalFormatting>
  <conditionalFormatting sqref="CA304">
    <cfRule type="cellIs" dxfId="10" priority="21" stopIfTrue="1" operator="notEqual">
      <formula>0</formula>
    </cfRule>
  </conditionalFormatting>
  <conditionalFormatting sqref="BQ304">
    <cfRule type="cellIs" dxfId="9" priority="19" stopIfTrue="1" operator="notEqual">
      <formula>0</formula>
    </cfRule>
  </conditionalFormatting>
  <conditionalFormatting sqref="CE304">
    <cfRule type="cellIs" dxfId="8" priority="11" stopIfTrue="1" operator="notEqual">
      <formula>0</formula>
    </cfRule>
  </conditionalFormatting>
  <conditionalFormatting sqref="CC304">
    <cfRule type="cellIs" dxfId="7" priority="13" stopIfTrue="1" operator="notEqual">
      <formula>0</formula>
    </cfRule>
  </conditionalFormatting>
  <conditionalFormatting sqref="CD304">
    <cfRule type="cellIs" dxfId="6" priority="12" stopIfTrue="1" operator="notEqual">
      <formula>0</formula>
    </cfRule>
  </conditionalFormatting>
  <conditionalFormatting sqref="CP304">
    <cfRule type="cellIs" dxfId="5" priority="10" stopIfTrue="1" operator="notEqual">
      <formula>0</formula>
    </cfRule>
  </conditionalFormatting>
  <conditionalFormatting sqref="CL304">
    <cfRule type="cellIs" dxfId="4" priority="4" stopIfTrue="1" operator="notEqual">
      <formula>0</formula>
    </cfRule>
  </conditionalFormatting>
  <conditionalFormatting sqref="CK304">
    <cfRule type="cellIs" dxfId="3" priority="6" stopIfTrue="1" operator="notEqual">
      <formula>0</formula>
    </cfRule>
  </conditionalFormatting>
  <conditionalFormatting sqref="CO304">
    <cfRule type="cellIs" dxfId="2" priority="1" stopIfTrue="1" operator="notEqual">
      <formula>0</formula>
    </cfRule>
  </conditionalFormatting>
  <conditionalFormatting sqref="CM304">
    <cfRule type="cellIs" dxfId="1" priority="3" stopIfTrue="1" operator="notEqual">
      <formula>0</formula>
    </cfRule>
  </conditionalFormatting>
  <conditionalFormatting sqref="CN304">
    <cfRule type="cellIs" dxfId="0" priority="2" stopIfTrue="1" operator="notEqual">
      <formula>0</formula>
    </cfRule>
  </conditionalFormatting>
  <pageMargins left="0.25" right="0.25" top="0.5" bottom="0.25" header="0.2" footer="0.22"/>
  <pageSetup scale="55" orientation="portrait" r:id="rId1"/>
  <headerFooter alignWithMargins="0"/>
  <ignoredErrors>
    <ignoredError sqref="CU7:CU9" formulaRange="1"/>
  </ignoredErrors>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43"/>
  <sheetViews>
    <sheetView workbookViewId="0">
      <selection activeCell="B42" sqref="B42"/>
    </sheetView>
  </sheetViews>
  <sheetFormatPr defaultRowHeight="12.75"/>
  <cols>
    <col min="1" max="1" width="29.5703125" style="1071" bestFit="1" customWidth="1"/>
    <col min="2" max="2" width="19.85546875" style="1320" customWidth="1"/>
    <col min="3" max="3" width="12" style="1071" bestFit="1" customWidth="1"/>
    <col min="4" max="256" width="9.140625" style="1071"/>
    <col min="257" max="257" width="29.5703125" style="1071" bestFit="1" customWidth="1"/>
    <col min="258" max="258" width="19.85546875" style="1071" customWidth="1"/>
    <col min="259" max="259" width="12" style="1071" bestFit="1" customWidth="1"/>
    <col min="260" max="512" width="9.140625" style="1071"/>
    <col min="513" max="513" width="29.5703125" style="1071" bestFit="1" customWidth="1"/>
    <col min="514" max="514" width="19.85546875" style="1071" customWidth="1"/>
    <col min="515" max="515" width="12" style="1071" bestFit="1" customWidth="1"/>
    <col min="516" max="768" width="9.140625" style="1071"/>
    <col min="769" max="769" width="29.5703125" style="1071" bestFit="1" customWidth="1"/>
    <col min="770" max="770" width="19.85546875" style="1071" customWidth="1"/>
    <col min="771" max="771" width="12" style="1071" bestFit="1" customWidth="1"/>
    <col min="772" max="1024" width="9.140625" style="1071"/>
    <col min="1025" max="1025" width="29.5703125" style="1071" bestFit="1" customWidth="1"/>
    <col min="1026" max="1026" width="19.85546875" style="1071" customWidth="1"/>
    <col min="1027" max="1027" width="12" style="1071" bestFit="1" customWidth="1"/>
    <col min="1028" max="1280" width="9.140625" style="1071"/>
    <col min="1281" max="1281" width="29.5703125" style="1071" bestFit="1" customWidth="1"/>
    <col min="1282" max="1282" width="19.85546875" style="1071" customWidth="1"/>
    <col min="1283" max="1283" width="12" style="1071" bestFit="1" customWidth="1"/>
    <col min="1284" max="1536" width="9.140625" style="1071"/>
    <col min="1537" max="1537" width="29.5703125" style="1071" bestFit="1" customWidth="1"/>
    <col min="1538" max="1538" width="19.85546875" style="1071" customWidth="1"/>
    <col min="1539" max="1539" width="12" style="1071" bestFit="1" customWidth="1"/>
    <col min="1540" max="1792" width="9.140625" style="1071"/>
    <col min="1793" max="1793" width="29.5703125" style="1071" bestFit="1" customWidth="1"/>
    <col min="1794" max="1794" width="19.85546875" style="1071" customWidth="1"/>
    <col min="1795" max="1795" width="12" style="1071" bestFit="1" customWidth="1"/>
    <col min="1796" max="2048" width="9.140625" style="1071"/>
    <col min="2049" max="2049" width="29.5703125" style="1071" bestFit="1" customWidth="1"/>
    <col min="2050" max="2050" width="19.85546875" style="1071" customWidth="1"/>
    <col min="2051" max="2051" width="12" style="1071" bestFit="1" customWidth="1"/>
    <col min="2052" max="2304" width="9.140625" style="1071"/>
    <col min="2305" max="2305" width="29.5703125" style="1071" bestFit="1" customWidth="1"/>
    <col min="2306" max="2306" width="19.85546875" style="1071" customWidth="1"/>
    <col min="2307" max="2307" width="12" style="1071" bestFit="1" customWidth="1"/>
    <col min="2308" max="2560" width="9.140625" style="1071"/>
    <col min="2561" max="2561" width="29.5703125" style="1071" bestFit="1" customWidth="1"/>
    <col min="2562" max="2562" width="19.85546875" style="1071" customWidth="1"/>
    <col min="2563" max="2563" width="12" style="1071" bestFit="1" customWidth="1"/>
    <col min="2564" max="2816" width="9.140625" style="1071"/>
    <col min="2817" max="2817" width="29.5703125" style="1071" bestFit="1" customWidth="1"/>
    <col min="2818" max="2818" width="19.85546875" style="1071" customWidth="1"/>
    <col min="2819" max="2819" width="12" style="1071" bestFit="1" customWidth="1"/>
    <col min="2820" max="3072" width="9.140625" style="1071"/>
    <col min="3073" max="3073" width="29.5703125" style="1071" bestFit="1" customWidth="1"/>
    <col min="3074" max="3074" width="19.85546875" style="1071" customWidth="1"/>
    <col min="3075" max="3075" width="12" style="1071" bestFit="1" customWidth="1"/>
    <col min="3076" max="3328" width="9.140625" style="1071"/>
    <col min="3329" max="3329" width="29.5703125" style="1071" bestFit="1" customWidth="1"/>
    <col min="3330" max="3330" width="19.85546875" style="1071" customWidth="1"/>
    <col min="3331" max="3331" width="12" style="1071" bestFit="1" customWidth="1"/>
    <col min="3332" max="3584" width="9.140625" style="1071"/>
    <col min="3585" max="3585" width="29.5703125" style="1071" bestFit="1" customWidth="1"/>
    <col min="3586" max="3586" width="19.85546875" style="1071" customWidth="1"/>
    <col min="3587" max="3587" width="12" style="1071" bestFit="1" customWidth="1"/>
    <col min="3588" max="3840" width="9.140625" style="1071"/>
    <col min="3841" max="3841" width="29.5703125" style="1071" bestFit="1" customWidth="1"/>
    <col min="3842" max="3842" width="19.85546875" style="1071" customWidth="1"/>
    <col min="3843" max="3843" width="12" style="1071" bestFit="1" customWidth="1"/>
    <col min="3844" max="4096" width="9.140625" style="1071"/>
    <col min="4097" max="4097" width="29.5703125" style="1071" bestFit="1" customWidth="1"/>
    <col min="4098" max="4098" width="19.85546875" style="1071" customWidth="1"/>
    <col min="4099" max="4099" width="12" style="1071" bestFit="1" customWidth="1"/>
    <col min="4100" max="4352" width="9.140625" style="1071"/>
    <col min="4353" max="4353" width="29.5703125" style="1071" bestFit="1" customWidth="1"/>
    <col min="4354" max="4354" width="19.85546875" style="1071" customWidth="1"/>
    <col min="4355" max="4355" width="12" style="1071" bestFit="1" customWidth="1"/>
    <col min="4356" max="4608" width="9.140625" style="1071"/>
    <col min="4609" max="4609" width="29.5703125" style="1071" bestFit="1" customWidth="1"/>
    <col min="4610" max="4610" width="19.85546875" style="1071" customWidth="1"/>
    <col min="4611" max="4611" width="12" style="1071" bestFit="1" customWidth="1"/>
    <col min="4612" max="4864" width="9.140625" style="1071"/>
    <col min="4865" max="4865" width="29.5703125" style="1071" bestFit="1" customWidth="1"/>
    <col min="4866" max="4866" width="19.85546875" style="1071" customWidth="1"/>
    <col min="4867" max="4867" width="12" style="1071" bestFit="1" customWidth="1"/>
    <col min="4868" max="5120" width="9.140625" style="1071"/>
    <col min="5121" max="5121" width="29.5703125" style="1071" bestFit="1" customWidth="1"/>
    <col min="5122" max="5122" width="19.85546875" style="1071" customWidth="1"/>
    <col min="5123" max="5123" width="12" style="1071" bestFit="1" customWidth="1"/>
    <col min="5124" max="5376" width="9.140625" style="1071"/>
    <col min="5377" max="5377" width="29.5703125" style="1071" bestFit="1" customWidth="1"/>
    <col min="5378" max="5378" width="19.85546875" style="1071" customWidth="1"/>
    <col min="5379" max="5379" width="12" style="1071" bestFit="1" customWidth="1"/>
    <col min="5380" max="5632" width="9.140625" style="1071"/>
    <col min="5633" max="5633" width="29.5703125" style="1071" bestFit="1" customWidth="1"/>
    <col min="5634" max="5634" width="19.85546875" style="1071" customWidth="1"/>
    <col min="5635" max="5635" width="12" style="1071" bestFit="1" customWidth="1"/>
    <col min="5636" max="5888" width="9.140625" style="1071"/>
    <col min="5889" max="5889" width="29.5703125" style="1071" bestFit="1" customWidth="1"/>
    <col min="5890" max="5890" width="19.85546875" style="1071" customWidth="1"/>
    <col min="5891" max="5891" width="12" style="1071" bestFit="1" customWidth="1"/>
    <col min="5892" max="6144" width="9.140625" style="1071"/>
    <col min="6145" max="6145" width="29.5703125" style="1071" bestFit="1" customWidth="1"/>
    <col min="6146" max="6146" width="19.85546875" style="1071" customWidth="1"/>
    <col min="6147" max="6147" width="12" style="1071" bestFit="1" customWidth="1"/>
    <col min="6148" max="6400" width="9.140625" style="1071"/>
    <col min="6401" max="6401" width="29.5703125" style="1071" bestFit="1" customWidth="1"/>
    <col min="6402" max="6402" width="19.85546875" style="1071" customWidth="1"/>
    <col min="6403" max="6403" width="12" style="1071" bestFit="1" customWidth="1"/>
    <col min="6404" max="6656" width="9.140625" style="1071"/>
    <col min="6657" max="6657" width="29.5703125" style="1071" bestFit="1" customWidth="1"/>
    <col min="6658" max="6658" width="19.85546875" style="1071" customWidth="1"/>
    <col min="6659" max="6659" width="12" style="1071" bestFit="1" customWidth="1"/>
    <col min="6660" max="6912" width="9.140625" style="1071"/>
    <col min="6913" max="6913" width="29.5703125" style="1071" bestFit="1" customWidth="1"/>
    <col min="6914" max="6914" width="19.85546875" style="1071" customWidth="1"/>
    <col min="6915" max="6915" width="12" style="1071" bestFit="1" customWidth="1"/>
    <col min="6916" max="7168" width="9.140625" style="1071"/>
    <col min="7169" max="7169" width="29.5703125" style="1071" bestFit="1" customWidth="1"/>
    <col min="7170" max="7170" width="19.85546875" style="1071" customWidth="1"/>
    <col min="7171" max="7171" width="12" style="1071" bestFit="1" customWidth="1"/>
    <col min="7172" max="7424" width="9.140625" style="1071"/>
    <col min="7425" max="7425" width="29.5703125" style="1071" bestFit="1" customWidth="1"/>
    <col min="7426" max="7426" width="19.85546875" style="1071" customWidth="1"/>
    <col min="7427" max="7427" width="12" style="1071" bestFit="1" customWidth="1"/>
    <col min="7428" max="7680" width="9.140625" style="1071"/>
    <col min="7681" max="7681" width="29.5703125" style="1071" bestFit="1" customWidth="1"/>
    <col min="7682" max="7682" width="19.85546875" style="1071" customWidth="1"/>
    <col min="7683" max="7683" width="12" style="1071" bestFit="1" customWidth="1"/>
    <col min="7684" max="7936" width="9.140625" style="1071"/>
    <col min="7937" max="7937" width="29.5703125" style="1071" bestFit="1" customWidth="1"/>
    <col min="7938" max="7938" width="19.85546875" style="1071" customWidth="1"/>
    <col min="7939" max="7939" width="12" style="1071" bestFit="1" customWidth="1"/>
    <col min="7940" max="8192" width="9.140625" style="1071"/>
    <col min="8193" max="8193" width="29.5703125" style="1071" bestFit="1" customWidth="1"/>
    <col min="8194" max="8194" width="19.85546875" style="1071" customWidth="1"/>
    <col min="8195" max="8195" width="12" style="1071" bestFit="1" customWidth="1"/>
    <col min="8196" max="8448" width="9.140625" style="1071"/>
    <col min="8449" max="8449" width="29.5703125" style="1071" bestFit="1" customWidth="1"/>
    <col min="8450" max="8450" width="19.85546875" style="1071" customWidth="1"/>
    <col min="8451" max="8451" width="12" style="1071" bestFit="1" customWidth="1"/>
    <col min="8452" max="8704" width="9.140625" style="1071"/>
    <col min="8705" max="8705" width="29.5703125" style="1071" bestFit="1" customWidth="1"/>
    <col min="8706" max="8706" width="19.85546875" style="1071" customWidth="1"/>
    <col min="8707" max="8707" width="12" style="1071" bestFit="1" customWidth="1"/>
    <col min="8708" max="8960" width="9.140625" style="1071"/>
    <col min="8961" max="8961" width="29.5703125" style="1071" bestFit="1" customWidth="1"/>
    <col min="8962" max="8962" width="19.85546875" style="1071" customWidth="1"/>
    <col min="8963" max="8963" width="12" style="1071" bestFit="1" customWidth="1"/>
    <col min="8964" max="9216" width="9.140625" style="1071"/>
    <col min="9217" max="9217" width="29.5703125" style="1071" bestFit="1" customWidth="1"/>
    <col min="9218" max="9218" width="19.85546875" style="1071" customWidth="1"/>
    <col min="9219" max="9219" width="12" style="1071" bestFit="1" customWidth="1"/>
    <col min="9220" max="9472" width="9.140625" style="1071"/>
    <col min="9473" max="9473" width="29.5703125" style="1071" bestFit="1" customWidth="1"/>
    <col min="9474" max="9474" width="19.85546875" style="1071" customWidth="1"/>
    <col min="9475" max="9475" width="12" style="1071" bestFit="1" customWidth="1"/>
    <col min="9476" max="9728" width="9.140625" style="1071"/>
    <col min="9729" max="9729" width="29.5703125" style="1071" bestFit="1" customWidth="1"/>
    <col min="9730" max="9730" width="19.85546875" style="1071" customWidth="1"/>
    <col min="9731" max="9731" width="12" style="1071" bestFit="1" customWidth="1"/>
    <col min="9732" max="9984" width="9.140625" style="1071"/>
    <col min="9985" max="9985" width="29.5703125" style="1071" bestFit="1" customWidth="1"/>
    <col min="9986" max="9986" width="19.85546875" style="1071" customWidth="1"/>
    <col min="9987" max="9987" width="12" style="1071" bestFit="1" customWidth="1"/>
    <col min="9988" max="10240" width="9.140625" style="1071"/>
    <col min="10241" max="10241" width="29.5703125" style="1071" bestFit="1" customWidth="1"/>
    <col min="10242" max="10242" width="19.85546875" style="1071" customWidth="1"/>
    <col min="10243" max="10243" width="12" style="1071" bestFit="1" customWidth="1"/>
    <col min="10244" max="10496" width="9.140625" style="1071"/>
    <col min="10497" max="10497" width="29.5703125" style="1071" bestFit="1" customWidth="1"/>
    <col min="10498" max="10498" width="19.85546875" style="1071" customWidth="1"/>
    <col min="10499" max="10499" width="12" style="1071" bestFit="1" customWidth="1"/>
    <col min="10500" max="10752" width="9.140625" style="1071"/>
    <col min="10753" max="10753" width="29.5703125" style="1071" bestFit="1" customWidth="1"/>
    <col min="10754" max="10754" width="19.85546875" style="1071" customWidth="1"/>
    <col min="10755" max="10755" width="12" style="1071" bestFit="1" customWidth="1"/>
    <col min="10756" max="11008" width="9.140625" style="1071"/>
    <col min="11009" max="11009" width="29.5703125" style="1071" bestFit="1" customWidth="1"/>
    <col min="11010" max="11010" width="19.85546875" style="1071" customWidth="1"/>
    <col min="11011" max="11011" width="12" style="1071" bestFit="1" customWidth="1"/>
    <col min="11012" max="11264" width="9.140625" style="1071"/>
    <col min="11265" max="11265" width="29.5703125" style="1071" bestFit="1" customWidth="1"/>
    <col min="11266" max="11266" width="19.85546875" style="1071" customWidth="1"/>
    <col min="11267" max="11267" width="12" style="1071" bestFit="1" customWidth="1"/>
    <col min="11268" max="11520" width="9.140625" style="1071"/>
    <col min="11521" max="11521" width="29.5703125" style="1071" bestFit="1" customWidth="1"/>
    <col min="11522" max="11522" width="19.85546875" style="1071" customWidth="1"/>
    <col min="11523" max="11523" width="12" style="1071" bestFit="1" customWidth="1"/>
    <col min="11524" max="11776" width="9.140625" style="1071"/>
    <col min="11777" max="11777" width="29.5703125" style="1071" bestFit="1" customWidth="1"/>
    <col min="11778" max="11778" width="19.85546875" style="1071" customWidth="1"/>
    <col min="11779" max="11779" width="12" style="1071" bestFit="1" customWidth="1"/>
    <col min="11780" max="12032" width="9.140625" style="1071"/>
    <col min="12033" max="12033" width="29.5703125" style="1071" bestFit="1" customWidth="1"/>
    <col min="12034" max="12034" width="19.85546875" style="1071" customWidth="1"/>
    <col min="12035" max="12035" width="12" style="1071" bestFit="1" customWidth="1"/>
    <col min="12036" max="12288" width="9.140625" style="1071"/>
    <col min="12289" max="12289" width="29.5703125" style="1071" bestFit="1" customWidth="1"/>
    <col min="12290" max="12290" width="19.85546875" style="1071" customWidth="1"/>
    <col min="12291" max="12291" width="12" style="1071" bestFit="1" customWidth="1"/>
    <col min="12292" max="12544" width="9.140625" style="1071"/>
    <col min="12545" max="12545" width="29.5703125" style="1071" bestFit="1" customWidth="1"/>
    <col min="12546" max="12546" width="19.85546875" style="1071" customWidth="1"/>
    <col min="12547" max="12547" width="12" style="1071" bestFit="1" customWidth="1"/>
    <col min="12548" max="12800" width="9.140625" style="1071"/>
    <col min="12801" max="12801" width="29.5703125" style="1071" bestFit="1" customWidth="1"/>
    <col min="12802" max="12802" width="19.85546875" style="1071" customWidth="1"/>
    <col min="12803" max="12803" width="12" style="1071" bestFit="1" customWidth="1"/>
    <col min="12804" max="13056" width="9.140625" style="1071"/>
    <col min="13057" max="13057" width="29.5703125" style="1071" bestFit="1" customWidth="1"/>
    <col min="13058" max="13058" width="19.85546875" style="1071" customWidth="1"/>
    <col min="13059" max="13059" width="12" style="1071" bestFit="1" customWidth="1"/>
    <col min="13060" max="13312" width="9.140625" style="1071"/>
    <col min="13313" max="13313" width="29.5703125" style="1071" bestFit="1" customWidth="1"/>
    <col min="13314" max="13314" width="19.85546875" style="1071" customWidth="1"/>
    <col min="13315" max="13315" width="12" style="1071" bestFit="1" customWidth="1"/>
    <col min="13316" max="13568" width="9.140625" style="1071"/>
    <col min="13569" max="13569" width="29.5703125" style="1071" bestFit="1" customWidth="1"/>
    <col min="13570" max="13570" width="19.85546875" style="1071" customWidth="1"/>
    <col min="13571" max="13571" width="12" style="1071" bestFit="1" customWidth="1"/>
    <col min="13572" max="13824" width="9.140625" style="1071"/>
    <col min="13825" max="13825" width="29.5703125" style="1071" bestFit="1" customWidth="1"/>
    <col min="13826" max="13826" width="19.85546875" style="1071" customWidth="1"/>
    <col min="13827" max="13827" width="12" style="1071" bestFit="1" customWidth="1"/>
    <col min="13828" max="14080" width="9.140625" style="1071"/>
    <col min="14081" max="14081" width="29.5703125" style="1071" bestFit="1" customWidth="1"/>
    <col min="14082" max="14082" width="19.85546875" style="1071" customWidth="1"/>
    <col min="14083" max="14083" width="12" style="1071" bestFit="1" customWidth="1"/>
    <col min="14084" max="14336" width="9.140625" style="1071"/>
    <col min="14337" max="14337" width="29.5703125" style="1071" bestFit="1" customWidth="1"/>
    <col min="14338" max="14338" width="19.85546875" style="1071" customWidth="1"/>
    <col min="14339" max="14339" width="12" style="1071" bestFit="1" customWidth="1"/>
    <col min="14340" max="14592" width="9.140625" style="1071"/>
    <col min="14593" max="14593" width="29.5703125" style="1071" bestFit="1" customWidth="1"/>
    <col min="14594" max="14594" width="19.85546875" style="1071" customWidth="1"/>
    <col min="14595" max="14595" width="12" style="1071" bestFit="1" customWidth="1"/>
    <col min="14596" max="14848" width="9.140625" style="1071"/>
    <col min="14849" max="14849" width="29.5703125" style="1071" bestFit="1" customWidth="1"/>
    <col min="14850" max="14850" width="19.85546875" style="1071" customWidth="1"/>
    <col min="14851" max="14851" width="12" style="1071" bestFit="1" customWidth="1"/>
    <col min="14852" max="15104" width="9.140625" style="1071"/>
    <col min="15105" max="15105" width="29.5703125" style="1071" bestFit="1" customWidth="1"/>
    <col min="15106" max="15106" width="19.85546875" style="1071" customWidth="1"/>
    <col min="15107" max="15107" width="12" style="1071" bestFit="1" customWidth="1"/>
    <col min="15108" max="15360" width="9.140625" style="1071"/>
    <col min="15361" max="15361" width="29.5703125" style="1071" bestFit="1" customWidth="1"/>
    <col min="15362" max="15362" width="19.85546875" style="1071" customWidth="1"/>
    <col min="15363" max="15363" width="12" style="1071" bestFit="1" customWidth="1"/>
    <col min="15364" max="15616" width="9.140625" style="1071"/>
    <col min="15617" max="15617" width="29.5703125" style="1071" bestFit="1" customWidth="1"/>
    <col min="15618" max="15618" width="19.85546875" style="1071" customWidth="1"/>
    <col min="15619" max="15619" width="12" style="1071" bestFit="1" customWidth="1"/>
    <col min="15620" max="15872" width="9.140625" style="1071"/>
    <col min="15873" max="15873" width="29.5703125" style="1071" bestFit="1" customWidth="1"/>
    <col min="15874" max="15874" width="19.85546875" style="1071" customWidth="1"/>
    <col min="15875" max="15875" width="12" style="1071" bestFit="1" customWidth="1"/>
    <col min="15876" max="16128" width="9.140625" style="1071"/>
    <col min="16129" max="16129" width="29.5703125" style="1071" bestFit="1" customWidth="1"/>
    <col min="16130" max="16130" width="19.85546875" style="1071" customWidth="1"/>
    <col min="16131" max="16131" width="12" style="1071" bestFit="1" customWidth="1"/>
    <col min="16132" max="16384" width="9.140625" style="1071"/>
  </cols>
  <sheetData>
    <row r="1" spans="1:2">
      <c r="A1" s="1071" t="s">
        <v>715</v>
      </c>
      <c r="B1" s="1319">
        <v>6.1</v>
      </c>
    </row>
    <row r="2" spans="1:2">
      <c r="A2" s="1071" t="s">
        <v>716</v>
      </c>
      <c r="B2" s="1323">
        <v>43201.526064814818</v>
      </c>
    </row>
    <row r="3" spans="1:2">
      <c r="A3" s="1071" t="s">
        <v>717</v>
      </c>
      <c r="B3" s="1320" t="s">
        <v>413</v>
      </c>
    </row>
    <row r="4" spans="1:2">
      <c r="A4" s="1071" t="s">
        <v>718</v>
      </c>
      <c r="B4" s="1320" t="s">
        <v>719</v>
      </c>
    </row>
    <row r="5" spans="1:2">
      <c r="A5" s="1071" t="s">
        <v>720</v>
      </c>
      <c r="B5" s="1320" t="s">
        <v>721</v>
      </c>
    </row>
    <row r="6" spans="1:2">
      <c r="A6" s="1071" t="s">
        <v>722</v>
      </c>
    </row>
    <row r="7" spans="1:2">
      <c r="A7" s="1071" t="s">
        <v>723</v>
      </c>
      <c r="B7" s="1320" t="s">
        <v>38</v>
      </c>
    </row>
    <row r="8" spans="1:2">
      <c r="A8" s="1071" t="s">
        <v>724</v>
      </c>
      <c r="B8" s="1320" t="s">
        <v>725</v>
      </c>
    </row>
    <row r="9" spans="1:2">
      <c r="A9" s="1071" t="s">
        <v>726</v>
      </c>
      <c r="B9" s="1320" t="s">
        <v>763</v>
      </c>
    </row>
    <row r="10" spans="1:2">
      <c r="A10" s="1071" t="s">
        <v>727</v>
      </c>
    </row>
    <row r="11" spans="1:2">
      <c r="A11" s="1071" t="s">
        <v>728</v>
      </c>
    </row>
    <row r="12" spans="1:2">
      <c r="A12" s="1071" t="s">
        <v>729</v>
      </c>
    </row>
    <row r="13" spans="1:2">
      <c r="A13" s="1071" t="s">
        <v>730</v>
      </c>
    </row>
    <row r="14" spans="1:2">
      <c r="A14" s="1071" t="s">
        <v>731</v>
      </c>
    </row>
    <row r="15" spans="1:2">
      <c r="A15" s="1071" t="s">
        <v>732</v>
      </c>
    </row>
    <row r="16" spans="1:2">
      <c r="A16" s="1071" t="s">
        <v>733</v>
      </c>
    </row>
    <row r="17" spans="1:4">
      <c r="A17" s="1071" t="s">
        <v>734</v>
      </c>
      <c r="B17" s="1320" t="s">
        <v>764</v>
      </c>
    </row>
    <row r="18" spans="1:4">
      <c r="A18" s="1071" t="s">
        <v>735</v>
      </c>
      <c r="B18" s="1320" t="s">
        <v>414</v>
      </c>
    </row>
    <row r="19" spans="1:4">
      <c r="A19" s="1071" t="s">
        <v>736</v>
      </c>
      <c r="B19" s="1320" t="s">
        <v>37</v>
      </c>
    </row>
    <row r="20" spans="1:4">
      <c r="A20" s="1071" t="s">
        <v>737</v>
      </c>
      <c r="B20" s="1321">
        <v>539830109</v>
      </c>
    </row>
    <row r="21" spans="1:4">
      <c r="A21" s="1071" t="s">
        <v>738</v>
      </c>
      <c r="B21" s="1320" t="s">
        <v>37</v>
      </c>
    </row>
    <row r="22" spans="1:4">
      <c r="A22" s="1071" t="s">
        <v>739</v>
      </c>
      <c r="B22" s="1321">
        <v>2522096</v>
      </c>
    </row>
    <row r="23" spans="1:4">
      <c r="A23" s="1071" t="s">
        <v>143</v>
      </c>
      <c r="B23" s="1319">
        <v>344.57</v>
      </c>
    </row>
    <row r="24" spans="1:4">
      <c r="A24" s="1071" t="s">
        <v>163</v>
      </c>
      <c r="B24" s="1320" t="s">
        <v>210</v>
      </c>
      <c r="D24" s="1071" t="s">
        <v>6</v>
      </c>
    </row>
    <row r="25" spans="1:4">
      <c r="A25" s="1071" t="s">
        <v>740</v>
      </c>
      <c r="B25" s="1320" t="s">
        <v>767</v>
      </c>
    </row>
    <row r="26" spans="1:4">
      <c r="A26" s="1071" t="s">
        <v>741</v>
      </c>
      <c r="B26" s="1320">
        <v>0</v>
      </c>
    </row>
    <row r="27" spans="1:4">
      <c r="A27" s="1071" t="s">
        <v>742</v>
      </c>
      <c r="B27" s="1320" t="s">
        <v>743</v>
      </c>
    </row>
    <row r="28" spans="1:4">
      <c r="A28" s="1071" t="s">
        <v>744</v>
      </c>
      <c r="B28" s="1320" t="s">
        <v>745</v>
      </c>
    </row>
    <row r="29" spans="1:4">
      <c r="A29" s="1071" t="s">
        <v>746</v>
      </c>
    </row>
    <row r="30" spans="1:4">
      <c r="A30" s="1071" t="s">
        <v>747</v>
      </c>
    </row>
    <row r="31" spans="1:4">
      <c r="A31" s="1071" t="s">
        <v>748</v>
      </c>
    </row>
    <row r="32" spans="1:4">
      <c r="A32" s="1071" t="s">
        <v>749</v>
      </c>
      <c r="B32" s="1319"/>
    </row>
    <row r="33" spans="1:2">
      <c r="A33" s="1071" t="s">
        <v>750</v>
      </c>
      <c r="B33" s="1319"/>
    </row>
    <row r="34" spans="1:2">
      <c r="A34" s="1071" t="s">
        <v>751</v>
      </c>
      <c r="B34" s="1319"/>
    </row>
    <row r="35" spans="1:2">
      <c r="A35" s="1071" t="s">
        <v>752</v>
      </c>
      <c r="B35" s="1320">
        <v>1000000</v>
      </c>
    </row>
    <row r="36" spans="1:2">
      <c r="A36" s="1071" t="s">
        <v>753</v>
      </c>
      <c r="B36" s="1320" t="s">
        <v>765</v>
      </c>
    </row>
    <row r="37" spans="1:2">
      <c r="A37" s="1071" t="s">
        <v>754</v>
      </c>
      <c r="B37" s="1320" t="s">
        <v>755</v>
      </c>
    </row>
    <row r="38" spans="1:2">
      <c r="A38" s="1071" t="s">
        <v>756</v>
      </c>
      <c r="B38" s="1320" t="s">
        <v>757</v>
      </c>
    </row>
    <row r="39" spans="1:2">
      <c r="A39" s="1071" t="s">
        <v>758</v>
      </c>
      <c r="B39" s="1320" t="s">
        <v>766</v>
      </c>
    </row>
    <row r="40" spans="1:2">
      <c r="A40" s="1071" t="s">
        <v>759</v>
      </c>
      <c r="B40" s="1320">
        <v>1500004845</v>
      </c>
    </row>
    <row r="41" spans="1:2">
      <c r="A41" s="1071" t="s">
        <v>760</v>
      </c>
      <c r="B41" s="1320">
        <v>1</v>
      </c>
    </row>
    <row r="42" spans="1:2">
      <c r="A42" s="1322" t="s">
        <v>761</v>
      </c>
    </row>
    <row r="43" spans="1:2">
      <c r="A43" s="1071" t="s">
        <v>762</v>
      </c>
    </row>
  </sheetData>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13"/>
  <sheetViews>
    <sheetView workbookViewId="0">
      <selection activeCell="E11" sqref="E11"/>
    </sheetView>
  </sheetViews>
  <sheetFormatPr defaultRowHeight="12.75"/>
  <cols>
    <col min="1" max="1" width="28.5703125" style="1071" bestFit="1" customWidth="1"/>
    <col min="2" max="256" width="9.140625" style="1071"/>
    <col min="257" max="257" width="28.5703125" style="1071" bestFit="1" customWidth="1"/>
    <col min="258" max="512" width="9.140625" style="1071"/>
    <col min="513" max="513" width="28.5703125" style="1071" bestFit="1" customWidth="1"/>
    <col min="514" max="768" width="9.140625" style="1071"/>
    <col min="769" max="769" width="28.5703125" style="1071" bestFit="1" customWidth="1"/>
    <col min="770" max="1024" width="9.140625" style="1071"/>
    <col min="1025" max="1025" width="28.5703125" style="1071" bestFit="1" customWidth="1"/>
    <col min="1026" max="1280" width="9.140625" style="1071"/>
    <col min="1281" max="1281" width="28.5703125" style="1071" bestFit="1" customWidth="1"/>
    <col min="1282" max="1536" width="9.140625" style="1071"/>
    <col min="1537" max="1537" width="28.5703125" style="1071" bestFit="1" customWidth="1"/>
    <col min="1538" max="1792" width="9.140625" style="1071"/>
    <col min="1793" max="1793" width="28.5703125" style="1071" bestFit="1" customWidth="1"/>
    <col min="1794" max="2048" width="9.140625" style="1071"/>
    <col min="2049" max="2049" width="28.5703125" style="1071" bestFit="1" customWidth="1"/>
    <col min="2050" max="2304" width="9.140625" style="1071"/>
    <col min="2305" max="2305" width="28.5703125" style="1071" bestFit="1" customWidth="1"/>
    <col min="2306" max="2560" width="9.140625" style="1071"/>
    <col min="2561" max="2561" width="28.5703125" style="1071" bestFit="1" customWidth="1"/>
    <col min="2562" max="2816" width="9.140625" style="1071"/>
    <col min="2817" max="2817" width="28.5703125" style="1071" bestFit="1" customWidth="1"/>
    <col min="2818" max="3072" width="9.140625" style="1071"/>
    <col min="3073" max="3073" width="28.5703125" style="1071" bestFit="1" customWidth="1"/>
    <col min="3074" max="3328" width="9.140625" style="1071"/>
    <col min="3329" max="3329" width="28.5703125" style="1071" bestFit="1" customWidth="1"/>
    <col min="3330" max="3584" width="9.140625" style="1071"/>
    <col min="3585" max="3585" width="28.5703125" style="1071" bestFit="1" customWidth="1"/>
    <col min="3586" max="3840" width="9.140625" style="1071"/>
    <col min="3841" max="3841" width="28.5703125" style="1071" bestFit="1" customWidth="1"/>
    <col min="3842" max="4096" width="9.140625" style="1071"/>
    <col min="4097" max="4097" width="28.5703125" style="1071" bestFit="1" customWidth="1"/>
    <col min="4098" max="4352" width="9.140625" style="1071"/>
    <col min="4353" max="4353" width="28.5703125" style="1071" bestFit="1" customWidth="1"/>
    <col min="4354" max="4608" width="9.140625" style="1071"/>
    <col min="4609" max="4609" width="28.5703125" style="1071" bestFit="1" customWidth="1"/>
    <col min="4610" max="4864" width="9.140625" style="1071"/>
    <col min="4865" max="4865" width="28.5703125" style="1071" bestFit="1" customWidth="1"/>
    <col min="4866" max="5120" width="9.140625" style="1071"/>
    <col min="5121" max="5121" width="28.5703125" style="1071" bestFit="1" customWidth="1"/>
    <col min="5122" max="5376" width="9.140625" style="1071"/>
    <col min="5377" max="5377" width="28.5703125" style="1071" bestFit="1" customWidth="1"/>
    <col min="5378" max="5632" width="9.140625" style="1071"/>
    <col min="5633" max="5633" width="28.5703125" style="1071" bestFit="1" customWidth="1"/>
    <col min="5634" max="5888" width="9.140625" style="1071"/>
    <col min="5889" max="5889" width="28.5703125" style="1071" bestFit="1" customWidth="1"/>
    <col min="5890" max="6144" width="9.140625" style="1071"/>
    <col min="6145" max="6145" width="28.5703125" style="1071" bestFit="1" customWidth="1"/>
    <col min="6146" max="6400" width="9.140625" style="1071"/>
    <col min="6401" max="6401" width="28.5703125" style="1071" bestFit="1" customWidth="1"/>
    <col min="6402" max="6656" width="9.140625" style="1071"/>
    <col min="6657" max="6657" width="28.5703125" style="1071" bestFit="1" customWidth="1"/>
    <col min="6658" max="6912" width="9.140625" style="1071"/>
    <col min="6913" max="6913" width="28.5703125" style="1071" bestFit="1" customWidth="1"/>
    <col min="6914" max="7168" width="9.140625" style="1071"/>
    <col min="7169" max="7169" width="28.5703125" style="1071" bestFit="1" customWidth="1"/>
    <col min="7170" max="7424" width="9.140625" style="1071"/>
    <col min="7425" max="7425" width="28.5703125" style="1071" bestFit="1" customWidth="1"/>
    <col min="7426" max="7680" width="9.140625" style="1071"/>
    <col min="7681" max="7681" width="28.5703125" style="1071" bestFit="1" customWidth="1"/>
    <col min="7682" max="7936" width="9.140625" style="1071"/>
    <col min="7937" max="7937" width="28.5703125" style="1071" bestFit="1" customWidth="1"/>
    <col min="7938" max="8192" width="9.140625" style="1071"/>
    <col min="8193" max="8193" width="28.5703125" style="1071" bestFit="1" customWidth="1"/>
    <col min="8194" max="8448" width="9.140625" style="1071"/>
    <col min="8449" max="8449" width="28.5703125" style="1071" bestFit="1" customWidth="1"/>
    <col min="8450" max="8704" width="9.140625" style="1071"/>
    <col min="8705" max="8705" width="28.5703125" style="1071" bestFit="1" customWidth="1"/>
    <col min="8706" max="8960" width="9.140625" style="1071"/>
    <col min="8961" max="8961" width="28.5703125" style="1071" bestFit="1" customWidth="1"/>
    <col min="8962" max="9216" width="9.140625" style="1071"/>
    <col min="9217" max="9217" width="28.5703125" style="1071" bestFit="1" customWidth="1"/>
    <col min="9218" max="9472" width="9.140625" style="1071"/>
    <col min="9473" max="9473" width="28.5703125" style="1071" bestFit="1" customWidth="1"/>
    <col min="9474" max="9728" width="9.140625" style="1071"/>
    <col min="9729" max="9729" width="28.5703125" style="1071" bestFit="1" customWidth="1"/>
    <col min="9730" max="9984" width="9.140625" style="1071"/>
    <col min="9985" max="9985" width="28.5703125" style="1071" bestFit="1" customWidth="1"/>
    <col min="9986" max="10240" width="9.140625" style="1071"/>
    <col min="10241" max="10241" width="28.5703125" style="1071" bestFit="1" customWidth="1"/>
    <col min="10242" max="10496" width="9.140625" style="1071"/>
    <col min="10497" max="10497" width="28.5703125" style="1071" bestFit="1" customWidth="1"/>
    <col min="10498" max="10752" width="9.140625" style="1071"/>
    <col min="10753" max="10753" width="28.5703125" style="1071" bestFit="1" customWidth="1"/>
    <col min="10754" max="11008" width="9.140625" style="1071"/>
    <col min="11009" max="11009" width="28.5703125" style="1071" bestFit="1" customWidth="1"/>
    <col min="11010" max="11264" width="9.140625" style="1071"/>
    <col min="11265" max="11265" width="28.5703125" style="1071" bestFit="1" customWidth="1"/>
    <col min="11266" max="11520" width="9.140625" style="1071"/>
    <col min="11521" max="11521" width="28.5703125" style="1071" bestFit="1" customWidth="1"/>
    <col min="11522" max="11776" width="9.140625" style="1071"/>
    <col min="11777" max="11777" width="28.5703125" style="1071" bestFit="1" customWidth="1"/>
    <col min="11778" max="12032" width="9.140625" style="1071"/>
    <col min="12033" max="12033" width="28.5703125" style="1071" bestFit="1" customWidth="1"/>
    <col min="12034" max="12288" width="9.140625" style="1071"/>
    <col min="12289" max="12289" width="28.5703125" style="1071" bestFit="1" customWidth="1"/>
    <col min="12290" max="12544" width="9.140625" style="1071"/>
    <col min="12545" max="12545" width="28.5703125" style="1071" bestFit="1" customWidth="1"/>
    <col min="12546" max="12800" width="9.140625" style="1071"/>
    <col min="12801" max="12801" width="28.5703125" style="1071" bestFit="1" customWidth="1"/>
    <col min="12802" max="13056" width="9.140625" style="1071"/>
    <col min="13057" max="13057" width="28.5703125" style="1071" bestFit="1" customWidth="1"/>
    <col min="13058" max="13312" width="9.140625" style="1071"/>
    <col min="13313" max="13313" width="28.5703125" style="1071" bestFit="1" customWidth="1"/>
    <col min="13314" max="13568" width="9.140625" style="1071"/>
    <col min="13569" max="13569" width="28.5703125" style="1071" bestFit="1" customWidth="1"/>
    <col min="13570" max="13824" width="9.140625" style="1071"/>
    <col min="13825" max="13825" width="28.5703125" style="1071" bestFit="1" customWidth="1"/>
    <col min="13826" max="14080" width="9.140625" style="1071"/>
    <col min="14081" max="14081" width="28.5703125" style="1071" bestFit="1" customWidth="1"/>
    <col min="14082" max="14336" width="9.140625" style="1071"/>
    <col min="14337" max="14337" width="28.5703125" style="1071" bestFit="1" customWidth="1"/>
    <col min="14338" max="14592" width="9.140625" style="1071"/>
    <col min="14593" max="14593" width="28.5703125" style="1071" bestFit="1" customWidth="1"/>
    <col min="14594" max="14848" width="9.140625" style="1071"/>
    <col min="14849" max="14849" width="28.5703125" style="1071" bestFit="1" customWidth="1"/>
    <col min="14850" max="15104" width="9.140625" style="1071"/>
    <col min="15105" max="15105" width="28.5703125" style="1071" bestFit="1" customWidth="1"/>
    <col min="15106" max="15360" width="9.140625" style="1071"/>
    <col min="15361" max="15361" width="28.5703125" style="1071" bestFit="1" customWidth="1"/>
    <col min="15362" max="15616" width="9.140625" style="1071"/>
    <col min="15617" max="15617" width="28.5703125" style="1071" bestFit="1" customWidth="1"/>
    <col min="15618" max="15872" width="9.140625" style="1071"/>
    <col min="15873" max="15873" width="28.5703125" style="1071" bestFit="1" customWidth="1"/>
    <col min="15874" max="16128" width="9.140625" style="1071"/>
    <col min="16129" max="16129" width="28.5703125" style="1071" bestFit="1" customWidth="1"/>
    <col min="16130" max="16384" width="9.140625" style="1071"/>
  </cols>
  <sheetData>
    <row r="1" spans="1:1">
      <c r="A1" s="1324" t="s">
        <v>768</v>
      </c>
    </row>
    <row r="2" spans="1:1">
      <c r="A2" s="1324" t="s">
        <v>773</v>
      </c>
    </row>
    <row r="3" spans="1:1">
      <c r="A3" s="1324" t="s">
        <v>774</v>
      </c>
    </row>
    <row r="4" spans="1:1">
      <c r="A4" s="1324" t="s">
        <v>775</v>
      </c>
    </row>
    <row r="5" spans="1:1">
      <c r="A5" s="1324" t="s">
        <v>776</v>
      </c>
    </row>
    <row r="6" spans="1:1">
      <c r="A6" s="1324" t="s">
        <v>769</v>
      </c>
    </row>
    <row r="7" spans="1:1">
      <c r="A7" s="1324" t="s">
        <v>777</v>
      </c>
    </row>
    <row r="8" spans="1:1">
      <c r="A8" s="1324" t="s">
        <v>778</v>
      </c>
    </row>
    <row r="9" spans="1:1">
      <c r="A9" s="1324" t="s">
        <v>779</v>
      </c>
    </row>
    <row r="10" spans="1:1">
      <c r="A10" s="1324" t="s">
        <v>770</v>
      </c>
    </row>
    <row r="11" spans="1:1">
      <c r="A11" s="1324" t="s">
        <v>780</v>
      </c>
    </row>
    <row r="12" spans="1:1">
      <c r="A12" s="1324" t="s">
        <v>771</v>
      </c>
    </row>
    <row r="13" spans="1:1">
      <c r="A13" s="1324" t="s">
        <v>772</v>
      </c>
    </row>
  </sheetData>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B1"/>
  <sheetViews>
    <sheetView workbookViewId="0"/>
  </sheetViews>
  <sheetFormatPr defaultRowHeight="12.75"/>
  <sheetData>
    <row r="1" spans="1:2">
      <c r="B1" t="s">
        <v>116</v>
      </c>
    </row>
  </sheetData>
  <phoneticPr fontId="3" type="noConversion"/>
  <pageMargins left="0.75" right="0.75" top="1" bottom="1" header="0.5" footer="0.5"/>
  <pageSetup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CF2"/>
  <sheetViews>
    <sheetView workbookViewId="0"/>
  </sheetViews>
  <sheetFormatPr defaultRowHeight="12.75"/>
  <sheetData>
    <row r="1" spans="1:84">
      <c r="A1" t="s">
        <v>186</v>
      </c>
    </row>
    <row r="2" spans="1:84">
      <c r="A2" s="2" t="s">
        <v>179</v>
      </c>
      <c r="B2" s="2" t="s">
        <v>155</v>
      </c>
      <c r="C2" s="2" t="s">
        <v>82</v>
      </c>
      <c r="D2" s="2" t="s">
        <v>155</v>
      </c>
      <c r="E2" s="2" t="s">
        <v>167</v>
      </c>
      <c r="F2" s="2" t="s">
        <v>155</v>
      </c>
      <c r="G2" s="2" t="s">
        <v>133</v>
      </c>
      <c r="H2" s="2" t="s">
        <v>89</v>
      </c>
      <c r="I2" s="2" t="s">
        <v>180</v>
      </c>
      <c r="J2" s="2" t="s">
        <v>155</v>
      </c>
      <c r="K2" s="2" t="s">
        <v>137</v>
      </c>
      <c r="L2" s="2" t="s">
        <v>95</v>
      </c>
      <c r="M2" s="2" t="s">
        <v>185</v>
      </c>
      <c r="N2" s="2" t="s">
        <v>155</v>
      </c>
      <c r="O2" s="2" t="s">
        <v>129</v>
      </c>
      <c r="P2" s="2" t="s">
        <v>91</v>
      </c>
      <c r="Q2" s="2" t="s">
        <v>176</v>
      </c>
      <c r="R2" s="2" t="s">
        <v>155</v>
      </c>
      <c r="S2" s="2" t="s">
        <v>90</v>
      </c>
      <c r="T2" s="2" t="s">
        <v>155</v>
      </c>
      <c r="U2" s="2" t="s">
        <v>132</v>
      </c>
      <c r="V2" s="2" t="s">
        <v>88</v>
      </c>
      <c r="W2" s="2" t="s">
        <v>184</v>
      </c>
      <c r="X2" s="2" t="s">
        <v>155</v>
      </c>
      <c r="Y2" s="2" t="s">
        <v>134</v>
      </c>
      <c r="Z2" s="2" t="s">
        <v>87</v>
      </c>
      <c r="AA2" s="2" t="s">
        <v>169</v>
      </c>
      <c r="AB2" s="2" t="s">
        <v>155</v>
      </c>
      <c r="AC2" s="2" t="s">
        <v>201</v>
      </c>
      <c r="AD2" s="2" t="s">
        <v>210</v>
      </c>
      <c r="AE2" s="2" t="s">
        <v>127</v>
      </c>
      <c r="AF2" s="2" t="s">
        <v>92</v>
      </c>
      <c r="AG2" s="2" t="s">
        <v>84</v>
      </c>
      <c r="AH2" s="2" t="s">
        <v>155</v>
      </c>
      <c r="AI2" s="2" t="s">
        <v>168</v>
      </c>
      <c r="AJ2" s="2" t="s">
        <v>155</v>
      </c>
      <c r="AK2" s="2" t="s">
        <v>173</v>
      </c>
      <c r="AL2" s="2" t="s">
        <v>155</v>
      </c>
      <c r="AM2" s="2" t="s">
        <v>200</v>
      </c>
      <c r="AN2" s="2" t="s">
        <v>155</v>
      </c>
      <c r="AO2" s="2" t="s">
        <v>178</v>
      </c>
      <c r="AP2" s="2" t="s">
        <v>155</v>
      </c>
      <c r="AQ2" s="2" t="s">
        <v>81</v>
      </c>
      <c r="AR2" s="2" t="s">
        <v>155</v>
      </c>
      <c r="AS2" s="2" t="s">
        <v>171</v>
      </c>
      <c r="AT2" s="2" t="s">
        <v>155</v>
      </c>
      <c r="AU2" s="2" t="s">
        <v>182</v>
      </c>
      <c r="AV2" s="2" t="s">
        <v>155</v>
      </c>
      <c r="AW2" s="2" t="s">
        <v>202</v>
      </c>
      <c r="AX2" s="2" t="s">
        <v>203</v>
      </c>
      <c r="AY2" s="2" t="s">
        <v>94</v>
      </c>
      <c r="AZ2" s="2" t="s">
        <v>155</v>
      </c>
      <c r="BA2" s="2" t="s">
        <v>172</v>
      </c>
      <c r="BB2" s="2" t="s">
        <v>155</v>
      </c>
      <c r="BC2" s="2" t="s">
        <v>124</v>
      </c>
      <c r="BD2" s="2" t="s">
        <v>125</v>
      </c>
      <c r="BE2" s="2" t="s">
        <v>39</v>
      </c>
      <c r="BF2" s="2" t="s">
        <v>365</v>
      </c>
      <c r="BG2" s="2" t="s">
        <v>126</v>
      </c>
      <c r="BH2" s="2" t="s">
        <v>83</v>
      </c>
      <c r="BI2" s="2" t="s">
        <v>128</v>
      </c>
      <c r="BJ2" s="2" t="s">
        <v>85</v>
      </c>
      <c r="BK2" s="2" t="s">
        <v>41</v>
      </c>
      <c r="BL2" s="2" t="s">
        <v>210</v>
      </c>
      <c r="BM2" s="2" t="s">
        <v>40</v>
      </c>
      <c r="BN2" s="2" t="s">
        <v>360</v>
      </c>
      <c r="BO2" s="2" t="s">
        <v>131</v>
      </c>
      <c r="BP2" s="2" t="s">
        <v>96</v>
      </c>
      <c r="BQ2" s="2" t="s">
        <v>130</v>
      </c>
      <c r="BR2" s="2" t="s">
        <v>86</v>
      </c>
      <c r="BS2" s="2" t="s">
        <v>181</v>
      </c>
      <c r="BT2" s="2" t="s">
        <v>155</v>
      </c>
      <c r="BU2" s="2" t="s">
        <v>174</v>
      </c>
      <c r="BV2" s="2" t="s">
        <v>155</v>
      </c>
      <c r="BW2" s="2" t="s">
        <v>183</v>
      </c>
      <c r="BX2" s="2" t="s">
        <v>155</v>
      </c>
      <c r="BY2" s="2" t="s">
        <v>175</v>
      </c>
      <c r="BZ2" s="2" t="s">
        <v>155</v>
      </c>
      <c r="CA2" s="2" t="s">
        <v>177</v>
      </c>
      <c r="CB2" s="2" t="s">
        <v>155</v>
      </c>
      <c r="CC2" s="2" t="s">
        <v>135</v>
      </c>
      <c r="CD2" s="2" t="s">
        <v>93</v>
      </c>
      <c r="CE2" s="2" t="s">
        <v>136</v>
      </c>
      <c r="CF2" s="2" t="s">
        <v>93</v>
      </c>
    </row>
  </sheetData>
  <phoneticPr fontId="3"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
  <sheetViews>
    <sheetView workbookViewId="0"/>
  </sheetViews>
  <sheetFormatPr defaultRowHeight="12.75"/>
  <sheetData/>
  <phoneticPr fontId="3" type="noConversion"/>
  <pageMargins left="0.75" right="0.75" top="1" bottom="1" header="0.5" footer="0.5"/>
  <pageSetup orientation="portrait" r:id="rId1"/>
  <headerFooter alignWithMargins="0"/>
  <customProperties>
    <customPr name="LinkingMetadata" r:id="rId2"/>
  </customProperties>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item1.xml><?xml version="1.0" encoding="utf-8"?>
<lkmtd:Metadata xmlns:lkmtd="thomsonreuters.linking.metadatachange">
  <MetadataChanged>0</MetadataChanged>
</lkmtd:Metadata>
</file>

<file path=customXml/item2.xml><?xml version="1.0" encoding="utf-8"?>
<lk:Links xmlns:lk="thomsonreuters.linking.metadata"/>
</file>

<file path=customXml/itemProps1.xml><?xml version="1.0" encoding="utf-8"?>
<ds:datastoreItem xmlns:ds="http://schemas.openxmlformats.org/officeDocument/2006/customXml" ds:itemID="{385DB8DC-FE82-450E-966A-AA6BFE126993}">
  <ds:schemaRefs>
    <ds:schemaRef ds:uri="thomsonreuters.linking.metadatachange"/>
  </ds:schemaRefs>
</ds:datastoreItem>
</file>

<file path=customXml/itemProps2.xml><?xml version="1.0" encoding="utf-8"?>
<ds:datastoreItem xmlns:ds="http://schemas.openxmlformats.org/officeDocument/2006/customXml" ds:itemID="{16667A59-911A-4501-BAD1-8143447B2B04}">
  <ds:schemaRefs>
    <ds:schemaRef ds:uri="thomsonreuters.linking.metadat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79</vt:i4>
      </vt:variant>
    </vt:vector>
  </HeadingPairs>
  <TitlesOfParts>
    <vt:vector size="85" baseType="lpstr">
      <vt:lpstr>ImportantDisclosures</vt:lpstr>
      <vt:lpstr>Cover</vt:lpstr>
      <vt:lpstr>Valuation</vt:lpstr>
      <vt:lpstr>Model</vt:lpstr>
      <vt:lpstr>IndexInformation</vt:lpstr>
      <vt:lpstr>ModPubIndex</vt:lpstr>
      <vt:lpstr>AdditionalInstructions</vt:lpstr>
      <vt:lpstr>ImportantDisclosures!Address</vt:lpstr>
      <vt:lpstr>ModPubIndex!ANA</vt:lpstr>
      <vt:lpstr>ImportantDisclosures!Authors</vt:lpstr>
      <vt:lpstr>IndexInformation!Authors</vt:lpstr>
      <vt:lpstr>ModPubIndex!BRO</vt:lpstr>
      <vt:lpstr>CopyrightStamp</vt:lpstr>
      <vt:lpstr>ModPubIndex!COU</vt:lpstr>
      <vt:lpstr>IndexInformation!CQEnd</vt:lpstr>
      <vt:lpstr>IndexInformation!Currency</vt:lpstr>
      <vt:lpstr>IndexInformation!CurrentStockPrice</vt:lpstr>
      <vt:lpstr>IndexInformation!CurrQtrEPS</vt:lpstr>
      <vt:lpstr>IndexInformation!CurrYearEPS</vt:lpstr>
      <vt:lpstr>IndexInformation!CurrYearTotalRevenue</vt:lpstr>
      <vt:lpstr>IndexInformation!CurrYearTotalRevenueActual</vt:lpstr>
      <vt:lpstr>IndexInformation!CUSIP</vt:lpstr>
      <vt:lpstr>IndexInformation!CYEnd</vt:lpstr>
      <vt:lpstr>ImportantDisclosures!Date</vt:lpstr>
      <vt:lpstr>IndexInformation!Deleted</vt:lpstr>
      <vt:lpstr>IndexInformation!Description</vt:lpstr>
      <vt:lpstr>IndexInformation!Discipline</vt:lpstr>
      <vt:lpstr>ModPubIndex!DISCIPLINE</vt:lpstr>
      <vt:lpstr>DisclosuresText</vt:lpstr>
      <vt:lpstr>IndexInformation!Distribution</vt:lpstr>
      <vt:lpstr>ModPubIndex!DOCDAT</vt:lpstr>
      <vt:lpstr>ModPubIndex!DOCTIME</vt:lpstr>
      <vt:lpstr>IndexInformation!DocType</vt:lpstr>
      <vt:lpstr>ModPubIndex!EMAIL_ALERT</vt:lpstr>
      <vt:lpstr>IndexInformation!EmailAlert</vt:lpstr>
      <vt:lpstr>IndexInformation!FiveYearGrowthRate</vt:lpstr>
      <vt:lpstr>IndexInformation!FollowingYearEPS</vt:lpstr>
      <vt:lpstr>IndexInformation!FollowingYearTotalRevenue</vt:lpstr>
      <vt:lpstr>IndexInformation!FollowingYearTotalRevenueActual</vt:lpstr>
      <vt:lpstr>ModPubIndex!HL</vt:lpstr>
      <vt:lpstr>ModPubIndex!IND</vt:lpstr>
      <vt:lpstr>ImportantDisclosures!Industry</vt:lpstr>
      <vt:lpstr>IndustryId</vt:lpstr>
      <vt:lpstr>ImportantDisclosures!IndustryRating</vt:lpstr>
      <vt:lpstr>IndexInformation!KeepVersions</vt:lpstr>
      <vt:lpstr>LanguageCode</vt:lpstr>
      <vt:lpstr>ImportantDisclosures!LastCell</vt:lpstr>
      <vt:lpstr>Linking_Range_11</vt:lpstr>
      <vt:lpstr>Linking_Range_12</vt:lpstr>
      <vt:lpstr>Linking_Range_12321</vt:lpstr>
      <vt:lpstr>Linking_Range_13</vt:lpstr>
      <vt:lpstr>Linking_Range_14</vt:lpstr>
      <vt:lpstr>Linking_Range_15</vt:lpstr>
      <vt:lpstr>Linking_Range_16</vt:lpstr>
      <vt:lpstr>IndexInformation!MacroVersion</vt:lpstr>
      <vt:lpstr>ImportantDisclosures!ModelPrice</vt:lpstr>
      <vt:lpstr>IndexInformation!Multiplier</vt:lpstr>
      <vt:lpstr>IndexInformation!NextYearEPS</vt:lpstr>
      <vt:lpstr>IndexInformation!NextYearTotalRevenue</vt:lpstr>
      <vt:lpstr>IndexInformation!NextYearTotalRevenueActual</vt:lpstr>
      <vt:lpstr>ObjectType</vt:lpstr>
      <vt:lpstr>ModPubIndex!PANA</vt:lpstr>
      <vt:lpstr>IndexInformation!PathName</vt:lpstr>
      <vt:lpstr>Model!Print_Area</vt:lpstr>
      <vt:lpstr>Valuation!Print_Area</vt:lpstr>
      <vt:lpstr>Model!Print_Titles</vt:lpstr>
      <vt:lpstr>ModPubIndex!PRODUCT</vt:lpstr>
      <vt:lpstr>ModPubIndex!PSYM</vt:lpstr>
      <vt:lpstr>IndexInformation!PublishDate</vt:lpstr>
      <vt:lpstr>IndexInformation!Rating</vt:lpstr>
      <vt:lpstr>ImportantDisclosures!RatingsDefined</vt:lpstr>
      <vt:lpstr>IndexInformation!ResearchTopic</vt:lpstr>
      <vt:lpstr>IndexInformation!RIC</vt:lpstr>
      <vt:lpstr>IndexInformation!SEDOL</vt:lpstr>
      <vt:lpstr>ImportantDisclosures!SourceDefined</vt:lpstr>
      <vt:lpstr>ImportantDisclosures!StockRating</vt:lpstr>
      <vt:lpstr>IndexInformation!SubjectCode</vt:lpstr>
      <vt:lpstr>SubmitterUserId</vt:lpstr>
      <vt:lpstr>ModPubIndex!SUPPRESSED</vt:lpstr>
      <vt:lpstr>ImportantDisclosures!TargetPrice</vt:lpstr>
      <vt:lpstr>TemplateRegion</vt:lpstr>
      <vt:lpstr>ImportantDisclosures!Ticker</vt:lpstr>
      <vt:lpstr>TickerRegion</vt:lpstr>
      <vt:lpstr>IndexInformation!Tickers</vt:lpstr>
      <vt:lpstr>IndexInformation!UpdateReason</vt:lpstr>
    </vt:vector>
  </TitlesOfParts>
  <Company>Morgan Stanley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2000-04-25T22:28:13Z</dcterms:created>
  <dc:creator>fraserc</dc:creator>
  <cp:lastModifiedBy>Jenson, Andrea (Research)</cp:lastModifiedBy>
  <cp:lastPrinted>2018-02-21T20:18:56Z</cp:lastPrinted>
  <dcterms:modified xsi:type="dcterms:W3CDTF">2018-04-11T16:39:26Z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name="LinkingAutoNameNumberLinking_Range_" pid="2">
    <vt:lpwstr>16</vt:lpwstr>
  </property>
  <property fmtid="{D5CDD505-2E9C-101B-9397-08002B2CF9AE}" name="ERModPubTicket" pid="3">
    <vt:lpwstr>NA</vt:lpwstr>
  </property>
  <property fmtid="{D5CDD505-2E9C-101B-9397-08002B2CF9AE}" name="ERCompanyUploadState" pid="4">
    <vt:lpwstr>P</vt:lpwstr>
  </property>
  <property fmtid="{D5CDD505-2E9C-101B-9397-08002B2CF9AE}" name="ModelId" pid="5">
    <vt:lpwstr>761035</vt:lpwstr>
  </property>
  <property fmtid="{D5CDD505-2E9C-101B-9397-08002B2CF9AE}" name="ERModPubCompanyName" pid="6">
    <vt:lpwstr>Lockheed Martin Corp.</vt:lpwstr>
  </property>
  <property fmtid="{D5CDD505-2E9C-101B-9397-08002B2CF9AE}" name="MSDH34TAG" pid="7">
    <vt:lpwstr>.TEZUF76X5TAHATHESADREYAK-00-INB160+*94600-06=a6c50caa/-3da6/-11e8/-b3f7/-7a79cfe26848,MD=20180411130222/-0400,ZZ=000Z-9770.</vt:lpwstr>
  </property>
</Properties>
</file>